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10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 Pagliaricci\Downloads\"/>
    </mc:Choice>
  </mc:AlternateContent>
  <xr:revisionPtr revIDLastSave="0" documentId="13_ncr:1_{5E2A0FB1-E694-4A48-8915-CBCB8024E24A}" xr6:coauthVersionLast="47" xr6:coauthVersionMax="47" xr10:uidLastSave="{00000000-0000-0000-0000-000000000000}"/>
  <bookViews>
    <workbookView xWindow="-30" yWindow="-16320" windowWidth="29040" windowHeight="15720" tabRatio="869" firstSheet="1" activeTab="1" xr2:uid="{D44C98FB-56EA-46F8-B059-8970088AFF07}"/>
  </bookViews>
  <sheets>
    <sheet name="Resumen General" sheetId="9" r:id="rId1"/>
    <sheet name="Resumen Pto #1" sheetId="10" r:id="rId2"/>
    <sheet name="Resumen Pto #2" sheetId="11" r:id="rId3"/>
    <sheet name="Facturacion" sheetId="6" r:id="rId4"/>
    <sheet name="Certificados" sheetId="7" r:id="rId5"/>
    <sheet name="Contratistas" sheetId="1" r:id="rId6"/>
    <sheet name="Horm M.O." sheetId="3" r:id="rId7"/>
    <sheet name="Alba M.O. " sheetId="21" r:id="rId8"/>
    <sheet name="Elect M.O." sheetId="18" r:id="rId9"/>
    <sheet name="GGBB" sheetId="16" r:id="rId10"/>
    <sheet name="Preventivo Vta CH2171 " sheetId="5" r:id="rId11"/>
    <sheet name="Preventivo Costo CH2171 " sheetId="8" r:id="rId12"/>
    <sheet name="01" sheetId="4" r:id="rId13"/>
    <sheet name="AING Gtos Desarrollo" sheetId="20" r:id="rId14"/>
    <sheet name="Indice CAC" sheetId="15" r:id="rId15"/>
    <sheet name="C. Gestión Pto #1" sheetId="12" r:id="rId16"/>
    <sheet name="C. Gestión Pto #2" sheetId="13" r:id="rId17"/>
    <sheet name="Cert. Ppto 1" sheetId="17" r:id="rId18"/>
    <sheet name="TC USD MEP" sheetId="19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0" localSheetId="14">#REF!</definedName>
    <definedName name="\0">#REF!</definedName>
    <definedName name="\c" localSheetId="14">#REF!</definedName>
    <definedName name="\c">#REF!</definedName>
    <definedName name="\E" localSheetId="14">#REF!</definedName>
    <definedName name="\E">#REF!</definedName>
    <definedName name="\i">#REF!</definedName>
    <definedName name="\j">#REF!</definedName>
    <definedName name="\m">#REF!</definedName>
    <definedName name="\P" localSheetId="12">#REF!</definedName>
    <definedName name="\P" localSheetId="13">#REF!</definedName>
    <definedName name="\P" localSheetId="7">#REF!</definedName>
    <definedName name="\P" localSheetId="17">#REF!</definedName>
    <definedName name="\P" localSheetId="4">#REF!</definedName>
    <definedName name="\P" localSheetId="5">#REF!</definedName>
    <definedName name="\P" localSheetId="8">#REF!</definedName>
    <definedName name="\P" localSheetId="3">#REF!</definedName>
    <definedName name="\P" localSheetId="6">#REF!</definedName>
    <definedName name="\P" localSheetId="11">#REF!</definedName>
    <definedName name="\P" localSheetId="10">#REF!</definedName>
    <definedName name="\P" localSheetId="0">#REF!</definedName>
    <definedName name="\P" localSheetId="1">#REF!</definedName>
    <definedName name="\P" localSheetId="2">#REF!</definedName>
    <definedName name="\P">#REF!</definedName>
    <definedName name="\r">#N/A</definedName>
    <definedName name="\x">#REF!</definedName>
    <definedName name="\z" localSheetId="14">#REF!</definedName>
    <definedName name="\z">#REF!</definedName>
    <definedName name="__________ben1" localSheetId="12">#REF!</definedName>
    <definedName name="__________ben1" localSheetId="13">#REF!</definedName>
    <definedName name="__________ben1" localSheetId="7">#REF!</definedName>
    <definedName name="__________ben1" localSheetId="17">#REF!</definedName>
    <definedName name="__________ben1" localSheetId="4">#REF!</definedName>
    <definedName name="__________ben1" localSheetId="5">#REF!</definedName>
    <definedName name="__________ben1" localSheetId="8">#REF!</definedName>
    <definedName name="__________ben1" localSheetId="3">#REF!</definedName>
    <definedName name="__________ben1" localSheetId="6">#REF!</definedName>
    <definedName name="__________ben1" localSheetId="14">#REF!</definedName>
    <definedName name="__________ben1" localSheetId="11">#REF!</definedName>
    <definedName name="__________ben1" localSheetId="10">#REF!</definedName>
    <definedName name="__________ben1" localSheetId="0">#REF!</definedName>
    <definedName name="__________ben1" localSheetId="1">#REF!</definedName>
    <definedName name="__________ben1" localSheetId="2">#REF!</definedName>
    <definedName name="__________ben1">#REF!</definedName>
    <definedName name="__________ben10" localSheetId="12">#REF!</definedName>
    <definedName name="__________ben10" localSheetId="13">#REF!</definedName>
    <definedName name="__________ben10" localSheetId="7">#REF!</definedName>
    <definedName name="__________ben10" localSheetId="17">#REF!</definedName>
    <definedName name="__________ben10" localSheetId="4">#REF!</definedName>
    <definedName name="__________ben10" localSheetId="5">#REF!</definedName>
    <definedName name="__________ben10" localSheetId="8">#REF!</definedName>
    <definedName name="__________ben10" localSheetId="3">#REF!</definedName>
    <definedName name="__________ben10" localSheetId="6">#REF!</definedName>
    <definedName name="__________ben10" localSheetId="14">#REF!</definedName>
    <definedName name="__________ben10" localSheetId="11">#REF!</definedName>
    <definedName name="__________ben10" localSheetId="10">#REF!</definedName>
    <definedName name="__________ben10" localSheetId="0">#REF!</definedName>
    <definedName name="__________ben10" localSheetId="1">#REF!</definedName>
    <definedName name="__________ben10" localSheetId="2">#REF!</definedName>
    <definedName name="__________ben10">#REF!</definedName>
    <definedName name="__________ben15" localSheetId="12">#REF!</definedName>
    <definedName name="__________ben15" localSheetId="13">#REF!</definedName>
    <definedName name="__________ben15" localSheetId="7">#REF!</definedName>
    <definedName name="__________ben15" localSheetId="17">#REF!</definedName>
    <definedName name="__________ben15" localSheetId="4">#REF!</definedName>
    <definedName name="__________ben15" localSheetId="5">#REF!</definedName>
    <definedName name="__________ben15" localSheetId="8">#REF!</definedName>
    <definedName name="__________ben15" localSheetId="3">#REF!</definedName>
    <definedName name="__________ben15" localSheetId="6">#REF!</definedName>
    <definedName name="__________ben15" localSheetId="14">#REF!</definedName>
    <definedName name="__________ben15" localSheetId="11">#REF!</definedName>
    <definedName name="__________ben15" localSheetId="10">#REF!</definedName>
    <definedName name="__________ben15" localSheetId="0">#REF!</definedName>
    <definedName name="__________ben15" localSheetId="1">#REF!</definedName>
    <definedName name="__________ben15" localSheetId="2">#REF!</definedName>
    <definedName name="__________ben15">#REF!</definedName>
    <definedName name="__________BEN2" localSheetId="14">#REF!</definedName>
    <definedName name="__________BEN2">#REF!</definedName>
    <definedName name="__________ben20" localSheetId="12">#REF!</definedName>
    <definedName name="__________ben20" localSheetId="13">#REF!</definedName>
    <definedName name="__________ben20" localSheetId="7">#REF!</definedName>
    <definedName name="__________ben20" localSheetId="17">#REF!</definedName>
    <definedName name="__________ben20" localSheetId="4">#REF!</definedName>
    <definedName name="__________ben20" localSheetId="5">#REF!</definedName>
    <definedName name="__________ben20" localSheetId="8">#REF!</definedName>
    <definedName name="__________ben20" localSheetId="3">#REF!</definedName>
    <definedName name="__________ben20" localSheetId="6">#REF!</definedName>
    <definedName name="__________ben20" localSheetId="14">#REF!</definedName>
    <definedName name="__________ben20" localSheetId="11">#REF!</definedName>
    <definedName name="__________ben20" localSheetId="10">#REF!</definedName>
    <definedName name="__________ben20" localSheetId="0">#REF!</definedName>
    <definedName name="__________ben20" localSheetId="1">#REF!</definedName>
    <definedName name="__________ben20" localSheetId="2">#REF!</definedName>
    <definedName name="__________ben20">#REF!</definedName>
    <definedName name="__________ben25" localSheetId="12">#REF!</definedName>
    <definedName name="__________ben25" localSheetId="13">#REF!</definedName>
    <definedName name="__________ben25" localSheetId="7">#REF!</definedName>
    <definedName name="__________ben25" localSheetId="17">#REF!</definedName>
    <definedName name="__________ben25" localSheetId="4">#REF!</definedName>
    <definedName name="__________ben25" localSheetId="5">#REF!</definedName>
    <definedName name="__________ben25" localSheetId="8">#REF!</definedName>
    <definedName name="__________ben25" localSheetId="3">#REF!</definedName>
    <definedName name="__________ben25" localSheetId="6">#REF!</definedName>
    <definedName name="__________ben25" localSheetId="14">#REF!</definedName>
    <definedName name="__________ben25" localSheetId="11">#REF!</definedName>
    <definedName name="__________ben25" localSheetId="10">#REF!</definedName>
    <definedName name="__________ben25" localSheetId="0">#REF!</definedName>
    <definedName name="__________ben25" localSheetId="1">#REF!</definedName>
    <definedName name="__________ben25" localSheetId="2">#REF!</definedName>
    <definedName name="__________ben25">#REF!</definedName>
    <definedName name="__________BEN3" localSheetId="12">#REF!</definedName>
    <definedName name="__________BEN3" localSheetId="13">#REF!</definedName>
    <definedName name="__________BEN3" localSheetId="7">#REF!</definedName>
    <definedName name="__________BEN3" localSheetId="17">#REF!</definedName>
    <definedName name="__________BEN3" localSheetId="4">#REF!</definedName>
    <definedName name="__________BEN3" localSheetId="5">#REF!</definedName>
    <definedName name="__________BEN3" localSheetId="8">#REF!</definedName>
    <definedName name="__________BEN3" localSheetId="3">#REF!</definedName>
    <definedName name="__________BEN3" localSheetId="6">#REF!</definedName>
    <definedName name="__________BEN3" localSheetId="14">#REF!</definedName>
    <definedName name="__________BEN3" localSheetId="11">#REF!</definedName>
    <definedName name="__________BEN3" localSheetId="10">#REF!</definedName>
    <definedName name="__________BEN3" localSheetId="0">#REF!</definedName>
    <definedName name="__________BEN3" localSheetId="1">#REF!</definedName>
    <definedName name="__________BEN3" localSheetId="2">#REF!</definedName>
    <definedName name="__________BEN3">#REF!</definedName>
    <definedName name="__________BEN4" localSheetId="12">#REF!</definedName>
    <definedName name="__________BEN4" localSheetId="13">#REF!</definedName>
    <definedName name="__________BEN4" localSheetId="7">#REF!</definedName>
    <definedName name="__________BEN4" localSheetId="17">#REF!</definedName>
    <definedName name="__________BEN4" localSheetId="4">#REF!</definedName>
    <definedName name="__________BEN4" localSheetId="5">#REF!</definedName>
    <definedName name="__________BEN4" localSheetId="8">#REF!</definedName>
    <definedName name="__________BEN4" localSheetId="3">#REF!</definedName>
    <definedName name="__________BEN4" localSheetId="6">#REF!</definedName>
    <definedName name="__________BEN4" localSheetId="11">#REF!</definedName>
    <definedName name="__________BEN4" localSheetId="10">#REF!</definedName>
    <definedName name="__________BEN4" localSheetId="0">#REF!</definedName>
    <definedName name="__________BEN4" localSheetId="1">#REF!</definedName>
    <definedName name="__________BEN4" localSheetId="2">#REF!</definedName>
    <definedName name="__________BEN4">#REF!</definedName>
    <definedName name="__________ben5" localSheetId="12">#REF!</definedName>
    <definedName name="__________ben5" localSheetId="13">#REF!</definedName>
    <definedName name="__________ben5" localSheetId="7">#REF!</definedName>
    <definedName name="__________ben5" localSheetId="17">#REF!</definedName>
    <definedName name="__________ben5" localSheetId="4">#REF!</definedName>
    <definedName name="__________ben5" localSheetId="5">#REF!</definedName>
    <definedName name="__________ben5" localSheetId="8">#REF!</definedName>
    <definedName name="__________ben5" localSheetId="3">#REF!</definedName>
    <definedName name="__________ben5" localSheetId="6">#REF!</definedName>
    <definedName name="__________ben5" localSheetId="11">#REF!</definedName>
    <definedName name="__________ben5" localSheetId="10">#REF!</definedName>
    <definedName name="__________ben5" localSheetId="0">#REF!</definedName>
    <definedName name="__________ben5" localSheetId="1">#REF!</definedName>
    <definedName name="__________ben5" localSheetId="2">#REF!</definedName>
    <definedName name="__________ben5">#REF!</definedName>
    <definedName name="_________ben1" localSheetId="12">#REF!</definedName>
    <definedName name="_________ben1" localSheetId="13">#REF!</definedName>
    <definedName name="_________ben1" localSheetId="7">#REF!</definedName>
    <definedName name="_________ben1" localSheetId="17">#REF!</definedName>
    <definedName name="_________ben1" localSheetId="4">#REF!</definedName>
    <definedName name="_________ben1" localSheetId="5">#REF!</definedName>
    <definedName name="_________ben1" localSheetId="8">#REF!</definedName>
    <definedName name="_________ben1" localSheetId="3">#REF!</definedName>
    <definedName name="_________ben1" localSheetId="6">#REF!</definedName>
    <definedName name="_________ben1" localSheetId="11">#REF!</definedName>
    <definedName name="_________ben1" localSheetId="10">#REF!</definedName>
    <definedName name="_________ben1" localSheetId="0">#REF!</definedName>
    <definedName name="_________ben1" localSheetId="1">#REF!</definedName>
    <definedName name="_________ben1" localSheetId="2">#REF!</definedName>
    <definedName name="_________ben1">#REF!</definedName>
    <definedName name="_________ben10" localSheetId="12">#REF!</definedName>
    <definedName name="_________ben10" localSheetId="13">#REF!</definedName>
    <definedName name="_________ben10" localSheetId="7">#REF!</definedName>
    <definedName name="_________ben10" localSheetId="17">#REF!</definedName>
    <definedName name="_________ben10" localSheetId="4">#REF!</definedName>
    <definedName name="_________ben10" localSheetId="5">#REF!</definedName>
    <definedName name="_________ben10" localSheetId="8">#REF!</definedName>
    <definedName name="_________ben10" localSheetId="3">#REF!</definedName>
    <definedName name="_________ben10" localSheetId="6">#REF!</definedName>
    <definedName name="_________ben10" localSheetId="11">#REF!</definedName>
    <definedName name="_________ben10" localSheetId="10">#REF!</definedName>
    <definedName name="_________ben10" localSheetId="0">#REF!</definedName>
    <definedName name="_________ben10" localSheetId="1">#REF!</definedName>
    <definedName name="_________ben10" localSheetId="2">#REF!</definedName>
    <definedName name="_________ben10">#REF!</definedName>
    <definedName name="_________ben15" localSheetId="12">#REF!</definedName>
    <definedName name="_________ben15" localSheetId="13">#REF!</definedName>
    <definedName name="_________ben15" localSheetId="7">#REF!</definedName>
    <definedName name="_________ben15" localSheetId="17">#REF!</definedName>
    <definedName name="_________ben15" localSheetId="4">#REF!</definedName>
    <definedName name="_________ben15" localSheetId="5">#REF!</definedName>
    <definedName name="_________ben15" localSheetId="8">#REF!</definedName>
    <definedName name="_________ben15" localSheetId="3">#REF!</definedName>
    <definedName name="_________ben15" localSheetId="6">#REF!</definedName>
    <definedName name="_________ben15" localSheetId="11">#REF!</definedName>
    <definedName name="_________ben15" localSheetId="10">#REF!</definedName>
    <definedName name="_________ben15" localSheetId="0">#REF!</definedName>
    <definedName name="_________ben15" localSheetId="1">#REF!</definedName>
    <definedName name="_________ben15" localSheetId="2">#REF!</definedName>
    <definedName name="_________ben15">#REF!</definedName>
    <definedName name="_________BEN2" localSheetId="14">#REF!</definedName>
    <definedName name="_________BEN2">#REF!</definedName>
    <definedName name="_________ben20" localSheetId="12">#REF!</definedName>
    <definedName name="_________ben20" localSheetId="13">#REF!</definedName>
    <definedName name="_________ben20" localSheetId="7">#REF!</definedName>
    <definedName name="_________ben20" localSheetId="17">#REF!</definedName>
    <definedName name="_________ben20" localSheetId="4">#REF!</definedName>
    <definedName name="_________ben20" localSheetId="5">#REF!</definedName>
    <definedName name="_________ben20" localSheetId="8">#REF!</definedName>
    <definedName name="_________ben20" localSheetId="3">#REF!</definedName>
    <definedName name="_________ben20" localSheetId="6">#REF!</definedName>
    <definedName name="_________ben20" localSheetId="14">#REF!</definedName>
    <definedName name="_________ben20" localSheetId="11">#REF!</definedName>
    <definedName name="_________ben20" localSheetId="10">#REF!</definedName>
    <definedName name="_________ben20" localSheetId="0">#REF!</definedName>
    <definedName name="_________ben20" localSheetId="1">#REF!</definedName>
    <definedName name="_________ben20" localSheetId="2">#REF!</definedName>
    <definedName name="_________ben20">#REF!</definedName>
    <definedName name="_________ben25" localSheetId="12">#REF!</definedName>
    <definedName name="_________ben25" localSheetId="13">#REF!</definedName>
    <definedName name="_________ben25" localSheetId="7">#REF!</definedName>
    <definedName name="_________ben25" localSheetId="17">#REF!</definedName>
    <definedName name="_________ben25" localSheetId="4">#REF!</definedName>
    <definedName name="_________ben25" localSheetId="5">#REF!</definedName>
    <definedName name="_________ben25" localSheetId="8">#REF!</definedName>
    <definedName name="_________ben25" localSheetId="3">#REF!</definedName>
    <definedName name="_________ben25" localSheetId="6">#REF!</definedName>
    <definedName name="_________ben25" localSheetId="14">#REF!</definedName>
    <definedName name="_________ben25" localSheetId="11">#REF!</definedName>
    <definedName name="_________ben25" localSheetId="10">#REF!</definedName>
    <definedName name="_________ben25" localSheetId="0">#REF!</definedName>
    <definedName name="_________ben25" localSheetId="1">#REF!</definedName>
    <definedName name="_________ben25" localSheetId="2">#REF!</definedName>
    <definedName name="_________ben25">#REF!</definedName>
    <definedName name="_________BEN3" localSheetId="12">#REF!</definedName>
    <definedName name="_________BEN3" localSheetId="13">#REF!</definedName>
    <definedName name="_________BEN3" localSheetId="7">#REF!</definedName>
    <definedName name="_________BEN3" localSheetId="17">#REF!</definedName>
    <definedName name="_________BEN3" localSheetId="4">#REF!</definedName>
    <definedName name="_________BEN3" localSheetId="5">#REF!</definedName>
    <definedName name="_________BEN3" localSheetId="8">#REF!</definedName>
    <definedName name="_________BEN3" localSheetId="3">#REF!</definedName>
    <definedName name="_________BEN3" localSheetId="6">#REF!</definedName>
    <definedName name="_________BEN3" localSheetId="14">#REF!</definedName>
    <definedName name="_________BEN3" localSheetId="11">#REF!</definedName>
    <definedName name="_________BEN3" localSheetId="10">#REF!</definedName>
    <definedName name="_________BEN3" localSheetId="0">#REF!</definedName>
    <definedName name="_________BEN3" localSheetId="1">#REF!</definedName>
    <definedName name="_________BEN3" localSheetId="2">#REF!</definedName>
    <definedName name="_________BEN3">#REF!</definedName>
    <definedName name="_________BEN4" localSheetId="12">#REF!</definedName>
    <definedName name="_________BEN4" localSheetId="13">#REF!</definedName>
    <definedName name="_________BEN4" localSheetId="7">#REF!</definedName>
    <definedName name="_________BEN4" localSheetId="17">#REF!</definedName>
    <definedName name="_________BEN4" localSheetId="4">#REF!</definedName>
    <definedName name="_________BEN4" localSheetId="5">#REF!</definedName>
    <definedName name="_________BEN4" localSheetId="8">#REF!</definedName>
    <definedName name="_________BEN4" localSheetId="3">#REF!</definedName>
    <definedName name="_________BEN4" localSheetId="6">#REF!</definedName>
    <definedName name="_________BEN4" localSheetId="11">#REF!</definedName>
    <definedName name="_________BEN4" localSheetId="10">#REF!</definedName>
    <definedName name="_________BEN4" localSheetId="0">#REF!</definedName>
    <definedName name="_________BEN4" localSheetId="1">#REF!</definedName>
    <definedName name="_________BEN4" localSheetId="2">#REF!</definedName>
    <definedName name="_________BEN4">#REF!</definedName>
    <definedName name="_________ben5" localSheetId="12">#REF!</definedName>
    <definedName name="_________ben5" localSheetId="13">#REF!</definedName>
    <definedName name="_________ben5" localSheetId="7">#REF!</definedName>
    <definedName name="_________ben5" localSheetId="17">#REF!</definedName>
    <definedName name="_________ben5" localSheetId="4">#REF!</definedName>
    <definedName name="_________ben5" localSheetId="5">#REF!</definedName>
    <definedName name="_________ben5" localSheetId="8">#REF!</definedName>
    <definedName name="_________ben5" localSheetId="3">#REF!</definedName>
    <definedName name="_________ben5" localSheetId="6">#REF!</definedName>
    <definedName name="_________ben5" localSheetId="11">#REF!</definedName>
    <definedName name="_________ben5" localSheetId="10">#REF!</definedName>
    <definedName name="_________ben5" localSheetId="0">#REF!</definedName>
    <definedName name="_________ben5" localSheetId="1">#REF!</definedName>
    <definedName name="_________ben5" localSheetId="2">#REF!</definedName>
    <definedName name="_________ben5">#REF!</definedName>
    <definedName name="________ben1" localSheetId="12">#REF!</definedName>
    <definedName name="________ben1" localSheetId="13">#REF!</definedName>
    <definedName name="________ben1" localSheetId="7">#REF!</definedName>
    <definedName name="________ben1" localSheetId="17">#REF!</definedName>
    <definedName name="________ben1" localSheetId="4">#REF!</definedName>
    <definedName name="________ben1" localSheetId="5">#REF!</definedName>
    <definedName name="________ben1" localSheetId="8">#REF!</definedName>
    <definedName name="________ben1" localSheetId="3">#REF!</definedName>
    <definedName name="________ben1" localSheetId="6">#REF!</definedName>
    <definedName name="________ben1" localSheetId="11">#REF!</definedName>
    <definedName name="________ben1" localSheetId="10">#REF!</definedName>
    <definedName name="________ben1" localSheetId="0">#REF!</definedName>
    <definedName name="________ben1" localSheetId="1">#REF!</definedName>
    <definedName name="________ben1" localSheetId="2">#REF!</definedName>
    <definedName name="________ben1">#REF!</definedName>
    <definedName name="________ben10" localSheetId="12">#REF!</definedName>
    <definedName name="________ben10" localSheetId="13">#REF!</definedName>
    <definedName name="________ben10" localSheetId="7">#REF!</definedName>
    <definedName name="________ben10" localSheetId="17">#REF!</definedName>
    <definedName name="________ben10" localSheetId="4">#REF!</definedName>
    <definedName name="________ben10" localSheetId="5">#REF!</definedName>
    <definedName name="________ben10" localSheetId="8">#REF!</definedName>
    <definedName name="________ben10" localSheetId="3">#REF!</definedName>
    <definedName name="________ben10" localSheetId="6">#REF!</definedName>
    <definedName name="________ben10" localSheetId="11">#REF!</definedName>
    <definedName name="________ben10" localSheetId="10">#REF!</definedName>
    <definedName name="________ben10" localSheetId="0">#REF!</definedName>
    <definedName name="________ben10" localSheetId="1">#REF!</definedName>
    <definedName name="________ben10" localSheetId="2">#REF!</definedName>
    <definedName name="________ben10">#REF!</definedName>
    <definedName name="________ben15" localSheetId="12">#REF!</definedName>
    <definedName name="________ben15" localSheetId="13">#REF!</definedName>
    <definedName name="________ben15" localSheetId="7">#REF!</definedName>
    <definedName name="________ben15" localSheetId="17">#REF!</definedName>
    <definedName name="________ben15" localSheetId="4">#REF!</definedName>
    <definedName name="________ben15" localSheetId="5">#REF!</definedName>
    <definedName name="________ben15" localSheetId="8">#REF!</definedName>
    <definedName name="________ben15" localSheetId="3">#REF!</definedName>
    <definedName name="________ben15" localSheetId="6">#REF!</definedName>
    <definedName name="________ben15" localSheetId="11">#REF!</definedName>
    <definedName name="________ben15" localSheetId="10">#REF!</definedName>
    <definedName name="________ben15" localSheetId="0">#REF!</definedName>
    <definedName name="________ben15" localSheetId="1">#REF!</definedName>
    <definedName name="________ben15" localSheetId="2">#REF!</definedName>
    <definedName name="________ben15">#REF!</definedName>
    <definedName name="________BEN2" localSheetId="14">#REF!</definedName>
    <definedName name="________BEN2">#REF!</definedName>
    <definedName name="________ben20" localSheetId="12">#REF!</definedName>
    <definedName name="________ben20" localSheetId="13">#REF!</definedName>
    <definedName name="________ben20" localSheetId="7">#REF!</definedName>
    <definedName name="________ben20" localSheetId="17">#REF!</definedName>
    <definedName name="________ben20" localSheetId="4">#REF!</definedName>
    <definedName name="________ben20" localSheetId="5">#REF!</definedName>
    <definedName name="________ben20" localSheetId="8">#REF!</definedName>
    <definedName name="________ben20" localSheetId="3">#REF!</definedName>
    <definedName name="________ben20" localSheetId="6">#REF!</definedName>
    <definedName name="________ben20" localSheetId="14">#REF!</definedName>
    <definedName name="________ben20" localSheetId="11">#REF!</definedName>
    <definedName name="________ben20" localSheetId="10">#REF!</definedName>
    <definedName name="________ben20" localSheetId="0">#REF!</definedName>
    <definedName name="________ben20" localSheetId="1">#REF!</definedName>
    <definedName name="________ben20" localSheetId="2">#REF!</definedName>
    <definedName name="________ben20">#REF!</definedName>
    <definedName name="________ben25" localSheetId="12">#REF!</definedName>
    <definedName name="________ben25" localSheetId="13">#REF!</definedName>
    <definedName name="________ben25" localSheetId="7">#REF!</definedName>
    <definedName name="________ben25" localSheetId="17">#REF!</definedName>
    <definedName name="________ben25" localSheetId="4">#REF!</definedName>
    <definedName name="________ben25" localSheetId="5">#REF!</definedName>
    <definedName name="________ben25" localSheetId="8">#REF!</definedName>
    <definedName name="________ben25" localSheetId="3">#REF!</definedName>
    <definedName name="________ben25" localSheetId="6">#REF!</definedName>
    <definedName name="________ben25" localSheetId="14">#REF!</definedName>
    <definedName name="________ben25" localSheetId="11">#REF!</definedName>
    <definedName name="________ben25" localSheetId="10">#REF!</definedName>
    <definedName name="________ben25" localSheetId="0">#REF!</definedName>
    <definedName name="________ben25" localSheetId="1">#REF!</definedName>
    <definedName name="________ben25" localSheetId="2">#REF!</definedName>
    <definedName name="________ben25">#REF!</definedName>
    <definedName name="________BEN3" localSheetId="12">#REF!</definedName>
    <definedName name="________BEN3" localSheetId="13">#REF!</definedName>
    <definedName name="________BEN3" localSheetId="7">#REF!</definedName>
    <definedName name="________BEN3" localSheetId="17">#REF!</definedName>
    <definedName name="________BEN3" localSheetId="4">#REF!</definedName>
    <definedName name="________BEN3" localSheetId="5">#REF!</definedName>
    <definedName name="________BEN3" localSheetId="8">#REF!</definedName>
    <definedName name="________BEN3" localSheetId="3">#REF!</definedName>
    <definedName name="________BEN3" localSheetId="6">#REF!</definedName>
    <definedName name="________BEN3" localSheetId="14">#REF!</definedName>
    <definedName name="________BEN3" localSheetId="11">#REF!</definedName>
    <definedName name="________BEN3" localSheetId="10">#REF!</definedName>
    <definedName name="________BEN3" localSheetId="0">#REF!</definedName>
    <definedName name="________BEN3" localSheetId="1">#REF!</definedName>
    <definedName name="________BEN3" localSheetId="2">#REF!</definedName>
    <definedName name="________BEN3">#REF!</definedName>
    <definedName name="________BEN4" localSheetId="12">#REF!</definedName>
    <definedName name="________BEN4" localSheetId="13">#REF!</definedName>
    <definedName name="________BEN4" localSheetId="7">#REF!</definedName>
    <definedName name="________BEN4" localSheetId="17">#REF!</definedName>
    <definedName name="________BEN4" localSheetId="4">#REF!</definedName>
    <definedName name="________BEN4" localSheetId="5">#REF!</definedName>
    <definedName name="________BEN4" localSheetId="8">#REF!</definedName>
    <definedName name="________BEN4" localSheetId="3">#REF!</definedName>
    <definedName name="________BEN4" localSheetId="6">#REF!</definedName>
    <definedName name="________BEN4" localSheetId="11">#REF!</definedName>
    <definedName name="________BEN4" localSheetId="10">#REF!</definedName>
    <definedName name="________BEN4" localSheetId="0">#REF!</definedName>
    <definedName name="________BEN4" localSheetId="1">#REF!</definedName>
    <definedName name="________BEN4" localSheetId="2">#REF!</definedName>
    <definedName name="________BEN4">#REF!</definedName>
    <definedName name="________ben5" localSheetId="12">#REF!</definedName>
    <definedName name="________ben5" localSheetId="13">#REF!</definedName>
    <definedName name="________ben5" localSheetId="7">#REF!</definedName>
    <definedName name="________ben5" localSheetId="17">#REF!</definedName>
    <definedName name="________ben5" localSheetId="4">#REF!</definedName>
    <definedName name="________ben5" localSheetId="5">#REF!</definedName>
    <definedName name="________ben5" localSheetId="8">#REF!</definedName>
    <definedName name="________ben5" localSheetId="3">#REF!</definedName>
    <definedName name="________ben5" localSheetId="6">#REF!</definedName>
    <definedName name="________ben5" localSheetId="11">#REF!</definedName>
    <definedName name="________ben5" localSheetId="10">#REF!</definedName>
    <definedName name="________ben5" localSheetId="0">#REF!</definedName>
    <definedName name="________ben5" localSheetId="1">#REF!</definedName>
    <definedName name="________ben5" localSheetId="2">#REF!</definedName>
    <definedName name="________ben5">#REF!</definedName>
    <definedName name="________tu3" localSheetId="12">#REF!</definedName>
    <definedName name="________tu3" localSheetId="13">#REF!</definedName>
    <definedName name="________tu3" localSheetId="7">#REF!</definedName>
    <definedName name="________tu3" localSheetId="17">#REF!</definedName>
    <definedName name="________tu3" localSheetId="4">#REF!</definedName>
    <definedName name="________tu3" localSheetId="5">#REF!</definedName>
    <definedName name="________tu3" localSheetId="8">#REF!</definedName>
    <definedName name="________tu3" localSheetId="3">#REF!</definedName>
    <definedName name="________tu3" localSheetId="6">#REF!</definedName>
    <definedName name="________tu3" localSheetId="11">#REF!</definedName>
    <definedName name="________tu3" localSheetId="10">#REF!</definedName>
    <definedName name="________tu3" localSheetId="0">#REF!</definedName>
    <definedName name="________tu3" localSheetId="1">#REF!</definedName>
    <definedName name="________tu3" localSheetId="2">#REF!</definedName>
    <definedName name="________tu3">#REF!</definedName>
    <definedName name="_______ben1" localSheetId="12">#REF!</definedName>
    <definedName name="_______ben1" localSheetId="13">#REF!</definedName>
    <definedName name="_______ben1" localSheetId="7">#REF!</definedName>
    <definedName name="_______ben1" localSheetId="17">#REF!</definedName>
    <definedName name="_______ben1" localSheetId="4">#REF!</definedName>
    <definedName name="_______ben1" localSheetId="5">#REF!</definedName>
    <definedName name="_______ben1" localSheetId="8">#REF!</definedName>
    <definedName name="_______ben1" localSheetId="3">#REF!</definedName>
    <definedName name="_______ben1" localSheetId="6">#REF!</definedName>
    <definedName name="_______ben1" localSheetId="11">#REF!</definedName>
    <definedName name="_______ben1" localSheetId="10">#REF!</definedName>
    <definedName name="_______ben1" localSheetId="0">#REF!</definedName>
    <definedName name="_______ben1" localSheetId="1">#REF!</definedName>
    <definedName name="_______ben1" localSheetId="2">#REF!</definedName>
    <definedName name="_______ben1">#REF!</definedName>
    <definedName name="_______ben10" localSheetId="12">#REF!</definedName>
    <definedName name="_______ben10" localSheetId="13">#REF!</definedName>
    <definedName name="_______ben10" localSheetId="7">#REF!</definedName>
    <definedName name="_______ben10" localSheetId="17">#REF!</definedName>
    <definedName name="_______ben10" localSheetId="4">#REF!</definedName>
    <definedName name="_______ben10" localSheetId="5">#REF!</definedName>
    <definedName name="_______ben10" localSheetId="8">#REF!</definedName>
    <definedName name="_______ben10" localSheetId="3">#REF!</definedName>
    <definedName name="_______ben10" localSheetId="6">#REF!</definedName>
    <definedName name="_______ben10" localSheetId="11">#REF!</definedName>
    <definedName name="_______ben10" localSheetId="10">#REF!</definedName>
    <definedName name="_______ben10" localSheetId="0">#REF!</definedName>
    <definedName name="_______ben10" localSheetId="1">#REF!</definedName>
    <definedName name="_______ben10" localSheetId="2">#REF!</definedName>
    <definedName name="_______ben10">#REF!</definedName>
    <definedName name="_______ben15" localSheetId="12">#REF!</definedName>
    <definedName name="_______ben15" localSheetId="13">#REF!</definedName>
    <definedName name="_______ben15" localSheetId="7">#REF!</definedName>
    <definedName name="_______ben15" localSheetId="17">#REF!</definedName>
    <definedName name="_______ben15" localSheetId="4">#REF!</definedName>
    <definedName name="_______ben15" localSheetId="5">#REF!</definedName>
    <definedName name="_______ben15" localSheetId="8">#REF!</definedName>
    <definedName name="_______ben15" localSheetId="3">#REF!</definedName>
    <definedName name="_______ben15" localSheetId="6">#REF!</definedName>
    <definedName name="_______ben15" localSheetId="11">#REF!</definedName>
    <definedName name="_______ben15" localSheetId="10">#REF!</definedName>
    <definedName name="_______ben15" localSheetId="0">#REF!</definedName>
    <definedName name="_______ben15" localSheetId="1">#REF!</definedName>
    <definedName name="_______ben15" localSheetId="2">#REF!</definedName>
    <definedName name="_______ben15">#REF!</definedName>
    <definedName name="_______BEN2" localSheetId="14">#REF!</definedName>
    <definedName name="_______BEN2">#REF!</definedName>
    <definedName name="_______ben20" localSheetId="12">#REF!</definedName>
    <definedName name="_______ben20" localSheetId="13">#REF!</definedName>
    <definedName name="_______ben20" localSheetId="7">#REF!</definedName>
    <definedName name="_______ben20" localSheetId="17">#REF!</definedName>
    <definedName name="_______ben20" localSheetId="4">#REF!</definedName>
    <definedName name="_______ben20" localSheetId="5">#REF!</definedName>
    <definedName name="_______ben20" localSheetId="8">#REF!</definedName>
    <definedName name="_______ben20" localSheetId="3">#REF!</definedName>
    <definedName name="_______ben20" localSheetId="6">#REF!</definedName>
    <definedName name="_______ben20" localSheetId="14">#REF!</definedName>
    <definedName name="_______ben20" localSheetId="11">#REF!</definedName>
    <definedName name="_______ben20" localSheetId="10">#REF!</definedName>
    <definedName name="_______ben20" localSheetId="0">#REF!</definedName>
    <definedName name="_______ben20" localSheetId="1">#REF!</definedName>
    <definedName name="_______ben20" localSheetId="2">#REF!</definedName>
    <definedName name="_______ben20">#REF!</definedName>
    <definedName name="_______ben25" localSheetId="12">#REF!</definedName>
    <definedName name="_______ben25" localSheetId="13">#REF!</definedName>
    <definedName name="_______ben25" localSheetId="7">#REF!</definedName>
    <definedName name="_______ben25" localSheetId="17">#REF!</definedName>
    <definedName name="_______ben25" localSheetId="4">#REF!</definedName>
    <definedName name="_______ben25" localSheetId="5">#REF!</definedName>
    <definedName name="_______ben25" localSheetId="8">#REF!</definedName>
    <definedName name="_______ben25" localSheetId="3">#REF!</definedName>
    <definedName name="_______ben25" localSheetId="6">#REF!</definedName>
    <definedName name="_______ben25" localSheetId="14">#REF!</definedName>
    <definedName name="_______ben25" localSheetId="11">#REF!</definedName>
    <definedName name="_______ben25" localSheetId="10">#REF!</definedName>
    <definedName name="_______ben25" localSheetId="0">#REF!</definedName>
    <definedName name="_______ben25" localSheetId="1">#REF!</definedName>
    <definedName name="_______ben25" localSheetId="2">#REF!</definedName>
    <definedName name="_______ben25">#REF!</definedName>
    <definedName name="_______BEN3" localSheetId="12">#REF!</definedName>
    <definedName name="_______BEN3" localSheetId="13">#REF!</definedName>
    <definedName name="_______BEN3" localSheetId="7">#REF!</definedName>
    <definedName name="_______BEN3" localSheetId="17">#REF!</definedName>
    <definedName name="_______BEN3" localSheetId="4">#REF!</definedName>
    <definedName name="_______BEN3" localSheetId="5">#REF!</definedName>
    <definedName name="_______BEN3" localSheetId="8">#REF!</definedName>
    <definedName name="_______BEN3" localSheetId="3">#REF!</definedName>
    <definedName name="_______BEN3" localSheetId="6">#REF!</definedName>
    <definedName name="_______BEN3" localSheetId="14">#REF!</definedName>
    <definedName name="_______BEN3" localSheetId="11">#REF!</definedName>
    <definedName name="_______BEN3" localSheetId="10">#REF!</definedName>
    <definedName name="_______BEN3" localSheetId="0">#REF!</definedName>
    <definedName name="_______BEN3" localSheetId="1">#REF!</definedName>
    <definedName name="_______BEN3" localSheetId="2">#REF!</definedName>
    <definedName name="_______BEN3">#REF!</definedName>
    <definedName name="_______BEN4" localSheetId="12">#REF!</definedName>
    <definedName name="_______BEN4" localSheetId="13">#REF!</definedName>
    <definedName name="_______BEN4" localSheetId="7">#REF!</definedName>
    <definedName name="_______BEN4" localSheetId="17">#REF!</definedName>
    <definedName name="_______BEN4" localSheetId="4">#REF!</definedName>
    <definedName name="_______BEN4" localSheetId="5">#REF!</definedName>
    <definedName name="_______BEN4" localSheetId="8">#REF!</definedName>
    <definedName name="_______BEN4" localSheetId="3">#REF!</definedName>
    <definedName name="_______BEN4" localSheetId="6">#REF!</definedName>
    <definedName name="_______BEN4" localSheetId="11">#REF!</definedName>
    <definedName name="_______BEN4" localSheetId="10">#REF!</definedName>
    <definedName name="_______BEN4" localSheetId="0">#REF!</definedName>
    <definedName name="_______BEN4" localSheetId="1">#REF!</definedName>
    <definedName name="_______BEN4" localSheetId="2">#REF!</definedName>
    <definedName name="_______BEN4">#REF!</definedName>
    <definedName name="_______ben5" localSheetId="12">#REF!</definedName>
    <definedName name="_______ben5" localSheetId="13">#REF!</definedName>
    <definedName name="_______ben5" localSheetId="7">#REF!</definedName>
    <definedName name="_______ben5" localSheetId="17">#REF!</definedName>
    <definedName name="_______ben5" localSheetId="4">#REF!</definedName>
    <definedName name="_______ben5" localSheetId="5">#REF!</definedName>
    <definedName name="_______ben5" localSheetId="8">#REF!</definedName>
    <definedName name="_______ben5" localSheetId="3">#REF!</definedName>
    <definedName name="_______ben5" localSheetId="6">#REF!</definedName>
    <definedName name="_______ben5" localSheetId="11">#REF!</definedName>
    <definedName name="_______ben5" localSheetId="10">#REF!</definedName>
    <definedName name="_______ben5" localSheetId="0">#REF!</definedName>
    <definedName name="_______ben5" localSheetId="1">#REF!</definedName>
    <definedName name="_______ben5" localSheetId="2">#REF!</definedName>
    <definedName name="_______ben5">#REF!</definedName>
    <definedName name="_______tu3" localSheetId="12">#REF!</definedName>
    <definedName name="_______tu3" localSheetId="13">#REF!</definedName>
    <definedName name="_______tu3" localSheetId="7">#REF!</definedName>
    <definedName name="_______tu3" localSheetId="17">#REF!</definedName>
    <definedName name="_______tu3" localSheetId="4">#REF!</definedName>
    <definedName name="_______tu3" localSheetId="5">#REF!</definedName>
    <definedName name="_______tu3" localSheetId="8">#REF!</definedName>
    <definedName name="_______tu3" localSheetId="3">#REF!</definedName>
    <definedName name="_______tu3" localSheetId="6">#REF!</definedName>
    <definedName name="_______tu3" localSheetId="11">#REF!</definedName>
    <definedName name="_______tu3" localSheetId="10">#REF!</definedName>
    <definedName name="_______tu3" localSheetId="0">#REF!</definedName>
    <definedName name="_______tu3" localSheetId="1">#REF!</definedName>
    <definedName name="_______tu3" localSheetId="2">#REF!</definedName>
    <definedName name="_______tu3">#REF!</definedName>
    <definedName name="______ben1" localSheetId="12">#REF!</definedName>
    <definedName name="______ben1" localSheetId="13">#REF!</definedName>
    <definedName name="______ben1" localSheetId="7">#REF!</definedName>
    <definedName name="______ben1" localSheetId="17">#REF!</definedName>
    <definedName name="______ben1" localSheetId="4">#REF!</definedName>
    <definedName name="______ben1" localSheetId="5">#REF!</definedName>
    <definedName name="______ben1" localSheetId="8">#REF!</definedName>
    <definedName name="______ben1" localSheetId="3">#REF!</definedName>
    <definedName name="______ben1" localSheetId="6">#REF!</definedName>
    <definedName name="______ben1" localSheetId="11">#REF!</definedName>
    <definedName name="______ben1" localSheetId="10">#REF!</definedName>
    <definedName name="______ben1" localSheetId="0">#REF!</definedName>
    <definedName name="______ben1" localSheetId="1">#REF!</definedName>
    <definedName name="______ben1" localSheetId="2">#REF!</definedName>
    <definedName name="______ben1">#REF!</definedName>
    <definedName name="______ben10" localSheetId="12">#REF!</definedName>
    <definedName name="______ben10" localSheetId="13">#REF!</definedName>
    <definedName name="______ben10" localSheetId="7">#REF!</definedName>
    <definedName name="______ben10" localSheetId="17">#REF!</definedName>
    <definedName name="______ben10" localSheetId="4">#REF!</definedName>
    <definedName name="______ben10" localSheetId="5">#REF!</definedName>
    <definedName name="______ben10" localSheetId="8">#REF!</definedName>
    <definedName name="______ben10" localSheetId="3">#REF!</definedName>
    <definedName name="______ben10" localSheetId="6">#REF!</definedName>
    <definedName name="______ben10" localSheetId="11">#REF!</definedName>
    <definedName name="______ben10" localSheetId="10">#REF!</definedName>
    <definedName name="______ben10" localSheetId="0">#REF!</definedName>
    <definedName name="______ben10" localSheetId="1">#REF!</definedName>
    <definedName name="______ben10" localSheetId="2">#REF!</definedName>
    <definedName name="______ben10">#REF!</definedName>
    <definedName name="______ben15" localSheetId="12">#REF!</definedName>
    <definedName name="______ben15" localSheetId="13">#REF!</definedName>
    <definedName name="______ben15" localSheetId="7">#REF!</definedName>
    <definedName name="______ben15" localSheetId="17">#REF!</definedName>
    <definedName name="______ben15" localSheetId="4">#REF!</definedName>
    <definedName name="______ben15" localSheetId="5">#REF!</definedName>
    <definedName name="______ben15" localSheetId="8">#REF!</definedName>
    <definedName name="______ben15" localSheetId="3">#REF!</definedName>
    <definedName name="______ben15" localSheetId="6">#REF!</definedName>
    <definedName name="______ben15" localSheetId="11">#REF!</definedName>
    <definedName name="______ben15" localSheetId="10">#REF!</definedName>
    <definedName name="______ben15" localSheetId="0">#REF!</definedName>
    <definedName name="______ben15" localSheetId="1">#REF!</definedName>
    <definedName name="______ben15" localSheetId="2">#REF!</definedName>
    <definedName name="______ben15">#REF!</definedName>
    <definedName name="______BEN2" localSheetId="14">#REF!</definedName>
    <definedName name="______BEN2">#REF!</definedName>
    <definedName name="______ben20" localSheetId="12">#REF!</definedName>
    <definedName name="______ben20" localSheetId="13">#REF!</definedName>
    <definedName name="______ben20" localSheetId="7">#REF!</definedName>
    <definedName name="______ben20" localSheetId="17">#REF!</definedName>
    <definedName name="______ben20" localSheetId="4">#REF!</definedName>
    <definedName name="______ben20" localSheetId="5">#REF!</definedName>
    <definedName name="______ben20" localSheetId="8">#REF!</definedName>
    <definedName name="______ben20" localSheetId="3">#REF!</definedName>
    <definedName name="______ben20" localSheetId="6">#REF!</definedName>
    <definedName name="______ben20" localSheetId="14">#REF!</definedName>
    <definedName name="______ben20" localSheetId="11">#REF!</definedName>
    <definedName name="______ben20" localSheetId="10">#REF!</definedName>
    <definedName name="______ben20" localSheetId="0">#REF!</definedName>
    <definedName name="______ben20" localSheetId="1">#REF!</definedName>
    <definedName name="______ben20" localSheetId="2">#REF!</definedName>
    <definedName name="______ben20">#REF!</definedName>
    <definedName name="______ben25" localSheetId="12">#REF!</definedName>
    <definedName name="______ben25" localSheetId="13">#REF!</definedName>
    <definedName name="______ben25" localSheetId="7">#REF!</definedName>
    <definedName name="______ben25" localSheetId="17">#REF!</definedName>
    <definedName name="______ben25" localSheetId="4">#REF!</definedName>
    <definedName name="______ben25" localSheetId="5">#REF!</definedName>
    <definedName name="______ben25" localSheetId="8">#REF!</definedName>
    <definedName name="______ben25" localSheetId="3">#REF!</definedName>
    <definedName name="______ben25" localSheetId="6">#REF!</definedName>
    <definedName name="______ben25" localSheetId="14">#REF!</definedName>
    <definedName name="______ben25" localSheetId="11">#REF!</definedName>
    <definedName name="______ben25" localSheetId="10">#REF!</definedName>
    <definedName name="______ben25" localSheetId="0">#REF!</definedName>
    <definedName name="______ben25" localSheetId="1">#REF!</definedName>
    <definedName name="______ben25" localSheetId="2">#REF!</definedName>
    <definedName name="______ben25">#REF!</definedName>
    <definedName name="______BEN3" localSheetId="12">#REF!</definedName>
    <definedName name="______BEN3" localSheetId="13">#REF!</definedName>
    <definedName name="______BEN3" localSheetId="7">#REF!</definedName>
    <definedName name="______BEN3" localSheetId="17">#REF!</definedName>
    <definedName name="______BEN3" localSheetId="4">#REF!</definedName>
    <definedName name="______BEN3" localSheetId="5">#REF!</definedName>
    <definedName name="______BEN3" localSheetId="8">#REF!</definedName>
    <definedName name="______BEN3" localSheetId="3">#REF!</definedName>
    <definedName name="______BEN3" localSheetId="6">#REF!</definedName>
    <definedName name="______BEN3" localSheetId="14">#REF!</definedName>
    <definedName name="______BEN3" localSheetId="11">#REF!</definedName>
    <definedName name="______BEN3" localSheetId="10">#REF!</definedName>
    <definedName name="______BEN3" localSheetId="0">#REF!</definedName>
    <definedName name="______BEN3" localSheetId="1">#REF!</definedName>
    <definedName name="______BEN3" localSheetId="2">#REF!</definedName>
    <definedName name="______BEN3">#REF!</definedName>
    <definedName name="______BEN4" localSheetId="12">#REF!</definedName>
    <definedName name="______BEN4" localSheetId="13">#REF!</definedName>
    <definedName name="______BEN4" localSheetId="7">#REF!</definedName>
    <definedName name="______BEN4" localSheetId="17">#REF!</definedName>
    <definedName name="______BEN4" localSheetId="4">#REF!</definedName>
    <definedName name="______BEN4" localSheetId="5">#REF!</definedName>
    <definedName name="______BEN4" localSheetId="8">#REF!</definedName>
    <definedName name="______BEN4" localSheetId="3">#REF!</definedName>
    <definedName name="______BEN4" localSheetId="6">#REF!</definedName>
    <definedName name="______BEN4" localSheetId="11">#REF!</definedName>
    <definedName name="______BEN4" localSheetId="10">#REF!</definedName>
    <definedName name="______BEN4" localSheetId="0">#REF!</definedName>
    <definedName name="______BEN4" localSheetId="1">#REF!</definedName>
    <definedName name="______BEN4" localSheetId="2">#REF!</definedName>
    <definedName name="______BEN4">#REF!</definedName>
    <definedName name="______ben5" localSheetId="12">#REF!</definedName>
    <definedName name="______ben5" localSheetId="13">#REF!</definedName>
    <definedName name="______ben5" localSheetId="7">#REF!</definedName>
    <definedName name="______ben5" localSheetId="17">#REF!</definedName>
    <definedName name="______ben5" localSheetId="4">#REF!</definedName>
    <definedName name="______ben5" localSheetId="5">#REF!</definedName>
    <definedName name="______ben5" localSheetId="8">#REF!</definedName>
    <definedName name="______ben5" localSheetId="3">#REF!</definedName>
    <definedName name="______ben5" localSheetId="6">#REF!</definedName>
    <definedName name="______ben5" localSheetId="11">#REF!</definedName>
    <definedName name="______ben5" localSheetId="10">#REF!</definedName>
    <definedName name="______ben5" localSheetId="0">#REF!</definedName>
    <definedName name="______ben5" localSheetId="1">#REF!</definedName>
    <definedName name="______ben5" localSheetId="2">#REF!</definedName>
    <definedName name="______ben5">#REF!</definedName>
    <definedName name="______tu3" localSheetId="12">#REF!</definedName>
    <definedName name="______tu3" localSheetId="13">#REF!</definedName>
    <definedName name="______tu3" localSheetId="7">#REF!</definedName>
    <definedName name="______tu3" localSheetId="17">#REF!</definedName>
    <definedName name="______tu3" localSheetId="4">#REF!</definedName>
    <definedName name="______tu3" localSheetId="5">#REF!</definedName>
    <definedName name="______tu3" localSheetId="8">#REF!</definedName>
    <definedName name="______tu3" localSheetId="3">#REF!</definedName>
    <definedName name="______tu3" localSheetId="6">#REF!</definedName>
    <definedName name="______tu3" localSheetId="11">#REF!</definedName>
    <definedName name="______tu3" localSheetId="10">#REF!</definedName>
    <definedName name="______tu3" localSheetId="0">#REF!</definedName>
    <definedName name="______tu3" localSheetId="1">#REF!</definedName>
    <definedName name="______tu3" localSheetId="2">#REF!</definedName>
    <definedName name="______tu3">#REF!</definedName>
    <definedName name="_____ben1" localSheetId="12">#REF!</definedName>
    <definedName name="_____ben1" localSheetId="13">#REF!</definedName>
    <definedName name="_____ben1" localSheetId="7">#REF!</definedName>
    <definedName name="_____ben1" localSheetId="17">#REF!</definedName>
    <definedName name="_____ben1" localSheetId="4">#REF!</definedName>
    <definedName name="_____ben1" localSheetId="5">#REF!</definedName>
    <definedName name="_____ben1" localSheetId="8">#REF!</definedName>
    <definedName name="_____ben1" localSheetId="3">#REF!</definedName>
    <definedName name="_____ben1" localSheetId="6">#REF!</definedName>
    <definedName name="_____ben1" localSheetId="11">#REF!</definedName>
    <definedName name="_____ben1" localSheetId="10">#REF!</definedName>
    <definedName name="_____ben1" localSheetId="0">#REF!</definedName>
    <definedName name="_____ben1" localSheetId="1">#REF!</definedName>
    <definedName name="_____ben1" localSheetId="2">#REF!</definedName>
    <definedName name="_____ben1">#REF!</definedName>
    <definedName name="_____ben10" localSheetId="12">#REF!</definedName>
    <definedName name="_____ben10" localSheetId="13">#REF!</definedName>
    <definedName name="_____ben10" localSheetId="7">#REF!</definedName>
    <definedName name="_____ben10" localSheetId="17">#REF!</definedName>
    <definedName name="_____ben10" localSheetId="4">#REF!</definedName>
    <definedName name="_____ben10" localSheetId="5">#REF!</definedName>
    <definedName name="_____ben10" localSheetId="8">#REF!</definedName>
    <definedName name="_____ben10" localSheetId="3">#REF!</definedName>
    <definedName name="_____ben10" localSheetId="6">#REF!</definedName>
    <definedName name="_____ben10" localSheetId="11">#REF!</definedName>
    <definedName name="_____ben10" localSheetId="10">#REF!</definedName>
    <definedName name="_____ben10" localSheetId="0">#REF!</definedName>
    <definedName name="_____ben10" localSheetId="1">#REF!</definedName>
    <definedName name="_____ben10" localSheetId="2">#REF!</definedName>
    <definedName name="_____ben10">#REF!</definedName>
    <definedName name="_____ben15" localSheetId="12">#REF!</definedName>
    <definedName name="_____ben15" localSheetId="13">#REF!</definedName>
    <definedName name="_____ben15" localSheetId="7">#REF!</definedName>
    <definedName name="_____ben15" localSheetId="17">#REF!</definedName>
    <definedName name="_____ben15" localSheetId="4">#REF!</definedName>
    <definedName name="_____ben15" localSheetId="5">#REF!</definedName>
    <definedName name="_____ben15" localSheetId="8">#REF!</definedName>
    <definedName name="_____ben15" localSheetId="3">#REF!</definedName>
    <definedName name="_____ben15" localSheetId="6">#REF!</definedName>
    <definedName name="_____ben15" localSheetId="11">#REF!</definedName>
    <definedName name="_____ben15" localSheetId="10">#REF!</definedName>
    <definedName name="_____ben15" localSheetId="0">#REF!</definedName>
    <definedName name="_____ben15" localSheetId="1">#REF!</definedName>
    <definedName name="_____ben15" localSheetId="2">#REF!</definedName>
    <definedName name="_____ben15">#REF!</definedName>
    <definedName name="_____BEN2" localSheetId="14">#REF!</definedName>
    <definedName name="_____BEN2">#REF!</definedName>
    <definedName name="_____ben20" localSheetId="12">#REF!</definedName>
    <definedName name="_____ben20" localSheetId="13">#REF!</definedName>
    <definedName name="_____ben20" localSheetId="7">#REF!</definedName>
    <definedName name="_____ben20" localSheetId="17">#REF!</definedName>
    <definedName name="_____ben20" localSheetId="4">#REF!</definedName>
    <definedName name="_____ben20" localSheetId="5">#REF!</definedName>
    <definedName name="_____ben20" localSheetId="8">#REF!</definedName>
    <definedName name="_____ben20" localSheetId="3">#REF!</definedName>
    <definedName name="_____ben20" localSheetId="6">#REF!</definedName>
    <definedName name="_____ben20" localSheetId="14">#REF!</definedName>
    <definedName name="_____ben20" localSheetId="11">#REF!</definedName>
    <definedName name="_____ben20" localSheetId="10">#REF!</definedName>
    <definedName name="_____ben20" localSheetId="0">#REF!</definedName>
    <definedName name="_____ben20" localSheetId="1">#REF!</definedName>
    <definedName name="_____ben20" localSheetId="2">#REF!</definedName>
    <definedName name="_____ben20">#REF!</definedName>
    <definedName name="_____ben25" localSheetId="12">#REF!</definedName>
    <definedName name="_____ben25" localSheetId="13">#REF!</definedName>
    <definedName name="_____ben25" localSheetId="7">#REF!</definedName>
    <definedName name="_____ben25" localSheetId="17">#REF!</definedName>
    <definedName name="_____ben25" localSheetId="4">#REF!</definedName>
    <definedName name="_____ben25" localSheetId="5">#REF!</definedName>
    <definedName name="_____ben25" localSheetId="8">#REF!</definedName>
    <definedName name="_____ben25" localSheetId="3">#REF!</definedName>
    <definedName name="_____ben25" localSheetId="6">#REF!</definedName>
    <definedName name="_____ben25" localSheetId="14">#REF!</definedName>
    <definedName name="_____ben25" localSheetId="11">#REF!</definedName>
    <definedName name="_____ben25" localSheetId="10">#REF!</definedName>
    <definedName name="_____ben25" localSheetId="0">#REF!</definedName>
    <definedName name="_____ben25" localSheetId="1">#REF!</definedName>
    <definedName name="_____ben25" localSheetId="2">#REF!</definedName>
    <definedName name="_____ben25">#REF!</definedName>
    <definedName name="_____BEN3" localSheetId="12">#REF!</definedName>
    <definedName name="_____BEN3" localSheetId="13">#REF!</definedName>
    <definedName name="_____BEN3" localSheetId="7">#REF!</definedName>
    <definedName name="_____BEN3" localSheetId="17">#REF!</definedName>
    <definedName name="_____BEN3" localSheetId="4">#REF!</definedName>
    <definedName name="_____BEN3" localSheetId="5">#REF!</definedName>
    <definedName name="_____BEN3" localSheetId="8">#REF!</definedName>
    <definedName name="_____BEN3" localSheetId="3">#REF!</definedName>
    <definedName name="_____BEN3" localSheetId="6">#REF!</definedName>
    <definedName name="_____BEN3" localSheetId="14">#REF!</definedName>
    <definedName name="_____BEN3" localSheetId="11">#REF!</definedName>
    <definedName name="_____BEN3" localSheetId="10">#REF!</definedName>
    <definedName name="_____BEN3" localSheetId="0">#REF!</definedName>
    <definedName name="_____BEN3" localSheetId="1">#REF!</definedName>
    <definedName name="_____BEN3" localSheetId="2">#REF!</definedName>
    <definedName name="_____BEN3">#REF!</definedName>
    <definedName name="_____BEN4" localSheetId="12">#REF!</definedName>
    <definedName name="_____BEN4" localSheetId="13">#REF!</definedName>
    <definedName name="_____BEN4" localSheetId="7">#REF!</definedName>
    <definedName name="_____BEN4" localSheetId="17">#REF!</definedName>
    <definedName name="_____BEN4" localSheetId="4">#REF!</definedName>
    <definedName name="_____BEN4" localSheetId="5">#REF!</definedName>
    <definedName name="_____BEN4" localSheetId="8">#REF!</definedName>
    <definedName name="_____BEN4" localSheetId="3">#REF!</definedName>
    <definedName name="_____BEN4" localSheetId="6">#REF!</definedName>
    <definedName name="_____BEN4" localSheetId="11">#REF!</definedName>
    <definedName name="_____BEN4" localSheetId="10">#REF!</definedName>
    <definedName name="_____BEN4" localSheetId="0">#REF!</definedName>
    <definedName name="_____BEN4" localSheetId="1">#REF!</definedName>
    <definedName name="_____BEN4" localSheetId="2">#REF!</definedName>
    <definedName name="_____BEN4">#REF!</definedName>
    <definedName name="_____ben5" localSheetId="12">#REF!</definedName>
    <definedName name="_____ben5" localSheetId="13">#REF!</definedName>
    <definedName name="_____ben5" localSheetId="7">#REF!</definedName>
    <definedName name="_____ben5" localSheetId="17">#REF!</definedName>
    <definedName name="_____ben5" localSheetId="4">#REF!</definedName>
    <definedName name="_____ben5" localSheetId="5">#REF!</definedName>
    <definedName name="_____ben5" localSheetId="8">#REF!</definedName>
    <definedName name="_____ben5" localSheetId="3">#REF!</definedName>
    <definedName name="_____ben5" localSheetId="6">#REF!</definedName>
    <definedName name="_____ben5" localSheetId="11">#REF!</definedName>
    <definedName name="_____ben5" localSheetId="10">#REF!</definedName>
    <definedName name="_____ben5" localSheetId="0">#REF!</definedName>
    <definedName name="_____ben5" localSheetId="1">#REF!</definedName>
    <definedName name="_____ben5" localSheetId="2">#REF!</definedName>
    <definedName name="_____ben5">#REF!</definedName>
    <definedName name="_____tu3" localSheetId="12">#REF!</definedName>
    <definedName name="_____tu3" localSheetId="13">#REF!</definedName>
    <definedName name="_____tu3" localSheetId="7">#REF!</definedName>
    <definedName name="_____tu3" localSheetId="17">#REF!</definedName>
    <definedName name="_____tu3" localSheetId="4">#REF!</definedName>
    <definedName name="_____tu3" localSheetId="5">#REF!</definedName>
    <definedName name="_____tu3" localSheetId="8">#REF!</definedName>
    <definedName name="_____tu3" localSheetId="3">#REF!</definedName>
    <definedName name="_____tu3" localSheetId="6">#REF!</definedName>
    <definedName name="_____tu3" localSheetId="11">#REF!</definedName>
    <definedName name="_____tu3" localSheetId="10">#REF!</definedName>
    <definedName name="_____tu3" localSheetId="0">#REF!</definedName>
    <definedName name="_____tu3" localSheetId="1">#REF!</definedName>
    <definedName name="_____tu3" localSheetId="2">#REF!</definedName>
    <definedName name="_____tu3">#REF!</definedName>
    <definedName name="____ben1" localSheetId="12">#REF!</definedName>
    <definedName name="____ben1" localSheetId="13">#REF!</definedName>
    <definedName name="____ben1" localSheetId="7">#REF!</definedName>
    <definedName name="____ben1" localSheetId="17">#REF!</definedName>
    <definedName name="____ben1" localSheetId="4">#REF!</definedName>
    <definedName name="____ben1" localSheetId="5">#REF!</definedName>
    <definedName name="____ben1" localSheetId="8">#REF!</definedName>
    <definedName name="____ben1" localSheetId="3">#REF!</definedName>
    <definedName name="____ben1" localSheetId="6">#REF!</definedName>
    <definedName name="____ben1" localSheetId="11">#REF!</definedName>
    <definedName name="____ben1" localSheetId="10">#REF!</definedName>
    <definedName name="____ben1" localSheetId="0">#REF!</definedName>
    <definedName name="____ben1" localSheetId="1">#REF!</definedName>
    <definedName name="____ben1" localSheetId="2">#REF!</definedName>
    <definedName name="____ben1">#REF!</definedName>
    <definedName name="____ben10" localSheetId="12">#REF!</definedName>
    <definedName name="____ben10" localSheetId="13">#REF!</definedName>
    <definedName name="____ben10" localSheetId="7">#REF!</definedName>
    <definedName name="____ben10" localSheetId="17">#REF!</definedName>
    <definedName name="____ben10" localSheetId="4">#REF!</definedName>
    <definedName name="____ben10" localSheetId="5">#REF!</definedName>
    <definedName name="____ben10" localSheetId="8">#REF!</definedName>
    <definedName name="____ben10" localSheetId="3">#REF!</definedName>
    <definedName name="____ben10" localSheetId="6">#REF!</definedName>
    <definedName name="____ben10" localSheetId="11">#REF!</definedName>
    <definedName name="____ben10" localSheetId="10">#REF!</definedName>
    <definedName name="____ben10" localSheetId="0">#REF!</definedName>
    <definedName name="____ben10" localSheetId="1">#REF!</definedName>
    <definedName name="____ben10" localSheetId="2">#REF!</definedName>
    <definedName name="____ben10">#REF!</definedName>
    <definedName name="____ben15" localSheetId="12">#REF!</definedName>
    <definedName name="____ben15" localSheetId="13">#REF!</definedName>
    <definedName name="____ben15" localSheetId="7">#REF!</definedName>
    <definedName name="____ben15" localSheetId="17">#REF!</definedName>
    <definedName name="____ben15" localSheetId="4">#REF!</definedName>
    <definedName name="____ben15" localSheetId="5">#REF!</definedName>
    <definedName name="____ben15" localSheetId="8">#REF!</definedName>
    <definedName name="____ben15" localSheetId="3">#REF!</definedName>
    <definedName name="____ben15" localSheetId="6">#REF!</definedName>
    <definedName name="____ben15" localSheetId="11">#REF!</definedName>
    <definedName name="____ben15" localSheetId="10">#REF!</definedName>
    <definedName name="____ben15" localSheetId="0">#REF!</definedName>
    <definedName name="____ben15" localSheetId="1">#REF!</definedName>
    <definedName name="____ben15" localSheetId="2">#REF!</definedName>
    <definedName name="____ben15">#REF!</definedName>
    <definedName name="____BEN2" localSheetId="14">#REF!</definedName>
    <definedName name="____BEN2">#REF!</definedName>
    <definedName name="____ben20" localSheetId="12">#REF!</definedName>
    <definedName name="____ben20" localSheetId="13">#REF!</definedName>
    <definedName name="____ben20" localSheetId="7">#REF!</definedName>
    <definedName name="____ben20" localSheetId="17">#REF!</definedName>
    <definedName name="____ben20" localSheetId="4">#REF!</definedName>
    <definedName name="____ben20" localSheetId="5">#REF!</definedName>
    <definedName name="____ben20" localSheetId="8">#REF!</definedName>
    <definedName name="____ben20" localSheetId="3">#REF!</definedName>
    <definedName name="____ben20" localSheetId="6">#REF!</definedName>
    <definedName name="____ben20" localSheetId="14">#REF!</definedName>
    <definedName name="____ben20" localSheetId="11">#REF!</definedName>
    <definedName name="____ben20" localSheetId="10">#REF!</definedName>
    <definedName name="____ben20" localSheetId="0">#REF!</definedName>
    <definedName name="____ben20" localSheetId="1">#REF!</definedName>
    <definedName name="____ben20" localSheetId="2">#REF!</definedName>
    <definedName name="____ben20">#REF!</definedName>
    <definedName name="____ben25" localSheetId="12">#REF!</definedName>
    <definedName name="____ben25" localSheetId="13">#REF!</definedName>
    <definedName name="____ben25" localSheetId="7">#REF!</definedName>
    <definedName name="____ben25" localSheetId="17">#REF!</definedName>
    <definedName name="____ben25" localSheetId="4">#REF!</definedName>
    <definedName name="____ben25" localSheetId="5">#REF!</definedName>
    <definedName name="____ben25" localSheetId="8">#REF!</definedName>
    <definedName name="____ben25" localSheetId="3">#REF!</definedName>
    <definedName name="____ben25" localSheetId="6">#REF!</definedName>
    <definedName name="____ben25" localSheetId="14">#REF!</definedName>
    <definedName name="____ben25" localSheetId="11">#REF!</definedName>
    <definedName name="____ben25" localSheetId="10">#REF!</definedName>
    <definedName name="____ben25" localSheetId="0">#REF!</definedName>
    <definedName name="____ben25" localSheetId="1">#REF!</definedName>
    <definedName name="____ben25" localSheetId="2">#REF!</definedName>
    <definedName name="____ben25">#REF!</definedName>
    <definedName name="____BEN3" localSheetId="12">#REF!</definedName>
    <definedName name="____BEN3" localSheetId="13">#REF!</definedName>
    <definedName name="____BEN3" localSheetId="7">#REF!</definedName>
    <definedName name="____BEN3" localSheetId="17">#REF!</definedName>
    <definedName name="____BEN3" localSheetId="4">#REF!</definedName>
    <definedName name="____BEN3" localSheetId="5">#REF!</definedName>
    <definedName name="____BEN3" localSheetId="8">#REF!</definedName>
    <definedName name="____BEN3" localSheetId="3">#REF!</definedName>
    <definedName name="____BEN3" localSheetId="6">#REF!</definedName>
    <definedName name="____BEN3" localSheetId="14">#REF!</definedName>
    <definedName name="____BEN3" localSheetId="11">#REF!</definedName>
    <definedName name="____BEN3" localSheetId="10">#REF!</definedName>
    <definedName name="____BEN3" localSheetId="0">#REF!</definedName>
    <definedName name="____BEN3" localSheetId="1">#REF!</definedName>
    <definedName name="____BEN3" localSheetId="2">#REF!</definedName>
    <definedName name="____BEN3">#REF!</definedName>
    <definedName name="____BEN4" localSheetId="12">#REF!</definedName>
    <definedName name="____BEN4" localSheetId="13">#REF!</definedName>
    <definedName name="____BEN4" localSheetId="7">#REF!</definedName>
    <definedName name="____BEN4" localSheetId="17">#REF!</definedName>
    <definedName name="____BEN4" localSheetId="4">#REF!</definedName>
    <definedName name="____BEN4" localSheetId="5">#REF!</definedName>
    <definedName name="____BEN4" localSheetId="8">#REF!</definedName>
    <definedName name="____BEN4" localSheetId="3">#REF!</definedName>
    <definedName name="____BEN4" localSheetId="6">#REF!</definedName>
    <definedName name="____BEN4" localSheetId="11">#REF!</definedName>
    <definedName name="____BEN4" localSheetId="10">#REF!</definedName>
    <definedName name="____BEN4" localSheetId="0">#REF!</definedName>
    <definedName name="____BEN4" localSheetId="1">#REF!</definedName>
    <definedName name="____BEN4" localSheetId="2">#REF!</definedName>
    <definedName name="____BEN4">#REF!</definedName>
    <definedName name="____ben5" localSheetId="12">#REF!</definedName>
    <definedName name="____ben5" localSheetId="13">#REF!</definedName>
    <definedName name="____ben5" localSheetId="7">#REF!</definedName>
    <definedName name="____ben5" localSheetId="17">#REF!</definedName>
    <definedName name="____ben5" localSheetId="4">#REF!</definedName>
    <definedName name="____ben5" localSheetId="5">#REF!</definedName>
    <definedName name="____ben5" localSheetId="8">#REF!</definedName>
    <definedName name="____ben5" localSheetId="3">#REF!</definedName>
    <definedName name="____ben5" localSheetId="6">#REF!</definedName>
    <definedName name="____ben5" localSheetId="11">#REF!</definedName>
    <definedName name="____ben5" localSheetId="10">#REF!</definedName>
    <definedName name="____ben5" localSheetId="0">#REF!</definedName>
    <definedName name="____ben5" localSheetId="1">#REF!</definedName>
    <definedName name="____ben5" localSheetId="2">#REF!</definedName>
    <definedName name="____ben5">#REF!</definedName>
    <definedName name="____tu3" localSheetId="12">#REF!</definedName>
    <definedName name="____tu3" localSheetId="13">#REF!</definedName>
    <definedName name="____tu3" localSheetId="7">#REF!</definedName>
    <definedName name="____tu3" localSheetId="17">#REF!</definedName>
    <definedName name="____tu3" localSheetId="4">#REF!</definedName>
    <definedName name="____tu3" localSheetId="5">#REF!</definedName>
    <definedName name="____tu3" localSheetId="8">#REF!</definedName>
    <definedName name="____tu3" localSheetId="3">#REF!</definedName>
    <definedName name="____tu3" localSheetId="6">#REF!</definedName>
    <definedName name="____tu3" localSheetId="11">#REF!</definedName>
    <definedName name="____tu3" localSheetId="10">#REF!</definedName>
    <definedName name="____tu3" localSheetId="0">#REF!</definedName>
    <definedName name="____tu3" localSheetId="1">#REF!</definedName>
    <definedName name="____tu3" localSheetId="2">#REF!</definedName>
    <definedName name="____tu3">#REF!</definedName>
    <definedName name="___ben1" localSheetId="12">#REF!</definedName>
    <definedName name="___ben1" localSheetId="13">#REF!</definedName>
    <definedName name="___ben1" localSheetId="7">#REF!</definedName>
    <definedName name="___ben1" localSheetId="17">#REF!</definedName>
    <definedName name="___ben1" localSheetId="4">#REF!</definedName>
    <definedName name="___ben1" localSheetId="5">#REF!</definedName>
    <definedName name="___ben1" localSheetId="8">#REF!</definedName>
    <definedName name="___ben1" localSheetId="3">#REF!</definedName>
    <definedName name="___ben1" localSheetId="6">#REF!</definedName>
    <definedName name="___ben1" localSheetId="11">#REF!</definedName>
    <definedName name="___ben1" localSheetId="10">#REF!</definedName>
    <definedName name="___ben1" localSheetId="0">#REF!</definedName>
    <definedName name="___ben1" localSheetId="1">#REF!</definedName>
    <definedName name="___ben1" localSheetId="2">#REF!</definedName>
    <definedName name="___ben1">#REF!</definedName>
    <definedName name="___ben10" localSheetId="12">#REF!</definedName>
    <definedName name="___ben10" localSheetId="13">#REF!</definedName>
    <definedName name="___ben10" localSheetId="7">#REF!</definedName>
    <definedName name="___ben10" localSheetId="17">#REF!</definedName>
    <definedName name="___ben10" localSheetId="4">#REF!</definedName>
    <definedName name="___ben10" localSheetId="5">#REF!</definedName>
    <definedName name="___ben10" localSheetId="8">#REF!</definedName>
    <definedName name="___ben10" localSheetId="3">#REF!</definedName>
    <definedName name="___ben10" localSheetId="6">#REF!</definedName>
    <definedName name="___ben10" localSheetId="11">#REF!</definedName>
    <definedName name="___ben10" localSheetId="10">#REF!</definedName>
    <definedName name="___ben10" localSheetId="0">#REF!</definedName>
    <definedName name="___ben10" localSheetId="1">#REF!</definedName>
    <definedName name="___ben10" localSheetId="2">#REF!</definedName>
    <definedName name="___ben10">#REF!</definedName>
    <definedName name="___ben15" localSheetId="12">#REF!</definedName>
    <definedName name="___ben15" localSheetId="13">#REF!</definedName>
    <definedName name="___ben15" localSheetId="7">#REF!</definedName>
    <definedName name="___ben15" localSheetId="17">#REF!</definedName>
    <definedName name="___ben15" localSheetId="4">#REF!</definedName>
    <definedName name="___ben15" localSheetId="5">#REF!</definedName>
    <definedName name="___ben15" localSheetId="8">#REF!</definedName>
    <definedName name="___ben15" localSheetId="3">#REF!</definedName>
    <definedName name="___ben15" localSheetId="6">#REF!</definedName>
    <definedName name="___ben15" localSheetId="11">#REF!</definedName>
    <definedName name="___ben15" localSheetId="10">#REF!</definedName>
    <definedName name="___ben15" localSheetId="0">#REF!</definedName>
    <definedName name="___ben15" localSheetId="1">#REF!</definedName>
    <definedName name="___ben15" localSheetId="2">#REF!</definedName>
    <definedName name="___ben15">#REF!</definedName>
    <definedName name="___BEN2" localSheetId="14">#REF!</definedName>
    <definedName name="___BEN2">#REF!</definedName>
    <definedName name="___ben20" localSheetId="12">#REF!</definedName>
    <definedName name="___ben20" localSheetId="13">#REF!</definedName>
    <definedName name="___ben20" localSheetId="7">#REF!</definedName>
    <definedName name="___ben20" localSheetId="17">#REF!</definedName>
    <definedName name="___ben20" localSheetId="4">#REF!</definedName>
    <definedName name="___ben20" localSheetId="5">#REF!</definedName>
    <definedName name="___ben20" localSheetId="8">#REF!</definedName>
    <definedName name="___ben20" localSheetId="3">#REF!</definedName>
    <definedName name="___ben20" localSheetId="6">#REF!</definedName>
    <definedName name="___ben20" localSheetId="14">#REF!</definedName>
    <definedName name="___ben20" localSheetId="11">#REF!</definedName>
    <definedName name="___ben20" localSheetId="10">#REF!</definedName>
    <definedName name="___ben20" localSheetId="0">#REF!</definedName>
    <definedName name="___ben20" localSheetId="1">#REF!</definedName>
    <definedName name="___ben20" localSheetId="2">#REF!</definedName>
    <definedName name="___ben20">#REF!</definedName>
    <definedName name="___ben25" localSheetId="12">#REF!</definedName>
    <definedName name="___ben25" localSheetId="13">#REF!</definedName>
    <definedName name="___ben25" localSheetId="7">#REF!</definedName>
    <definedName name="___ben25" localSheetId="17">#REF!</definedName>
    <definedName name="___ben25" localSheetId="4">#REF!</definedName>
    <definedName name="___ben25" localSheetId="5">#REF!</definedName>
    <definedName name="___ben25" localSheetId="8">#REF!</definedName>
    <definedName name="___ben25" localSheetId="3">#REF!</definedName>
    <definedName name="___ben25" localSheetId="6">#REF!</definedName>
    <definedName name="___ben25" localSheetId="14">#REF!</definedName>
    <definedName name="___ben25" localSheetId="11">#REF!</definedName>
    <definedName name="___ben25" localSheetId="10">#REF!</definedName>
    <definedName name="___ben25" localSheetId="0">#REF!</definedName>
    <definedName name="___ben25" localSheetId="1">#REF!</definedName>
    <definedName name="___ben25" localSheetId="2">#REF!</definedName>
    <definedName name="___ben25">#REF!</definedName>
    <definedName name="___BEN3" localSheetId="12">#REF!</definedName>
    <definedName name="___BEN3" localSheetId="13">#REF!</definedName>
    <definedName name="___BEN3" localSheetId="7">#REF!</definedName>
    <definedName name="___BEN3" localSheetId="17">#REF!</definedName>
    <definedName name="___BEN3" localSheetId="4">#REF!</definedName>
    <definedName name="___BEN3" localSheetId="5">#REF!</definedName>
    <definedName name="___BEN3" localSheetId="8">#REF!</definedName>
    <definedName name="___BEN3" localSheetId="3">#REF!</definedName>
    <definedName name="___BEN3" localSheetId="6">#REF!</definedName>
    <definedName name="___BEN3" localSheetId="14">#REF!</definedName>
    <definedName name="___BEN3" localSheetId="11">#REF!</definedName>
    <definedName name="___BEN3" localSheetId="10">#REF!</definedName>
    <definedName name="___BEN3" localSheetId="0">#REF!</definedName>
    <definedName name="___BEN3" localSheetId="1">#REF!</definedName>
    <definedName name="___BEN3" localSheetId="2">#REF!</definedName>
    <definedName name="___BEN3">#REF!</definedName>
    <definedName name="___BEN4" localSheetId="12">#REF!</definedName>
    <definedName name="___BEN4" localSheetId="13">#REF!</definedName>
    <definedName name="___BEN4" localSheetId="7">#REF!</definedName>
    <definedName name="___BEN4" localSheetId="17">#REF!</definedName>
    <definedName name="___BEN4" localSheetId="4">#REF!</definedName>
    <definedName name="___BEN4" localSheetId="5">#REF!</definedName>
    <definedName name="___BEN4" localSheetId="8">#REF!</definedName>
    <definedName name="___BEN4" localSheetId="3">#REF!</definedName>
    <definedName name="___BEN4" localSheetId="6">#REF!</definedName>
    <definedName name="___BEN4" localSheetId="11">#REF!</definedName>
    <definedName name="___BEN4" localSheetId="10">#REF!</definedName>
    <definedName name="___BEN4" localSheetId="0">#REF!</definedName>
    <definedName name="___BEN4" localSheetId="1">#REF!</definedName>
    <definedName name="___BEN4" localSheetId="2">#REF!</definedName>
    <definedName name="___BEN4">#REF!</definedName>
    <definedName name="___ben5" localSheetId="12">#REF!</definedName>
    <definedName name="___ben5" localSheetId="13">#REF!</definedName>
    <definedName name="___ben5" localSheetId="7">#REF!</definedName>
    <definedName name="___ben5" localSheetId="17">#REF!</definedName>
    <definedName name="___ben5" localSheetId="4">#REF!</definedName>
    <definedName name="___ben5" localSheetId="5">#REF!</definedName>
    <definedName name="___ben5" localSheetId="8">#REF!</definedName>
    <definedName name="___ben5" localSheetId="3">#REF!</definedName>
    <definedName name="___ben5" localSheetId="6">#REF!</definedName>
    <definedName name="___ben5" localSheetId="11">#REF!</definedName>
    <definedName name="___ben5" localSheetId="10">#REF!</definedName>
    <definedName name="___ben5" localSheetId="0">#REF!</definedName>
    <definedName name="___ben5" localSheetId="1">#REF!</definedName>
    <definedName name="___ben5" localSheetId="2">#REF!</definedName>
    <definedName name="___ben5">#REF!</definedName>
    <definedName name="___tu3" localSheetId="12">#REF!</definedName>
    <definedName name="___tu3" localSheetId="13">#REF!</definedName>
    <definedName name="___tu3" localSheetId="7">#REF!</definedName>
    <definedName name="___tu3" localSheetId="17">#REF!</definedName>
    <definedName name="___tu3" localSheetId="4">#REF!</definedName>
    <definedName name="___tu3" localSheetId="5">#REF!</definedName>
    <definedName name="___tu3" localSheetId="8">#REF!</definedName>
    <definedName name="___tu3" localSheetId="3">#REF!</definedName>
    <definedName name="___tu3" localSheetId="6">#REF!</definedName>
    <definedName name="___tu3" localSheetId="11">#REF!</definedName>
    <definedName name="___tu3" localSheetId="10">#REF!</definedName>
    <definedName name="___tu3" localSheetId="0">#REF!</definedName>
    <definedName name="___tu3" localSheetId="1">#REF!</definedName>
    <definedName name="___tu3" localSheetId="2">#REF!</definedName>
    <definedName name="___tu3">#REF!</definedName>
    <definedName name="__ben1" localSheetId="12">#REF!</definedName>
    <definedName name="__ben1" localSheetId="13">#REF!</definedName>
    <definedName name="__ben1" localSheetId="7">#REF!</definedName>
    <definedName name="__ben1" localSheetId="17">#REF!</definedName>
    <definedName name="__ben1" localSheetId="4">#REF!</definedName>
    <definedName name="__ben1" localSheetId="5">#REF!</definedName>
    <definedName name="__ben1" localSheetId="8">#REF!</definedName>
    <definedName name="__ben1" localSheetId="3">#REF!</definedName>
    <definedName name="__ben1" localSheetId="6">#REF!</definedName>
    <definedName name="__ben1" localSheetId="11">#REF!</definedName>
    <definedName name="__ben1" localSheetId="10">#REF!</definedName>
    <definedName name="__ben1" localSheetId="0">#REF!</definedName>
    <definedName name="__ben1" localSheetId="1">#REF!</definedName>
    <definedName name="__ben1" localSheetId="2">#REF!</definedName>
    <definedName name="__ben1">#REF!</definedName>
    <definedName name="__ben10" localSheetId="12">#REF!</definedName>
    <definedName name="__ben10" localSheetId="13">#REF!</definedName>
    <definedName name="__ben10" localSheetId="7">#REF!</definedName>
    <definedName name="__ben10" localSheetId="17">#REF!</definedName>
    <definedName name="__ben10" localSheetId="4">#REF!</definedName>
    <definedName name="__ben10" localSheetId="5">#REF!</definedName>
    <definedName name="__ben10" localSheetId="8">#REF!</definedName>
    <definedName name="__ben10" localSheetId="3">#REF!</definedName>
    <definedName name="__ben10" localSheetId="6">#REF!</definedName>
    <definedName name="__ben10" localSheetId="11">#REF!</definedName>
    <definedName name="__ben10" localSheetId="10">#REF!</definedName>
    <definedName name="__ben10" localSheetId="0">#REF!</definedName>
    <definedName name="__ben10" localSheetId="1">#REF!</definedName>
    <definedName name="__ben10" localSheetId="2">#REF!</definedName>
    <definedName name="__ben10">#REF!</definedName>
    <definedName name="__ben15" localSheetId="12">#REF!</definedName>
    <definedName name="__ben15" localSheetId="13">#REF!</definedName>
    <definedName name="__ben15" localSheetId="7">#REF!</definedName>
    <definedName name="__ben15" localSheetId="17">#REF!</definedName>
    <definedName name="__ben15" localSheetId="4">#REF!</definedName>
    <definedName name="__ben15" localSheetId="5">#REF!</definedName>
    <definedName name="__ben15" localSheetId="8">#REF!</definedName>
    <definedName name="__ben15" localSheetId="3">#REF!</definedName>
    <definedName name="__ben15" localSheetId="6">#REF!</definedName>
    <definedName name="__ben15" localSheetId="11">#REF!</definedName>
    <definedName name="__ben15" localSheetId="10">#REF!</definedName>
    <definedName name="__ben15" localSheetId="0">#REF!</definedName>
    <definedName name="__ben15" localSheetId="1">#REF!</definedName>
    <definedName name="__ben15" localSheetId="2">#REF!</definedName>
    <definedName name="__ben15">#REF!</definedName>
    <definedName name="__BEN2" localSheetId="14">#REF!</definedName>
    <definedName name="__BEN2">#REF!</definedName>
    <definedName name="__ben20" localSheetId="12">#REF!</definedName>
    <definedName name="__ben20" localSheetId="13">#REF!</definedName>
    <definedName name="__ben20" localSheetId="7">#REF!</definedName>
    <definedName name="__ben20" localSheetId="17">#REF!</definedName>
    <definedName name="__ben20" localSheetId="4">#REF!</definedName>
    <definedName name="__ben20" localSheetId="5">#REF!</definedName>
    <definedName name="__ben20" localSheetId="8">#REF!</definedName>
    <definedName name="__ben20" localSheetId="3">#REF!</definedName>
    <definedName name="__ben20" localSheetId="6">#REF!</definedName>
    <definedName name="__ben20" localSheetId="14">#REF!</definedName>
    <definedName name="__ben20" localSheetId="11">#REF!</definedName>
    <definedName name="__ben20" localSheetId="10">#REF!</definedName>
    <definedName name="__ben20" localSheetId="0">#REF!</definedName>
    <definedName name="__ben20" localSheetId="1">#REF!</definedName>
    <definedName name="__ben20" localSheetId="2">#REF!</definedName>
    <definedName name="__ben20">#REF!</definedName>
    <definedName name="__ben25" localSheetId="12">#REF!</definedName>
    <definedName name="__ben25" localSheetId="13">#REF!</definedName>
    <definedName name="__ben25" localSheetId="7">#REF!</definedName>
    <definedName name="__ben25" localSheetId="17">#REF!</definedName>
    <definedName name="__ben25" localSheetId="4">#REF!</definedName>
    <definedName name="__ben25" localSheetId="5">#REF!</definedName>
    <definedName name="__ben25" localSheetId="8">#REF!</definedName>
    <definedName name="__ben25" localSheetId="3">#REF!</definedName>
    <definedName name="__ben25" localSheetId="6">#REF!</definedName>
    <definedName name="__ben25" localSheetId="14">#REF!</definedName>
    <definedName name="__ben25" localSheetId="11">#REF!</definedName>
    <definedName name="__ben25" localSheetId="10">#REF!</definedName>
    <definedName name="__ben25" localSheetId="0">#REF!</definedName>
    <definedName name="__ben25" localSheetId="1">#REF!</definedName>
    <definedName name="__ben25" localSheetId="2">#REF!</definedName>
    <definedName name="__ben25">#REF!</definedName>
    <definedName name="__BEN3" localSheetId="12">#REF!</definedName>
    <definedName name="__BEN3" localSheetId="13">#REF!</definedName>
    <definedName name="__BEN3" localSheetId="7">#REF!</definedName>
    <definedName name="__BEN3" localSheetId="17">#REF!</definedName>
    <definedName name="__BEN3" localSheetId="4">#REF!</definedName>
    <definedName name="__BEN3" localSheetId="5">#REF!</definedName>
    <definedName name="__BEN3" localSheetId="8">#REF!</definedName>
    <definedName name="__BEN3" localSheetId="3">#REF!</definedName>
    <definedName name="__BEN3" localSheetId="6">#REF!</definedName>
    <definedName name="__BEN3" localSheetId="14">#REF!</definedName>
    <definedName name="__BEN3" localSheetId="11">#REF!</definedName>
    <definedName name="__BEN3" localSheetId="10">#REF!</definedName>
    <definedName name="__BEN3" localSheetId="0">#REF!</definedName>
    <definedName name="__BEN3" localSheetId="1">#REF!</definedName>
    <definedName name="__BEN3" localSheetId="2">#REF!</definedName>
    <definedName name="__BEN3">#REF!</definedName>
    <definedName name="__BEN4" localSheetId="12">#REF!</definedName>
    <definedName name="__BEN4" localSheetId="13">#REF!</definedName>
    <definedName name="__BEN4" localSheetId="7">#REF!</definedName>
    <definedName name="__BEN4" localSheetId="17">#REF!</definedName>
    <definedName name="__BEN4" localSheetId="4">#REF!</definedName>
    <definedName name="__BEN4" localSheetId="5">#REF!</definedName>
    <definedName name="__BEN4" localSheetId="8">#REF!</definedName>
    <definedName name="__BEN4" localSheetId="3">#REF!</definedName>
    <definedName name="__BEN4" localSheetId="6">#REF!</definedName>
    <definedName name="__BEN4" localSheetId="11">#REF!</definedName>
    <definedName name="__BEN4" localSheetId="10">#REF!</definedName>
    <definedName name="__BEN4" localSheetId="0">#REF!</definedName>
    <definedName name="__BEN4" localSheetId="1">#REF!</definedName>
    <definedName name="__BEN4" localSheetId="2">#REF!</definedName>
    <definedName name="__BEN4">#REF!</definedName>
    <definedName name="__ben5" localSheetId="12">#REF!</definedName>
    <definedName name="__ben5" localSheetId="13">#REF!</definedName>
    <definedName name="__ben5" localSheetId="7">#REF!</definedName>
    <definedName name="__ben5" localSheetId="17">#REF!</definedName>
    <definedName name="__ben5" localSheetId="4">#REF!</definedName>
    <definedName name="__ben5" localSheetId="5">#REF!</definedName>
    <definedName name="__ben5" localSheetId="8">#REF!</definedName>
    <definedName name="__ben5" localSheetId="3">#REF!</definedName>
    <definedName name="__ben5" localSheetId="6">#REF!</definedName>
    <definedName name="__ben5" localSheetId="11">#REF!</definedName>
    <definedName name="__ben5" localSheetId="10">#REF!</definedName>
    <definedName name="__ben5" localSheetId="0">#REF!</definedName>
    <definedName name="__ben5" localSheetId="1">#REF!</definedName>
    <definedName name="__ben5" localSheetId="2">#REF!</definedName>
    <definedName name="__ben5">#REF!</definedName>
    <definedName name="__HJJ2">#REF!</definedName>
    <definedName name="__tu3" localSheetId="12">#REF!</definedName>
    <definedName name="__tu3" localSheetId="13">#REF!</definedName>
    <definedName name="__tu3" localSheetId="7">#REF!</definedName>
    <definedName name="__tu3" localSheetId="17">#REF!</definedName>
    <definedName name="__tu3" localSheetId="4">#REF!</definedName>
    <definedName name="__tu3" localSheetId="5">#REF!</definedName>
    <definedName name="__tu3" localSheetId="8">#REF!</definedName>
    <definedName name="__tu3" localSheetId="3">#REF!</definedName>
    <definedName name="__tu3" localSheetId="6">#REF!</definedName>
    <definedName name="__tu3" localSheetId="11">#REF!</definedName>
    <definedName name="__tu3" localSheetId="10">#REF!</definedName>
    <definedName name="__tu3" localSheetId="0">#REF!</definedName>
    <definedName name="__tu3" localSheetId="1">#REF!</definedName>
    <definedName name="__tu3" localSheetId="2">#REF!</definedName>
    <definedName name="__tu3">#REF!</definedName>
    <definedName name="_3FLE">#REF!</definedName>
    <definedName name="_6PRINT_AREA">#REF!</definedName>
    <definedName name="_ben1" localSheetId="12">#REF!</definedName>
    <definedName name="_ben1" localSheetId="13">#REF!</definedName>
    <definedName name="_ben1" localSheetId="7">#REF!</definedName>
    <definedName name="_ben1" localSheetId="17">#REF!</definedName>
    <definedName name="_ben1" localSheetId="4">#REF!</definedName>
    <definedName name="_ben1" localSheetId="5">#REF!</definedName>
    <definedName name="_ben1" localSheetId="8">#REF!</definedName>
    <definedName name="_ben1" localSheetId="3">#REF!</definedName>
    <definedName name="_ben1" localSheetId="6">#REF!</definedName>
    <definedName name="_ben1" localSheetId="11">#REF!</definedName>
    <definedName name="_ben1" localSheetId="10">#REF!</definedName>
    <definedName name="_ben1" localSheetId="0">#REF!</definedName>
    <definedName name="_ben1" localSheetId="1">#REF!</definedName>
    <definedName name="_ben1" localSheetId="2">#REF!</definedName>
    <definedName name="_ben1">#REF!</definedName>
    <definedName name="_ben10" localSheetId="12">#REF!</definedName>
    <definedName name="_ben10" localSheetId="13">#REF!</definedName>
    <definedName name="_ben10" localSheetId="7">#REF!</definedName>
    <definedName name="_ben10" localSheetId="17">#REF!</definedName>
    <definedName name="_ben10" localSheetId="4">#REF!</definedName>
    <definedName name="_ben10" localSheetId="5">#REF!</definedName>
    <definedName name="_ben10" localSheetId="8">#REF!</definedName>
    <definedName name="_ben10" localSheetId="3">#REF!</definedName>
    <definedName name="_ben10" localSheetId="6">#REF!</definedName>
    <definedName name="_ben10" localSheetId="11">#REF!</definedName>
    <definedName name="_ben10" localSheetId="10">#REF!</definedName>
    <definedName name="_ben10" localSheetId="0">#REF!</definedName>
    <definedName name="_ben10" localSheetId="1">#REF!</definedName>
    <definedName name="_ben10" localSheetId="2">#REF!</definedName>
    <definedName name="_ben10">#REF!</definedName>
    <definedName name="_ben15" localSheetId="12">#REF!</definedName>
    <definedName name="_ben15" localSheetId="13">#REF!</definedName>
    <definedName name="_ben15" localSheetId="7">#REF!</definedName>
    <definedName name="_ben15" localSheetId="17">#REF!</definedName>
    <definedName name="_ben15" localSheetId="4">#REF!</definedName>
    <definedName name="_ben15" localSheetId="5">#REF!</definedName>
    <definedName name="_ben15" localSheetId="8">#REF!</definedName>
    <definedName name="_ben15" localSheetId="3">#REF!</definedName>
    <definedName name="_ben15" localSheetId="6">#REF!</definedName>
    <definedName name="_ben15" localSheetId="11">#REF!</definedName>
    <definedName name="_ben15" localSheetId="10">#REF!</definedName>
    <definedName name="_ben15" localSheetId="0">#REF!</definedName>
    <definedName name="_ben15" localSheetId="1">#REF!</definedName>
    <definedName name="_ben15" localSheetId="2">#REF!</definedName>
    <definedName name="_ben15">#REF!</definedName>
    <definedName name="_BEN2" localSheetId="14">#REF!</definedName>
    <definedName name="_BEN2">#REF!</definedName>
    <definedName name="_ben20" localSheetId="12">#REF!</definedName>
    <definedName name="_ben20" localSheetId="13">#REF!</definedName>
    <definedName name="_ben20" localSheetId="7">#REF!</definedName>
    <definedName name="_ben20" localSheetId="17">#REF!</definedName>
    <definedName name="_ben20" localSheetId="4">#REF!</definedName>
    <definedName name="_ben20" localSheetId="5">#REF!</definedName>
    <definedName name="_ben20" localSheetId="8">#REF!</definedName>
    <definedName name="_ben20" localSheetId="3">#REF!</definedName>
    <definedName name="_ben20" localSheetId="6">#REF!</definedName>
    <definedName name="_ben20" localSheetId="14">#REF!</definedName>
    <definedName name="_ben20" localSheetId="11">#REF!</definedName>
    <definedName name="_ben20" localSheetId="10">#REF!</definedName>
    <definedName name="_ben20" localSheetId="0">#REF!</definedName>
    <definedName name="_ben20" localSheetId="1">#REF!</definedName>
    <definedName name="_ben20" localSheetId="2">#REF!</definedName>
    <definedName name="_ben20">#REF!</definedName>
    <definedName name="_ben21" localSheetId="12">#REF!</definedName>
    <definedName name="_ben21" localSheetId="13">#REF!</definedName>
    <definedName name="_ben21" localSheetId="7">#REF!</definedName>
    <definedName name="_ben21" localSheetId="17">#REF!</definedName>
    <definedName name="_ben21" localSheetId="4">#REF!</definedName>
    <definedName name="_ben21" localSheetId="5">#REF!</definedName>
    <definedName name="_ben21" localSheetId="8">#REF!</definedName>
    <definedName name="_ben21" localSheetId="3">#REF!</definedName>
    <definedName name="_ben21" localSheetId="6">#REF!</definedName>
    <definedName name="_ben21" localSheetId="14">#REF!</definedName>
    <definedName name="_ben21" localSheetId="11">#REF!</definedName>
    <definedName name="_ben21" localSheetId="10">#REF!</definedName>
    <definedName name="_ben21" localSheetId="0">#REF!</definedName>
    <definedName name="_ben21" localSheetId="1">#REF!</definedName>
    <definedName name="_ben21" localSheetId="2">#REF!</definedName>
    <definedName name="_ben21">#REF!</definedName>
    <definedName name="_ben25" localSheetId="12">#REF!</definedName>
    <definedName name="_ben25" localSheetId="13">#REF!</definedName>
    <definedName name="_ben25" localSheetId="7">#REF!</definedName>
    <definedName name="_ben25" localSheetId="17">#REF!</definedName>
    <definedName name="_ben25" localSheetId="4">#REF!</definedName>
    <definedName name="_ben25" localSheetId="5">#REF!</definedName>
    <definedName name="_ben25" localSheetId="8">#REF!</definedName>
    <definedName name="_ben25" localSheetId="3">#REF!</definedName>
    <definedName name="_ben25" localSheetId="6">#REF!</definedName>
    <definedName name="_ben25" localSheetId="14">#REF!</definedName>
    <definedName name="_ben25" localSheetId="11">#REF!</definedName>
    <definedName name="_ben25" localSheetId="10">#REF!</definedName>
    <definedName name="_ben25" localSheetId="0">#REF!</definedName>
    <definedName name="_ben25" localSheetId="1">#REF!</definedName>
    <definedName name="_ben25" localSheetId="2">#REF!</definedName>
    <definedName name="_ben25">#REF!</definedName>
    <definedName name="_ben29" localSheetId="12">#REF!</definedName>
    <definedName name="_ben29" localSheetId="13">#REF!</definedName>
    <definedName name="_ben29" localSheetId="7">#REF!</definedName>
    <definedName name="_ben29" localSheetId="17">#REF!</definedName>
    <definedName name="_ben29" localSheetId="4">#REF!</definedName>
    <definedName name="_ben29" localSheetId="5">#REF!</definedName>
    <definedName name="_ben29" localSheetId="8">#REF!</definedName>
    <definedName name="_ben29" localSheetId="3">#REF!</definedName>
    <definedName name="_ben29" localSheetId="6">#REF!</definedName>
    <definedName name="_ben29" localSheetId="11">#REF!</definedName>
    <definedName name="_ben29" localSheetId="10">#REF!</definedName>
    <definedName name="_ben29" localSheetId="0">#REF!</definedName>
    <definedName name="_ben29" localSheetId="1">#REF!</definedName>
    <definedName name="_ben29" localSheetId="2">#REF!</definedName>
    <definedName name="_ben29">#REF!</definedName>
    <definedName name="_BEN3" localSheetId="12">#REF!</definedName>
    <definedName name="_BEN3" localSheetId="13">#REF!</definedName>
    <definedName name="_BEN3" localSheetId="7">#REF!</definedName>
    <definedName name="_BEN3" localSheetId="17">#REF!</definedName>
    <definedName name="_BEN3" localSheetId="4">#REF!</definedName>
    <definedName name="_BEN3" localSheetId="5">#REF!</definedName>
    <definedName name="_BEN3" localSheetId="8">#REF!</definedName>
    <definedName name="_BEN3" localSheetId="3">#REF!</definedName>
    <definedName name="_BEN3" localSheetId="6">#REF!</definedName>
    <definedName name="_BEN3" localSheetId="11">#REF!</definedName>
    <definedName name="_BEN3" localSheetId="10">#REF!</definedName>
    <definedName name="_BEN3" localSheetId="0">#REF!</definedName>
    <definedName name="_BEN3" localSheetId="1">#REF!</definedName>
    <definedName name="_BEN3" localSheetId="2">#REF!</definedName>
    <definedName name="_BEN3">#REF!</definedName>
    <definedName name="_ben30" localSheetId="12">#REF!</definedName>
    <definedName name="_ben30" localSheetId="13">#REF!</definedName>
    <definedName name="_ben30" localSheetId="7">#REF!</definedName>
    <definedName name="_ben30" localSheetId="17">#REF!</definedName>
    <definedName name="_ben30" localSheetId="4">#REF!</definedName>
    <definedName name="_ben30" localSheetId="5">#REF!</definedName>
    <definedName name="_ben30" localSheetId="8">#REF!</definedName>
    <definedName name="_ben30" localSheetId="3">#REF!</definedName>
    <definedName name="_ben30" localSheetId="6">#REF!</definedName>
    <definedName name="_ben30" localSheetId="11">#REF!</definedName>
    <definedName name="_ben30" localSheetId="10">#REF!</definedName>
    <definedName name="_ben30" localSheetId="0">#REF!</definedName>
    <definedName name="_ben30" localSheetId="1">#REF!</definedName>
    <definedName name="_ben30" localSheetId="2">#REF!</definedName>
    <definedName name="_ben30">#REF!</definedName>
    <definedName name="_BEN4" localSheetId="12">#REF!</definedName>
    <definedName name="_BEN4" localSheetId="13">#REF!</definedName>
    <definedName name="_BEN4" localSheetId="7">#REF!</definedName>
    <definedName name="_BEN4" localSheetId="17">#REF!</definedName>
    <definedName name="_BEN4" localSheetId="4">#REF!</definedName>
    <definedName name="_BEN4" localSheetId="5">#REF!</definedName>
    <definedName name="_BEN4" localSheetId="8">#REF!</definedName>
    <definedName name="_BEN4" localSheetId="3">#REF!</definedName>
    <definedName name="_BEN4" localSheetId="6">#REF!</definedName>
    <definedName name="_BEN4" localSheetId="11">#REF!</definedName>
    <definedName name="_BEN4" localSheetId="10">#REF!</definedName>
    <definedName name="_BEN4" localSheetId="0">#REF!</definedName>
    <definedName name="_BEN4" localSheetId="1">#REF!</definedName>
    <definedName name="_BEN4" localSheetId="2">#REF!</definedName>
    <definedName name="_BEN4">#REF!</definedName>
    <definedName name="_ben5" localSheetId="12">#REF!</definedName>
    <definedName name="_ben5" localSheetId="13">#REF!</definedName>
    <definedName name="_ben5" localSheetId="7">#REF!</definedName>
    <definedName name="_ben5" localSheetId="17">#REF!</definedName>
    <definedName name="_ben5" localSheetId="4">#REF!</definedName>
    <definedName name="_ben5" localSheetId="5">#REF!</definedName>
    <definedName name="_ben5" localSheetId="8">#REF!</definedName>
    <definedName name="_ben5" localSheetId="3">#REF!</definedName>
    <definedName name="_ben5" localSheetId="6">#REF!</definedName>
    <definedName name="_ben5" localSheetId="11">#REF!</definedName>
    <definedName name="_ben5" localSheetId="10">#REF!</definedName>
    <definedName name="_ben5" localSheetId="0">#REF!</definedName>
    <definedName name="_ben5" localSheetId="1">#REF!</definedName>
    <definedName name="_ben5" localSheetId="2">#REF!</definedName>
    <definedName name="_ben5">#REF!</definedName>
    <definedName name="_ben52" localSheetId="12">#REF!</definedName>
    <definedName name="_ben52" localSheetId="13">#REF!</definedName>
    <definedName name="_ben52" localSheetId="7">#REF!</definedName>
    <definedName name="_ben52" localSheetId="17">#REF!</definedName>
    <definedName name="_ben52" localSheetId="4">#REF!</definedName>
    <definedName name="_ben52" localSheetId="5">#REF!</definedName>
    <definedName name="_ben52" localSheetId="8">#REF!</definedName>
    <definedName name="_ben52" localSheetId="3">#REF!</definedName>
    <definedName name="_ben52" localSheetId="6">#REF!</definedName>
    <definedName name="_ben52" localSheetId="11">#REF!</definedName>
    <definedName name="_ben52" localSheetId="10">#REF!</definedName>
    <definedName name="_ben52" localSheetId="0">#REF!</definedName>
    <definedName name="_ben52" localSheetId="1">#REF!</definedName>
    <definedName name="_ben52" localSheetId="2">#REF!</definedName>
    <definedName name="_ben52">#REF!</definedName>
    <definedName name="_d2" localSheetId="12" hidden="1">{"NORMAL",#N/A,FALSE,"02"}</definedName>
    <definedName name="_d2" localSheetId="13" hidden="1">{"NORMAL",#N/A,FALSE,"02"}</definedName>
    <definedName name="_d2" localSheetId="7" hidden="1">{"NORMAL",#N/A,FALSE,"02"}</definedName>
    <definedName name="_d2" localSheetId="15" hidden="1">{"NORMAL",#N/A,FALSE,"02"}</definedName>
    <definedName name="_d2" localSheetId="16" hidden="1">{"NORMAL",#N/A,FALSE,"02"}</definedName>
    <definedName name="_d2" localSheetId="17" hidden="1">{"NORMAL",#N/A,FALSE,"02"}</definedName>
    <definedName name="_d2" localSheetId="8" hidden="1">{"NORMAL",#N/A,FALSE,"02"}</definedName>
    <definedName name="_d2" localSheetId="9" hidden="1">{"NORMAL",#N/A,FALSE,"02"}</definedName>
    <definedName name="_d2" localSheetId="6" hidden="1">{"NORMAL",#N/A,FALSE,"02"}</definedName>
    <definedName name="_d2" localSheetId="14" hidden="1">{"NORMAL",#N/A,FALSE,"02"}</definedName>
    <definedName name="_d2" localSheetId="11" hidden="1">{"NORMAL",#N/A,FALSE,"02"}</definedName>
    <definedName name="_d2" localSheetId="10" hidden="1">{"NORMAL",#N/A,FALSE,"02"}</definedName>
    <definedName name="_d2" localSheetId="0" hidden="1">{"NORMAL",#N/A,FALSE,"02"}</definedName>
    <definedName name="_d2" localSheetId="1" hidden="1">{"NORMAL",#N/A,FALSE,"02"}</definedName>
    <definedName name="_d2" localSheetId="2" hidden="1">{"NORMAL",#N/A,FALSE,"02"}</definedName>
    <definedName name="_d2" hidden="1">{"NORMAL",#N/A,FALSE,"02"}</definedName>
    <definedName name="_f" localSheetId="12" hidden="1">{"DECIMAL",#N/A,FALSE,"02"}</definedName>
    <definedName name="_f" localSheetId="13" hidden="1">{"DECIMAL",#N/A,FALSE,"02"}</definedName>
    <definedName name="_f" localSheetId="7" hidden="1">{"DECIMAL",#N/A,FALSE,"02"}</definedName>
    <definedName name="_f" localSheetId="15" hidden="1">{"DECIMAL",#N/A,FALSE,"02"}</definedName>
    <definedName name="_f" localSheetId="16" hidden="1">{"DECIMAL",#N/A,FALSE,"02"}</definedName>
    <definedName name="_f" localSheetId="17" hidden="1">{"DECIMAL",#N/A,FALSE,"02"}</definedName>
    <definedName name="_f" localSheetId="8" hidden="1">{"DECIMAL",#N/A,FALSE,"02"}</definedName>
    <definedName name="_f" localSheetId="9" hidden="1">{"DECIMAL",#N/A,FALSE,"02"}</definedName>
    <definedName name="_f" localSheetId="6" hidden="1">{"DECIMAL",#N/A,FALSE,"02"}</definedName>
    <definedName name="_f" localSheetId="14" hidden="1">{"DECIMAL",#N/A,FALSE,"02"}</definedName>
    <definedName name="_f" localSheetId="11" hidden="1">{"DECIMAL",#N/A,FALSE,"02"}</definedName>
    <definedName name="_f" localSheetId="10" hidden="1">{"DECIMAL",#N/A,FALSE,"02"}</definedName>
    <definedName name="_f" localSheetId="0" hidden="1">{"DECIMAL",#N/A,FALSE,"02"}</definedName>
    <definedName name="_f" localSheetId="1" hidden="1">{"DECIMAL",#N/A,FALSE,"02"}</definedName>
    <definedName name="_f" localSheetId="2" hidden="1">{"DECIMAL",#N/A,FALSE,"02"}</definedName>
    <definedName name="_f" hidden="1">{"DECIMAL",#N/A,FALSE,"02"}</definedName>
    <definedName name="_Fill" localSheetId="12" hidden="1">#REF!</definedName>
    <definedName name="_Fill" localSheetId="13" hidden="1">#REF!</definedName>
    <definedName name="_Fill" localSheetId="7" hidden="1">#REF!</definedName>
    <definedName name="_Fill" localSheetId="17" hidden="1">#REF!</definedName>
    <definedName name="_Fill" localSheetId="4" hidden="1">#REF!</definedName>
    <definedName name="_Fill" localSheetId="5" hidden="1">#REF!</definedName>
    <definedName name="_Fill" localSheetId="8" hidden="1">#REF!</definedName>
    <definedName name="_Fill" localSheetId="3" hidden="1">#REF!</definedName>
    <definedName name="_Fill" localSheetId="9" hidden="1">#REF!</definedName>
    <definedName name="_Fill" localSheetId="6" hidden="1">#REF!</definedName>
    <definedName name="_Fill" localSheetId="14" hidden="1">#REF!</definedName>
    <definedName name="_Fill" localSheetId="11" hidden="1">#REF!</definedName>
    <definedName name="_Fill" localSheetId="10" hidden="1">#REF!</definedName>
    <definedName name="_Fill" localSheetId="0" hidden="1">#REF!</definedName>
    <definedName name="_Fill" localSheetId="1" hidden="1">#REF!</definedName>
    <definedName name="_Fill" localSheetId="2" hidden="1">#REF!</definedName>
    <definedName name="_Fill" hidden="1">#REF!</definedName>
    <definedName name="_xlnm._FilterDatabase" localSheetId="12" hidden="1">'01'!$A$8:$V$214</definedName>
    <definedName name="_xlnm._FilterDatabase" localSheetId="13" hidden="1">'AING Gtos Desarrollo'!$A$8:$F$20</definedName>
    <definedName name="_xlnm._FilterDatabase" localSheetId="17" hidden="1">'Cert. Ppto 1'!$A$8:$F$59</definedName>
    <definedName name="_xlnm._FilterDatabase" localSheetId="4" hidden="1">Certificados!$A$11:$H$19</definedName>
    <definedName name="_xlnm._FilterDatabase" localSheetId="11" hidden="1">'Preventivo Costo CH2171 '!$B$8:$N$225</definedName>
    <definedName name="_xlnm._FilterDatabase" localSheetId="10" hidden="1">'Preventivo Vta CH2171 '!$A$8:$F$228</definedName>
    <definedName name="_xlnm._FilterDatabase" localSheetId="18" hidden="1">'TC USD MEP'!$B$5:$C$6</definedName>
    <definedName name="_GoBack" localSheetId="12">'01'!#REF!</definedName>
    <definedName name="_GoBack" localSheetId="13">'AING Gtos Desarrollo'!#REF!</definedName>
    <definedName name="_GoBack" localSheetId="17">'Cert. Ppto 1'!#REF!</definedName>
    <definedName name="_GoBack" localSheetId="11">'Preventivo Costo CH2171 '!#REF!</definedName>
    <definedName name="_GoBack" localSheetId="10">'Preventivo Vta CH2171 '!#REF!</definedName>
    <definedName name="_HJJ2" localSheetId="14">#REF!</definedName>
    <definedName name="_HJJ2">#REF!</definedName>
    <definedName name="_Key1" localSheetId="14" hidden="1">#REF!</definedName>
    <definedName name="_Key1" hidden="1">#REF!</definedName>
    <definedName name="_KH170" localSheetId="14">#REF!</definedName>
    <definedName name="_KH170">#REF!</definedName>
    <definedName name="_MatMult_A" localSheetId="12" hidden="1">#REF!</definedName>
    <definedName name="_MatMult_A" localSheetId="13" hidden="1">#REF!</definedName>
    <definedName name="_MatMult_A" localSheetId="7" hidden="1">#REF!</definedName>
    <definedName name="_MatMult_A" localSheetId="17" hidden="1">#REF!</definedName>
    <definedName name="_MatMult_A" localSheetId="4" hidden="1">#REF!</definedName>
    <definedName name="_MatMult_A" localSheetId="5" hidden="1">#REF!</definedName>
    <definedName name="_MatMult_A" localSheetId="8" hidden="1">#REF!</definedName>
    <definedName name="_MatMult_A" localSheetId="3" hidden="1">#REF!</definedName>
    <definedName name="_MatMult_A" localSheetId="9" hidden="1">#REF!</definedName>
    <definedName name="_MatMult_A" localSheetId="6" hidden="1">#REF!</definedName>
    <definedName name="_MatMult_A" localSheetId="11" hidden="1">#REF!</definedName>
    <definedName name="_MatMult_A" localSheetId="10" hidden="1">#REF!</definedName>
    <definedName name="_MatMult_A" localSheetId="0" hidden="1">#REF!</definedName>
    <definedName name="_MatMult_A" localSheetId="1" hidden="1">#REF!</definedName>
    <definedName name="_MatMult_A" localSheetId="2" hidden="1">#REF!</definedName>
    <definedName name="_MatMult_A" hidden="1">#REF!</definedName>
    <definedName name="_Order1">255</definedName>
    <definedName name="_Order2">255</definedName>
    <definedName name="_prc6" localSheetId="14">#REF!</definedName>
    <definedName name="_prc6">#REF!</definedName>
    <definedName name="_R" localSheetId="14">#REF!</definedName>
    <definedName name="_R">#REF!</definedName>
    <definedName name="_RAN1" localSheetId="14">#REF!</definedName>
    <definedName name="_RAN1">#REF!</definedName>
    <definedName name="_RAN2">#N/A</definedName>
    <definedName name="_RAN3" localSheetId="14">#REF!</definedName>
    <definedName name="_RAN3">#REF!</definedName>
    <definedName name="_Sort" localSheetId="14" hidden="1">#REF!</definedName>
    <definedName name="_Sort" hidden="1">#REF!</definedName>
    <definedName name="_to11" localSheetId="14">#REF!</definedName>
    <definedName name="_to11">#REF!</definedName>
    <definedName name="_to12">#REF!</definedName>
    <definedName name="_to2">#REF!</definedName>
    <definedName name="_to3">#REF!</definedName>
    <definedName name="_to30">#REF!</definedName>
    <definedName name="_Toc502326724" localSheetId="12">'01'!#REF!</definedName>
    <definedName name="_Toc502326724" localSheetId="13">'AING Gtos Desarrollo'!#REF!</definedName>
    <definedName name="_Toc502326724" localSheetId="17">'Cert. Ppto 1'!#REF!</definedName>
    <definedName name="_Toc502326724" localSheetId="11">'Preventivo Costo CH2171 '!#REF!</definedName>
    <definedName name="_Toc502326724" localSheetId="10">'Preventivo Vta CH2171 '!#REF!</definedName>
    <definedName name="_Toc502326725" localSheetId="12">'01'!#REF!</definedName>
    <definedName name="_Toc502326725" localSheetId="13">'AING Gtos Desarrollo'!#REF!</definedName>
    <definedName name="_Toc502326725" localSheetId="17">'Cert. Ppto 1'!#REF!</definedName>
    <definedName name="_Toc502326725" localSheetId="11">'Preventivo Costo CH2171 '!#REF!</definedName>
    <definedName name="_Toc502326725" localSheetId="10">'Preventivo Vta CH2171 '!#REF!</definedName>
    <definedName name="_Toc502326726" localSheetId="12">'01'!#REF!</definedName>
    <definedName name="_Toc502326726" localSheetId="13">'AING Gtos Desarrollo'!#REF!</definedName>
    <definedName name="_Toc502326726" localSheetId="17">'Cert. Ppto 1'!#REF!</definedName>
    <definedName name="_Toc502326726" localSheetId="11">'Preventivo Costo CH2171 '!#REF!</definedName>
    <definedName name="_Toc502326726" localSheetId="10">'Preventivo Vta CH2171 '!#REF!</definedName>
    <definedName name="_tu3" localSheetId="12">#REF!</definedName>
    <definedName name="_tu3" localSheetId="13">#REF!</definedName>
    <definedName name="_tu3" localSheetId="7">#REF!</definedName>
    <definedName name="_tu3" localSheetId="17">#REF!</definedName>
    <definedName name="_tu3" localSheetId="4">#REF!</definedName>
    <definedName name="_tu3" localSheetId="5">#REF!</definedName>
    <definedName name="_tu3" localSheetId="8">#REF!</definedName>
    <definedName name="_tu3" localSheetId="3">#REF!</definedName>
    <definedName name="_tu3" localSheetId="6">#REF!</definedName>
    <definedName name="_tu3" localSheetId="11">#REF!</definedName>
    <definedName name="_tu3" localSheetId="10">#REF!</definedName>
    <definedName name="_tu3" localSheetId="0">#REF!</definedName>
    <definedName name="_tu3" localSheetId="1">#REF!</definedName>
    <definedName name="_tu3" localSheetId="2">#REF!</definedName>
    <definedName name="_tu3">#REF!</definedName>
    <definedName name="_VS2">#REF!</definedName>
    <definedName name="_VS3">#REF!</definedName>
    <definedName name="a" localSheetId="7">#REF!</definedName>
    <definedName name="a" localSheetId="4">#REF!</definedName>
    <definedName name="a" localSheetId="5">#REF!</definedName>
    <definedName name="a" localSheetId="8">#REF!</definedName>
    <definedName name="a" localSheetId="3">#REF!</definedName>
    <definedName name="a" localSheetId="6">#REF!</definedName>
    <definedName name="A" localSheetId="14">SUM(#REF!)</definedName>
    <definedName name="a" localSheetId="0">#REF!</definedName>
    <definedName name="a" localSheetId="1">#REF!</definedName>
    <definedName name="a" localSheetId="2">#REF!</definedName>
    <definedName name="a">#REF!</definedName>
    <definedName name="A.1" localSheetId="14">#REF!</definedName>
    <definedName name="A.1">#REF!</definedName>
    <definedName name="A.2" localSheetId="14">#REF!</definedName>
    <definedName name="A.2">#REF!</definedName>
    <definedName name="A_impresión_IM" localSheetId="12">#REF!</definedName>
    <definedName name="A_impresión_IM" localSheetId="13">#REF!</definedName>
    <definedName name="A_impresión_IM" localSheetId="7">#REF!</definedName>
    <definedName name="A_impresión_IM" localSheetId="17">#REF!</definedName>
    <definedName name="A_impresión_IM" localSheetId="4">#REF!</definedName>
    <definedName name="A_impresión_IM" localSheetId="5">#REF!</definedName>
    <definedName name="A_impresión_IM" localSheetId="8">#REF!</definedName>
    <definedName name="A_impresión_IM" localSheetId="3">#REF!</definedName>
    <definedName name="A_impresión_IM" localSheetId="6">#REF!</definedName>
    <definedName name="A_impresión_IM" localSheetId="14">#REF!</definedName>
    <definedName name="A_impresión_IM" localSheetId="11">#REF!</definedName>
    <definedName name="A_impresión_IM" localSheetId="10">#REF!</definedName>
    <definedName name="A_impresión_IM" localSheetId="0">#REF!</definedName>
    <definedName name="A_impresión_IM" localSheetId="1">#REF!</definedName>
    <definedName name="A_impresión_IM" localSheetId="2">#REF!</definedName>
    <definedName name="A_impresión_IM">#REF!</definedName>
    <definedName name="aaa" localSheetId="14">#REF!</definedName>
    <definedName name="aaaa">#REF!</definedName>
    <definedName name="aaaaa">#REF!</definedName>
    <definedName name="ABA15A" localSheetId="14">#REF!</definedName>
    <definedName name="ABA15A">#REF!</definedName>
    <definedName name="ABA15B" localSheetId="14">#REF!</definedName>
    <definedName name="ABA15B">#REF!</definedName>
    <definedName name="ABELSON" localSheetId="14">#REF!</definedName>
    <definedName name="ABELSON">#REF!</definedName>
    <definedName name="abr.23" localSheetId="7">#REF!</definedName>
    <definedName name="abr.23" localSheetId="8">#REF!</definedName>
    <definedName name="abr.23" localSheetId="6">#REF!</definedName>
    <definedName name="abr.23" localSheetId="14">'Indice CAC'!#REF!</definedName>
    <definedName name="abr.23">'[1]Indice CAC'!#REF!</definedName>
    <definedName name="abr.24" localSheetId="7">#REF!</definedName>
    <definedName name="abr.24" localSheetId="8">#REF!</definedName>
    <definedName name="abr.24" localSheetId="6">#REF!</definedName>
    <definedName name="abr.24" localSheetId="14">'Indice CAC'!#REF!</definedName>
    <definedName name="abr.24">'[1]Indice CAC'!#REF!</definedName>
    <definedName name="abr.25" localSheetId="14">'Indice CAC'!#REF!</definedName>
    <definedName name="abr.25">#REF!</definedName>
    <definedName name="abril23" localSheetId="7">#REF!</definedName>
    <definedName name="abril23" localSheetId="8">#REF!</definedName>
    <definedName name="abril23" localSheetId="6">#REF!</definedName>
    <definedName name="abril23" localSheetId="14">'Indice CAC'!#REF!</definedName>
    <definedName name="abril23">'[1]Indice CAC'!#REF!</definedName>
    <definedName name="abril24" localSheetId="7">#REF!</definedName>
    <definedName name="abril24" localSheetId="8">#REF!</definedName>
    <definedName name="abril24" localSheetId="6">#REF!</definedName>
    <definedName name="abril24" localSheetId="14">'Indice CAC'!#REF!</definedName>
    <definedName name="abril24">'[1]Indice CAC'!#REF!</definedName>
    <definedName name="acdul" localSheetId="14">#REF!</definedName>
    <definedName name="acdul">#REF!</definedName>
    <definedName name="Acero" localSheetId="14">#REF!</definedName>
    <definedName name="Acero">#REF!</definedName>
    <definedName name="acero1200" localSheetId="14">#REF!</definedName>
    <definedName name="acero1200">#REF!</definedName>
    <definedName name="acesp" localSheetId="14">#REF!</definedName>
    <definedName name="acesp">#REF!</definedName>
    <definedName name="acindec" localSheetId="14">#REF!</definedName>
    <definedName name="acindec">#REF!</definedName>
    <definedName name="aCLaccesoreadec" localSheetId="14">#REF!</definedName>
    <definedName name="aCLaccesoreadec">#REF!</definedName>
    <definedName name="aCLacondct" localSheetId="14">#REF!</definedName>
    <definedName name="aCLacondct">#REF!</definedName>
    <definedName name="aCLalcantarilla" localSheetId="14">#REF!</definedName>
    <definedName name="aCLalcantarilla">#REF!</definedName>
    <definedName name="aCLalteo" localSheetId="14">#REF!</definedName>
    <definedName name="aCLalteo">#REF!</definedName>
    <definedName name="aCLalteoreadec" localSheetId="14">#REF!</definedName>
    <definedName name="aCLalteoreadec">#REF!</definedName>
    <definedName name="aclam" localSheetId="14">#REF!</definedName>
    <definedName name="aclam">#REF!</definedName>
    <definedName name="aCLApartido" localSheetId="14">#REF!</definedName>
    <definedName name="aCLApartido">#REF!</definedName>
    <definedName name="aCLapoyos" localSheetId="14">#REF!</definedName>
    <definedName name="aCLapoyos">#REF!</definedName>
    <definedName name="aCLbacheo" localSheetId="14">#REF!</definedName>
    <definedName name="aCLbacheo">#REF!</definedName>
    <definedName name="aCLbacheosan">#REF!</definedName>
    <definedName name="aCLbandason">#REF!</definedName>
    <definedName name="aCLbanquina">#REF!</definedName>
    <definedName name="aCLbaranda" localSheetId="14">#REF!</definedName>
    <definedName name="aCLbaranda">#REF!</definedName>
    <definedName name="aCLbase" localSheetId="14">#REF!</definedName>
    <definedName name="aCLbase">#REF!</definedName>
    <definedName name="aCLcabezales" localSheetId="14">#REF!</definedName>
    <definedName name="aCLcabezales">#REF!</definedName>
    <definedName name="aCLcalzadas" localSheetId="14">#REF!</definedName>
    <definedName name="aCLcalzadas">#REF!</definedName>
    <definedName name="aCLcarpeta">#REF!</definedName>
    <definedName name="aCLcarpetariego">#REF!</definedName>
    <definedName name="aCLCCura">#REF!</definedName>
    <definedName name="aCLCCurareadec" localSheetId="14">#REF!</definedName>
    <definedName name="aCLCCurareadec">#REF!</definedName>
    <definedName name="aCLciclovía" localSheetId="14">#REF!</definedName>
    <definedName name="aCLciclovía">#REF!</definedName>
    <definedName name="aCLciclovíareadec" localSheetId="14">#REF!</definedName>
    <definedName name="aCLciclovíareadec">#REF!</definedName>
    <definedName name="aCLcolumnas" localSheetId="14">#REF!</definedName>
    <definedName name="aCLcolumnas">#REF!</definedName>
    <definedName name="aCLcortepasto" localSheetId="14">#REF!</definedName>
    <definedName name="aCLcortepasto">#REF!</definedName>
    <definedName name="aCLdemolicion" localSheetId="14">#REF!</definedName>
    <definedName name="aCLdemolicion">#REF!</definedName>
    <definedName name="aCLdesembanque">#REF!</definedName>
    <definedName name="aCLdren" localSheetId="14">#REF!</definedName>
    <definedName name="aCLdren">#REF!</definedName>
    <definedName name="aCLescarifbanq" localSheetId="14">#REF!</definedName>
    <definedName name="aCLescarifbanq">#REF!</definedName>
    <definedName name="aCLescarificado" localSheetId="14">#REF!</definedName>
    <definedName name="aCLescarificado">#REF!</definedName>
    <definedName name="aCLestribos" localSheetId="14">#REF!</definedName>
    <definedName name="aCLestribos">#REF!</definedName>
    <definedName name="aCLexcavacion" localSheetId="14">#REF!</definedName>
    <definedName name="aCLexcavacion">#REF!</definedName>
    <definedName name="aCLexcavacionreadec" localSheetId="14">#REF!</definedName>
    <definedName name="aCLexcavacionreadec">#REF!</definedName>
    <definedName name="aCLgaviones" localSheetId="14">#REF!</definedName>
    <definedName name="aCLgaviones">#REF!</definedName>
    <definedName name="aCLhorC" localSheetId="14">#REF!</definedName>
    <definedName name="aCLhorC">#REF!</definedName>
    <definedName name="aCLhormigon" localSheetId="14">#REF!</definedName>
    <definedName name="aCLhormigon">#REF!</definedName>
    <definedName name="aCLimprimacion" localSheetId="14">#REF!</definedName>
    <definedName name="aCLimprimacion">#REF!</definedName>
    <definedName name="aCLimprimacionreadec" localSheetId="14">#REF!</definedName>
    <definedName name="aCLimprimacionreadec">#REF!</definedName>
    <definedName name="aCLimprimrefor" localSheetId="14">#REF!</definedName>
    <definedName name="aCLimprimrefor">#REF!</definedName>
    <definedName name="aCLinvernal" localSheetId="14">#REF!</definedName>
    <definedName name="aCLinvernal">#REF!</definedName>
    <definedName name="aCLjunta" localSheetId="14">#REF!</definedName>
    <definedName name="aCLjunta">#REF!</definedName>
    <definedName name="aCLjuntadil">#REF!</definedName>
    <definedName name="aCLjuntas">#REF!</definedName>
    <definedName name="aCLlimpieza">#REF!</definedName>
    <definedName name="aCLlimpseñales">#REF!</definedName>
    <definedName name="aCLlimptransp" localSheetId="14">#REF!</definedName>
    <definedName name="aCLlimptransp">#REF!</definedName>
    <definedName name="aCLlosa" localSheetId="14">#REF!</definedName>
    <definedName name="aCLlosa">#REF!</definedName>
    <definedName name="aCLmicroaglom" localSheetId="14">#REF!</definedName>
    <definedName name="aCLmicroaglom">#REF!</definedName>
    <definedName name="aCLmicroaglomreadec" localSheetId="14">#REF!</definedName>
    <definedName name="aCLmicroaglomreadec">#REF!</definedName>
    <definedName name="aCLmicroreadec" localSheetId="14">#REF!</definedName>
    <definedName name="aCLmicroreadec">#REF!</definedName>
    <definedName name="aCLmontaje" localSheetId="14">#REF!</definedName>
    <definedName name="aCLmontaje">#REF!</definedName>
    <definedName name="aCLpasamano" localSheetId="14">#REF!</definedName>
    <definedName name="aCLpasamano">#REF!</definedName>
    <definedName name="aCLperfilado" localSheetId="14">#REF!</definedName>
    <definedName name="aCLperfilado">#REF!</definedName>
    <definedName name="aCLpilotes" localSheetId="14">#REF!</definedName>
    <definedName name="aCLpilotes">#REF!</definedName>
    <definedName name="aCLpintado" localSheetId="14">#REF!</definedName>
    <definedName name="aCLpintado">#REF!</definedName>
    <definedName name="aCLpretiles" localSheetId="14">#REF!</definedName>
    <definedName name="aCLpretiles">#REF!</definedName>
    <definedName name="aCLpretilesreadec" localSheetId="14">#REF!</definedName>
    <definedName name="aCLpretilesreadec">#REF!</definedName>
    <definedName name="aCLprolongacion" localSheetId="14">#REF!</definedName>
    <definedName name="aCLprolongacion">#REF!</definedName>
    <definedName name="aCLproteccion" localSheetId="14">#REF!</definedName>
    <definedName name="aCLproteccion">#REF!</definedName>
    <definedName name="aCLrelleno" localSheetId="14">#REF!</definedName>
    <definedName name="aCLrelleno">#REF!</definedName>
    <definedName name="aCLrellenoreadec" localSheetId="14">#REF!</definedName>
    <definedName name="aCLrellenoreadec">#REF!</definedName>
    <definedName name="aCLrep8026" localSheetId="14">#REF!</definedName>
    <definedName name="aCLrep8026">#REF!</definedName>
    <definedName name="aCLrep8026readec" localSheetId="14">#REF!</definedName>
    <definedName name="aCLrep8026readec">#REF!</definedName>
    <definedName name="aCLrepalc" localSheetId="14">#REF!</definedName>
    <definedName name="aCLrepalc">#REF!</definedName>
    <definedName name="aCLrestdrenaje" localSheetId="14">#REF!</definedName>
    <definedName name="aCLrestdrenaje">#REF!</definedName>
    <definedName name="aCLretderrumbe" localSheetId="14">#REF!</definedName>
    <definedName name="aCLretderrumbe">#REF!</definedName>
    <definedName name="aCLretrecolbaranda" localSheetId="14">#REF!</definedName>
    <definedName name="aCLretrecolbaranda">#REF!</definedName>
    <definedName name="aCLRHermoso" localSheetId="14">#REF!</definedName>
    <definedName name="aCLRHermoso">#REF!</definedName>
    <definedName name="aCLRHermosoreadec" localSheetId="14">#REF!</definedName>
    <definedName name="aCLRHermosoreadec">#REF!</definedName>
    <definedName name="aCLriego" localSheetId="14">#REF!</definedName>
    <definedName name="aCLriego">#REF!</definedName>
    <definedName name="aCLrotondas" localSheetId="14">#REF!</definedName>
    <definedName name="aCLrotondas">#REF!</definedName>
    <definedName name="aCLsandef" localSheetId="14">#REF!</definedName>
    <definedName name="aCLsandef">#REF!</definedName>
    <definedName name="aCLsellado" localSheetId="14">#REF!</definedName>
    <definedName name="aCLsellado">#REF!</definedName>
    <definedName name="aCLsenda" localSheetId="14">#REF!</definedName>
    <definedName name="aCLsenda">#REF!</definedName>
    <definedName name="aCLsendareadec" localSheetId="14">#REF!</definedName>
    <definedName name="aCLsendareadec">#REF!</definedName>
    <definedName name="aCLseñalamiento" localSheetId="14">#REF!</definedName>
    <definedName name="aCLseñalamiento">#REF!</definedName>
    <definedName name="aCLseñalextrusion" localSheetId="14">#REF!</definedName>
    <definedName name="aCLseñalextrusion">#REF!</definedName>
    <definedName name="aCLseñalizacion" localSheetId="14">#REF!</definedName>
    <definedName name="aCLseñalizacion">#REF!</definedName>
    <definedName name="aCLseñalvertreadec" localSheetId="14">#REF!</definedName>
    <definedName name="aCLseñalvertreadec">#REF!</definedName>
    <definedName name="aCLsistdren1071" localSheetId="14">#REF!</definedName>
    <definedName name="aCLsistdren1071">#REF!</definedName>
    <definedName name="aCLsubbase" localSheetId="14">#REF!</definedName>
    <definedName name="aCLsubbase">#REF!</definedName>
    <definedName name="aCLterraplen" localSheetId="14">#REF!</definedName>
    <definedName name="aCLterraplen">#REF!</definedName>
    <definedName name="aCLterrapreadec" localSheetId="14">#REF!</definedName>
    <definedName name="aCLterrapreadec">#REF!</definedName>
    <definedName name="aCLterrsincomp" localSheetId="14">#REF!</definedName>
    <definedName name="aCLterrsincomp">#REF!</definedName>
    <definedName name="aCLtravesia" localSheetId="14">#REF!</definedName>
    <definedName name="aCLtravesia">#REF!</definedName>
    <definedName name="aCLvigas" localSheetId="14">#REF!</definedName>
    <definedName name="aCLvigas">#REF!</definedName>
    <definedName name="ACTUAL" localSheetId="7">'[2]#REF'!$J$5:$J$5</definedName>
    <definedName name="ACTUAL" localSheetId="8">'[2]#REF'!$J$5:$J$5</definedName>
    <definedName name="ACTUAL" localSheetId="6">'[2]#REF'!$J$5:$J$5</definedName>
    <definedName name="ACTUAL">#REF!</definedName>
    <definedName name="ACUEDUCTO_A_LOS_FRENTONES_Y_H._CAMPO" localSheetId="14">#REF!</definedName>
    <definedName name="ACUEDUCTO_A_LOS_FRENTONES_Y_H._CAMPO">#REF!</definedName>
    <definedName name="ACUEDUCTO_A_PAMPA_DEL_INDIO" localSheetId="14">#REF!</definedName>
    <definedName name="ACUEDUCTO_A_PAMPA_DEL_INDIO">#REF!</definedName>
    <definedName name="ACUEDUCTO_A_S._SYLVINA_Y_v._BERTHET" localSheetId="14">#REF!</definedName>
    <definedName name="ACUEDUCTO_A_S._SYLVINA_Y_v._BERTHET">#REF!</definedName>
    <definedName name="ACUMULADA">#REF!</definedName>
    <definedName name="ACUMULADO" localSheetId="14">#REF!</definedName>
    <definedName name="ACUMULADO">#REF!</definedName>
    <definedName name="Adecuación" localSheetId="12">L2C1:L372C15</definedName>
    <definedName name="Adecuación" localSheetId="13">L2C1:L372C15</definedName>
    <definedName name="Adecuación" localSheetId="7">L2C1:L372C15</definedName>
    <definedName name="Adecuación" localSheetId="15">L2C1:L372C15</definedName>
    <definedName name="Adecuación" localSheetId="16">L2C1:L372C15</definedName>
    <definedName name="Adecuación" localSheetId="17">L2C1:L372C15</definedName>
    <definedName name="Adecuación" localSheetId="4">L2C1:L372C15</definedName>
    <definedName name="Adecuación" localSheetId="8">L2C1:L372C15</definedName>
    <definedName name="Adecuación" localSheetId="9">L2C1:L372C15</definedName>
    <definedName name="Adecuación" localSheetId="6">L2C1:L372C15</definedName>
    <definedName name="Adecuación" localSheetId="14">L2C1:L372C15</definedName>
    <definedName name="Adecuación" localSheetId="11">L2C1:L372C15</definedName>
    <definedName name="Adecuación" localSheetId="10">L2C1:L372C15</definedName>
    <definedName name="Adecuación" localSheetId="0">L2C1:L372C15</definedName>
    <definedName name="Adecuación" localSheetId="1">L2C1:L372C15</definedName>
    <definedName name="Adecuación" localSheetId="2">L2C1:L372C15</definedName>
    <definedName name="Adecuación">L2C1:L372C15</definedName>
    <definedName name="ADICT" localSheetId="14">#REF!</definedName>
    <definedName name="ADICT">#REF!</definedName>
    <definedName name="ADICT1" localSheetId="14">#REF!</definedName>
    <definedName name="ADICT1">#REF!</definedName>
    <definedName name="aeir" localSheetId="14">#REF!</definedName>
    <definedName name="aeir">#REF!</definedName>
    <definedName name="ago.22" localSheetId="7">#REF!</definedName>
    <definedName name="ago.22" localSheetId="8">#REF!</definedName>
    <definedName name="ago.22" localSheetId="6">#REF!</definedName>
    <definedName name="ago.22" localSheetId="14">'Indice CAC'!#REF!</definedName>
    <definedName name="ago.22">'[1]Indice CAC'!#REF!</definedName>
    <definedName name="ago.23" localSheetId="7">#REF!</definedName>
    <definedName name="ago.23" localSheetId="8">#REF!</definedName>
    <definedName name="ago.23" localSheetId="6">#REF!</definedName>
    <definedName name="ago.23" localSheetId="14">'Indice CAC'!#REF!</definedName>
    <definedName name="ago.23">'[1]Indice CAC'!#REF!</definedName>
    <definedName name="ago.24" localSheetId="7">#REF!</definedName>
    <definedName name="ago.24" localSheetId="8">#REF!</definedName>
    <definedName name="ago.24" localSheetId="6">#REF!</definedName>
    <definedName name="ago.24" localSheetId="14">'Indice CAC'!#REF!</definedName>
    <definedName name="ago.24">'[1]Indice CAC'!#REF!</definedName>
    <definedName name="agos22" localSheetId="7">#REF!</definedName>
    <definedName name="agos22" localSheetId="8">#REF!</definedName>
    <definedName name="agos22" localSheetId="6">#REF!</definedName>
    <definedName name="agos22" localSheetId="14">'Indice CAC'!#REF!</definedName>
    <definedName name="agos22">'[1]Indice CAC'!#REF!</definedName>
    <definedName name="agos23" localSheetId="7">#REF!</definedName>
    <definedName name="agos23" localSheetId="8">#REF!</definedName>
    <definedName name="agos23" localSheetId="6">#REF!</definedName>
    <definedName name="agos23" localSheetId="14">'Indice CAC'!#REF!</definedName>
    <definedName name="agos23">'[1]Indice CAC'!#REF!</definedName>
    <definedName name="agos24" localSheetId="7">#REF!</definedName>
    <definedName name="agos24" localSheetId="8">#REF!</definedName>
    <definedName name="agos24" localSheetId="6">#REF!</definedName>
    <definedName name="agos24" localSheetId="14">'Indice CAC'!#REF!</definedName>
    <definedName name="agos24">'[1]Indice CAC'!#REF!</definedName>
    <definedName name="AIML" localSheetId="4">#REF!</definedName>
    <definedName name="AIML" localSheetId="5">#REF!</definedName>
    <definedName name="AIML" localSheetId="3">#REF!</definedName>
    <definedName name="AIML" localSheetId="9">#REF!</definedName>
    <definedName name="AIML" localSheetId="14">#REF!</definedName>
    <definedName name="AIML">#REF!</definedName>
    <definedName name="AISS" localSheetId="4">#REF!</definedName>
    <definedName name="AISS" localSheetId="3">#REF!</definedName>
    <definedName name="AISS" localSheetId="9">#REF!</definedName>
    <definedName name="AISS" localSheetId="14">#REF!</definedName>
    <definedName name="AISS">#REF!</definedName>
    <definedName name="ALFA" localSheetId="14">#REF!</definedName>
    <definedName name="ALFA">#REF!</definedName>
    <definedName name="alfa_s" localSheetId="14">#REF!</definedName>
    <definedName name="alfa_s">#REF!</definedName>
    <definedName name="alfa_s_c" localSheetId="14">#REF!</definedName>
    <definedName name="alfa_s_c">#REF!</definedName>
    <definedName name="ALTR" localSheetId="9">#REF!</definedName>
    <definedName name="ALTR" localSheetId="14">#REF!</definedName>
    <definedName name="ALTR">#REF!</definedName>
    <definedName name="am1cañodren" localSheetId="14">#REF!</definedName>
    <definedName name="am1cañodren">#REF!</definedName>
    <definedName name="am1cemento" localSheetId="14">#REF!</definedName>
    <definedName name="am1cemento">#REF!</definedName>
    <definedName name="am1hierro" localSheetId="14">#REF!</definedName>
    <definedName name="am1hierro">#REF!</definedName>
    <definedName name="aMacceso">#REF!</definedName>
    <definedName name="aMaccesoreadec" localSheetId="14">#REF!</definedName>
    <definedName name="aMaccesoreadec">#REF!</definedName>
    <definedName name="aMacondct" localSheetId="14">#REF!</definedName>
    <definedName name="aMacondct">#REF!</definedName>
    <definedName name="aMalcantarilla" localSheetId="14">#REF!</definedName>
    <definedName name="aMalcantarilla">#REF!</definedName>
    <definedName name="aMalteo" localSheetId="14">#REF!</definedName>
    <definedName name="aMalteo">#REF!</definedName>
    <definedName name="aMalteoreadec" localSheetId="14">#REF!</definedName>
    <definedName name="aMalteoreadec">#REF!</definedName>
    <definedName name="aMApartido" localSheetId="14">#REF!</definedName>
    <definedName name="aMApartido">#REF!</definedName>
    <definedName name="aMapoyos" localSheetId="14">#REF!</definedName>
    <definedName name="aMapoyos">#REF!</definedName>
    <definedName name="aMbacheo" localSheetId="14">#REF!</definedName>
    <definedName name="aMbacheo">#REF!</definedName>
    <definedName name="aMbacheosan">#REF!</definedName>
    <definedName name="aMbandason">#REF!</definedName>
    <definedName name="aMbanquina">#REF!</definedName>
    <definedName name="aMbaranda" localSheetId="14">#REF!</definedName>
    <definedName name="aMbaranda">#REF!</definedName>
    <definedName name="aMbase" localSheetId="14">#REF!</definedName>
    <definedName name="aMbase">#REF!</definedName>
    <definedName name="aMcabezales" localSheetId="14">#REF!</definedName>
    <definedName name="aMcabezales">#REF!</definedName>
    <definedName name="aMcalzadas" localSheetId="14">#REF!</definedName>
    <definedName name="aMcalzadas">#REF!</definedName>
    <definedName name="aMcarpeta">#REF!</definedName>
    <definedName name="aMcarpetariego">#REF!</definedName>
    <definedName name="aMCCura">#REF!</definedName>
    <definedName name="aMCCurareadec" localSheetId="14">#REF!</definedName>
    <definedName name="aMCCurareadec">#REF!</definedName>
    <definedName name="aMciclovía" localSheetId="14">#REF!</definedName>
    <definedName name="aMciclovía">#REF!</definedName>
    <definedName name="aMciclovíareadec" localSheetId="14">#REF!</definedName>
    <definedName name="aMciclovíareadec">#REF!</definedName>
    <definedName name="aMcolumnas" localSheetId="14">#REF!</definedName>
    <definedName name="aMcolumnas">#REF!</definedName>
    <definedName name="aMcortepasto" localSheetId="14">#REF!</definedName>
    <definedName name="aMcortepasto">#REF!</definedName>
    <definedName name="aMdemolicion" localSheetId="14">#REF!</definedName>
    <definedName name="aMdemolicion">#REF!</definedName>
    <definedName name="aMdesembanque">#REF!</definedName>
    <definedName name="aMdren" localSheetId="14">#REF!</definedName>
    <definedName name="aMdren">#REF!</definedName>
    <definedName name="AMEA" localSheetId="9">#REF!</definedName>
    <definedName name="AMEA" localSheetId="14">#REF!</definedName>
    <definedName name="AMEA">#REF!</definedName>
    <definedName name="aMEacceso" localSheetId="14">#REF!</definedName>
    <definedName name="aMEacceso">#REF!</definedName>
    <definedName name="aMEaccesoreadec" localSheetId="14">#REF!</definedName>
    <definedName name="aMEaccesoreadec">#REF!</definedName>
    <definedName name="aMEacondct" localSheetId="14">#REF!</definedName>
    <definedName name="aMEacondct">#REF!</definedName>
    <definedName name="aMEalcantarilla" localSheetId="14">#REF!</definedName>
    <definedName name="aMEalcantarilla">#REF!</definedName>
    <definedName name="aMEalteo" localSheetId="14">#REF!</definedName>
    <definedName name="aMEalteo">#REF!</definedName>
    <definedName name="aMEalteoreadec" localSheetId="14">#REF!</definedName>
    <definedName name="aMEalteoreadec">#REF!</definedName>
    <definedName name="aMEApartido" localSheetId="14">#REF!</definedName>
    <definedName name="aMEApartido">#REF!</definedName>
    <definedName name="aMEapoyos" localSheetId="14">#REF!</definedName>
    <definedName name="aMEapoyos">#REF!</definedName>
    <definedName name="aMEbacheo" localSheetId="14">#REF!</definedName>
    <definedName name="aMEbacheo">#REF!</definedName>
    <definedName name="aMEbacheosan">#REF!</definedName>
    <definedName name="aMEbandason">#REF!</definedName>
    <definedName name="aMEbanquina">#REF!</definedName>
    <definedName name="aMEbaranda" localSheetId="14">#REF!</definedName>
    <definedName name="aMEbaranda">#REF!</definedName>
    <definedName name="AMEC" localSheetId="14">#REF!</definedName>
    <definedName name="AMEC">#REF!</definedName>
    <definedName name="aMEcabezales" localSheetId="14">#REF!</definedName>
    <definedName name="aMEcabezales">#REF!</definedName>
    <definedName name="aMEcalzadas" localSheetId="14">#REF!</definedName>
    <definedName name="aMEcalzadas">#REF!</definedName>
    <definedName name="aMEcarpeta" localSheetId="14">#REF!</definedName>
    <definedName name="aMEcarpeta">#REF!</definedName>
    <definedName name="aMEcarpetariego">#REF!</definedName>
    <definedName name="aMECCura">#REF!</definedName>
    <definedName name="aMECCurareadec" localSheetId="14">#REF!</definedName>
    <definedName name="aMECCurareadec">#REF!</definedName>
    <definedName name="aMEciclovía" localSheetId="14">#REF!</definedName>
    <definedName name="aMEciclovía">#REF!</definedName>
    <definedName name="aMEciclovíareadec" localSheetId="14">#REF!</definedName>
    <definedName name="aMEciclovíareadec">#REF!</definedName>
    <definedName name="AMECL" localSheetId="14">#REF!</definedName>
    <definedName name="AMECL">#REF!</definedName>
    <definedName name="aMEcolumnas" localSheetId="14">#REF!</definedName>
    <definedName name="aMEcolumnas">#REF!</definedName>
    <definedName name="aMEcortepasto" localSheetId="14">#REF!</definedName>
    <definedName name="aMEcortepasto">#REF!</definedName>
    <definedName name="AMECT" localSheetId="14">#REF!</definedName>
    <definedName name="AMECT">#REF!</definedName>
    <definedName name="aMEdemolicion" localSheetId="14">#REF!</definedName>
    <definedName name="aMEdemolicion">#REF!</definedName>
    <definedName name="aMEdesembanque" localSheetId="14">#REF!</definedName>
    <definedName name="aMEdesembanque">#REF!</definedName>
    <definedName name="aMEdren" localSheetId="14">#REF!</definedName>
    <definedName name="aMEdren">#REF!</definedName>
    <definedName name="AMEE" localSheetId="14">#REF!</definedName>
    <definedName name="AMEE">#REF!</definedName>
    <definedName name="aMEescarifbanq" localSheetId="14">#REF!</definedName>
    <definedName name="aMEescarifbanq">#REF!</definedName>
    <definedName name="aMEescarificado" localSheetId="14">#REF!</definedName>
    <definedName name="aMEescarificado">#REF!</definedName>
    <definedName name="aMEescarificadoreadec" localSheetId="14">#REF!</definedName>
    <definedName name="aMEescarificadoreadec">#REF!</definedName>
    <definedName name="aMEestribos" localSheetId="14">#REF!</definedName>
    <definedName name="aMEestribos">#REF!</definedName>
    <definedName name="aMEexcavacion" localSheetId="14">#REF!</definedName>
    <definedName name="aMEexcavacion">#REF!</definedName>
    <definedName name="aMEexcavacionreadec" localSheetId="14">#REF!</definedName>
    <definedName name="aMEexcavacionreadec">#REF!</definedName>
    <definedName name="AMEF" localSheetId="14">#REF!</definedName>
    <definedName name="AMEF">#REF!</definedName>
    <definedName name="AMEG" localSheetId="14">#REF!</definedName>
    <definedName name="AMEG">#REF!</definedName>
    <definedName name="aMEgaviones" localSheetId="14">#REF!</definedName>
    <definedName name="aMEgaviones">#REF!</definedName>
    <definedName name="aMEHermosoreadec" localSheetId="14">#REF!</definedName>
    <definedName name="aMEHermosoreadec">#REF!</definedName>
    <definedName name="aMEhorC" localSheetId="14">#REF!</definedName>
    <definedName name="aMEhorC">#REF!</definedName>
    <definedName name="aMEhormigon" localSheetId="14">#REF!</definedName>
    <definedName name="aMEhormigon">#REF!</definedName>
    <definedName name="aMEimprimacion" localSheetId="14">#REF!</definedName>
    <definedName name="aMEimprimacion">#REF!</definedName>
    <definedName name="aMEimprimacionreadec" localSheetId="14">#REF!</definedName>
    <definedName name="aMEimprimacionreadec">#REF!</definedName>
    <definedName name="aMEimprimrefor" localSheetId="14">#REF!</definedName>
    <definedName name="aMEimprimrefor">#REF!</definedName>
    <definedName name="aMEinvernal" localSheetId="14">#REF!</definedName>
    <definedName name="aMEinvernal">#REF!</definedName>
    <definedName name="aMEjunta" localSheetId="14">#REF!</definedName>
    <definedName name="aMEjunta">#REF!</definedName>
    <definedName name="aMEjuntadil">#REF!</definedName>
    <definedName name="aMEjuntas">#REF!</definedName>
    <definedName name="aMElimpieza">#REF!</definedName>
    <definedName name="aMElimpseñales">#REF!</definedName>
    <definedName name="aMElimptransp" localSheetId="14">#REF!</definedName>
    <definedName name="aMElimptransp">#REF!</definedName>
    <definedName name="aMElosa" localSheetId="14">#REF!</definedName>
    <definedName name="aMElosa">#REF!</definedName>
    <definedName name="aMEmicroaglom" localSheetId="14">#REF!</definedName>
    <definedName name="aMEmicroaglom">#REF!</definedName>
    <definedName name="aMEmicroaglomreadec" localSheetId="14">#REF!</definedName>
    <definedName name="aMEmicroaglomreadec">#REF!</definedName>
    <definedName name="aMEmicroreadec" localSheetId="14">#REF!</definedName>
    <definedName name="aMEmicroreadec">#REF!</definedName>
    <definedName name="aMEmontaje" localSheetId="14">#REF!</definedName>
    <definedName name="aMEmontaje">#REF!</definedName>
    <definedName name="aMEpasamano" localSheetId="14">#REF!</definedName>
    <definedName name="aMEpasamano">#REF!</definedName>
    <definedName name="aMEperfilado" localSheetId="14">#REF!</definedName>
    <definedName name="aMEperfilado">#REF!</definedName>
    <definedName name="aMEpilotes" localSheetId="14">#REF!</definedName>
    <definedName name="aMEpilotes">#REF!</definedName>
    <definedName name="aMEpintado" localSheetId="14">#REF!</definedName>
    <definedName name="aMEpintado">#REF!</definedName>
    <definedName name="aMEpretiles" localSheetId="14">#REF!</definedName>
    <definedName name="aMEpretiles">#REF!</definedName>
    <definedName name="aMEpretilesreadec" localSheetId="14">#REF!</definedName>
    <definedName name="aMEpretilesreadec">#REF!</definedName>
    <definedName name="aMEprolongacion" localSheetId="14">#REF!</definedName>
    <definedName name="aMEprolongacion">#REF!</definedName>
    <definedName name="aMEprolongacionreadec" localSheetId="14">#REF!</definedName>
    <definedName name="aMEprolongacionreadec">#REF!</definedName>
    <definedName name="aMEproteccion" localSheetId="14">#REF!</definedName>
    <definedName name="aMEproteccion">#REF!</definedName>
    <definedName name="aMErelleno" localSheetId="14">#REF!</definedName>
    <definedName name="aMErelleno">#REF!</definedName>
    <definedName name="aMErellenoreadec" localSheetId="14">#REF!</definedName>
    <definedName name="aMErellenoreadec">#REF!</definedName>
    <definedName name="aMErep8026" localSheetId="14">#REF!</definedName>
    <definedName name="aMErep8026">#REF!</definedName>
    <definedName name="aMErep8026readec" localSheetId="14">#REF!</definedName>
    <definedName name="aMErep8026readec">#REF!</definedName>
    <definedName name="aMErepalc" localSheetId="14">#REF!</definedName>
    <definedName name="aMErepalc">#REF!</definedName>
    <definedName name="aMErestdrenaje" localSheetId="14">#REF!</definedName>
    <definedName name="aMErestdrenaje">#REF!</definedName>
    <definedName name="aMErestdrenajereadec" localSheetId="14">#REF!</definedName>
    <definedName name="aMErestdrenajereadec">#REF!</definedName>
    <definedName name="aMEretderrumbe" localSheetId="14">#REF!</definedName>
    <definedName name="aMEretderrumbe">#REF!</definedName>
    <definedName name="aMEretrecolbaranda" localSheetId="14">#REF!</definedName>
    <definedName name="aMEretrecolbaranda">#REF!</definedName>
    <definedName name="aMERHermoso" localSheetId="14">#REF!</definedName>
    <definedName name="aMERHermoso">#REF!</definedName>
    <definedName name="aMEriego" localSheetId="14">#REF!</definedName>
    <definedName name="aMEriego">#REF!</definedName>
    <definedName name="aMErotondas" localSheetId="14">#REF!</definedName>
    <definedName name="aMErotondas">#REF!</definedName>
    <definedName name="aMEsandef" localSheetId="14">#REF!</definedName>
    <definedName name="aMEsandef">#REF!</definedName>
    <definedName name="aMescarifbanq" localSheetId="14">#REF!</definedName>
    <definedName name="aMescarifbanq">#REF!</definedName>
    <definedName name="aMescarificado" localSheetId="14">#REF!</definedName>
    <definedName name="aMescarificado">#REF!</definedName>
    <definedName name="aMEsellado" localSheetId="14">#REF!</definedName>
    <definedName name="aMEsellado">#REF!</definedName>
    <definedName name="aMEsenda">#REF!</definedName>
    <definedName name="aMEsendareadec" localSheetId="14">#REF!</definedName>
    <definedName name="aMEsendareadec">#REF!</definedName>
    <definedName name="aMEseñalamiento" localSheetId="14">#REF!</definedName>
    <definedName name="aMEseñalamiento">#REF!</definedName>
    <definedName name="aMEseñalamientoreadec" localSheetId="14">#REF!</definedName>
    <definedName name="aMEseñalamientoreadec">#REF!</definedName>
    <definedName name="aMEseñalextrusion" localSheetId="14">#REF!</definedName>
    <definedName name="aMEseñalextrusion">#REF!</definedName>
    <definedName name="aMEseñalextrusionreadec" localSheetId="14">#REF!</definedName>
    <definedName name="aMEseñalextrusionreadec">#REF!</definedName>
    <definedName name="aMEseñalizacion" localSheetId="14">#REF!</definedName>
    <definedName name="aMEseñalizacion">#REF!</definedName>
    <definedName name="aMEseñalizacionreadec" localSheetId="14">#REF!</definedName>
    <definedName name="aMEseñalizacionreadec">#REF!</definedName>
    <definedName name="aMEseñalvertreadec" localSheetId="14">#REF!</definedName>
    <definedName name="aMEseñalvertreadec">#REF!</definedName>
    <definedName name="aMEsistdren1071" localSheetId="14">#REF!</definedName>
    <definedName name="aMEsistdren1071">#REF!</definedName>
    <definedName name="aMestribos" localSheetId="14">#REF!</definedName>
    <definedName name="aMestribos">#REF!</definedName>
    <definedName name="aMEsubbase" localSheetId="14">#REF!</definedName>
    <definedName name="aMEsubbase">#REF!</definedName>
    <definedName name="aMEterraplen" localSheetId="14">#REF!</definedName>
    <definedName name="aMEterraplen">#REF!</definedName>
    <definedName name="aMEterrapreadec" localSheetId="14">#REF!</definedName>
    <definedName name="aMEterrapreadec">#REF!</definedName>
    <definedName name="aMEterrsincomp" localSheetId="14">#REF!</definedName>
    <definedName name="aMEterrsincomp">#REF!</definedName>
    <definedName name="aMEtravesia" localSheetId="14">#REF!</definedName>
    <definedName name="aMEtravesia">#REF!</definedName>
    <definedName name="aMEvigas" localSheetId="14">#REF!</definedName>
    <definedName name="aMEvigas">#REF!</definedName>
    <definedName name="aMexcavacion">#REF!</definedName>
    <definedName name="aMexcavacionreadec" localSheetId="14">#REF!</definedName>
    <definedName name="aMexcavacionreadec">#REF!</definedName>
    <definedName name="aMgaviones" localSheetId="14">#REF!</definedName>
    <definedName name="aMgaviones">#REF!</definedName>
    <definedName name="aMHermosoreadec" localSheetId="14">#REF!</definedName>
    <definedName name="aMHermosoreadec">#REF!</definedName>
    <definedName name="aMhorC" localSheetId="14">#REF!</definedName>
    <definedName name="aMhorC">#REF!</definedName>
    <definedName name="aMhormigon" localSheetId="14">#REF!</definedName>
    <definedName name="aMhormigon">#REF!</definedName>
    <definedName name="aMimprimacion" localSheetId="14">#REF!</definedName>
    <definedName name="aMimprimacion">#REF!</definedName>
    <definedName name="aMimprimacionreadec" localSheetId="14">#REF!</definedName>
    <definedName name="aMimprimacionreadec">#REF!</definedName>
    <definedName name="aMimprimrefor" localSheetId="14">#REF!</definedName>
    <definedName name="aMimprimrefor">#REF!</definedName>
    <definedName name="aMinvernal" localSheetId="14">#REF!</definedName>
    <definedName name="aMinvernal">#REF!</definedName>
    <definedName name="aMjunta" localSheetId="14">#REF!</definedName>
    <definedName name="aMjunta">#REF!</definedName>
    <definedName name="aMjuntadil">#REF!</definedName>
    <definedName name="aMjuntas">#REF!</definedName>
    <definedName name="aMlimpieza">#REF!</definedName>
    <definedName name="aMlimpseñales">#REF!</definedName>
    <definedName name="aMlimptransp" localSheetId="14">#REF!</definedName>
    <definedName name="aMlimptransp">#REF!</definedName>
    <definedName name="aMlosa" localSheetId="14">#REF!</definedName>
    <definedName name="aMlosa">#REF!</definedName>
    <definedName name="aMmatbase" localSheetId="14">#REF!</definedName>
    <definedName name="aMmatbase">#REF!</definedName>
    <definedName name="aMmicroaglem" localSheetId="14">#REF!</definedName>
    <definedName name="aMmicroaglem">#REF!</definedName>
    <definedName name="aMmicroaglom" localSheetId="14">#REF!</definedName>
    <definedName name="aMmicroaglom">#REF!</definedName>
    <definedName name="aMmicroaglomreadec" localSheetId="14">#REF!</definedName>
    <definedName name="aMmicroaglomreadec">#REF!</definedName>
    <definedName name="aMmicroreadec" localSheetId="14">#REF!</definedName>
    <definedName name="aMmicroreadec">#REF!</definedName>
    <definedName name="aMmontaje" localSheetId="14">#REF!</definedName>
    <definedName name="aMmontaje">#REF!</definedName>
    <definedName name="aMOacceso" localSheetId="14">#REF!</definedName>
    <definedName name="aMOacceso">#REF!</definedName>
    <definedName name="aMOaccesoreadec" localSheetId="14">#REF!</definedName>
    <definedName name="aMOaccesoreadec">#REF!</definedName>
    <definedName name="aMOacondct" localSheetId="14">#REF!</definedName>
    <definedName name="aMOacondct">#REF!</definedName>
    <definedName name="aMOalcantarilla" localSheetId="14">#REF!</definedName>
    <definedName name="aMOalcantarilla">#REF!</definedName>
    <definedName name="aMOalcantarillareadec" localSheetId="14">#REF!</definedName>
    <definedName name="aMOalcantarillareadec">#REF!</definedName>
    <definedName name="aMOalteo" localSheetId="14">#REF!</definedName>
    <definedName name="aMOalteo">#REF!</definedName>
    <definedName name="aMOalteoreadec" localSheetId="14">#REF!</definedName>
    <definedName name="aMOalteoreadec">#REF!</definedName>
    <definedName name="aMOApartido" localSheetId="14">#REF!</definedName>
    <definedName name="aMOApartido">#REF!</definedName>
    <definedName name="aMOapoyos" localSheetId="14">#REF!</definedName>
    <definedName name="aMOapoyos">#REF!</definedName>
    <definedName name="aMObacheo" localSheetId="14">#REF!</definedName>
    <definedName name="aMObacheo">#REF!</definedName>
    <definedName name="aMObacheosan">#REF!</definedName>
    <definedName name="aMObandason">#REF!</definedName>
    <definedName name="aMObanquina">#REF!</definedName>
    <definedName name="aMObaranda" localSheetId="14">#REF!</definedName>
    <definedName name="aMObaranda">#REF!</definedName>
    <definedName name="aMObarandareadec" localSheetId="14">#REF!</definedName>
    <definedName name="aMObarandareadec">#REF!</definedName>
    <definedName name="aMObase" localSheetId="14">#REF!</definedName>
    <definedName name="aMObase">#REF!</definedName>
    <definedName name="aMOcabezales" localSheetId="14">#REF!</definedName>
    <definedName name="aMOcabezales">#REF!</definedName>
    <definedName name="aMOcalzadahorm" localSheetId="14">#REF!</definedName>
    <definedName name="aMOcalzadahorm">#REF!</definedName>
    <definedName name="aMOcalzadas" localSheetId="14">#REF!</definedName>
    <definedName name="aMOcalzadas">#REF!</definedName>
    <definedName name="aMOcarpeta">#REF!</definedName>
    <definedName name="aMOcarpetariego">#REF!</definedName>
    <definedName name="aMOCCura">#REF!</definedName>
    <definedName name="aMOCCurareadec" localSheetId="14">#REF!</definedName>
    <definedName name="aMOCCurareadec">#REF!</definedName>
    <definedName name="aMOciclovía" localSheetId="14">#REF!</definedName>
    <definedName name="aMOciclovía">#REF!</definedName>
    <definedName name="aMOciclovíareadec" localSheetId="14">#REF!</definedName>
    <definedName name="aMOciclovíareadec">#REF!</definedName>
    <definedName name="aMOcolumnas" localSheetId="14">#REF!</definedName>
    <definedName name="aMOcolumnas">#REF!</definedName>
    <definedName name="aMOcortepasto" localSheetId="14">#REF!</definedName>
    <definedName name="aMOcortepasto">#REF!</definedName>
    <definedName name="aMOdemolicion" localSheetId="14">#REF!</definedName>
    <definedName name="aMOdemolicion">#REF!</definedName>
    <definedName name="aMOdesembanque">#REF!</definedName>
    <definedName name="aMOdren" localSheetId="14">#REF!</definedName>
    <definedName name="aMOdren">#REF!</definedName>
    <definedName name="aMOescarifbanq" localSheetId="14">#REF!</definedName>
    <definedName name="aMOescarifbanq">#REF!</definedName>
    <definedName name="aMOescarificado" localSheetId="14">#REF!</definedName>
    <definedName name="aMOescarificado">#REF!</definedName>
    <definedName name="aMOestribos" localSheetId="14">#REF!</definedName>
    <definedName name="aMOestribos">#REF!</definedName>
    <definedName name="aMOexcavacion" localSheetId="14">#REF!</definedName>
    <definedName name="aMOexcavacion">#REF!</definedName>
    <definedName name="aMOexcavacionreadec" localSheetId="14">#REF!</definedName>
    <definedName name="aMOexcavacionreadec">#REF!</definedName>
    <definedName name="aMOgaviones" localSheetId="14">#REF!</definedName>
    <definedName name="aMOgaviones">#REF!</definedName>
    <definedName name="aMOHermosoreadec" localSheetId="14">#REF!</definedName>
    <definedName name="aMOHermosoreadec">#REF!</definedName>
    <definedName name="aMOhorC" localSheetId="14">#REF!</definedName>
    <definedName name="aMOhorC">#REF!</definedName>
    <definedName name="aMOhormigon" localSheetId="14">#REF!</definedName>
    <definedName name="aMOhormigon">#REF!</definedName>
    <definedName name="aMOimprimacion" localSheetId="14">#REF!</definedName>
    <definedName name="aMOimprimacion">#REF!</definedName>
    <definedName name="aMOimprimacionreadec" localSheetId="14">#REF!</definedName>
    <definedName name="aMOimprimacionreadec">#REF!</definedName>
    <definedName name="aMOimprimrefor" localSheetId="14">#REF!</definedName>
    <definedName name="aMOimprimrefor">#REF!</definedName>
    <definedName name="aMOinvernal" localSheetId="14">#REF!</definedName>
    <definedName name="aMOinvernal">#REF!</definedName>
    <definedName name="aMOjunta" localSheetId="14">#REF!</definedName>
    <definedName name="aMOjunta">#REF!</definedName>
    <definedName name="aMOjuntadil">#REF!</definedName>
    <definedName name="aMOjuntas">#REF!</definedName>
    <definedName name="aMOlimpieza">#REF!</definedName>
    <definedName name="aMOlimpseñales">#REF!</definedName>
    <definedName name="aMOlimptransp" localSheetId="14">#REF!</definedName>
    <definedName name="aMOlimptransp">#REF!</definedName>
    <definedName name="aMOlosa" localSheetId="14">#REF!</definedName>
    <definedName name="aMOlosa">#REF!</definedName>
    <definedName name="aMOmatbase" localSheetId="14">#REF!</definedName>
    <definedName name="aMOmatbase">#REF!</definedName>
    <definedName name="aMOmicroaglom" localSheetId="14">#REF!</definedName>
    <definedName name="aMOmicroaglom">#REF!</definedName>
    <definedName name="aMOmicroaglomreadec" localSheetId="14">#REF!</definedName>
    <definedName name="aMOmicroaglomreadec">#REF!</definedName>
    <definedName name="aMOmicroreadec" localSheetId="14">#REF!</definedName>
    <definedName name="aMOmicroreadec">#REF!</definedName>
    <definedName name="aMOmontaje" localSheetId="14">#REF!</definedName>
    <definedName name="aMOmontaje">#REF!</definedName>
    <definedName name="aMOpasamano" localSheetId="14">#REF!</definedName>
    <definedName name="aMOpasamano">#REF!</definedName>
    <definedName name="aMOperfilado" localSheetId="14">#REF!</definedName>
    <definedName name="aMOperfilado">#REF!</definedName>
    <definedName name="aMOpintado" localSheetId="14">#REF!</definedName>
    <definedName name="aMOpintado">#REF!</definedName>
    <definedName name="aMOpretiles" localSheetId="14">#REF!</definedName>
    <definedName name="aMOpretiles">#REF!</definedName>
    <definedName name="aMOpretilesreadec" localSheetId="14">#REF!</definedName>
    <definedName name="aMOpretilesreadec">#REF!</definedName>
    <definedName name="aMOprolongacion" localSheetId="14">#REF!</definedName>
    <definedName name="aMOprolongacion">#REF!</definedName>
    <definedName name="aMOprolongacionreadec" localSheetId="14">#REF!</definedName>
    <definedName name="aMOprolongacionreadec">#REF!</definedName>
    <definedName name="aMOproteccion" localSheetId="14">#REF!</definedName>
    <definedName name="aMOproteccion">#REF!</definedName>
    <definedName name="aMOrelleno" localSheetId="14">#REF!</definedName>
    <definedName name="aMOrelleno">#REF!</definedName>
    <definedName name="aMOrellenoreadec" localSheetId="14">#REF!</definedName>
    <definedName name="aMOrellenoreadec">#REF!</definedName>
    <definedName name="aMOrep8026" localSheetId="14">#REF!</definedName>
    <definedName name="aMOrep8026">#REF!</definedName>
    <definedName name="aMOrep8026readec" localSheetId="14">#REF!</definedName>
    <definedName name="aMOrep8026readec">#REF!</definedName>
    <definedName name="aMOrepalc" localSheetId="14">#REF!</definedName>
    <definedName name="aMOrepalc">#REF!</definedName>
    <definedName name="aMOrestdrenaje" localSheetId="14">#REF!</definedName>
    <definedName name="aMOrestdrenaje">#REF!</definedName>
    <definedName name="aMOrestdrenajereadec" localSheetId="14">#REF!</definedName>
    <definedName name="aMOrestdrenajereadec">#REF!</definedName>
    <definedName name="aMOretderrumbe" localSheetId="14">#REF!</definedName>
    <definedName name="aMOretderrumbe">#REF!</definedName>
    <definedName name="aMOretrecolbaranda" localSheetId="14">#REF!</definedName>
    <definedName name="aMOretrecolbaranda">#REF!</definedName>
    <definedName name="aMOrexcavacion" localSheetId="14">#REF!</definedName>
    <definedName name="aMOrexcavacion">#REF!</definedName>
    <definedName name="aMORHermoso" localSheetId="14">#REF!</definedName>
    <definedName name="aMORHermoso">#REF!</definedName>
    <definedName name="aMOriego" localSheetId="14">#REF!</definedName>
    <definedName name="aMOriego">#REF!</definedName>
    <definedName name="aMOrotondas">#REF!</definedName>
    <definedName name="aMOsandef" localSheetId="14">#REF!</definedName>
    <definedName name="aMOsandef">#REF!</definedName>
    <definedName name="aMOsellado" localSheetId="14">#REF!</definedName>
    <definedName name="aMOsellado">#REF!</definedName>
    <definedName name="aMOsenda" localSheetId="14">#REF!</definedName>
    <definedName name="aMOsenda">#REF!</definedName>
    <definedName name="aMOsendareadec" localSheetId="14">#REF!</definedName>
    <definedName name="aMOsendareadec">#REF!</definedName>
    <definedName name="aMOseñalamiento" localSheetId="14">#REF!</definedName>
    <definedName name="aMOseñalamiento">#REF!</definedName>
    <definedName name="aMOseñalamientoreadec" localSheetId="14">#REF!</definedName>
    <definedName name="aMOseñalamientoreadec">#REF!</definedName>
    <definedName name="aMOseñalextrusion" localSheetId="14">#REF!</definedName>
    <definedName name="aMOseñalextrusion">#REF!</definedName>
    <definedName name="aMOseñalextrusionreadec" localSheetId="14">#REF!</definedName>
    <definedName name="aMOseñalextrusionreadec">#REF!</definedName>
    <definedName name="aMOseñalizacion" localSheetId="14">#REF!</definedName>
    <definedName name="aMOseñalizacion">#REF!</definedName>
    <definedName name="aMOseñalizacionreadec" localSheetId="14">#REF!</definedName>
    <definedName name="aMOseñalizacionreadec">#REF!</definedName>
    <definedName name="aMOseñalvertreadec" localSheetId="14">#REF!</definedName>
    <definedName name="aMOseñalvertreadec">#REF!</definedName>
    <definedName name="aMOsistdren1071" localSheetId="14">#REF!</definedName>
    <definedName name="aMOsistdren1071">#REF!</definedName>
    <definedName name="aMOsubbase" localSheetId="14">#REF!</definedName>
    <definedName name="aMOsubbase">#REF!</definedName>
    <definedName name="aMOterraplen" localSheetId="14">#REF!</definedName>
    <definedName name="aMOterraplen">#REF!</definedName>
    <definedName name="aMOterrapreadec" localSheetId="14">#REF!</definedName>
    <definedName name="aMOterrapreadec">#REF!</definedName>
    <definedName name="aMOterrsincomp" localSheetId="14">#REF!</definedName>
    <definedName name="aMOterrsincomp">#REF!</definedName>
    <definedName name="aMOtravesia" localSheetId="14">#REF!</definedName>
    <definedName name="aMOtravesia">#REF!</definedName>
    <definedName name="aMOvigas" localSheetId="14">#REF!</definedName>
    <definedName name="aMOvigas">#REF!</definedName>
    <definedName name="aMpasamano">#REF!</definedName>
    <definedName name="aMperfilado" localSheetId="14">#REF!</definedName>
    <definedName name="aMperfilado">#REF!</definedName>
    <definedName name="aMpilotes" localSheetId="14">#REF!</definedName>
    <definedName name="aMpilotes">#REF!</definedName>
    <definedName name="aMpintado" localSheetId="14">#REF!</definedName>
    <definedName name="aMpintado">#REF!</definedName>
    <definedName name="aMpretiles" localSheetId="14">#REF!</definedName>
    <definedName name="aMpretiles">#REF!</definedName>
    <definedName name="aMpretilesreadec" localSheetId="14">#REF!</definedName>
    <definedName name="aMpretilesreadec">#REF!</definedName>
    <definedName name="aMprolongacion" localSheetId="14">#REF!</definedName>
    <definedName name="aMprolongacion">#REF!</definedName>
    <definedName name="aMprolongacionreadec" localSheetId="14">#REF!</definedName>
    <definedName name="aMprolongacionreadec">#REF!</definedName>
    <definedName name="aMproteccion" localSheetId="14">#REF!</definedName>
    <definedName name="aMproteccion">#REF!</definedName>
    <definedName name="aMrelleno" localSheetId="14">#REF!</definedName>
    <definedName name="aMrelleno">#REF!</definedName>
    <definedName name="aMrellenoreadec" localSheetId="14">#REF!</definedName>
    <definedName name="aMrellenoreadec">#REF!</definedName>
    <definedName name="aMrep8026" localSheetId="14">#REF!</definedName>
    <definedName name="aMrep8026">#REF!</definedName>
    <definedName name="aMrep8026readec" localSheetId="14">#REF!</definedName>
    <definedName name="aMrep8026readec">#REF!</definedName>
    <definedName name="aMrepalc" localSheetId="14">#REF!</definedName>
    <definedName name="aMrepalc">#REF!</definedName>
    <definedName name="aMrestdrenaje" localSheetId="14">#REF!</definedName>
    <definedName name="aMrestdrenaje">#REF!</definedName>
    <definedName name="aMrestdrenajereadec" localSheetId="14">#REF!</definedName>
    <definedName name="aMrestdrenajereadec">#REF!</definedName>
    <definedName name="aMretderrumbe" localSheetId="14">#REF!</definedName>
    <definedName name="aMretderrumbe">#REF!</definedName>
    <definedName name="aMretrecolbaranda" localSheetId="14">#REF!</definedName>
    <definedName name="aMretrecolbaranda">#REF!</definedName>
    <definedName name="aMRHermoso" localSheetId="14">#REF!</definedName>
    <definedName name="aMRHermoso">#REF!</definedName>
    <definedName name="aMriego" localSheetId="14">#REF!</definedName>
    <definedName name="aMriego">#REF!</definedName>
    <definedName name="aMrotondas" localSheetId="14">#REF!</definedName>
    <definedName name="aMrotondas">#REF!</definedName>
    <definedName name="aMsandef" localSheetId="14">#REF!</definedName>
    <definedName name="aMsandef">#REF!</definedName>
    <definedName name="aMsellado" localSheetId="14">#REF!</definedName>
    <definedName name="aMsellado">#REF!</definedName>
    <definedName name="aMsenda" localSheetId="14">#REF!</definedName>
    <definedName name="aMsenda">#REF!</definedName>
    <definedName name="aMsendareadec" localSheetId="14">#REF!</definedName>
    <definedName name="aMsendareadec">#REF!</definedName>
    <definedName name="aMseñalamiento" localSheetId="14">#REF!</definedName>
    <definedName name="aMseñalamiento">#REF!</definedName>
    <definedName name="aMseñalamientoreadec" localSheetId="14">#REF!</definedName>
    <definedName name="aMseñalamientoreadec">#REF!</definedName>
    <definedName name="aMseñalextrusion" localSheetId="14">#REF!</definedName>
    <definedName name="aMseñalextrusion">#REF!</definedName>
    <definedName name="aMseñalextrusionreadec" localSheetId="14">#REF!</definedName>
    <definedName name="aMseñalextrusionreadec">#REF!</definedName>
    <definedName name="aMseñalizacion" localSheetId="14">#REF!</definedName>
    <definedName name="aMseñalizacion">#REF!</definedName>
    <definedName name="aMseñalizacionreadec" localSheetId="14">#REF!</definedName>
    <definedName name="aMseñalizacionreadec">#REF!</definedName>
    <definedName name="aMseñalvertreadec" localSheetId="14">#REF!</definedName>
    <definedName name="aMseñalvertreadec">#REF!</definedName>
    <definedName name="aMsistdren1071" localSheetId="14">#REF!</definedName>
    <definedName name="aMsistdren1071">#REF!</definedName>
    <definedName name="aMsubbase" localSheetId="14">#REF!</definedName>
    <definedName name="aMsubbase">#REF!</definedName>
    <definedName name="AMTE" localSheetId="14">#REF!</definedName>
    <definedName name="AMTE">#REF!</definedName>
    <definedName name="aMterraplen" localSheetId="14">#REF!</definedName>
    <definedName name="aMterraplen">#REF!</definedName>
    <definedName name="aMterrapreadec" localSheetId="14">#REF!</definedName>
    <definedName name="aMterrapreadec">#REF!</definedName>
    <definedName name="aMterrsincomp" localSheetId="14">#REF!</definedName>
    <definedName name="aMterrsincomp">#REF!</definedName>
    <definedName name="aMtravesia" localSheetId="14">#REF!</definedName>
    <definedName name="aMtravesia">#REF!</definedName>
    <definedName name="aMvigas" localSheetId="14">#REF!</definedName>
    <definedName name="aMvigas">#REF!</definedName>
    <definedName name="Ana_Cent_Com" localSheetId="14">#REF!</definedName>
    <definedName name="Ana_Cent_Com">#REF!</definedName>
    <definedName name="Ana_Ed_3" localSheetId="14">#REF!</definedName>
    <definedName name="Ana_Ed_3">#REF!</definedName>
    <definedName name="Ana_Edi_1" localSheetId="14">#REF!</definedName>
    <definedName name="Ana_Edi_1">#REF!</definedName>
    <definedName name="Ana_Edi_2" localSheetId="14">#REF!</definedName>
    <definedName name="Ana_Edi_2">#REF!</definedName>
    <definedName name="Ana_Edi_2_Var" localSheetId="14">#REF!</definedName>
    <definedName name="Ana_Edi_2_Var">#REF!</definedName>
    <definedName name="Ana_Edi_3_Var" localSheetId="14">#REF!</definedName>
    <definedName name="Ana_Edi_3_Var">#REF!</definedName>
    <definedName name="Ana_OEX" localSheetId="14">#REF!</definedName>
    <definedName name="Ana_OEX">#REF!</definedName>
    <definedName name="Ana_Resumen" localSheetId="14">#REF!</definedName>
    <definedName name="Ana_Resumen">#REF!</definedName>
    <definedName name="ANAE1" localSheetId="7">#REF!</definedName>
    <definedName name="ANAE1" localSheetId="4">#REF!</definedName>
    <definedName name="ANAE1" localSheetId="5">#REF!</definedName>
    <definedName name="ANAE1" localSheetId="8">#REF!</definedName>
    <definedName name="ANAE1" localSheetId="3">#REF!</definedName>
    <definedName name="ANAE1" localSheetId="9">#REF!</definedName>
    <definedName name="ANAE1" localSheetId="6">#REF!</definedName>
    <definedName name="ANAE1" localSheetId="14">#REF!</definedName>
    <definedName name="ANAE1" localSheetId="0">#REF!</definedName>
    <definedName name="ANAE1" localSheetId="1">#REF!</definedName>
    <definedName name="ANAE1" localSheetId="2">#REF!</definedName>
    <definedName name="ANAE1">#REF!</definedName>
    <definedName name="analiprecios" localSheetId="12">#REF!</definedName>
    <definedName name="analiprecios" localSheetId="13">#REF!</definedName>
    <definedName name="analiprecios" localSheetId="7">#REF!</definedName>
    <definedName name="analiprecios" localSheetId="17">#REF!</definedName>
    <definedName name="analiprecios" localSheetId="4">#REF!</definedName>
    <definedName name="analiprecios" localSheetId="5">#REF!</definedName>
    <definedName name="analiprecios" localSheetId="8">#REF!</definedName>
    <definedName name="analiprecios" localSheetId="3">#REF!</definedName>
    <definedName name="analiprecios" localSheetId="6">#REF!</definedName>
    <definedName name="analiprecios" localSheetId="14">#REF!</definedName>
    <definedName name="analiprecios" localSheetId="11">#REF!</definedName>
    <definedName name="analiprecios" localSheetId="10">#REF!</definedName>
    <definedName name="analiprecios" localSheetId="0">#REF!</definedName>
    <definedName name="analiprecios" localSheetId="1">#REF!</definedName>
    <definedName name="analiprecios" localSheetId="2">#REF!</definedName>
    <definedName name="analiprecios">#REF!</definedName>
    <definedName name="ANALISIS" localSheetId="7">#REF!</definedName>
    <definedName name="ANALISIS" localSheetId="4">#REF!</definedName>
    <definedName name="ANALISIS" localSheetId="5">#REF!</definedName>
    <definedName name="ANALISIS" localSheetId="8">#REF!</definedName>
    <definedName name="ANALISIS" localSheetId="3">#REF!</definedName>
    <definedName name="ANALISIS" localSheetId="6">#REF!</definedName>
    <definedName name="ANALISIS" localSheetId="14">#REF!</definedName>
    <definedName name="ANALISIS" localSheetId="0">#REF!</definedName>
    <definedName name="ANALISIS" localSheetId="1">#REF!</definedName>
    <definedName name="ANALISIS" localSheetId="2">#REF!</definedName>
    <definedName name="ANALISIS">#REF!</definedName>
    <definedName name="AnalisisA">#REF!</definedName>
    <definedName name="AnalisisB">#REF!</definedName>
    <definedName name="AnalisisC">#REF!</definedName>
    <definedName name="analisisequipo" localSheetId="12">#REF!</definedName>
    <definedName name="analisisequipo" localSheetId="13">#REF!</definedName>
    <definedName name="analisisequipo" localSheetId="7">#REF!</definedName>
    <definedName name="analisisequipo" localSheetId="17">#REF!</definedName>
    <definedName name="analisisequipo" localSheetId="4">#REF!</definedName>
    <definedName name="analisisequipo" localSheetId="5">#REF!</definedName>
    <definedName name="analisisequipo" localSheetId="8">#REF!</definedName>
    <definedName name="analisisequipo" localSheetId="3">#REF!</definedName>
    <definedName name="analisisequipo" localSheetId="6">#REF!</definedName>
    <definedName name="analisisequipo" localSheetId="11">#REF!</definedName>
    <definedName name="analisisequipo" localSheetId="10">#REF!</definedName>
    <definedName name="analisisequipo" localSheetId="0">#REF!</definedName>
    <definedName name="analisisequipo" localSheetId="1">#REF!</definedName>
    <definedName name="analisisequipo" localSheetId="2">#REF!</definedName>
    <definedName name="analisisequipo">#REF!</definedName>
    <definedName name="analizado" localSheetId="14">#REF!</definedName>
    <definedName name="analizado">#REF!</definedName>
    <definedName name="angulo" localSheetId="14">#REF!</definedName>
    <definedName name="angulo">#REF!</definedName>
    <definedName name="angulo_lim" localSheetId="14">#REF!</definedName>
    <definedName name="angulo_lim">#REF!</definedName>
    <definedName name="angulolim" localSheetId="14">#REF!</definedName>
    <definedName name="angulolim">#REF!</definedName>
    <definedName name="angulolim_c" localSheetId="14">#REF!</definedName>
    <definedName name="angulolim_c">#REF!</definedName>
    <definedName name="ANTICIPO" localSheetId="14">#REF!</definedName>
    <definedName name="ANTICIPO">#REF!</definedName>
    <definedName name="AR" localSheetId="14">#REF!</definedName>
    <definedName name="AR">#REF!</definedName>
    <definedName name="Arand.">#REF!</definedName>
    <definedName name="ardos">#REF!</definedName>
    <definedName name="AREA_DE_IMPRESION">#REF!</definedName>
    <definedName name="AREA1" localSheetId="14">#REF!</definedName>
    <definedName name="AREA1">#REF!</definedName>
    <definedName name="AREA2" localSheetId="14">#REF!</definedName>
    <definedName name="AREA2">#REF!</definedName>
    <definedName name="arena" localSheetId="14">#REF!</definedName>
    <definedName name="arena">#REF!</definedName>
    <definedName name="AReq" localSheetId="14">#REF!</definedName>
    <definedName name="AReq">#REF!</definedName>
    <definedName name="Armadura" localSheetId="14">#REF!</definedName>
    <definedName name="Armadura">#REF!</definedName>
    <definedName name="armco" localSheetId="14">#REF!</definedName>
    <definedName name="armco">#REF!</definedName>
    <definedName name="armdis" localSheetId="14">#REF!</definedName>
    <definedName name="armdis">#REF!</definedName>
    <definedName name="ARR">#N/A</definedName>
    <definedName name="ARRA" localSheetId="4">#REF!</definedName>
    <definedName name="ARRA" localSheetId="5">#REF!</definedName>
    <definedName name="ARRA" localSheetId="3">#REF!</definedName>
    <definedName name="ARRA" localSheetId="9">#REF!</definedName>
    <definedName name="ARRA" localSheetId="14">#REF!</definedName>
    <definedName name="ARRA">#REF!</definedName>
    <definedName name="ARRC" localSheetId="4">#REF!</definedName>
    <definedName name="ARRC" localSheetId="3">#REF!</definedName>
    <definedName name="ARRC" localSheetId="9">#REF!</definedName>
    <definedName name="ARRC" localSheetId="14">#REF!</definedName>
    <definedName name="ARRC">#REF!</definedName>
    <definedName name="ARREM" localSheetId="9">#REF!</definedName>
    <definedName name="ARREM" localSheetId="14">#REF!</definedName>
    <definedName name="ARREM">#REF!</definedName>
    <definedName name="ARREP" localSheetId="9">#REF!</definedName>
    <definedName name="ARREP" localSheetId="14">#REF!</definedName>
    <definedName name="ARREP">#REF!</definedName>
    <definedName name="arriba" localSheetId="7">#REF!</definedName>
    <definedName name="arriba" localSheetId="4">#REF!</definedName>
    <definedName name="arriba" localSheetId="5">#REF!</definedName>
    <definedName name="arriba" localSheetId="8">#REF!</definedName>
    <definedName name="arriba" localSheetId="3">#REF!</definedName>
    <definedName name="arriba" localSheetId="9">#REF!</definedName>
    <definedName name="arriba" localSheetId="6">#REF!</definedName>
    <definedName name="arriba" localSheetId="14">#REF!</definedName>
    <definedName name="arriba" localSheetId="0">#REF!</definedName>
    <definedName name="arriba" localSheetId="1">#REF!</definedName>
    <definedName name="arriba" localSheetId="2">#REF!</definedName>
    <definedName name="arriba">#REF!</definedName>
    <definedName name="ARRRR" localSheetId="9">#REF!</definedName>
    <definedName name="ARRRR" localSheetId="14">#REF!</definedName>
    <definedName name="ARRRR">#REF!</definedName>
    <definedName name="ARSC" localSheetId="9">#REF!</definedName>
    <definedName name="ARSC" localSheetId="14">#REF!</definedName>
    <definedName name="ARSC">#REF!</definedName>
    <definedName name="ARSCE" localSheetId="14">#REF!</definedName>
    <definedName name="ARSCE">#REF!</definedName>
    <definedName name="ARSDA" localSheetId="14">#REF!</definedName>
    <definedName name="ARSDA">#REF!</definedName>
    <definedName name="ARSEC" localSheetId="14">#REF!</definedName>
    <definedName name="ARSEC">#REF!</definedName>
    <definedName name="ARSED" localSheetId="14">#REF!</definedName>
    <definedName name="ARSED">#REF!</definedName>
    <definedName name="ARSEM" localSheetId="14">#REF!</definedName>
    <definedName name="ARSEM">#REF!</definedName>
    <definedName name="ARSEP" localSheetId="14">#REF!</definedName>
    <definedName name="ARSEP">#REF!</definedName>
    <definedName name="ARSLE" localSheetId="14">#REF!</definedName>
    <definedName name="ARSLE">#REF!</definedName>
    <definedName name="ARSNA" localSheetId="14">#REF!</definedName>
    <definedName name="ARSNA">#REF!</definedName>
    <definedName name="ART" localSheetId="14">#REF!</definedName>
    <definedName name="ART">#REF!</definedName>
    <definedName name="ART_Cargo_Fijo" localSheetId="14">#REF!</definedName>
    <definedName name="ART_Cargo_Fijo">#REF!</definedName>
    <definedName name="aruno" localSheetId="14">#REF!</definedName>
    <definedName name="aruno">#REF!</definedName>
    <definedName name="as" localSheetId="14">#REF!</definedName>
    <definedName name="as">#REF!</definedName>
    <definedName name="asd" localSheetId="12">L2C1:L372C15</definedName>
    <definedName name="asd" localSheetId="13">L2C1:L372C15</definedName>
    <definedName name="asd" localSheetId="7">L2C1:L372C15</definedName>
    <definedName name="asd" localSheetId="15">L2C1:L372C15</definedName>
    <definedName name="asd" localSheetId="16">L2C1:L372C15</definedName>
    <definedName name="asd" localSheetId="17">L2C1:L372C15</definedName>
    <definedName name="asd" localSheetId="4">L2C1:L372C15</definedName>
    <definedName name="asd" localSheetId="8">L2C1:L372C15</definedName>
    <definedName name="asd" localSheetId="9">L2C1:L372C15</definedName>
    <definedName name="asd" localSheetId="6">L2C1:L372C15</definedName>
    <definedName name="asd" localSheetId="14">L2C1:L372C15</definedName>
    <definedName name="asd" localSheetId="11">L2C1:L372C15</definedName>
    <definedName name="asd" localSheetId="10">L2C1:L372C15</definedName>
    <definedName name="asd" localSheetId="0">L2C1:L372C15</definedName>
    <definedName name="asd" localSheetId="1">L2C1:L372C15</definedName>
    <definedName name="asd" localSheetId="2">L2C1:L372C15</definedName>
    <definedName name="asd">L2C1:L372C15</definedName>
    <definedName name="asdaaa" localSheetId="7">#REF!</definedName>
    <definedName name="asdaaa" localSheetId="4">#REF!</definedName>
    <definedName name="asdaaa" localSheetId="5">#REF!</definedName>
    <definedName name="asdaaa" localSheetId="8">#REF!</definedName>
    <definedName name="asdaaa" localSheetId="3">#REF!</definedName>
    <definedName name="asdaaa" localSheetId="9">#REF!</definedName>
    <definedName name="asdaaa" localSheetId="6">#REF!</definedName>
    <definedName name="asdaaa" localSheetId="14">#REF!</definedName>
    <definedName name="asdaaa" localSheetId="0">#REF!</definedName>
    <definedName name="asdaaa" localSheetId="1">#REF!</definedName>
    <definedName name="asdaaa" localSheetId="2">#REF!</definedName>
    <definedName name="asdaaa">#REF!</definedName>
    <definedName name="ASDAASD" localSheetId="12">L2C1:L372C15</definedName>
    <definedName name="ASDAASD" localSheetId="13">L2C1:L372C15</definedName>
    <definedName name="ASDAASD" localSheetId="7">L2C1:L372C15</definedName>
    <definedName name="ASDAASD" localSheetId="15">L2C1:L372C15</definedName>
    <definedName name="ASDAASD" localSheetId="16">L2C1:L372C15</definedName>
    <definedName name="ASDAASD" localSheetId="17">L2C1:L372C15</definedName>
    <definedName name="ASDAASD" localSheetId="4">L2C1:L372C15</definedName>
    <definedName name="ASDAASD" localSheetId="8">L2C1:L372C15</definedName>
    <definedName name="ASDAASD" localSheetId="9">L2C1:L372C15</definedName>
    <definedName name="ASDAASD" localSheetId="6">L2C1:L372C15</definedName>
    <definedName name="ASDAASD" localSheetId="14">L2C1:L372C15</definedName>
    <definedName name="ASDAASD" localSheetId="11">L2C1:L372C15</definedName>
    <definedName name="ASDAASD" localSheetId="10">L2C1:L372C15</definedName>
    <definedName name="ASDAASD" localSheetId="0">L2C1:L372C15</definedName>
    <definedName name="ASDAASD" localSheetId="1">L2C1:L372C15</definedName>
    <definedName name="ASDAASD" localSheetId="2">L2C1:L372C15</definedName>
    <definedName name="ASDAASD">L2C1:L372C15</definedName>
    <definedName name="asdis" localSheetId="14">#REF!</definedName>
    <definedName name="asdis">#REF!</definedName>
    <definedName name="asew" localSheetId="7">#REF!</definedName>
    <definedName name="asew" localSheetId="4">#REF!</definedName>
    <definedName name="asew" localSheetId="5">#REF!</definedName>
    <definedName name="asew" localSheetId="8">#REF!</definedName>
    <definedName name="asew" localSheetId="3">#REF!</definedName>
    <definedName name="asew" localSheetId="9">#REF!</definedName>
    <definedName name="asew" localSheetId="6">#REF!</definedName>
    <definedName name="asew" localSheetId="14">#REF!</definedName>
    <definedName name="asew" localSheetId="0">#REF!</definedName>
    <definedName name="asew" localSheetId="1">#REF!</definedName>
    <definedName name="asew" localSheetId="2">#REF!</definedName>
    <definedName name="asew">#REF!</definedName>
    <definedName name="Asistencia" localSheetId="14">#REF!</definedName>
    <definedName name="Asistencia">#REF!</definedName>
    <definedName name="at1cañodren" localSheetId="14">#REF!</definedName>
    <definedName name="at1cañodren">#REF!</definedName>
    <definedName name="at1cemento" localSheetId="14">#REF!</definedName>
    <definedName name="at1cemento">#REF!</definedName>
    <definedName name="at1hierro" localSheetId="14">#REF!</definedName>
    <definedName name="at1hierro">#REF!</definedName>
    <definedName name="aTacceso">#REF!</definedName>
    <definedName name="aTaccesoreadec" localSheetId="14">#REF!</definedName>
    <definedName name="aTaccesoreadec">#REF!</definedName>
    <definedName name="aTacondct" localSheetId="14">#REF!</definedName>
    <definedName name="aTacondct">#REF!</definedName>
    <definedName name="aTalcantarilla" localSheetId="14">#REF!</definedName>
    <definedName name="aTalcantarilla">#REF!</definedName>
    <definedName name="aTalcantarillareadec" localSheetId="14">#REF!</definedName>
    <definedName name="aTalcantarillareadec">#REF!</definedName>
    <definedName name="aTalteo" localSheetId="14">#REF!</definedName>
    <definedName name="aTalteo">#REF!</definedName>
    <definedName name="aTalteoreadec" localSheetId="14">#REF!</definedName>
    <definedName name="aTalteoreadec">#REF!</definedName>
    <definedName name="aTApartido" localSheetId="14">#REF!</definedName>
    <definedName name="aTApartido">#REF!</definedName>
    <definedName name="aTbacheo" localSheetId="14">#REF!</definedName>
    <definedName name="aTbacheo">#REF!</definedName>
    <definedName name="aTbacheosan" localSheetId="14">#REF!</definedName>
    <definedName name="aTbacheosan">#REF!</definedName>
    <definedName name="aTbandason">#REF!</definedName>
    <definedName name="aTbanquina">#REF!</definedName>
    <definedName name="aTbaranda" localSheetId="14">#REF!</definedName>
    <definedName name="aTbaranda">#REF!</definedName>
    <definedName name="aTbarandareadec" localSheetId="14">#REF!</definedName>
    <definedName name="aTbarandareadec">#REF!</definedName>
    <definedName name="aTbase" localSheetId="14">#REF!</definedName>
    <definedName name="aTbase">#REF!</definedName>
    <definedName name="aTcabezales" localSheetId="14">#REF!</definedName>
    <definedName name="aTcabezales">#REF!</definedName>
    <definedName name="aTcalzadahorm" localSheetId="14">#REF!</definedName>
    <definedName name="aTcalzadahorm">#REF!</definedName>
    <definedName name="aTcalzadas" localSheetId="14">#REF!</definedName>
    <definedName name="aTcalzadas">#REF!</definedName>
    <definedName name="aTcarpeta">#REF!</definedName>
    <definedName name="aTcarpetariego">#REF!</definedName>
    <definedName name="aTCCura">#REF!</definedName>
    <definedName name="aTCCurareadec" localSheetId="14">#REF!</definedName>
    <definedName name="aTCCurareadec">#REF!</definedName>
    <definedName name="aTciclovía" localSheetId="14">#REF!</definedName>
    <definedName name="aTciclovía">#REF!</definedName>
    <definedName name="aTciclovíareadec" localSheetId="14">#REF!</definedName>
    <definedName name="aTciclovíareadec">#REF!</definedName>
    <definedName name="aTcolumnas" localSheetId="14">#REF!</definedName>
    <definedName name="aTcolumnas">#REF!</definedName>
    <definedName name="aTcortepasto" localSheetId="14">#REF!</definedName>
    <definedName name="aTcortepasto">#REF!</definedName>
    <definedName name="aTdemolicion" localSheetId="14">#REF!</definedName>
    <definedName name="aTdemolicion">#REF!</definedName>
    <definedName name="aTdesembanque">#REF!</definedName>
    <definedName name="aTdren" localSheetId="14">#REF!</definedName>
    <definedName name="aTdren">#REF!</definedName>
    <definedName name="aTescarifbanq" localSheetId="14">#REF!</definedName>
    <definedName name="aTescarifbanq">#REF!</definedName>
    <definedName name="aTescarificado" localSheetId="14">#REF!</definedName>
    <definedName name="aTescarificado">#REF!</definedName>
    <definedName name="aTestribos" localSheetId="14">#REF!</definedName>
    <definedName name="aTestribos">#REF!</definedName>
    <definedName name="aTexcavacion" localSheetId="14">#REF!</definedName>
    <definedName name="aTexcavacion">#REF!</definedName>
    <definedName name="aTexcavacionreadec" localSheetId="14">#REF!</definedName>
    <definedName name="aTexcavacionreadec">#REF!</definedName>
    <definedName name="aTgaviones" localSheetId="14">#REF!</definedName>
    <definedName name="aTgaviones">#REF!</definedName>
    <definedName name="aTHermosoreadec" localSheetId="14">#REF!</definedName>
    <definedName name="aTHermosoreadec">#REF!</definedName>
    <definedName name="aThorC" localSheetId="14">#REF!</definedName>
    <definedName name="aThorC">#REF!</definedName>
    <definedName name="aThormigon" localSheetId="14">#REF!</definedName>
    <definedName name="aThormigon">#REF!</definedName>
    <definedName name="aTimprimacion" localSheetId="14">#REF!</definedName>
    <definedName name="aTimprimacion">#REF!</definedName>
    <definedName name="aTimprimacionreadec" localSheetId="14">#REF!</definedName>
    <definedName name="aTimprimacionreadec">#REF!</definedName>
    <definedName name="aTimprimrefor" localSheetId="14">#REF!</definedName>
    <definedName name="aTimprimrefor">#REF!</definedName>
    <definedName name="aTinvernal" localSheetId="14">#REF!</definedName>
    <definedName name="aTinvernal">#REF!</definedName>
    <definedName name="aTjunta" localSheetId="14">#REF!</definedName>
    <definedName name="aTjunta">#REF!</definedName>
    <definedName name="aTjuntadil">#REF!</definedName>
    <definedName name="aTjuntas">#REF!</definedName>
    <definedName name="aTlimpieza">#REF!</definedName>
    <definedName name="aTlimpseñales">#REF!</definedName>
    <definedName name="aTlimptransp" localSheetId="14">#REF!</definedName>
    <definedName name="aTlimptransp">#REF!</definedName>
    <definedName name="aTlosa" localSheetId="14">#REF!</definedName>
    <definedName name="aTlosa">#REF!</definedName>
    <definedName name="aTmatbase" localSheetId="14">#REF!</definedName>
    <definedName name="aTmatbase">#REF!</definedName>
    <definedName name="aTmicroaglom" localSheetId="14">#REF!</definedName>
    <definedName name="aTmicroaglom">#REF!</definedName>
    <definedName name="aTmicroaglomreadec" localSheetId="14">#REF!</definedName>
    <definedName name="aTmicroaglomreadec">#REF!</definedName>
    <definedName name="aTmicroreadec" localSheetId="14">#REF!</definedName>
    <definedName name="aTmicroreadec">#REF!</definedName>
    <definedName name="aTmontaje" localSheetId="14">#REF!</definedName>
    <definedName name="aTmontaje">#REF!</definedName>
    <definedName name="aTpasamano" localSheetId="14">#REF!</definedName>
    <definedName name="aTpasamano">#REF!</definedName>
    <definedName name="aTperfilado" localSheetId="14">#REF!</definedName>
    <definedName name="aTperfilado">#REF!</definedName>
    <definedName name="aTpilotes" localSheetId="14">#REF!</definedName>
    <definedName name="aTpilotes">#REF!</definedName>
    <definedName name="aTpintado" localSheetId="14">#REF!</definedName>
    <definedName name="aTpintado">#REF!</definedName>
    <definedName name="aTpretiles" localSheetId="14">#REF!</definedName>
    <definedName name="aTpretiles">#REF!</definedName>
    <definedName name="aTpretilesreadec" localSheetId="14">#REF!</definedName>
    <definedName name="aTpretilesreadec">#REF!</definedName>
    <definedName name="aTprolongacion" localSheetId="14">#REF!</definedName>
    <definedName name="aTprolongacion">#REF!</definedName>
    <definedName name="aTprolongacionreadec" localSheetId="14">#REF!</definedName>
    <definedName name="aTprolongacionreadec">#REF!</definedName>
    <definedName name="aTproteccion" localSheetId="14">#REF!</definedName>
    <definedName name="aTproteccion">#REF!</definedName>
    <definedName name="aTrelleno" localSheetId="14">#REF!</definedName>
    <definedName name="aTrelleno">#REF!</definedName>
    <definedName name="aTrellenoreadec" localSheetId="14">#REF!</definedName>
    <definedName name="aTrellenoreadec">#REF!</definedName>
    <definedName name="aTrep8026" localSheetId="14">#REF!</definedName>
    <definedName name="aTrep8026">#REF!</definedName>
    <definedName name="aTrep8026readec" localSheetId="14">#REF!</definedName>
    <definedName name="aTrep8026readec">#REF!</definedName>
    <definedName name="aTrepalc" localSheetId="14">#REF!</definedName>
    <definedName name="aTrepalc">#REF!</definedName>
    <definedName name="aTrepalcreadec" localSheetId="14">#REF!</definedName>
    <definedName name="aTrepalcreadec">#REF!</definedName>
    <definedName name="aTrestdrenaje" localSheetId="14">#REF!</definedName>
    <definedName name="aTrestdrenaje">#REF!</definedName>
    <definedName name="aTrestdrenajereadec" localSheetId="14">#REF!</definedName>
    <definedName name="aTrestdrenajereadec">#REF!</definedName>
    <definedName name="aTretderrumbe" localSheetId="14">#REF!</definedName>
    <definedName name="aTretderrumbe">#REF!</definedName>
    <definedName name="aTretrecolbaranda" localSheetId="14">#REF!</definedName>
    <definedName name="aTretrecolbaranda">#REF!</definedName>
    <definedName name="aTRHermoso" localSheetId="14">#REF!</definedName>
    <definedName name="aTRHermoso">#REF!</definedName>
    <definedName name="aTriego" localSheetId="14">#REF!</definedName>
    <definedName name="aTriego">#REF!</definedName>
    <definedName name="aTrotondas" localSheetId="14">#REF!</definedName>
    <definedName name="aTrotondas">#REF!</definedName>
    <definedName name="aTsandef" localSheetId="14">#REF!</definedName>
    <definedName name="aTsandef">#REF!</definedName>
    <definedName name="aTsellado" localSheetId="14">#REF!</definedName>
    <definedName name="aTsellado">#REF!</definedName>
    <definedName name="aTsenda" localSheetId="14">#REF!</definedName>
    <definedName name="aTsenda">#REF!</definedName>
    <definedName name="aTsendareadec" localSheetId="14">#REF!</definedName>
    <definedName name="aTsendareadec">#REF!</definedName>
    <definedName name="aTseñalamiento" localSheetId="14">#REF!</definedName>
    <definedName name="aTseñalamiento">#REF!</definedName>
    <definedName name="aTseñalamientoreadec" localSheetId="14">#REF!</definedName>
    <definedName name="aTseñalamientoreadec">#REF!</definedName>
    <definedName name="aTseñalextrusion" localSheetId="14">#REF!</definedName>
    <definedName name="aTseñalextrusion">#REF!</definedName>
    <definedName name="aTseñalextrusionreadec" localSheetId="14">#REF!</definedName>
    <definedName name="aTseñalextrusionreadec">#REF!</definedName>
    <definedName name="aTseñalizacion" localSheetId="14">#REF!</definedName>
    <definedName name="aTseñalizacion">#REF!</definedName>
    <definedName name="aTseñalizacionreadec" localSheetId="14">#REF!</definedName>
    <definedName name="aTseñalizacionreadec">#REF!</definedName>
    <definedName name="aTseñalvertreadec" localSheetId="14">#REF!</definedName>
    <definedName name="aTseñalvertreadec">#REF!</definedName>
    <definedName name="aTsistdren1071" localSheetId="14">#REF!</definedName>
    <definedName name="aTsistdren1071">#REF!</definedName>
    <definedName name="aTsubbase" localSheetId="14">#REF!</definedName>
    <definedName name="aTsubbase">#REF!</definedName>
    <definedName name="aTterraplen" localSheetId="14">#REF!</definedName>
    <definedName name="aTterraplen">#REF!</definedName>
    <definedName name="aTterrapreadec" localSheetId="14">#REF!</definedName>
    <definedName name="aTterrapreadec">#REF!</definedName>
    <definedName name="aTterrsincomp" localSheetId="14">#REF!</definedName>
    <definedName name="aTterrsincomp">#REF!</definedName>
    <definedName name="aTtravesia" localSheetId="14">#REF!</definedName>
    <definedName name="aTtravesia">#REF!</definedName>
    <definedName name="aTvigas" localSheetId="14">#REF!</definedName>
    <definedName name="aTvigas">#REF!</definedName>
    <definedName name="AUSENTISMO">#REF!</definedName>
    <definedName name="AUSENTISMO1">#REF!</definedName>
    <definedName name="AUT">#REF!</definedName>
    <definedName name="Aux_Ana">#REF!</definedName>
    <definedName name="Avance" localSheetId="12" hidden="1">{#N/A,#N/A,FALSE,"Monthly report";#N/A,#N/A,FALSE,"M.R. UEM";#N/A,#N/A,FALSE,"M.R. VCM"}</definedName>
    <definedName name="Avance" localSheetId="13" hidden="1">{#N/A,#N/A,FALSE,"Monthly report";#N/A,#N/A,FALSE,"M.R. UEM";#N/A,#N/A,FALSE,"M.R. VCM"}</definedName>
    <definedName name="Avance" localSheetId="7" hidden="1">{#N/A,#N/A,FALSE,"Monthly report";#N/A,#N/A,FALSE,"M.R. UEM";#N/A,#N/A,FALSE,"M.R. VCM"}</definedName>
    <definedName name="Avance" localSheetId="15" hidden="1">{#N/A,#N/A,FALSE,"Monthly report";#N/A,#N/A,FALSE,"M.R. UEM";#N/A,#N/A,FALSE,"M.R. VCM"}</definedName>
    <definedName name="Avance" localSheetId="16" hidden="1">{#N/A,#N/A,FALSE,"Monthly report";#N/A,#N/A,FALSE,"M.R. UEM";#N/A,#N/A,FALSE,"M.R. VCM"}</definedName>
    <definedName name="Avance" localSheetId="17" hidden="1">{#N/A,#N/A,FALSE,"Monthly report";#N/A,#N/A,FALSE,"M.R. UEM";#N/A,#N/A,FALSE,"M.R. VCM"}</definedName>
    <definedName name="Avance" localSheetId="8" hidden="1">{#N/A,#N/A,FALSE,"Monthly report";#N/A,#N/A,FALSE,"M.R. UEM";#N/A,#N/A,FALSE,"M.R. VCM"}</definedName>
    <definedName name="Avance" localSheetId="9" hidden="1">{#N/A,#N/A,FALSE,"Monthly report";#N/A,#N/A,FALSE,"M.R. UEM";#N/A,#N/A,FALSE,"M.R. VCM"}</definedName>
    <definedName name="Avance" localSheetId="6" hidden="1">{#N/A,#N/A,FALSE,"Monthly report";#N/A,#N/A,FALSE,"M.R. UEM";#N/A,#N/A,FALSE,"M.R. VCM"}</definedName>
    <definedName name="Avance" localSheetId="14" hidden="1">{#N/A,#N/A,FALSE,"Monthly report";#N/A,#N/A,FALSE,"M.R. UEM";#N/A,#N/A,FALSE,"M.R. VCM"}</definedName>
    <definedName name="Avance" localSheetId="11" hidden="1">{#N/A,#N/A,FALSE,"Monthly report";#N/A,#N/A,FALSE,"M.R. UEM";#N/A,#N/A,FALSE,"M.R. VCM"}</definedName>
    <definedName name="Avance" localSheetId="10" hidden="1">{#N/A,#N/A,FALSE,"Monthly report";#N/A,#N/A,FALSE,"M.R. UEM";#N/A,#N/A,FALSE,"M.R. VCM"}</definedName>
    <definedName name="Avance" localSheetId="0" hidden="1">{#N/A,#N/A,FALSE,"Monthly report";#N/A,#N/A,FALSE,"M.R. UEM";#N/A,#N/A,FALSE,"M.R. VCM"}</definedName>
    <definedName name="Avance" localSheetId="1" hidden="1">{#N/A,#N/A,FALSE,"Monthly report";#N/A,#N/A,FALSE,"M.R. UEM";#N/A,#N/A,FALSE,"M.R. VCM"}</definedName>
    <definedName name="Avance" localSheetId="2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2" localSheetId="12" hidden="1">{#N/A,#N/A,FALSE,"Monthly report";#N/A,#N/A,FALSE,"M.R. UEM";#N/A,#N/A,FALSE,"M.R. VCM"}</definedName>
    <definedName name="Avance2" localSheetId="13" hidden="1">{#N/A,#N/A,FALSE,"Monthly report";#N/A,#N/A,FALSE,"M.R. UEM";#N/A,#N/A,FALSE,"M.R. VCM"}</definedName>
    <definedName name="Avance2" localSheetId="7" hidden="1">{#N/A,#N/A,FALSE,"Monthly report";#N/A,#N/A,FALSE,"M.R. UEM";#N/A,#N/A,FALSE,"M.R. VCM"}</definedName>
    <definedName name="Avance2" localSheetId="15" hidden="1">{#N/A,#N/A,FALSE,"Monthly report";#N/A,#N/A,FALSE,"M.R. UEM";#N/A,#N/A,FALSE,"M.R. VCM"}</definedName>
    <definedName name="Avance2" localSheetId="16" hidden="1">{#N/A,#N/A,FALSE,"Monthly report";#N/A,#N/A,FALSE,"M.R. UEM";#N/A,#N/A,FALSE,"M.R. VCM"}</definedName>
    <definedName name="Avance2" localSheetId="17" hidden="1">{#N/A,#N/A,FALSE,"Monthly report";#N/A,#N/A,FALSE,"M.R. UEM";#N/A,#N/A,FALSE,"M.R. VCM"}</definedName>
    <definedName name="Avance2" localSheetId="8" hidden="1">{#N/A,#N/A,FALSE,"Monthly report";#N/A,#N/A,FALSE,"M.R. UEM";#N/A,#N/A,FALSE,"M.R. VCM"}</definedName>
    <definedName name="Avance2" localSheetId="9" hidden="1">{#N/A,#N/A,FALSE,"Monthly report";#N/A,#N/A,FALSE,"M.R. UEM";#N/A,#N/A,FALSE,"M.R. VCM"}</definedName>
    <definedName name="Avance2" localSheetId="6" hidden="1">{#N/A,#N/A,FALSE,"Monthly report";#N/A,#N/A,FALSE,"M.R. UEM";#N/A,#N/A,FALSE,"M.R. VCM"}</definedName>
    <definedName name="Avance2" localSheetId="14" hidden="1">{#N/A,#N/A,FALSE,"Monthly report";#N/A,#N/A,FALSE,"M.R. UEM";#N/A,#N/A,FALSE,"M.R. VCM"}</definedName>
    <definedName name="Avance2" localSheetId="11" hidden="1">{#N/A,#N/A,FALSE,"Monthly report";#N/A,#N/A,FALSE,"M.R. UEM";#N/A,#N/A,FALSE,"M.R. VCM"}</definedName>
    <definedName name="Avance2" localSheetId="10" hidden="1">{#N/A,#N/A,FALSE,"Monthly report";#N/A,#N/A,FALSE,"M.R. UEM";#N/A,#N/A,FALSE,"M.R. VCM"}</definedName>
    <definedName name="Avance2" localSheetId="0" hidden="1">{#N/A,#N/A,FALSE,"Monthly report";#N/A,#N/A,FALSE,"M.R. UEM";#N/A,#N/A,FALSE,"M.R. VCM"}</definedName>
    <definedName name="Avance2" localSheetId="1" hidden="1">{#N/A,#N/A,FALSE,"Monthly report";#N/A,#N/A,FALSE,"M.R. UEM";#N/A,#N/A,FALSE,"M.R. VCM"}</definedName>
    <definedName name="Avance2" localSheetId="2" hidden="1">{#N/A,#N/A,FALSE,"Monthly report";#N/A,#N/A,FALSE,"M.R. UEM";#N/A,#N/A,FALSE,"M.R. VCM"}</definedName>
    <definedName name="Avance2" hidden="1">{#N/A,#N/A,FALSE,"Monthly report";#N/A,#N/A,FALSE,"M.R. UEM";#N/A,#N/A,FALSE,"M.R. VCM"}</definedName>
    <definedName name="AVOL">#REF!</definedName>
    <definedName name="ayudante" localSheetId="7">#REF!</definedName>
    <definedName name="ayudante" localSheetId="4">#REF!</definedName>
    <definedName name="ayudante" localSheetId="5">#REF!</definedName>
    <definedName name="ayudante" localSheetId="8">#REF!</definedName>
    <definedName name="ayudante" localSheetId="3">#REF!</definedName>
    <definedName name="ayudante" localSheetId="6">#REF!</definedName>
    <definedName name="ayudante" localSheetId="14">#REF!</definedName>
    <definedName name="ayudante" localSheetId="0">#REF!</definedName>
    <definedName name="ayudante" localSheetId="1">#REF!</definedName>
    <definedName name="ayudante" localSheetId="2">#REF!</definedName>
    <definedName name="ayudante">#REF!</definedName>
    <definedName name="ayudante4" localSheetId="14">#REF!</definedName>
    <definedName name="ayudante4">#REF!</definedName>
    <definedName name="ayudante6" localSheetId="14">#REF!</definedName>
    <definedName name="ayudante6">#REF!</definedName>
    <definedName name="ayudante8" localSheetId="14">#REF!</definedName>
    <definedName name="ayudante8">#REF!</definedName>
    <definedName name="ayudr" localSheetId="14">#REF!</definedName>
    <definedName name="ayudr">#REF!</definedName>
    <definedName name="B" localSheetId="14">SUM(#REF!)</definedName>
    <definedName name="b">#REF!</definedName>
    <definedName name="B.1" localSheetId="14">#REF!</definedName>
    <definedName name="B.1">#REF!</definedName>
    <definedName name="B.2">#N/A</definedName>
    <definedName name="b_rec_h" localSheetId="14">#REF!</definedName>
    <definedName name="b_rec_h">#REF!</definedName>
    <definedName name="b_rec_v" localSheetId="14">#REF!</definedName>
    <definedName name="b_rec_v">#REF!</definedName>
    <definedName name="BASE" localSheetId="14">#REF!</definedName>
    <definedName name="BASE">#REF!</definedName>
    <definedName name="base_insumos" localSheetId="14">#REF!</definedName>
    <definedName name="base_insumos">#REF!</definedName>
    <definedName name="BASEABELSON" localSheetId="14">#REF!</definedName>
    <definedName name="BASEABELSON">#REF!</definedName>
    <definedName name="BASEINSU" localSheetId="12">L2C1:L372C15</definedName>
    <definedName name="BASEINSU" localSheetId="13">L2C1:L372C15</definedName>
    <definedName name="BASEINSU" localSheetId="7">L2C1:L372C15</definedName>
    <definedName name="BASEINSU" localSheetId="15">L2C1:L372C15</definedName>
    <definedName name="BASEINSU" localSheetId="16">L2C1:L372C15</definedName>
    <definedName name="BASEINSU" localSheetId="17">L2C1:L372C15</definedName>
    <definedName name="BASEINSU" localSheetId="4">L2C1:L372C15</definedName>
    <definedName name="BASEINSU" localSheetId="8">L2C1:L372C15</definedName>
    <definedName name="BASEINSU" localSheetId="9">L2C1:L372C15</definedName>
    <definedName name="BASEINSU" localSheetId="6">L2C1:L372C15</definedName>
    <definedName name="BASEINSU" localSheetId="14">L2C1:L372C15</definedName>
    <definedName name="BASEINSU" localSheetId="11">L2C1:L372C15</definedName>
    <definedName name="BASEINSU" localSheetId="10">L2C1:L372C15</definedName>
    <definedName name="BASEINSU" localSheetId="0">L2C1:L372C15</definedName>
    <definedName name="BASEINSU" localSheetId="1">L2C1:L372C15</definedName>
    <definedName name="BASEINSU" localSheetId="2">L2C1:L372C15</definedName>
    <definedName name="BASEINSU">L2C1:L372C15</definedName>
    <definedName name="baseinsumos" localSheetId="12">L2C1:L372C15</definedName>
    <definedName name="baseinsumos" localSheetId="13">L2C1:L372C15</definedName>
    <definedName name="baseinsumos" localSheetId="7">L2C1:L372C15</definedName>
    <definedName name="baseinsumos" localSheetId="15">L2C1:L372C15</definedName>
    <definedName name="baseinsumos" localSheetId="16">L2C1:L372C15</definedName>
    <definedName name="baseinsumos" localSheetId="17">L2C1:L372C15</definedName>
    <definedName name="baseinsumos" localSheetId="4">L2C1:L372C15</definedName>
    <definedName name="baseinsumos" localSheetId="8">L2C1:L372C15</definedName>
    <definedName name="baseinsumos" localSheetId="9">L2C1:L372C15</definedName>
    <definedName name="baseinsumos" localSheetId="6">L2C1:L372C15</definedName>
    <definedName name="baseinsumos" localSheetId="14">L2C1:L372C15</definedName>
    <definedName name="baseinsumos" localSheetId="11">L2C1:L372C15</definedName>
    <definedName name="baseinsumos" localSheetId="10">L2C1:L372C15</definedName>
    <definedName name="baseinsumos" localSheetId="0">L2C1:L372C15</definedName>
    <definedName name="baseinsumos" localSheetId="1">L2C1:L372C15</definedName>
    <definedName name="baseinsumos" localSheetId="2">L2C1:L372C15</definedName>
    <definedName name="baseinsumos">L2C1:L372C15</definedName>
    <definedName name="be" localSheetId="14">#REF!</definedName>
    <definedName name="be">#REF!</definedName>
    <definedName name="Beg_Bal" localSheetId="14">#REF!</definedName>
    <definedName name="Beg_Bal">#REF!</definedName>
    <definedName name="bene" localSheetId="12">#REF!</definedName>
    <definedName name="bene" localSheetId="13">#REF!</definedName>
    <definedName name="bene" localSheetId="7">#REF!</definedName>
    <definedName name="bene" localSheetId="17">#REF!</definedName>
    <definedName name="bene" localSheetId="4">#REF!</definedName>
    <definedName name="bene" localSheetId="5">#REF!</definedName>
    <definedName name="bene" localSheetId="8">#REF!</definedName>
    <definedName name="bene" localSheetId="3">#REF!</definedName>
    <definedName name="bene" localSheetId="6">#REF!</definedName>
    <definedName name="bene" localSheetId="14">#REF!</definedName>
    <definedName name="bene" localSheetId="11">#REF!</definedName>
    <definedName name="bene" localSheetId="10">#REF!</definedName>
    <definedName name="bene" localSheetId="0">#REF!</definedName>
    <definedName name="bene" localSheetId="1">#REF!</definedName>
    <definedName name="bene" localSheetId="2">#REF!</definedName>
    <definedName name="bene">#REF!</definedName>
    <definedName name="BENEFICIO">#REF!</definedName>
    <definedName name="BETA">#N/A</definedName>
    <definedName name="betar">#REF!</definedName>
    <definedName name="betar_c" localSheetId="14">#REF!</definedName>
    <definedName name="betar_c">#REF!</definedName>
    <definedName name="betas" localSheetId="14">#REF!</definedName>
    <definedName name="betas">#REF!</definedName>
    <definedName name="betas_c" localSheetId="14">#REF!</definedName>
    <definedName name="betas_c">#REF!</definedName>
    <definedName name="BETON" localSheetId="14">#REF!</definedName>
    <definedName name="BETON">#REF!</definedName>
    <definedName name="bettar" localSheetId="14">#REF!</definedName>
    <definedName name="bettar">#REF!</definedName>
    <definedName name="BI" localSheetId="12">L2C1:L372C15</definedName>
    <definedName name="BI" localSheetId="13">L2C1:L372C15</definedName>
    <definedName name="BI" localSheetId="7">L2C1:L372C15</definedName>
    <definedName name="BI" localSheetId="15">L2C1:L372C15</definedName>
    <definedName name="BI" localSheetId="16">L2C1:L372C15</definedName>
    <definedName name="BI" localSheetId="17">L2C1:L372C15</definedName>
    <definedName name="BI" localSheetId="4">L2C1:L372C15</definedName>
    <definedName name="BI" localSheetId="8">L2C1:L372C15</definedName>
    <definedName name="BI" localSheetId="9">L2C1:L372C15</definedName>
    <definedName name="BI" localSheetId="6">L2C1:L372C15</definedName>
    <definedName name="BI" localSheetId="14">L2C1:L372C15</definedName>
    <definedName name="BI" localSheetId="11">L2C1:L372C15</definedName>
    <definedName name="BI" localSheetId="10">L2C1:L372C15</definedName>
    <definedName name="BI" localSheetId="0">L2C1:L372C15</definedName>
    <definedName name="BI" localSheetId="1">L2C1:L372C15</definedName>
    <definedName name="BI" localSheetId="2">L2C1:L372C15</definedName>
    <definedName name="BI">L2C1:L372C15</definedName>
    <definedName name="bloque20x20x40" localSheetId="14">#REF!</definedName>
    <definedName name="bloque20x20x40">#REF!</definedName>
    <definedName name="br" localSheetId="14">#REF!</definedName>
    <definedName name="br">#REF!</definedName>
    <definedName name="BRAZ" localSheetId="14">#REF!</definedName>
    <definedName name="BRAZ">#REF!</definedName>
    <definedName name="BRAZO" localSheetId="14">#REF!</definedName>
    <definedName name="BRAZO">#REF!</definedName>
    <definedName name="bs" localSheetId="14">#REF!</definedName>
    <definedName name="bs">#REF!</definedName>
    <definedName name="BSociales" localSheetId="14">#REF!</definedName>
    <definedName name="BSociales">#REF!</definedName>
    <definedName name="bss" localSheetId="14">#REF!</definedName>
    <definedName name="bss">#REF!</definedName>
    <definedName name="bsss" localSheetId="14">#REF!</definedName>
    <definedName name="bsss">#REF!</definedName>
    <definedName name="C_" localSheetId="14">INDEX(#REF!,MATCH("*[C]*",#REF!,0))</definedName>
    <definedName name="C_">#REF!</definedName>
    <definedName name="ca" localSheetId="14">#REF!</definedName>
    <definedName name="ca">#REF!</definedName>
    <definedName name="Caeacceso" localSheetId="14">#REF!</definedName>
    <definedName name="Caeacceso">#REF!</definedName>
    <definedName name="Caeacondct" localSheetId="14">#REF!</definedName>
    <definedName name="Caeacondct">#REF!</definedName>
    <definedName name="Caealcantarilla" localSheetId="14">#REF!</definedName>
    <definedName name="Caealcantarilla">#REF!</definedName>
    <definedName name="Caealcantarillareadec" localSheetId="14">#REF!</definedName>
    <definedName name="Caealcantarillareadec">#REF!</definedName>
    <definedName name="Caealteomyg" localSheetId="14">#REF!</definedName>
    <definedName name="Caealteomyg">#REF!</definedName>
    <definedName name="CaeApartido" localSheetId="14">#REF!</definedName>
    <definedName name="CaeApartido">#REF!</definedName>
    <definedName name="Caeapoyos" localSheetId="14">#REF!</definedName>
    <definedName name="Caeapoyos">#REF!</definedName>
    <definedName name="Caebacheo" localSheetId="14">#REF!</definedName>
    <definedName name="Caebacheo">#REF!</definedName>
    <definedName name="Caebandason">#REF!</definedName>
    <definedName name="Caebandasonreadec" localSheetId="14">#REF!</definedName>
    <definedName name="Caebandasonreadec">#REF!</definedName>
    <definedName name="Caebanquina" localSheetId="14">#REF!</definedName>
    <definedName name="Caebanquina">#REF!</definedName>
    <definedName name="Caebaranda" localSheetId="14">#REF!</definedName>
    <definedName name="Caebaranda">#REF!</definedName>
    <definedName name="Caebarandareadec" localSheetId="14">#REF!</definedName>
    <definedName name="Caebarandareadec">#REF!</definedName>
    <definedName name="Caebase" localSheetId="14">#REF!</definedName>
    <definedName name="Caebase">#REF!</definedName>
    <definedName name="Caecabezales" localSheetId="14">#REF!</definedName>
    <definedName name="Caecabezales">#REF!</definedName>
    <definedName name="Caecalzadahorm" localSheetId="14">#REF!</definedName>
    <definedName name="Caecalzadahorm">#REF!</definedName>
    <definedName name="Caecalzadas" localSheetId="14">#REF!</definedName>
    <definedName name="Caecalzadas">#REF!</definedName>
    <definedName name="Caecarpeta">#REF!</definedName>
    <definedName name="Caecarpetariego">#REF!</definedName>
    <definedName name="CaeCCura">#REF!</definedName>
    <definedName name="Caeciclovía">#REF!</definedName>
    <definedName name="Caecolumnas">#REF!</definedName>
    <definedName name="Caecortepasto">#REF!</definedName>
    <definedName name="Caedemolicion">#REF!</definedName>
    <definedName name="Caedesembanque">#REF!</definedName>
    <definedName name="Caeescarifbanq">#REF!</definedName>
    <definedName name="Caeescarificado" localSheetId="14">#REF!</definedName>
    <definedName name="Caeescarificado">#REF!</definedName>
    <definedName name="Caeestribos" localSheetId="14">#REF!</definedName>
    <definedName name="Caeestribos">#REF!</definedName>
    <definedName name="Caeexcavacion" localSheetId="14">#REF!</definedName>
    <definedName name="Caeexcavacion">#REF!</definedName>
    <definedName name="Caeexcavacionreadec" localSheetId="14">#REF!</definedName>
    <definedName name="Caeexcavacionreadec">#REF!</definedName>
    <definedName name="Caegaviones" localSheetId="14">#REF!</definedName>
    <definedName name="Caegaviones">#REF!</definedName>
    <definedName name="Caehor" localSheetId="14">#REF!</definedName>
    <definedName name="Caehor">#REF!</definedName>
    <definedName name="CaehorC" localSheetId="14">#REF!</definedName>
    <definedName name="CaehorC">#REF!</definedName>
    <definedName name="CaehorCreadec" localSheetId="14">#REF!</definedName>
    <definedName name="CaehorCreadec">#REF!</definedName>
    <definedName name="Caeimprimacion" localSheetId="14">#REF!</definedName>
    <definedName name="Caeimprimacion">#REF!</definedName>
    <definedName name="Caeimprimrefor" localSheetId="14">#REF!</definedName>
    <definedName name="Caeimprimrefor">#REF!</definedName>
    <definedName name="Caeinvernal" localSheetId="14">#REF!</definedName>
    <definedName name="Caeinvernal">#REF!</definedName>
    <definedName name="Caejunta" localSheetId="14">#REF!</definedName>
    <definedName name="Caejunta">#REF!</definedName>
    <definedName name="Caejuntadil">#REF!</definedName>
    <definedName name="Caejuntas">#REF!</definedName>
    <definedName name="Caelimpieza">#REF!</definedName>
    <definedName name="Caelimpseñales">#REF!</definedName>
    <definedName name="Caelimptransp" localSheetId="14">#REF!</definedName>
    <definedName name="Caelimptransp">#REF!</definedName>
    <definedName name="Caelosa" localSheetId="14">#REF!</definedName>
    <definedName name="Caelosa">#REF!</definedName>
    <definedName name="Caematbase" localSheetId="14">#REF!</definedName>
    <definedName name="Caematbase">#REF!</definedName>
    <definedName name="Caemicroaglom" localSheetId="14">#REF!</definedName>
    <definedName name="Caemicroaglom">#REF!</definedName>
    <definedName name="Caemicroaglomreadec" localSheetId="14">#REF!</definedName>
    <definedName name="Caemicroaglomreadec">#REF!</definedName>
    <definedName name="Caepasamano" localSheetId="14">#REF!</definedName>
    <definedName name="Caepasamano">#REF!</definedName>
    <definedName name="Caeperfilado" localSheetId="14">#REF!</definedName>
    <definedName name="Caeperfilado">#REF!</definedName>
    <definedName name="Caepintado" localSheetId="14">#REF!</definedName>
    <definedName name="Caepintado">#REF!</definedName>
    <definedName name="Caepretiles" localSheetId="14">#REF!</definedName>
    <definedName name="Caepretiles">#REF!</definedName>
    <definedName name="Caeprolongacion" localSheetId="14">#REF!</definedName>
    <definedName name="Caeprolongacion">#REF!</definedName>
    <definedName name="Caeprolongacionreadec" localSheetId="14">#REF!</definedName>
    <definedName name="Caeprolongacionreadec">#REF!</definedName>
    <definedName name="Caeproteccion" localSheetId="14">#REF!</definedName>
    <definedName name="Caeproteccion">#REF!</definedName>
    <definedName name="Caereadsistdren1071" localSheetId="14">#REF!</definedName>
    <definedName name="Caereadsistdren1071">#REF!</definedName>
    <definedName name="Caerelleno" localSheetId="14">#REF!</definedName>
    <definedName name="Caerelleno">#REF!</definedName>
    <definedName name="CaeRep8026" localSheetId="14">#REF!</definedName>
    <definedName name="CaeRep8026">#REF!</definedName>
    <definedName name="Caerepalc" localSheetId="14">#REF!</definedName>
    <definedName name="Caerepalc">#REF!</definedName>
    <definedName name="Caerestdrenajereadec" localSheetId="14">#REF!</definedName>
    <definedName name="Caerestdrenajereadec">#REF!</definedName>
    <definedName name="Caeretderrumbe" localSheetId="14">#REF!</definedName>
    <definedName name="Caeretderrumbe">#REF!</definedName>
    <definedName name="Caeretrecolbaranda" localSheetId="14">#REF!</definedName>
    <definedName name="Caeretrecolbaranda">#REF!</definedName>
    <definedName name="CaeRHermoso" localSheetId="14">#REF!</definedName>
    <definedName name="CaeRHermoso">#REF!</definedName>
    <definedName name="Caeriego" localSheetId="14">#REF!</definedName>
    <definedName name="Caeriego">#REF!</definedName>
    <definedName name="Caerotondas" localSheetId="14">#REF!</definedName>
    <definedName name="Caerotondas">#REF!</definedName>
    <definedName name="Caesandef" localSheetId="14">#REF!</definedName>
    <definedName name="Caesandef">#REF!</definedName>
    <definedName name="Caesellado" localSheetId="14">#REF!</definedName>
    <definedName name="Caesellado">#REF!</definedName>
    <definedName name="Caesenda" localSheetId="14">#REF!</definedName>
    <definedName name="Caesenda">#REF!</definedName>
    <definedName name="Caeseñalamiento" localSheetId="14">#REF!</definedName>
    <definedName name="Caeseñalamiento">#REF!</definedName>
    <definedName name="Caeseñalamientoreadec" localSheetId="14">#REF!</definedName>
    <definedName name="Caeseñalamientoreadec">#REF!</definedName>
    <definedName name="Caeseñalextrusion" localSheetId="14">#REF!</definedName>
    <definedName name="Caeseñalextrusion">#REF!</definedName>
    <definedName name="Caeseñalextrusionreadec" localSheetId="14">#REF!</definedName>
    <definedName name="Caeseñalextrusionreadec">#REF!</definedName>
    <definedName name="Caeseñalizacion" localSheetId="14">#REF!</definedName>
    <definedName name="Caeseñalizacion">#REF!</definedName>
    <definedName name="Caeseñalizacionreadec" localSheetId="14">#REF!</definedName>
    <definedName name="Caeseñalizacionreadec">#REF!</definedName>
    <definedName name="Caeseñalvertreadec" localSheetId="14">#REF!</definedName>
    <definedName name="Caeseñalvertreadec">#REF!</definedName>
    <definedName name="Caesistdren" localSheetId="14">#REF!</definedName>
    <definedName name="Caesistdren">#REF!</definedName>
    <definedName name="Caesistdrenreadec" localSheetId="14">#REF!</definedName>
    <definedName name="Caesistdrenreadec">#REF!</definedName>
    <definedName name="Caesubbase" localSheetId="14">#REF!</definedName>
    <definedName name="Caesubbase">#REF!</definedName>
    <definedName name="Caeterraplen" localSheetId="14">#REF!</definedName>
    <definedName name="Caeterraplen">#REF!</definedName>
    <definedName name="Caeterraplenreadec" localSheetId="14">#REF!</definedName>
    <definedName name="Caeterraplenreadec">#REF!</definedName>
    <definedName name="Caeterrsincomp" localSheetId="14">#REF!</definedName>
    <definedName name="Caeterrsincomp">#REF!</definedName>
    <definedName name="Caetravesia" localSheetId="14">#REF!</definedName>
    <definedName name="Caetravesia">#REF!</definedName>
    <definedName name="Caevigas" localSheetId="14">#REF!</definedName>
    <definedName name="Caevigas">#REF!</definedName>
    <definedName name="caga">#REF!</definedName>
    <definedName name="CalcAux">#REF!</definedName>
    <definedName name="Cálculo_de_Canales_en_Movimiento_Uniforme">#REF!</definedName>
    <definedName name="Cálculo_de_Canaleta_Parshall__A._Netto">#REF!</definedName>
    <definedName name="Cálculo_de_Canaleta_Parshall__Richter_y_A._Valencia">#REF!</definedName>
    <definedName name="Cálculo_de_f_de_Darcy_Weisbach__C_de_Williams_y_Hazen_y_n_de_Manning">#REF!</definedName>
    <definedName name="Cálculo_de_la_Potencia_de_una_Bomba.">#REF!</definedName>
    <definedName name="Cálculo_del_Gradiente_de_Velocidad">#REF!</definedName>
    <definedName name="CALCULOS">#REF!</definedName>
    <definedName name="calHidr" localSheetId="14">#REF!</definedName>
    <definedName name="calHidr">#REF!</definedName>
    <definedName name="CalidadAcero" localSheetId="14">#REF!</definedName>
    <definedName name="CalidadAcero">#REF!</definedName>
    <definedName name="campocodigoanalisis" localSheetId="14">#REF!</definedName>
    <definedName name="campocodigoanalisis">#REF!</definedName>
    <definedName name="CAÑERIA_DE_IMPULSION__P._LAVALLE_SAENZ_PEÑA" localSheetId="14">#REF!</definedName>
    <definedName name="CAÑERIA_DE_IMPULSION__P._LAVALLE_SAENZ_PEÑA">#REF!</definedName>
    <definedName name="Caracteres_del_Alfabeto_Griego" localSheetId="14">#REF!</definedName>
    <definedName name="Caracteres_del_Alfabeto_Griego">#REF!</definedName>
    <definedName name="CARGAS" localSheetId="14">#REF!</definedName>
    <definedName name="CARGAS">#REF!</definedName>
    <definedName name="Cargas_Sociales" localSheetId="14">#REF!</definedName>
    <definedName name="Cargas_Sociales">#REF!</definedName>
    <definedName name="carlosa" localSheetId="14">#REF!</definedName>
    <definedName name="carlosa">#REF!</definedName>
    <definedName name="carlosar" localSheetId="14">#REF!</definedName>
    <definedName name="carlosar">#REF!</definedName>
    <definedName name="cascada" localSheetId="14">#REF!</definedName>
    <definedName name="cascada">#REF!</definedName>
    <definedName name="CAT" localSheetId="14">#REF!</definedName>
    <definedName name="CAT">#REF!</definedName>
    <definedName name="CC" localSheetId="14">#REF!</definedName>
    <definedName name="CC">#REF!</definedName>
    <definedName name="cccccc" localSheetId="7">#REF!</definedName>
    <definedName name="cccccc" localSheetId="4">#REF!</definedName>
    <definedName name="cccccc" localSheetId="5">#REF!</definedName>
    <definedName name="cccccc" localSheetId="8">#REF!</definedName>
    <definedName name="cccccc" localSheetId="3">#REF!</definedName>
    <definedName name="cccccc" localSheetId="6">#REF!</definedName>
    <definedName name="cccccc" localSheetId="14">#REF!</definedName>
    <definedName name="cccccc" localSheetId="0">#REF!</definedName>
    <definedName name="cccccc" localSheetId="1">#REF!</definedName>
    <definedName name="cccccc" localSheetId="2">#REF!</definedName>
    <definedName name="cccccc">#REF!</definedName>
    <definedName name="cd" localSheetId="14">#REF!</definedName>
    <definedName name="cd">#REF!</definedName>
    <definedName name="cddos" localSheetId="14">#REF!</definedName>
    <definedName name="cddos">#REF!</definedName>
    <definedName name="CDT" localSheetId="14">#REF!</definedName>
    <definedName name="CDT">#REF!</definedName>
    <definedName name="CE0" localSheetId="4">#REF!</definedName>
    <definedName name="CE0" localSheetId="5">#REF!</definedName>
    <definedName name="CE0" localSheetId="3">#REF!</definedName>
    <definedName name="CE0" localSheetId="9">#REF!</definedName>
    <definedName name="CE0" localSheetId="14">#REF!</definedName>
    <definedName name="CE0">#REF!</definedName>
    <definedName name="CE1_" localSheetId="4">#REF!</definedName>
    <definedName name="CE1_" localSheetId="3">#REF!</definedName>
    <definedName name="CE1_" localSheetId="9">#REF!</definedName>
    <definedName name="CE1_" localSheetId="14">#REF!</definedName>
    <definedName name="CE1_">#REF!</definedName>
    <definedName name="CE2_" localSheetId="9">#REF!</definedName>
    <definedName name="CE2_" localSheetId="14">#REF!</definedName>
    <definedName name="CE2_">#REF!</definedName>
    <definedName name="CE3_" localSheetId="9">#REF!</definedName>
    <definedName name="CE3_" localSheetId="14">#REF!</definedName>
    <definedName name="CE3_">#REF!</definedName>
    <definedName name="CEBE" localSheetId="14">#REF!</definedName>
    <definedName name="CEBE">#REF!</definedName>
    <definedName name="CECF" localSheetId="14">#REF!</definedName>
    <definedName name="CECF">#REF!</definedName>
    <definedName name="CEGG" localSheetId="14">#REF!</definedName>
    <definedName name="CEGG">#REF!</definedName>
    <definedName name="CEIM" localSheetId="14">#REF!</definedName>
    <definedName name="CEIM">#REF!</definedName>
    <definedName name="ceme" localSheetId="14">#REF!</definedName>
    <definedName name="ceme">#REF!</definedName>
    <definedName name="cemento" localSheetId="14">#REF!</definedName>
    <definedName name="cemento">#REF!</definedName>
    <definedName name="CEMR" localSheetId="14">#REF!</definedName>
    <definedName name="CEMR">#REF!</definedName>
    <definedName name="CEo" localSheetId="14">#REF!</definedName>
    <definedName name="CEo">#REF!</definedName>
    <definedName name="Certificado2" localSheetId="12">#REF!</definedName>
    <definedName name="Certificado2" localSheetId="13">#REF!</definedName>
    <definedName name="Certificado2" localSheetId="7">#REF!</definedName>
    <definedName name="Certificado2" localSheetId="17">#REF!</definedName>
    <definedName name="Certificado2" localSheetId="4">#REF!</definedName>
    <definedName name="Certificado2" localSheetId="5">#REF!</definedName>
    <definedName name="Certificado2" localSheetId="8">#REF!</definedName>
    <definedName name="Certificado2" localSheetId="3">#REF!</definedName>
    <definedName name="Certificado2" localSheetId="6">#REF!</definedName>
    <definedName name="Certificado2" localSheetId="14">#REF!</definedName>
    <definedName name="Certificado2" localSheetId="11">#REF!</definedName>
    <definedName name="Certificado2" localSheetId="10">#REF!</definedName>
    <definedName name="Certificado2" localSheetId="0">#REF!</definedName>
    <definedName name="Certificado2" localSheetId="1">#REF!</definedName>
    <definedName name="Certificado2" localSheetId="2">#REF!</definedName>
    <definedName name="Certificado2">#REF!</definedName>
    <definedName name="Ch.Tech" localSheetId="14">#REF!</definedName>
    <definedName name="Ch.Tech">#REF!</definedName>
    <definedName name="Chapa">#REF!</definedName>
    <definedName name="CHAPEAU">#REF!</definedName>
    <definedName name="CHORRO_CAIDA_LIBRE">#REF!</definedName>
    <definedName name="ci">#REF!</definedName>
    <definedName name="CICVH" localSheetId="4">#REF!</definedName>
    <definedName name="CICVH" localSheetId="3">#REF!</definedName>
    <definedName name="CICVH" localSheetId="14">#REF!</definedName>
    <definedName name="CICVH">#REF!</definedName>
    <definedName name="CIEA" localSheetId="4">#REF!</definedName>
    <definedName name="CIEA" localSheetId="3">#REF!</definedName>
    <definedName name="CIEA" localSheetId="14">#REF!</definedName>
    <definedName name="CIEA">#REF!</definedName>
    <definedName name="CIEE" localSheetId="14">#REF!</definedName>
    <definedName name="CIEE">#REF!</definedName>
    <definedName name="CIEF" localSheetId="14">#REF!</definedName>
    <definedName name="CIEF">#REF!</definedName>
    <definedName name="CIEG" localSheetId="14">#REF!</definedName>
    <definedName name="CIEG">#REF!</definedName>
    <definedName name="CISTERNA_Y_E.E._EN_SAENZ_PEÑA" localSheetId="14">#REF!</definedName>
    <definedName name="CISTERNA_Y_E.E._EN_SAENZ_PEÑA">#REF!</definedName>
    <definedName name="clase" localSheetId="14">#REF!</definedName>
    <definedName name="clase">#REF!</definedName>
    <definedName name="Clases_Edificios" localSheetId="14">#REF!</definedName>
    <definedName name="Clases_Edificios">#REF!</definedName>
    <definedName name="clav" localSheetId="14">#REF!</definedName>
    <definedName name="clav">#REF!</definedName>
    <definedName name="clavos" localSheetId="14">#REF!</definedName>
    <definedName name="clavos">#REF!</definedName>
    <definedName name="cm_prsum" localSheetId="7">'[2]#REF'!$A$214:$T$246</definedName>
    <definedName name="cm_prsum" localSheetId="8">'[2]#REF'!$A$214:$T$246</definedName>
    <definedName name="cm_prsum" localSheetId="6">'[2]#REF'!$A$214:$T$246</definedName>
    <definedName name="cm_prsum">#REF!</definedName>
    <definedName name="cm_sum" localSheetId="7">'[2]#REF'!$A$164:$T$196</definedName>
    <definedName name="cm_sum" localSheetId="8">'[2]#REF'!$A$164:$T$196</definedName>
    <definedName name="cm_sum" localSheetId="6">'[2]#REF'!$A$164:$T$196</definedName>
    <definedName name="cm_sum">#REF!</definedName>
    <definedName name="CM0" localSheetId="14">#REF!</definedName>
    <definedName name="CM0">#REF!</definedName>
    <definedName name="CM1_" localSheetId="14">#REF!</definedName>
    <definedName name="CM1_">#REF!</definedName>
    <definedName name="CM3_" localSheetId="14">#REF!</definedName>
    <definedName name="CM3_">#REF!</definedName>
    <definedName name="CM4_" localSheetId="14">#REF!</definedName>
    <definedName name="CM4_">#REF!</definedName>
    <definedName name="CMA" localSheetId="14">#REF!</definedName>
    <definedName name="CMA">#REF!</definedName>
    <definedName name="CMAX" localSheetId="14">#REF!</definedName>
    <definedName name="CMAX">#REF!</definedName>
    <definedName name="CMMO" localSheetId="14">#REF!</definedName>
    <definedName name="CMMO">#REF!</definedName>
    <definedName name="CMO" localSheetId="14">#REF!</definedName>
    <definedName name="CMO">#REF!</definedName>
    <definedName name="CMOE" localSheetId="14">#REF!</definedName>
    <definedName name="CMOE">#REF!</definedName>
    <definedName name="CMP" localSheetId="14">#REF!</definedName>
    <definedName name="CMP">#REF!</definedName>
    <definedName name="CMZ" localSheetId="14">#REF!</definedName>
    <definedName name="CMZ">#REF!</definedName>
    <definedName name="codigoanalisis" localSheetId="14">#REF!</definedName>
    <definedName name="codigoanalisis">#REF!</definedName>
    <definedName name="codigoformulas" localSheetId="14">#REF!</definedName>
    <definedName name="codigoformulas">#REF!</definedName>
    <definedName name="codigoinsumos" localSheetId="14">#REF!</definedName>
    <definedName name="codigoinsumos">#REF!</definedName>
    <definedName name="codigoitems" localSheetId="14">#REF!</definedName>
    <definedName name="codigoitems">#REF!</definedName>
    <definedName name="codigomat" localSheetId="14">#REF!</definedName>
    <definedName name="codigomat">#REF!</definedName>
    <definedName name="CodigoParametrico" localSheetId="7">#REF!</definedName>
    <definedName name="CodigoParametrico" localSheetId="4">#REF!</definedName>
    <definedName name="CodigoParametrico" localSheetId="5">#REF!</definedName>
    <definedName name="CodigoParametrico" localSheetId="8">#REF!</definedName>
    <definedName name="CodigoParametrico" localSheetId="3">#REF!</definedName>
    <definedName name="CodigoParametrico" localSheetId="9">#REF!</definedName>
    <definedName name="CodigoParametrico" localSheetId="6">#REF!</definedName>
    <definedName name="CodigoParametrico" localSheetId="14">#REF!</definedName>
    <definedName name="CodigoParametrico" localSheetId="0">#REF!</definedName>
    <definedName name="CodigoParametrico" localSheetId="1">#REF!</definedName>
    <definedName name="CodigoParametrico" localSheetId="2">#REF!</definedName>
    <definedName name="CodigoParametrico">#REF!</definedName>
    <definedName name="coef" localSheetId="12">#REF!</definedName>
    <definedName name="coef" localSheetId="13">#REF!</definedName>
    <definedName name="coef" localSheetId="7">#REF!</definedName>
    <definedName name="coef" localSheetId="17">#REF!</definedName>
    <definedName name="coef" localSheetId="4">#REF!</definedName>
    <definedName name="coef" localSheetId="5">#REF!</definedName>
    <definedName name="coef" localSheetId="8">#REF!</definedName>
    <definedName name="coef" localSheetId="3">#REF!</definedName>
    <definedName name="coef" localSheetId="6">#REF!</definedName>
    <definedName name="coef" localSheetId="14">#REF!</definedName>
    <definedName name="coef" localSheetId="11">#REF!</definedName>
    <definedName name="coef" localSheetId="10">#REF!</definedName>
    <definedName name="coef" localSheetId="0">#REF!</definedName>
    <definedName name="coef" localSheetId="1">#REF!</definedName>
    <definedName name="coef" localSheetId="2">#REF!</definedName>
    <definedName name="coef">#REF!</definedName>
    <definedName name="Coef_GG_B_I" localSheetId="7">#REF!</definedName>
    <definedName name="Coef_GG_B_I" localSheetId="4">#REF!</definedName>
    <definedName name="Coef_GG_B_I" localSheetId="5">#REF!</definedName>
    <definedName name="Coef_GG_B_I" localSheetId="8">#REF!</definedName>
    <definedName name="Coef_GG_B_I" localSheetId="3">#REF!</definedName>
    <definedName name="Coef_GG_B_I" localSheetId="6">#REF!</definedName>
    <definedName name="Coef_GG_B_I" localSheetId="0">#REF!</definedName>
    <definedName name="Coef_GG_B_I" localSheetId="1">#REF!</definedName>
    <definedName name="Coef_GG_B_I" localSheetId="2">#REF!</definedName>
    <definedName name="Coef_GG_B_I">#REF!</definedName>
    <definedName name="columna">#REF!</definedName>
    <definedName name="COLUMNAS" localSheetId="14">#REF!</definedName>
    <definedName name="COLUMNAS">#REF!</definedName>
    <definedName name="Comb" localSheetId="14">#REF!</definedName>
    <definedName name="Comb">#REF!</definedName>
    <definedName name="Combinaciones_cargas" localSheetId="14">#REF!</definedName>
    <definedName name="Combinaciones_cargas">#REF!</definedName>
    <definedName name="COMPANIA" localSheetId="7">#REF!</definedName>
    <definedName name="COMPANIA" localSheetId="5">#REF!</definedName>
    <definedName name="COMPANIA" localSheetId="8">#REF!</definedName>
    <definedName name="COMPANIA" localSheetId="6">#REF!</definedName>
    <definedName name="COMPANIA" localSheetId="14">#REF!</definedName>
    <definedName name="COMPANIA" localSheetId="0">#REF!</definedName>
    <definedName name="COMPANIA" localSheetId="1">#REF!</definedName>
    <definedName name="COMPANIA" localSheetId="2">#REF!</definedName>
    <definedName name="COMPANIA">#REF!</definedName>
    <definedName name="COMPUTO" localSheetId="14">#REF!</definedName>
    <definedName name="COMPUTO">#REF!</definedName>
    <definedName name="COMPUTOS" localSheetId="14">#REF!</definedName>
    <definedName name="COMPUTOS">#REF!</definedName>
    <definedName name="Constante_de_los_Gases" localSheetId="14">#REF!</definedName>
    <definedName name="Constante_de_los_Gases">#REF!</definedName>
    <definedName name="constantes" localSheetId="14">#REF!</definedName>
    <definedName name="constantes">#REF!</definedName>
    <definedName name="Consumo" localSheetId="14">#REF!</definedName>
    <definedName name="Consumo">#REF!</definedName>
    <definedName name="Contribucion_Patronal_s_Decreto_2641" localSheetId="14">#REF!</definedName>
    <definedName name="Contribucion_Patronal_s_Decreto_2641">#REF!</definedName>
    <definedName name="copete" localSheetId="14">#REF!</definedName>
    <definedName name="copete">#REF!</definedName>
    <definedName name="COPIA" localSheetId="14">#REF!</definedName>
    <definedName name="COPIA">#REF!</definedName>
    <definedName name="Correa" localSheetId="14">#REF!</definedName>
    <definedName name="Correa">#REF!</definedName>
    <definedName name="COSTO">#N/A</definedName>
    <definedName name="COSTO_DIRECTO" localSheetId="14">#REF!</definedName>
    <definedName name="COSTO_DIRECTO">#REF!</definedName>
    <definedName name="COSTO_INDIRECTO" localSheetId="14">#REF!</definedName>
    <definedName name="COSTO_INDIRECTO">#REF!</definedName>
    <definedName name="CostoEquipos" localSheetId="14">#REF!</definedName>
    <definedName name="CostoEquipos">#REF!</definedName>
    <definedName name="coti3" localSheetId="7">#REF!</definedName>
    <definedName name="coti3" localSheetId="4">#REF!</definedName>
    <definedName name="coti3" localSheetId="5">#REF!</definedName>
    <definedName name="coti3" localSheetId="8">#REF!</definedName>
    <definedName name="coti3" localSheetId="3">#REF!</definedName>
    <definedName name="coti3" localSheetId="9">#REF!</definedName>
    <definedName name="coti3" localSheetId="6">#REF!</definedName>
    <definedName name="coti3" localSheetId="14">#REF!</definedName>
    <definedName name="coti3" localSheetId="0">#REF!</definedName>
    <definedName name="coti3" localSheetId="1">#REF!</definedName>
    <definedName name="coti3" localSheetId="2">#REF!</definedName>
    <definedName name="coti3">#REF!</definedName>
    <definedName name="coti4" localSheetId="7">#REF!</definedName>
    <definedName name="coti4" localSheetId="4">#REF!</definedName>
    <definedName name="coti4" localSheetId="5">#REF!</definedName>
    <definedName name="coti4" localSheetId="8">#REF!</definedName>
    <definedName name="coti4" localSheetId="3">#REF!</definedName>
    <definedName name="coti4" localSheetId="9">#REF!</definedName>
    <definedName name="coti4" localSheetId="6">#REF!</definedName>
    <definedName name="coti4" localSheetId="14">#REF!</definedName>
    <definedName name="coti4" localSheetId="0">#REF!</definedName>
    <definedName name="coti4" localSheetId="1">#REF!</definedName>
    <definedName name="coti4" localSheetId="2">#REF!</definedName>
    <definedName name="coti4">#REF!</definedName>
    <definedName name="Cotizador_automatico_del_pedido." localSheetId="7">#REF!</definedName>
    <definedName name="Cotizador_automatico_del_pedido." localSheetId="4">#REF!</definedName>
    <definedName name="Cotizador_automatico_del_pedido." localSheetId="5">#REF!</definedName>
    <definedName name="Cotizador_automatico_del_pedido." localSheetId="8">#REF!</definedName>
    <definedName name="Cotizador_automatico_del_pedido." localSheetId="3">#REF!</definedName>
    <definedName name="Cotizador_automatico_del_pedido." localSheetId="9">#REF!</definedName>
    <definedName name="Cotizador_automatico_del_pedido." localSheetId="6">#REF!</definedName>
    <definedName name="Cotizador_automatico_del_pedido." localSheetId="14">#REF!</definedName>
    <definedName name="Cotizador_automatico_del_pedido." localSheetId="0">#REF!</definedName>
    <definedName name="Cotizador_automatico_del_pedido." localSheetId="1">#REF!</definedName>
    <definedName name="Cotizador_automatico_del_pedido." localSheetId="2">#REF!</definedName>
    <definedName name="Cotizador_automatico_del_pedido.">#REF!</definedName>
    <definedName name="cotizador2" localSheetId="7">#REF!</definedName>
    <definedName name="cotizador2" localSheetId="4">#REF!</definedName>
    <definedName name="cotizador2" localSheetId="5">#REF!</definedName>
    <definedName name="cotizador2" localSheetId="8">#REF!</definedName>
    <definedName name="cotizador2" localSheetId="3">#REF!</definedName>
    <definedName name="cotizador2" localSheetId="6">#REF!</definedName>
    <definedName name="cotizador2" localSheetId="14">#REF!</definedName>
    <definedName name="cotizador2" localSheetId="0">#REF!</definedName>
    <definedName name="cotizador2" localSheetId="1">#REF!</definedName>
    <definedName name="cotizador2" localSheetId="2">#REF!</definedName>
    <definedName name="cotizador2">#REF!</definedName>
    <definedName name="CreditoFiscal" localSheetId="14">#REF!</definedName>
    <definedName name="CreditoFiscal">#REF!</definedName>
    <definedName name="_xlnm.Criteria" localSheetId="7">#REF!</definedName>
    <definedName name="_xlnm.Criteria" localSheetId="4">#REF!</definedName>
    <definedName name="_xlnm.Criteria" localSheetId="5">#REF!</definedName>
    <definedName name="_xlnm.Criteria" localSheetId="8">#REF!</definedName>
    <definedName name="_xlnm.Criteria" localSheetId="3">#REF!</definedName>
    <definedName name="_xlnm.Criteria" localSheetId="6">#REF!</definedName>
    <definedName name="_xlnm.Criteria" localSheetId="14">#REF!</definedName>
    <definedName name="_xlnm.Criteria" localSheetId="0">#REF!</definedName>
    <definedName name="_xlnm.Criteria" localSheetId="1">#REF!</definedName>
    <definedName name="_xlnm.Criteria" localSheetId="2">#REF!</definedName>
    <definedName name="_xlnm.Criteria">#REF!</definedName>
    <definedName name="Crracceso" localSheetId="14">#REF!</definedName>
    <definedName name="Crracceso">#REF!</definedName>
    <definedName name="Crracondct" localSheetId="14">#REF!</definedName>
    <definedName name="Crracondct">#REF!</definedName>
    <definedName name="Crralcantarilla" localSheetId="14">#REF!</definedName>
    <definedName name="Crralcantarilla">#REF!</definedName>
    <definedName name="Crralcantarillareadec" localSheetId="14">#REF!</definedName>
    <definedName name="Crralcantarillareadec">#REF!</definedName>
    <definedName name="Crralteomyg" localSheetId="14">#REF!</definedName>
    <definedName name="Crralteomyg">#REF!</definedName>
    <definedName name="CrrApartido" localSheetId="14">#REF!</definedName>
    <definedName name="CrrApartido">#REF!</definedName>
    <definedName name="Crrapoyos" localSheetId="14">#REF!</definedName>
    <definedName name="Crrapoyos">#REF!</definedName>
    <definedName name="Crrbacheo" localSheetId="14">#REF!</definedName>
    <definedName name="Crrbacheo">#REF!</definedName>
    <definedName name="Crrbandason">#REF!</definedName>
    <definedName name="Crrbandasonreadec" localSheetId="14">#REF!</definedName>
    <definedName name="Crrbandasonreadec">#REF!</definedName>
    <definedName name="Crrbanquina" localSheetId="14">#REF!</definedName>
    <definedName name="Crrbanquina">#REF!</definedName>
    <definedName name="Crrbaranda" localSheetId="14">#REF!</definedName>
    <definedName name="Crrbaranda">#REF!</definedName>
    <definedName name="Crrbarandareadec" localSheetId="14">#REF!</definedName>
    <definedName name="Crrbarandareadec">#REF!</definedName>
    <definedName name="Crrbase" localSheetId="14">#REF!</definedName>
    <definedName name="Crrbase">#REF!</definedName>
    <definedName name="Crrcabezales" localSheetId="14">#REF!</definedName>
    <definedName name="Crrcabezales">#REF!</definedName>
    <definedName name="Crrcalzadahorm" localSheetId="14">#REF!</definedName>
    <definedName name="Crrcalzadahorm">#REF!</definedName>
    <definedName name="Crrcalzadas" localSheetId="14">#REF!</definedName>
    <definedName name="Crrcalzadas">#REF!</definedName>
    <definedName name="Crrcarpeta">#REF!</definedName>
    <definedName name="Crrcarpetariego">#REF!</definedName>
    <definedName name="CrrCCura">#REF!</definedName>
    <definedName name="Crrciclovía">#REF!</definedName>
    <definedName name="Crrcolumnas">#REF!</definedName>
    <definedName name="crrcortepasto">#REF!</definedName>
    <definedName name="Crrdemolicion">#REF!</definedName>
    <definedName name="crrdesembanque">#REF!</definedName>
    <definedName name="Crrescarifbanq">#REF!</definedName>
    <definedName name="Crrescarificado" localSheetId="14">#REF!</definedName>
    <definedName name="Crrescarificado">#REF!</definedName>
    <definedName name="Crrestribos" localSheetId="14">#REF!</definedName>
    <definedName name="Crrestribos">#REF!</definedName>
    <definedName name="Crrexcavacion" localSheetId="14">#REF!</definedName>
    <definedName name="Crrexcavacion">#REF!</definedName>
    <definedName name="Crrexcavacionreadec" localSheetId="14">#REF!</definedName>
    <definedName name="Crrexcavacionreadec">#REF!</definedName>
    <definedName name="Crrgaviones" localSheetId="14">#REF!</definedName>
    <definedName name="Crrgaviones">#REF!</definedName>
    <definedName name="Crrhor" localSheetId="14">#REF!</definedName>
    <definedName name="Crrhor">#REF!</definedName>
    <definedName name="CrrhorC" localSheetId="14">#REF!</definedName>
    <definedName name="CrrhorC">#REF!</definedName>
    <definedName name="CrrhorCreadec" localSheetId="14">#REF!</definedName>
    <definedName name="CrrhorCreadec">#REF!</definedName>
    <definedName name="Crrimprimacion" localSheetId="14">#REF!</definedName>
    <definedName name="Crrimprimacion">#REF!</definedName>
    <definedName name="Crrimprimrefor" localSheetId="14">#REF!</definedName>
    <definedName name="Crrimprimrefor">#REF!</definedName>
    <definedName name="Crrinvernal" localSheetId="14">#REF!</definedName>
    <definedName name="Crrinvernal">#REF!</definedName>
    <definedName name="Crrjunta" localSheetId="14">#REF!</definedName>
    <definedName name="Crrjunta">#REF!</definedName>
    <definedName name="Crrjuntadil">#REF!</definedName>
    <definedName name="Crrjuntas">#REF!</definedName>
    <definedName name="Crrlimpieza">#REF!</definedName>
    <definedName name="Crrlimpseñales">#REF!</definedName>
    <definedName name="Crrlimptransp" localSheetId="14">#REF!</definedName>
    <definedName name="Crrlimptransp">#REF!</definedName>
    <definedName name="Crrlosa" localSheetId="14">#REF!</definedName>
    <definedName name="Crrlosa">#REF!</definedName>
    <definedName name="Crrmatbase" localSheetId="14">#REF!</definedName>
    <definedName name="Crrmatbase">#REF!</definedName>
    <definedName name="Crrmicroaglom" localSheetId="14">#REF!</definedName>
    <definedName name="Crrmicroaglom">#REF!</definedName>
    <definedName name="Crrmicroaglomreadec" localSheetId="14">#REF!</definedName>
    <definedName name="Crrmicroaglomreadec">#REF!</definedName>
    <definedName name="Crrmontaje" localSheetId="14">#REF!</definedName>
    <definedName name="Crrmontaje">#REF!</definedName>
    <definedName name="Crrpasamano">#REF!</definedName>
    <definedName name="Crrperfilado" localSheetId="14">#REF!</definedName>
    <definedName name="Crrperfilado">#REF!</definedName>
    <definedName name="Crrpilotes" localSheetId="14">#REF!</definedName>
    <definedName name="Crrpilotes">#REF!</definedName>
    <definedName name="Crrpintado" localSheetId="14">#REF!</definedName>
    <definedName name="Crrpintado">#REF!</definedName>
    <definedName name="Crrpretiles" localSheetId="14">#REF!</definedName>
    <definedName name="Crrpretiles">#REF!</definedName>
    <definedName name="Crrprolongacion">#REF!</definedName>
    <definedName name="Crrprolongacionreadec" localSheetId="14">#REF!</definedName>
    <definedName name="Crrprolongacionreadec">#REF!</definedName>
    <definedName name="Crrproteccion" localSheetId="14">#REF!</definedName>
    <definedName name="Crrproteccion">#REF!</definedName>
    <definedName name="Crrreadsistdren1071" localSheetId="14">#REF!</definedName>
    <definedName name="Crrreadsistdren1071">#REF!</definedName>
    <definedName name="Crrrelleno" localSheetId="14">#REF!</definedName>
    <definedName name="Crrrelleno">#REF!</definedName>
    <definedName name="Crrrep8026" localSheetId="14">#REF!</definedName>
    <definedName name="Crrrep8026">#REF!</definedName>
    <definedName name="Crrrepalc" localSheetId="14">#REF!</definedName>
    <definedName name="Crrrepalc">#REF!</definedName>
    <definedName name="Crrrestdrenajereadec" localSheetId="14">#REF!</definedName>
    <definedName name="Crrrestdrenajereadec">#REF!</definedName>
    <definedName name="Crrretderrumbe" localSheetId="14">#REF!</definedName>
    <definedName name="Crrretderrumbe">#REF!</definedName>
    <definedName name="Crrretrecolbaranda" localSheetId="14">#REF!</definedName>
    <definedName name="Crrretrecolbaranda">#REF!</definedName>
    <definedName name="CrrRHermoso" localSheetId="14">#REF!</definedName>
    <definedName name="CrrRHermoso">#REF!</definedName>
    <definedName name="Crrriego" localSheetId="14">#REF!</definedName>
    <definedName name="Crrriego">#REF!</definedName>
    <definedName name="Crrrotondas" localSheetId="14">#REF!</definedName>
    <definedName name="Crrrotondas">#REF!</definedName>
    <definedName name="Crrsandef" localSheetId="14">#REF!</definedName>
    <definedName name="Crrsandef">#REF!</definedName>
    <definedName name="Crrsellado" localSheetId="14">#REF!</definedName>
    <definedName name="Crrsellado">#REF!</definedName>
    <definedName name="Crrsenda" localSheetId="14">#REF!</definedName>
    <definedName name="Crrsenda">#REF!</definedName>
    <definedName name="Crrseñalamientoreadec" localSheetId="14">#REF!</definedName>
    <definedName name="Crrseñalamientoreadec">#REF!</definedName>
    <definedName name="Crrseñalextrusion" localSheetId="14">#REF!</definedName>
    <definedName name="Crrseñalextrusion">#REF!</definedName>
    <definedName name="Crrseñalextrusionreadec" localSheetId="14">#REF!</definedName>
    <definedName name="Crrseñalextrusionreadec">#REF!</definedName>
    <definedName name="Crrseñalizacion" localSheetId="14">#REF!</definedName>
    <definedName name="Crrseñalizacion">#REF!</definedName>
    <definedName name="Crrseñalizacionreadec" localSheetId="14">#REF!</definedName>
    <definedName name="Crrseñalizacionreadec">#REF!</definedName>
    <definedName name="Crrseñalvertreadec" localSheetId="14">#REF!</definedName>
    <definedName name="Crrseñalvertreadec">#REF!</definedName>
    <definedName name="Crrsistdren" localSheetId="14">#REF!</definedName>
    <definedName name="Crrsistdren">#REF!</definedName>
    <definedName name="Crrsistdrenreadec" localSheetId="14">#REF!</definedName>
    <definedName name="Crrsistdrenreadec">#REF!</definedName>
    <definedName name="Crrsubbase" localSheetId="14">#REF!</definedName>
    <definedName name="Crrsubbase">#REF!</definedName>
    <definedName name="Crrterraplen" localSheetId="14">#REF!</definedName>
    <definedName name="Crrterraplen">#REF!</definedName>
    <definedName name="Crrterraplenreadec" localSheetId="14">#REF!</definedName>
    <definedName name="Crrterraplenreadec">#REF!</definedName>
    <definedName name="Crrterrsincomp" localSheetId="14">#REF!</definedName>
    <definedName name="Crrterrsincomp">#REF!</definedName>
    <definedName name="Crrtravesia" localSheetId="14">#REF!</definedName>
    <definedName name="Crrtravesia">#REF!</definedName>
    <definedName name="Crrvigas" localSheetId="14">#REF!</definedName>
    <definedName name="Crrvigas">#REF!</definedName>
    <definedName name="Cuad.">#REF!</definedName>
    <definedName name="CUANT">#N/A</definedName>
    <definedName name="cub" localSheetId="14">#REF!</definedName>
    <definedName name="cub">#REF!</definedName>
    <definedName name="cucu" localSheetId="14">#REF!</definedName>
    <definedName name="cucu">#REF!</definedName>
    <definedName name="CUR_MONTH" localSheetId="7">'[2]HEADCOUNT WORKSHEET'!#REF!</definedName>
    <definedName name="CUR_MONTH" localSheetId="8">'[2]HEADCOUNT WORKSHEET'!#REF!</definedName>
    <definedName name="CUR_MONTH" localSheetId="6">'[2]HEADCOUNT WORKSHEET'!#REF!</definedName>
    <definedName name="CUR_MONTH">#REF!</definedName>
    <definedName name="CurrentBudget2CAt" localSheetId="7">[3]PI!$D$6</definedName>
    <definedName name="CurrentBudget2CAt" localSheetId="8">[3]PI!$D$6</definedName>
    <definedName name="CurrentBudget2CAt" localSheetId="6">[3]PI!$D$6</definedName>
    <definedName name="CurrentBudget2CAt">#REF!</definedName>
    <definedName name="CurrentMonth" localSheetId="7">[3]PI!$C$3</definedName>
    <definedName name="CurrentMonth" localSheetId="8">[3]PI!$C$3</definedName>
    <definedName name="CurrentMonth" localSheetId="6">[3]PI!$C$3</definedName>
    <definedName name="CurrentMonth">#REF!</definedName>
    <definedName name="CurrentYear" localSheetId="7">[3]PI!#REF!</definedName>
    <definedName name="CurrentYear" localSheetId="8">[3]PI!#REF!</definedName>
    <definedName name="CurrentYear" localSheetId="6">[3]PI!#REF!</definedName>
    <definedName name="CurrentYear">#REF!</definedName>
    <definedName name="CurrentYearCat" localSheetId="7">[3]PI!$C$5</definedName>
    <definedName name="CurrentYearCat" localSheetId="8">[3]PI!$C$5</definedName>
    <definedName name="CurrentYearCat" localSheetId="6">[3]PI!$C$5</definedName>
    <definedName name="CurrentYearCat">#REF!</definedName>
    <definedName name="Cus" localSheetId="14">#REF!</definedName>
    <definedName name="Cus">#REF!</definedName>
    <definedName name="d" localSheetId="12">#REF!</definedName>
    <definedName name="d" localSheetId="13">#REF!</definedName>
    <definedName name="d" localSheetId="7">#REF!</definedName>
    <definedName name="d" localSheetId="17">#REF!</definedName>
    <definedName name="d" localSheetId="4">#REF!</definedName>
    <definedName name="d" localSheetId="5">#REF!</definedName>
    <definedName name="d" localSheetId="8">#REF!</definedName>
    <definedName name="d" localSheetId="3">#REF!</definedName>
    <definedName name="d" localSheetId="6">#REF!</definedName>
    <definedName name="D" localSheetId="14">INDEX(#REF!,MATCH("*[D]*",#REF!,0))</definedName>
    <definedName name="d" localSheetId="11">#REF!</definedName>
    <definedName name="d" localSheetId="10">#REF!</definedName>
    <definedName name="d" localSheetId="0">#REF!</definedName>
    <definedName name="d" localSheetId="1">#REF!</definedName>
    <definedName name="d" localSheetId="2">#REF!</definedName>
    <definedName name="d">#REF!</definedName>
    <definedName name="d.10" localSheetId="14">#REF!</definedName>
    <definedName name="d.10">#REF!</definedName>
    <definedName name="d.12" localSheetId="14">#REF!</definedName>
    <definedName name="d.12">#REF!</definedName>
    <definedName name="d.16" localSheetId="14">#REF!</definedName>
    <definedName name="d.16">#REF!</definedName>
    <definedName name="d.20" localSheetId="14">#REF!</definedName>
    <definedName name="d.20">#REF!</definedName>
    <definedName name="d.25" localSheetId="14">#REF!</definedName>
    <definedName name="d.25">#REF!</definedName>
    <definedName name="d.6" localSheetId="14">#REF!</definedName>
    <definedName name="d.6">#REF!</definedName>
    <definedName name="d.8" localSheetId="14">#REF!</definedName>
    <definedName name="d.8">#REF!</definedName>
    <definedName name="dat" localSheetId="7">'[2]#REF'!$C$6:$BB$783</definedName>
    <definedName name="dat" localSheetId="8">'[2]#REF'!$C$6:$BB$783</definedName>
    <definedName name="dat" localSheetId="6">'[2]#REF'!$C$6:$BB$783</definedName>
    <definedName name="dat">#REF!</definedName>
    <definedName name="Data" localSheetId="14">#REF!</definedName>
    <definedName name="Data">#REF!</definedName>
    <definedName name="_xlnm.Database" localSheetId="14">#REF!</definedName>
    <definedName name="_xlnm.Database">#REF!</definedName>
    <definedName name="DATOS" localSheetId="14">#REF!</definedName>
    <definedName name="DATOS">#REF!</definedName>
    <definedName name="DCC" localSheetId="4">#REF!</definedName>
    <definedName name="DCC" localSheetId="3">#REF!</definedName>
    <definedName name="DCC" localSheetId="14">#REF!</definedName>
    <definedName name="DCC" localSheetId="0">#REF!</definedName>
    <definedName name="DCC" localSheetId="1">#REF!</definedName>
    <definedName name="DCC" localSheetId="2">#REF!</definedName>
    <definedName name="DCC">#REF!</definedName>
    <definedName name="ddlim" localSheetId="14">#REF!</definedName>
    <definedName name="ddlim">#REF!</definedName>
    <definedName name="decimal" localSheetId="12" hidden="1">{"DECIMAL",#N/A,FALSE,"02"}</definedName>
    <definedName name="decimal" localSheetId="13" hidden="1">{"DECIMAL",#N/A,FALSE,"02"}</definedName>
    <definedName name="decimal" localSheetId="7" hidden="1">{"DECIMAL",#N/A,FALSE,"02"}</definedName>
    <definedName name="decimal" localSheetId="15" hidden="1">{"DECIMAL",#N/A,FALSE,"02"}</definedName>
    <definedName name="decimal" localSheetId="16" hidden="1">{"DECIMAL",#N/A,FALSE,"02"}</definedName>
    <definedName name="decimal" localSheetId="17" hidden="1">{"DECIMAL",#N/A,FALSE,"02"}</definedName>
    <definedName name="decimal" localSheetId="8" hidden="1">{"DECIMAL",#N/A,FALSE,"02"}</definedName>
    <definedName name="decimal" localSheetId="9" hidden="1">{"DECIMAL",#N/A,FALSE,"02"}</definedName>
    <definedName name="decimal" localSheetId="6" hidden="1">{"DECIMAL",#N/A,FALSE,"02"}</definedName>
    <definedName name="decimal" localSheetId="14" hidden="1">{"DECIMAL",#N/A,FALSE,"02"}</definedName>
    <definedName name="decimal" localSheetId="11" hidden="1">{"DECIMAL",#N/A,FALSE,"02"}</definedName>
    <definedName name="decimal" localSheetId="10" hidden="1">{"DECIMAL",#N/A,FALSE,"02"}</definedName>
    <definedName name="decimal" localSheetId="0" hidden="1">{"DECIMAL",#N/A,FALSE,"02"}</definedName>
    <definedName name="decimal" localSheetId="1" hidden="1">{"DECIMAL",#N/A,FALSE,"02"}</definedName>
    <definedName name="decimal" localSheetId="2" hidden="1">{"DECIMAL",#N/A,FALSE,"02"}</definedName>
    <definedName name="decimal" hidden="1">{"DECIMAL",#N/A,FALSE,"02"}</definedName>
    <definedName name="Decreto_2641_02" localSheetId="14">#REF!</definedName>
    <definedName name="Decreto_2641_02">#REF!</definedName>
    <definedName name="DEESP" localSheetId="4">#REF!</definedName>
    <definedName name="DEESP" localSheetId="5">#REF!</definedName>
    <definedName name="DEESP" localSheetId="3">#REF!</definedName>
    <definedName name="DEESP" localSheetId="9">#REF!</definedName>
    <definedName name="DEESP" localSheetId="14">#REF!</definedName>
    <definedName name="DEESP">#REF!</definedName>
    <definedName name="DELTA">#N/A</definedName>
    <definedName name="DenominacionAcero" localSheetId="14">#REF!</definedName>
    <definedName name="DenominacionAcero">#REF!</definedName>
    <definedName name="DenominacioPerfiles" localSheetId="14">#REF!</definedName>
    <definedName name="DenominacioPerfiles">#REF!</definedName>
    <definedName name="Descuentos" localSheetId="7">#REF!</definedName>
    <definedName name="Descuentos" localSheetId="4">#REF!</definedName>
    <definedName name="Descuentos" localSheetId="5">#REF!</definedName>
    <definedName name="Descuentos" localSheetId="8">#REF!</definedName>
    <definedName name="Descuentos" localSheetId="3">#REF!</definedName>
    <definedName name="Descuentos" localSheetId="9">#REF!</definedName>
    <definedName name="Descuentos" localSheetId="6">#REF!</definedName>
    <definedName name="Descuentos" localSheetId="14">#REF!</definedName>
    <definedName name="Descuentos" localSheetId="0">#REF!</definedName>
    <definedName name="Descuentos" localSheetId="1">#REF!</definedName>
    <definedName name="Descuentos" localSheetId="2">#REF!</definedName>
    <definedName name="Descuentos">#REF!</definedName>
    <definedName name="Descuentos2" localSheetId="7">#REF!</definedName>
    <definedName name="Descuentos2" localSheetId="4">#REF!</definedName>
    <definedName name="Descuentos2" localSheetId="5">#REF!</definedName>
    <definedName name="Descuentos2" localSheetId="8">#REF!</definedName>
    <definedName name="Descuentos2" localSheetId="3">#REF!</definedName>
    <definedName name="Descuentos2" localSheetId="9">#REF!</definedName>
    <definedName name="Descuentos2" localSheetId="6">#REF!</definedName>
    <definedName name="Descuentos2" localSheetId="14">#REF!</definedName>
    <definedName name="Descuentos2" localSheetId="0">#REF!</definedName>
    <definedName name="Descuentos2" localSheetId="1">#REF!</definedName>
    <definedName name="Descuentos2" localSheetId="2">#REF!</definedName>
    <definedName name="Descuentos2">#REF!</definedName>
    <definedName name="Desperdicio_Armadura" localSheetId="14">#REF!</definedName>
    <definedName name="Desperdicio_Armadura">#REF!</definedName>
    <definedName name="Destino_Edificio" localSheetId="14">#REF!</definedName>
    <definedName name="Destino_Edificio">#REF!</definedName>
    <definedName name="Detalle" localSheetId="12" hidden="1">{"NORMAL",#N/A,FALSE,"02"}</definedName>
    <definedName name="Detalle" localSheetId="13" hidden="1">{"NORMAL",#N/A,FALSE,"02"}</definedName>
    <definedName name="Detalle" localSheetId="7" hidden="1">{"NORMAL",#N/A,FALSE,"02"}</definedName>
    <definedName name="Detalle" localSheetId="15" hidden="1">{"NORMAL",#N/A,FALSE,"02"}</definedName>
    <definedName name="Detalle" localSheetId="16" hidden="1">{"NORMAL",#N/A,FALSE,"02"}</definedName>
    <definedName name="Detalle" localSheetId="17" hidden="1">{"NORMAL",#N/A,FALSE,"02"}</definedName>
    <definedName name="Detalle" localSheetId="8" hidden="1">{"NORMAL",#N/A,FALSE,"02"}</definedName>
    <definedName name="Detalle" localSheetId="9" hidden="1">{"NORMAL",#N/A,FALSE,"02"}</definedName>
    <definedName name="Detalle" localSheetId="6" hidden="1">{"NORMAL",#N/A,FALSE,"02"}</definedName>
    <definedName name="Detalle" localSheetId="14" hidden="1">{"NORMAL",#N/A,FALSE,"02"}</definedName>
    <definedName name="Detalle" localSheetId="11" hidden="1">{"NORMAL",#N/A,FALSE,"02"}</definedName>
    <definedName name="Detalle" localSheetId="10" hidden="1">{"NORMAL",#N/A,FALSE,"02"}</definedName>
    <definedName name="Detalle" localSheetId="0" hidden="1">{"NORMAL",#N/A,FALSE,"02"}</definedName>
    <definedName name="Detalle" localSheetId="1" hidden="1">{"NORMAL",#N/A,FALSE,"02"}</definedName>
    <definedName name="Detalle" localSheetId="2" hidden="1">{"NORMAL",#N/A,FALSE,"02"}</definedName>
    <definedName name="Detalle" hidden="1">{"NORMAL",#N/A,FALSE,"02"}</definedName>
    <definedName name="dF">#REF!</definedName>
    <definedName name="dfgsgsg">#REF!</definedName>
    <definedName name="DHDAM" localSheetId="4">#REF!</definedName>
    <definedName name="DHDAM" localSheetId="5">#REF!</definedName>
    <definedName name="DHDAM" localSheetId="3">#REF!</definedName>
    <definedName name="DHDAM" localSheetId="9">#REF!</definedName>
    <definedName name="DHDAM" localSheetId="14">#REF!</definedName>
    <definedName name="DHDAM">#REF!</definedName>
    <definedName name="DHDD" localSheetId="4">#REF!</definedName>
    <definedName name="DHDD" localSheetId="3">#REF!</definedName>
    <definedName name="DHDD" localSheetId="9">#REF!</definedName>
    <definedName name="DHDD" localSheetId="14">#REF!</definedName>
    <definedName name="DHDD">#REF!</definedName>
    <definedName name="DHDDA" localSheetId="9">#REF!</definedName>
    <definedName name="DHDDA" localSheetId="14">#REF!</definedName>
    <definedName name="DHDDA">#REF!</definedName>
    <definedName name="DHDDB" localSheetId="14">#REF!</definedName>
    <definedName name="DHDDB">#REF!</definedName>
    <definedName name="DHDDE" localSheetId="4">#REF!</definedName>
    <definedName name="DHDDE" localSheetId="5">#REF!</definedName>
    <definedName name="DHDDE" localSheetId="3">#REF!</definedName>
    <definedName name="DHDDE" localSheetId="9">#REF!</definedName>
    <definedName name="DHDDE" localSheetId="14">#REF!</definedName>
    <definedName name="DHDDE">#REF!</definedName>
    <definedName name="DHDEM" localSheetId="4">#REF!</definedName>
    <definedName name="DHDEM" localSheetId="3">#REF!</definedName>
    <definedName name="DHDEM" localSheetId="9">#REF!</definedName>
    <definedName name="DHDEM" localSheetId="14">#REF!</definedName>
    <definedName name="DHDEM">#REF!</definedName>
    <definedName name="DHDPO" localSheetId="9">#REF!</definedName>
    <definedName name="DHDPO" localSheetId="14">#REF!</definedName>
    <definedName name="DHDPO">#REF!</definedName>
    <definedName name="DHMPO" localSheetId="9">#REF!</definedName>
    <definedName name="DHMPO" localSheetId="14">#REF!</definedName>
    <definedName name="DHMPO">#REF!</definedName>
    <definedName name="DIAMETROS" localSheetId="14">#REF!</definedName>
    <definedName name="DIAMETROS">#REF!</definedName>
    <definedName name="Diámetros_y_Espesores_de_P.V.C." localSheetId="14">#REF!</definedName>
    <definedName name="Diámetros_y_Espesores_de_P.V.C.">#REF!</definedName>
    <definedName name="Dias_Enfermedad" localSheetId="14">#REF!</definedName>
    <definedName name="Dias_Enfermedad">#REF!</definedName>
    <definedName name="dic.21" localSheetId="7">#REF!</definedName>
    <definedName name="dic.21" localSheetId="8">#REF!</definedName>
    <definedName name="dic.21" localSheetId="6">#REF!</definedName>
    <definedName name="dic.21" localSheetId="14">'Indice CAC'!#REF!</definedName>
    <definedName name="dic.21">'[1]Indice CAC'!#REF!</definedName>
    <definedName name="dic.22" localSheetId="7">#REF!</definedName>
    <definedName name="dic.22" localSheetId="8">#REF!</definedName>
    <definedName name="dic.22" localSheetId="6">#REF!</definedName>
    <definedName name="dic.22" localSheetId="14">'Indice CAC'!#REF!</definedName>
    <definedName name="dic.22">'[1]Indice CAC'!#REF!</definedName>
    <definedName name="dic.23" localSheetId="7">#REF!</definedName>
    <definedName name="dic.23" localSheetId="8">#REF!</definedName>
    <definedName name="dic.23" localSheetId="6">#REF!</definedName>
    <definedName name="dic.23" localSheetId="14">'Indice CAC'!#REF!</definedName>
    <definedName name="dic.23">'[1]Indice CAC'!#REF!</definedName>
    <definedName name="dic.24" localSheetId="14">'Indice CAC'!#REF!</definedName>
    <definedName name="dic.24">#REF!</definedName>
    <definedName name="dici21" localSheetId="7">#REF!</definedName>
    <definedName name="dici21" localSheetId="8">#REF!</definedName>
    <definedName name="dici21" localSheetId="6">#REF!</definedName>
    <definedName name="dici21" localSheetId="14">'Indice CAC'!#REF!</definedName>
    <definedName name="dici21">'[1]Indice CAC'!#REF!</definedName>
    <definedName name="dici22" localSheetId="7">#REF!</definedName>
    <definedName name="dici22" localSheetId="8">#REF!</definedName>
    <definedName name="dici22" localSheetId="6">#REF!</definedName>
    <definedName name="dici22" localSheetId="14">'Indice CAC'!#REF!</definedName>
    <definedName name="dici22">'[1]Indice CAC'!#REF!</definedName>
    <definedName name="dici23" localSheetId="7">#REF!</definedName>
    <definedName name="dici23" localSheetId="8">#REF!</definedName>
    <definedName name="dici23" localSheetId="6">#REF!</definedName>
    <definedName name="dici23" localSheetId="14">'Indice CAC'!#REF!</definedName>
    <definedName name="dici23">'[1]Indice CAC'!#REF!</definedName>
    <definedName name="Diesel" localSheetId="14">#REF!</definedName>
    <definedName name="Diesel">#REF!</definedName>
    <definedName name="dil" localSheetId="14">#REF!</definedName>
    <definedName name="dil">#REF!</definedName>
    <definedName name="DINTS" localSheetId="4">#REF!</definedName>
    <definedName name="DINTS" localSheetId="5">#REF!</definedName>
    <definedName name="DINTS" localSheetId="3">#REF!</definedName>
    <definedName name="DINTS" localSheetId="9">#REF!</definedName>
    <definedName name="DINTS" localSheetId="14">#REF!</definedName>
    <definedName name="DINTS">#REF!</definedName>
    <definedName name="dlim" localSheetId="14">#REF!</definedName>
    <definedName name="dlim">#REF!</definedName>
    <definedName name="DMPGR" localSheetId="14">#REF!</definedName>
    <definedName name="DMPGR">#REF!</definedName>
    <definedName name="DMPGRAM" localSheetId="14">#REF!</definedName>
    <definedName name="DMPGRAM">#REF!</definedName>
    <definedName name="docum" localSheetId="14">#REF!</definedName>
    <definedName name="docum">#REF!</definedName>
    <definedName name="DOLAR" localSheetId="14">#REF!</definedName>
    <definedName name="DOLAR">#REF!</definedName>
    <definedName name="Dólar" localSheetId="14">#REF!</definedName>
    <definedName name="Dólar">#REF!</definedName>
    <definedName name="Dollar" localSheetId="14">#REF!</definedName>
    <definedName name="Dollar">#REF!</definedName>
    <definedName name="DR" localSheetId="14">#REF!</definedName>
    <definedName name="DR">#REF!</definedName>
    <definedName name="DRdos" localSheetId="14">#REF!</definedName>
    <definedName name="DRdos">#REF!</definedName>
    <definedName name="DReq" localSheetId="14">#REF!</definedName>
    <definedName name="DReq">#REF!</definedName>
    <definedName name="DReqdos">#REF!</definedName>
    <definedName name="DRuno">#REF!</definedName>
    <definedName name="drwtr">#REF!</definedName>
    <definedName name="DTHBMPG" localSheetId="14">#REF!</definedName>
    <definedName name="DTHBMPG">#REF!</definedName>
    <definedName name="DTHDABM" localSheetId="14">#REF!</definedName>
    <definedName name="DTHDABM">#REF!</definedName>
    <definedName name="DTHDAPM" localSheetId="14">#REF!</definedName>
    <definedName name="DTHDAPM">#REF!</definedName>
    <definedName name="DTHDBPM" localSheetId="14">#REF!</definedName>
    <definedName name="DTHDBPM">#REF!</definedName>
    <definedName name="DTHPDCO" localSheetId="14">#REF!</definedName>
    <definedName name="DTHPDCO">#REF!</definedName>
    <definedName name="DTHPDDA" localSheetId="14">#REF!</definedName>
    <definedName name="DTHPDDA">#REF!</definedName>
    <definedName name="DTHPDDB" localSheetId="14">#REF!</definedName>
    <definedName name="DTHPDDB">#REF!</definedName>
    <definedName name="DTHPGCO" localSheetId="14">#REF!</definedName>
    <definedName name="DTHPGCO">#REF!</definedName>
    <definedName name="DTHPMBM" localSheetId="14">#REF!</definedName>
    <definedName name="DTHPMBM">#REF!</definedName>
    <definedName name="DVDD" localSheetId="4">#REF!</definedName>
    <definedName name="DVDD" localSheetId="5">#REF!</definedName>
    <definedName name="DVDD" localSheetId="3">#REF!</definedName>
    <definedName name="DVDD" localSheetId="9">#REF!</definedName>
    <definedName name="DVDD" localSheetId="14">#REF!</definedName>
    <definedName name="DVDD">#REF!</definedName>
    <definedName name="DVDEM" localSheetId="4">#REF!</definedName>
    <definedName name="DVDEM" localSheetId="3">#REF!</definedName>
    <definedName name="DVDEM" localSheetId="9">#REF!</definedName>
    <definedName name="DVDEM" localSheetId="14">#REF!</definedName>
    <definedName name="DVDEM">#REF!</definedName>
    <definedName name="DVEM" localSheetId="9">#REF!</definedName>
    <definedName name="DVEM" localSheetId="14">#REF!</definedName>
    <definedName name="DVEM">#REF!</definedName>
    <definedName name="E" localSheetId="14">#REF!</definedName>
    <definedName name="E">#N/A</definedName>
    <definedName name="EASP" localSheetId="9">#REF!</definedName>
    <definedName name="EASP" localSheetId="14">#REF!</definedName>
    <definedName name="EASP">#REF!</definedName>
    <definedName name="Ee" localSheetId="14">#REF!</definedName>
    <definedName name="Ee">#REF!</definedName>
    <definedName name="Ef" localSheetId="14">#REF!</definedName>
    <definedName name="Ef">#REF!</definedName>
    <definedName name="Ei" localSheetId="14">#REF!</definedName>
    <definedName name="Ei">#REF!</definedName>
    <definedName name="EINC">#REF!</definedName>
    <definedName name="Eléctrica" localSheetId="14">#REF!</definedName>
    <definedName name="Eléctrica">#REF!</definedName>
    <definedName name="Em" localSheetId="14">#REF!</definedName>
    <definedName name="Em">#REF!</definedName>
    <definedName name="Empleados" localSheetId="7">'[4]09-2023'!$C$11:$C$25</definedName>
    <definedName name="Empleados" localSheetId="8">'[4]09-2023'!$C$11:$C$25</definedName>
    <definedName name="Empleados" localSheetId="6">'[4]09-2023'!$C$11:$C$25</definedName>
    <definedName name="Empleados">#REF!</definedName>
    <definedName name="EMSP" localSheetId="14">#REF!</definedName>
    <definedName name="EMSP">#REF!</definedName>
    <definedName name="EncabezadoAnalisis" localSheetId="14">#REF!</definedName>
    <definedName name="EncabezadoAnalisis">#REF!</definedName>
    <definedName name="End_Bal" localSheetId="14">#REF!</definedName>
    <definedName name="End_Bal">#REF!</definedName>
    <definedName name="ene.23" localSheetId="7">#REF!</definedName>
    <definedName name="ene.23" localSheetId="8">#REF!</definedName>
    <definedName name="ene.23" localSheetId="6">#REF!</definedName>
    <definedName name="ene.23" localSheetId="14">'Indice CAC'!#REF!</definedName>
    <definedName name="ene.23">'[1]Indice CAC'!#REF!</definedName>
    <definedName name="ene.24" localSheetId="7">#REF!</definedName>
    <definedName name="ene.24" localSheetId="8">#REF!</definedName>
    <definedName name="ene.24" localSheetId="6">#REF!</definedName>
    <definedName name="ene.24" localSheetId="14">'Indice CAC'!#REF!</definedName>
    <definedName name="ene.24">'[1]Indice CAC'!#REF!</definedName>
    <definedName name="ene.25" localSheetId="14">'Indice CAC'!#REF!</definedName>
    <definedName name="ene.25">#REF!</definedName>
    <definedName name="ener23" localSheetId="7">#REF!</definedName>
    <definedName name="ener23" localSheetId="8">#REF!</definedName>
    <definedName name="ener23" localSheetId="6">#REF!</definedName>
    <definedName name="ener23" localSheetId="14">'Indice CAC'!#REF!</definedName>
    <definedName name="ener23">'[1]Indice CAC'!#REF!</definedName>
    <definedName name="ener24" localSheetId="7">#REF!</definedName>
    <definedName name="ener24" localSheetId="8">#REF!</definedName>
    <definedName name="ener24" localSheetId="6">#REF!</definedName>
    <definedName name="ener24" localSheetId="14">'Indice CAC'!#REF!</definedName>
    <definedName name="ener24">'[1]Indice CAC'!#REF!</definedName>
    <definedName name="ENERGIA" localSheetId="14">#REF!</definedName>
    <definedName name="ENERGIA">#REF!</definedName>
    <definedName name="ENREUTAB" localSheetId="14">#REF!</definedName>
    <definedName name="ENREUTAB">#REF!</definedName>
    <definedName name="ENREUTIR" localSheetId="14">#REF!</definedName>
    <definedName name="ENREUTIR">#REF!</definedName>
    <definedName name="Eo" localSheetId="14">#REF!</definedName>
    <definedName name="Eo">#REF!</definedName>
    <definedName name="eq" localSheetId="14">#REF!</definedName>
    <definedName name="eq">#REF!</definedName>
    <definedName name="eqimp" localSheetId="14">#REF!</definedName>
    <definedName name="eqimp">#REF!</definedName>
    <definedName name="eqnac" localSheetId="14">#REF!</definedName>
    <definedName name="eqnac">#REF!</definedName>
    <definedName name="EQS" localSheetId="14">#REF!</definedName>
    <definedName name="EQS">#REF!</definedName>
    <definedName name="equipo" localSheetId="14">#REF!</definedName>
    <definedName name="equipo">#REF!</definedName>
    <definedName name="EQUIPOS" localSheetId="14">#REF!</definedName>
    <definedName name="EQUIPOS">#REF!</definedName>
    <definedName name="ES" localSheetId="14">#REF!</definedName>
    <definedName name="ES">#REF!</definedName>
    <definedName name="escala" localSheetId="14">#REF!</definedName>
    <definedName name="escala">#REF!</definedName>
    <definedName name="Escenarios">#REF!</definedName>
    <definedName name="espera_del_pago" localSheetId="14">#REF!</definedName>
    <definedName name="espera_del_pago">#REF!</definedName>
    <definedName name="Et" localSheetId="14">#REF!</definedName>
    <definedName name="Et">#REF!</definedName>
    <definedName name="etapaII" localSheetId="14">#REF!</definedName>
    <definedName name="etapaII">#REF!</definedName>
    <definedName name="etapaIII" localSheetId="14">#REF!</definedName>
    <definedName name="etapaIII">#REF!</definedName>
    <definedName name="EX">#N/A</definedName>
    <definedName name="EXAP" localSheetId="4">#REF!</definedName>
    <definedName name="EXAP" localSheetId="5">#REF!</definedName>
    <definedName name="EXAP" localSheetId="3">#REF!</definedName>
    <definedName name="EXAP" localSheetId="9">#REF!</definedName>
    <definedName name="EXAP" localSheetId="14">#REF!</definedName>
    <definedName name="EXAP">#REF!</definedName>
    <definedName name="EXAPI" localSheetId="4">#REF!</definedName>
    <definedName name="EXAPI" localSheetId="3">#REF!</definedName>
    <definedName name="EXAPI" localSheetId="9">#REF!</definedName>
    <definedName name="EXAPI" localSheetId="14">#REF!</definedName>
    <definedName name="EXAPI">#REF!</definedName>
    <definedName name="EXAS" localSheetId="9">#REF!</definedName>
    <definedName name="EXAS" localSheetId="14">#REF!</definedName>
    <definedName name="EXAS">#REF!</definedName>
    <definedName name="EXAZ" localSheetId="9">#REF!</definedName>
    <definedName name="EXAZ" localSheetId="14">#REF!</definedName>
    <definedName name="EXAZ">#REF!</definedName>
    <definedName name="EXBE" localSheetId="14">#REF!</definedName>
    <definedName name="EXBE">#REF!</definedName>
    <definedName name="EXCD" localSheetId="14">#REF!</definedName>
    <definedName name="EXCD">#REF!</definedName>
    <definedName name="EXCM" localSheetId="14">#REF!</definedName>
    <definedName name="EXCM">#REF!</definedName>
    <definedName name="EXCT" localSheetId="14">#REF!</definedName>
    <definedName name="EXCT">#REF!</definedName>
    <definedName name="EXESP" localSheetId="14">#REF!</definedName>
    <definedName name="EXESP">#REF!</definedName>
    <definedName name="EXLP" localSheetId="14">#REF!</definedName>
    <definedName name="EXLP">#REF!</definedName>
    <definedName name="EXLS" localSheetId="14">#REF!</definedName>
    <definedName name="EXLS">#REF!</definedName>
    <definedName name="EXNC" localSheetId="14">#REF!</definedName>
    <definedName name="EXNC">#REF!</definedName>
    <definedName name="EXNP" localSheetId="14">#REF!</definedName>
    <definedName name="EXNP">#REF!</definedName>
    <definedName name="EXPOSICION" localSheetId="14">#REF!</definedName>
    <definedName name="EXPOSICION">#REF!</definedName>
    <definedName name="EXPZ" localSheetId="14">#REF!</definedName>
    <definedName name="EXPZ">#REF!</definedName>
    <definedName name="EXSP" localSheetId="14">#REF!</definedName>
    <definedName name="EXSP">#REF!</definedName>
    <definedName name="Extra_Pay" localSheetId="14">#REF!</definedName>
    <definedName name="Extra_Pay">#REF!</definedName>
    <definedName name="EY">#N/A</definedName>
    <definedName name="FASES">#N/A</definedName>
    <definedName name="FCT" localSheetId="14">#REF!</definedName>
    <definedName name="FCT">#REF!</definedName>
    <definedName name="Fe" localSheetId="14">#REF!</definedName>
    <definedName name="Fe">#REF!</definedName>
    <definedName name="feb.23" localSheetId="7">#REF!</definedName>
    <definedName name="feb.23" localSheetId="8">#REF!</definedName>
    <definedName name="feb.23" localSheetId="6">#REF!</definedName>
    <definedName name="feb.23" localSheetId="14">'Indice CAC'!#REF!</definedName>
    <definedName name="feb.23">'[1]Indice CAC'!#REF!</definedName>
    <definedName name="feb.24" localSheetId="7">#REF!</definedName>
    <definedName name="feb.24" localSheetId="8">#REF!</definedName>
    <definedName name="feb.24" localSheetId="6">#REF!</definedName>
    <definedName name="feb.24" localSheetId="14">'Indice CAC'!#REF!</definedName>
    <definedName name="feb.24">'[1]Indice CAC'!#REF!</definedName>
    <definedName name="feb.25" localSheetId="14">'Indice CAC'!#REF!</definedName>
    <definedName name="feb.25">#REF!</definedName>
    <definedName name="febr24" localSheetId="7">#REF!</definedName>
    <definedName name="febr24" localSheetId="8">#REF!</definedName>
    <definedName name="febr24" localSheetId="6">#REF!</definedName>
    <definedName name="febr24" localSheetId="14">'Indice CAC'!#REF!</definedName>
    <definedName name="febr24">'[1]Indice CAC'!#REF!</definedName>
    <definedName name="febre23" localSheetId="7">#REF!</definedName>
    <definedName name="febre23" localSheetId="8">#REF!</definedName>
    <definedName name="febre23" localSheetId="6">#REF!</definedName>
    <definedName name="febre23" localSheetId="14">'Indice CAC'!#REF!</definedName>
    <definedName name="febre23">'[1]Indice CAC'!#REF!</definedName>
    <definedName name="Fecha" localSheetId="14">#REF!</definedName>
    <definedName name="Fecha">#REF!</definedName>
    <definedName name="FF" localSheetId="14">#REF!</definedName>
    <definedName name="FF">#REF!</definedName>
    <definedName name="ffdfsd" localSheetId="14">#REF!</definedName>
    <definedName name="ffdfsd">#REF!</definedName>
    <definedName name="fi" localSheetId="14">#REF!</definedName>
    <definedName name="fi">#REF!</definedName>
    <definedName name="fin" localSheetId="4">#REF!</definedName>
    <definedName name="fin" localSheetId="5">#REF!</definedName>
    <definedName name="fin" localSheetId="3">#REF!</definedName>
    <definedName name="fin" localSheetId="9">#REF!</definedName>
    <definedName name="fin" localSheetId="14">#REF!</definedName>
    <definedName name="fin">#REF!</definedName>
    <definedName name="finor" localSheetId="14">#REF!</definedName>
    <definedName name="finor">#REF!</definedName>
    <definedName name="FL" localSheetId="14">#REF!</definedName>
    <definedName name="FL">#REF!</definedName>
    <definedName name="FLECHA" localSheetId="14">#REF!</definedName>
    <definedName name="FLECHA">#REF!</definedName>
    <definedName name="Flete" localSheetId="14">#REF!</definedName>
    <definedName name="Flete">#REF!</definedName>
    <definedName name="FleteReal" localSheetId="14">#REF!</definedName>
    <definedName name="FleteReal">#REF!</definedName>
    <definedName name="flex" localSheetId="14">#REF!</definedName>
    <definedName name="flex">#REF!</definedName>
    <definedName name="flexposte" localSheetId="14">#REF!</definedName>
    <definedName name="flexposte">#REF!</definedName>
    <definedName name="fo" localSheetId="14">#REF!</definedName>
    <definedName name="fo">#REF!</definedName>
    <definedName name="Fondo_Desempleo" localSheetId="14">#REF!</definedName>
    <definedName name="Fondo_Desempleo">#REF!</definedName>
    <definedName name="Forecast2" localSheetId="7">[3]PI!$D$9</definedName>
    <definedName name="Forecast2" localSheetId="8">[3]PI!$D$9</definedName>
    <definedName name="Forecast2" localSheetId="6">[3]PI!$D$9</definedName>
    <definedName name="Forecast2">#REF!</definedName>
    <definedName name="Forecast2Cat" localSheetId="7">[3]PI!$C$9</definedName>
    <definedName name="Forecast2Cat" localSheetId="8">[3]PI!$C$9</definedName>
    <definedName name="Forecast2Cat" localSheetId="6">[3]PI!$C$9</definedName>
    <definedName name="Forecast2Cat">#REF!</definedName>
    <definedName name="formula_analisis" localSheetId="14">#REF!</definedName>
    <definedName name="formula_analisis">#REF!</definedName>
    <definedName name="formula_formula" localSheetId="14">#REF!</definedName>
    <definedName name="formula_formula">#REF!</definedName>
    <definedName name="Fórmula_General_para_Determinación_de_f" localSheetId="14">#REF!</definedName>
    <definedName name="Fórmula_General_para_Determinación_de_f">#REF!</definedName>
    <definedName name="formula_insumo" localSheetId="14">#REF!</definedName>
    <definedName name="formula_insumo">#REF!</definedName>
    <definedName name="formula_presupuesto" localSheetId="14">#REF!</definedName>
    <definedName name="formula_presupuesto">#REF!</definedName>
    <definedName name="formula_rubro" localSheetId="14">#REF!</definedName>
    <definedName name="formula_rubro">#REF!</definedName>
    <definedName name="formulapatron" localSheetId="14">#REF!</definedName>
    <definedName name="formulapatron">#REF!</definedName>
    <definedName name="formulas" localSheetId="14">#REF!</definedName>
    <definedName name="formulas">#REF!</definedName>
    <definedName name="formulasenlace" localSheetId="4">#REF!</definedName>
    <definedName name="formulasenlace" localSheetId="5">#REF!</definedName>
    <definedName name="formulasenlace" localSheetId="3">#REF!</definedName>
    <definedName name="formulasenlace" localSheetId="9">#REF!</definedName>
    <definedName name="formulasenlace" localSheetId="14">#REF!</definedName>
    <definedName name="formulasenlace">#REF!</definedName>
    <definedName name="FP" localSheetId="14">#REF!</definedName>
    <definedName name="FP">#REF!</definedName>
    <definedName name="FP_" localSheetId="14">#REF!</definedName>
    <definedName name="FP_">#REF!</definedName>
    <definedName name="FP__" localSheetId="14">#REF!</definedName>
    <definedName name="FP__">#REF!</definedName>
    <definedName name="frame0" localSheetId="14">#REF!</definedName>
    <definedName name="frame0">#REF!</definedName>
    <definedName name="frameF">#REF!</definedName>
    <definedName name="framevs">#REF!</definedName>
    <definedName name="ft" localSheetId="14">#REF!</definedName>
    <definedName name="FT">#REF!</definedName>
    <definedName name="fu" localSheetId="14">#REF!</definedName>
    <definedName name="fu">#REF!</definedName>
    <definedName name="Full_Print" localSheetId="14">#REF!</definedName>
    <definedName name="Full_Print">#REF!</definedName>
    <definedName name="FX_" localSheetId="14">#REF!</definedName>
    <definedName name="FX_">#REF!</definedName>
    <definedName name="FY" localSheetId="14">#REF!</definedName>
    <definedName name="FY">#REF!</definedName>
    <definedName name="G" localSheetId="14">INDEX(#REF!,MATCH("*[G]*",#REF!,0))</definedName>
    <definedName name="g">#REF!</definedName>
    <definedName name="G0">#REF!</definedName>
    <definedName name="G6333333" localSheetId="14">#REF!</definedName>
    <definedName name="G6333333">#REF!</definedName>
    <definedName name="gama">#REF!</definedName>
    <definedName name="gamma">#REF!</definedName>
    <definedName name="gamma_c" localSheetId="14">#REF!</definedName>
    <definedName name="gamma_c">#REF!</definedName>
    <definedName name="GAMMAH" localSheetId="14">#REF!</definedName>
    <definedName name="GAMMAH">#REF!</definedName>
    <definedName name="GAMMAH_" localSheetId="14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rantia" localSheetId="14">#REF!</definedName>
    <definedName name="Garantia">#REF!</definedName>
    <definedName name="GASOIL" localSheetId="14">#REF!</definedName>
    <definedName name="GASOIL">#REF!</definedName>
    <definedName name="gaviones" localSheetId="14">#REF!</definedName>
    <definedName name="gaviones">#REF!</definedName>
    <definedName name="gavr" localSheetId="14">#REF!</definedName>
    <definedName name="gavr">#REF!</definedName>
    <definedName name="gc" localSheetId="14">#REF!</definedName>
    <definedName name="gc">#REF!</definedName>
    <definedName name="GE" localSheetId="14">#REF!</definedName>
    <definedName name="GE">#REF!</definedName>
    <definedName name="gel" localSheetId="14">#REF!</definedName>
    <definedName name="gel">#REF!</definedName>
    <definedName name="geot" localSheetId="14">#REF!</definedName>
    <definedName name="geot">#REF!</definedName>
    <definedName name="gfgfgf" localSheetId="7">#REF!</definedName>
    <definedName name="gfgfgf" localSheetId="5">#REF!</definedName>
    <definedName name="gfgfgf" localSheetId="8">#REF!</definedName>
    <definedName name="gfgfgf" localSheetId="9">#REF!</definedName>
    <definedName name="gfgfgf" localSheetId="6">#REF!</definedName>
    <definedName name="gfgfgf" localSheetId="14">#REF!</definedName>
    <definedName name="gfgfgf" localSheetId="0">#REF!</definedName>
    <definedName name="gfgfgf" localSheetId="1">#REF!</definedName>
    <definedName name="gfgfgf" localSheetId="2">#REF!</definedName>
    <definedName name="gfgfgf">#REF!</definedName>
    <definedName name="gfhds">#REF!</definedName>
    <definedName name="GFINANCIEROS" localSheetId="14">#REF!</definedName>
    <definedName name="GFINANCIEROS">#REF!</definedName>
    <definedName name="GGDirecto" localSheetId="14">#REF!</definedName>
    <definedName name="GGDirecto">#REF!</definedName>
    <definedName name="GGENERALES" localSheetId="14">#REF!</definedName>
    <definedName name="GGENERALES">#REF!</definedName>
    <definedName name="GGIndirecto" localSheetId="14">#REF!</definedName>
    <definedName name="GGIndirecto">#REF!</definedName>
    <definedName name="Gh" localSheetId="14">#REF!</definedName>
    <definedName name="Gh">#REF!</definedName>
    <definedName name="GImpositivos" localSheetId="14">#REF!</definedName>
    <definedName name="GImpositivos">#REF!</definedName>
    <definedName name="GLDP" localSheetId="4">#REF!</definedName>
    <definedName name="GLDP" localSheetId="3">#REF!</definedName>
    <definedName name="GLDP" localSheetId="9">#REF!</definedName>
    <definedName name="GLDP" localSheetId="14">#REF!</definedName>
    <definedName name="GLDP">#REF!</definedName>
    <definedName name="go" localSheetId="14">#REF!</definedName>
    <definedName name="go">#REF!</definedName>
    <definedName name="Gradiente_En__Canales" localSheetId="14">#REF!</definedName>
    <definedName name="Gradiente_En__Canales">#REF!</definedName>
    <definedName name="Gradiente_En__Canales_Circulares_a_Sección_Llena" localSheetId="14">#REF!</definedName>
    <definedName name="Gradiente_En__Canales_Circulares_a_Sección_Llena">#REF!</definedName>
    <definedName name="Gradiente_En__Orificio_de_Fondo" localSheetId="14">#REF!</definedName>
    <definedName name="Gradiente_En__Orificio_de_Fondo">#REF!</definedName>
    <definedName name="Gradiente_En__Tuberías_en_Presión">#REF!</definedName>
    <definedName name="Gradiente_En_Canaleta_Parshal">#REF!</definedName>
    <definedName name="Gradiente_En_Curva_en_Canales">#REF!</definedName>
    <definedName name="Gradiente_En_Curva_en_Cañerías">#REF!</definedName>
    <definedName name="Gradiente_En_Dispersor_Hidráulico">#REF!</definedName>
    <definedName name="Gradiente_En_Floculador_Hidráulico">#REF!</definedName>
    <definedName name="Gradiente_En_Floculador_Mecánico">#REF!</definedName>
    <definedName name="Gradiente_En_Placa_Orificio">#REF!</definedName>
    <definedName name="Gradiente_En_Vertedero_de_Umbral_Horizontal">#REF!</definedName>
    <definedName name="graf" localSheetId="12" hidden="1">{#N/A,#N/A,TRUE,"Cert.Global";#N/A,#N/A,TRUE,"Cert. M&amp;C";#N/A,#N/A,TRUE,"Cert. Engineering";#N/A,#N/A,TRUE,"Cert. Procurement ";#N/A,#N/A,TRUE,"Cert. Constr. Manag."}</definedName>
    <definedName name="graf" localSheetId="13" hidden="1">{#N/A,#N/A,TRUE,"Cert.Global";#N/A,#N/A,TRUE,"Cert. M&amp;C";#N/A,#N/A,TRUE,"Cert. Engineering";#N/A,#N/A,TRUE,"Cert. Procurement ";#N/A,#N/A,TRUE,"Cert. Constr. Manag."}</definedName>
    <definedName name="graf" localSheetId="7" hidden="1">{#N/A,#N/A,TRUE,"Cert.Global";#N/A,#N/A,TRUE,"Cert. M&amp;C";#N/A,#N/A,TRUE,"Cert. Engineering";#N/A,#N/A,TRUE,"Cert. Procurement ";#N/A,#N/A,TRUE,"Cert. Constr. Manag."}</definedName>
    <definedName name="graf" localSheetId="15" hidden="1">{#N/A,#N/A,TRUE,"Cert.Global";#N/A,#N/A,TRUE,"Cert. M&amp;C";#N/A,#N/A,TRUE,"Cert. Engineering";#N/A,#N/A,TRUE,"Cert. Procurement ";#N/A,#N/A,TRUE,"Cert. Constr. Manag."}</definedName>
    <definedName name="graf" localSheetId="16" hidden="1">{#N/A,#N/A,TRUE,"Cert.Global";#N/A,#N/A,TRUE,"Cert. M&amp;C";#N/A,#N/A,TRUE,"Cert. Engineering";#N/A,#N/A,TRUE,"Cert. Procurement ";#N/A,#N/A,TRUE,"Cert. Constr. Manag."}</definedName>
    <definedName name="graf" localSheetId="17" hidden="1">{#N/A,#N/A,TRUE,"Cert.Global";#N/A,#N/A,TRUE,"Cert. M&amp;C";#N/A,#N/A,TRUE,"Cert. Engineering";#N/A,#N/A,TRUE,"Cert. Procurement ";#N/A,#N/A,TRUE,"Cert. Constr. Manag."}</definedName>
    <definedName name="graf" localSheetId="8" hidden="1">{#N/A,#N/A,TRUE,"Cert.Global";#N/A,#N/A,TRUE,"Cert. M&amp;C";#N/A,#N/A,TRUE,"Cert. Engineering";#N/A,#N/A,TRUE,"Cert. Procurement ";#N/A,#N/A,TRUE,"Cert. Constr. Manag."}</definedName>
    <definedName name="graf" localSheetId="9" hidden="1">{#N/A,#N/A,TRUE,"Cert.Global";#N/A,#N/A,TRUE,"Cert. M&amp;C";#N/A,#N/A,TRUE,"Cert. Engineering";#N/A,#N/A,TRUE,"Cert. Procurement ";#N/A,#N/A,TRUE,"Cert. Constr. Manag."}</definedName>
    <definedName name="graf" localSheetId="6" hidden="1">{#N/A,#N/A,TRUE,"Cert.Global";#N/A,#N/A,TRUE,"Cert. M&amp;C";#N/A,#N/A,TRUE,"Cert. Engineering";#N/A,#N/A,TRUE,"Cert. Procurement ";#N/A,#N/A,TRUE,"Cert. Constr. Manag."}</definedName>
    <definedName name="graf" localSheetId="14" hidden="1">{#N/A,#N/A,TRUE,"Cert.Global";#N/A,#N/A,TRUE,"Cert. M&amp;C";#N/A,#N/A,TRUE,"Cert. Engineering";#N/A,#N/A,TRUE,"Cert. Procurement ";#N/A,#N/A,TRUE,"Cert. Constr. Manag."}</definedName>
    <definedName name="graf" localSheetId="11" hidden="1">{#N/A,#N/A,TRUE,"Cert.Global";#N/A,#N/A,TRUE,"Cert. M&amp;C";#N/A,#N/A,TRUE,"Cert. Engineering";#N/A,#N/A,TRUE,"Cert. Procurement ";#N/A,#N/A,TRUE,"Cert. Constr. Manag."}</definedName>
    <definedName name="graf" localSheetId="10" hidden="1">{#N/A,#N/A,TRUE,"Cert.Global";#N/A,#N/A,TRUE,"Cert. M&amp;C";#N/A,#N/A,TRUE,"Cert. Engineering";#N/A,#N/A,TRUE,"Cert. Procurement ";#N/A,#N/A,TRUE,"Cert. Constr. Manag."}</definedName>
    <definedName name="graf" localSheetId="0" hidden="1">{#N/A,#N/A,TRUE,"Cert.Global";#N/A,#N/A,TRUE,"Cert. M&amp;C";#N/A,#N/A,TRUE,"Cert. Engineering";#N/A,#N/A,TRUE,"Cert. Procurement ";#N/A,#N/A,TRUE,"Cert. Constr. Manag."}</definedName>
    <definedName name="graf" localSheetId="1" hidden="1">{#N/A,#N/A,TRUE,"Cert.Global";#N/A,#N/A,TRUE,"Cert. M&amp;C";#N/A,#N/A,TRUE,"Cert. Engineering";#N/A,#N/A,TRUE,"Cert. Procurement ";#N/A,#N/A,TRUE,"Cert. Constr. Manag."}</definedName>
    <definedName name="graf" localSheetId="2" hidden="1">{#N/A,#N/A,TRUE,"Cert.Global";#N/A,#N/A,TRUE,"Cert. M&amp;C";#N/A,#N/A,TRUE,"Cert. Engineering";#N/A,#N/A,TRUE,"Cert. Procurement ";#N/A,#N/A,TRUE,"Cert. Constr. Manag."}</definedName>
    <definedName name="graf" hidden="1">{#N/A,#N/A,TRUE,"Cert.Global";#N/A,#N/A,TRUE,"Cert. M&amp;C";#N/A,#N/A,TRUE,"Cert. Engineering";#N/A,#N/A,TRUE,"Cert. Procurement ";#N/A,#N/A,TRUE,"Cert. Constr. Manag."}</definedName>
    <definedName name="grr" localSheetId="14">#REF!</definedName>
    <definedName name="grr">#REF!</definedName>
    <definedName name="GRUPOS" localSheetId="14">#REF!</definedName>
    <definedName name="GRUPOS">#REF!</definedName>
    <definedName name="guarderia" localSheetId="12">#REF!</definedName>
    <definedName name="guarderia" localSheetId="13">#REF!</definedName>
    <definedName name="guarderia" localSheetId="7">#REF!</definedName>
    <definedName name="guarderia" localSheetId="17">#REF!</definedName>
    <definedName name="guarderia" localSheetId="4">#REF!</definedName>
    <definedName name="guarderia" localSheetId="5">#REF!</definedName>
    <definedName name="guarderia" localSheetId="8">#REF!</definedName>
    <definedName name="guarderia" localSheetId="3">#REF!</definedName>
    <definedName name="guarderia" localSheetId="6">#REF!</definedName>
    <definedName name="guarderia" localSheetId="14">#REF!</definedName>
    <definedName name="guarderia" localSheetId="11">#REF!</definedName>
    <definedName name="guarderia" localSheetId="10">#REF!</definedName>
    <definedName name="guarderia" localSheetId="0">#REF!</definedName>
    <definedName name="guarderia" localSheetId="1">#REF!</definedName>
    <definedName name="guarderia" localSheetId="2">#REF!</definedName>
    <definedName name="guarderia">#REF!</definedName>
    <definedName name="H" localSheetId="14">INDEX(#REF!,MATCH("*[H]*",#REF!,0))</definedName>
    <definedName name="H">#REF!</definedName>
    <definedName name="H.Cuad." localSheetId="14">#REF!</definedName>
    <definedName name="H.Cuad.">#REF!</definedName>
    <definedName name="H.Red.">#REF!</definedName>
    <definedName name="Ha">#REF!</definedName>
    <definedName name="HAADB" localSheetId="4">#REF!</definedName>
    <definedName name="HAADB" localSheetId="3">#REF!</definedName>
    <definedName name="HAADB" localSheetId="14">#REF!</definedName>
    <definedName name="HAADB">#REF!</definedName>
    <definedName name="HAADC" localSheetId="14">#REF!</definedName>
    <definedName name="HAADC">#REF!</definedName>
    <definedName name="HAADE" localSheetId="14">#REF!</definedName>
    <definedName name="HAADE">#REF!</definedName>
    <definedName name="HAADL" localSheetId="14">#REF!</definedName>
    <definedName name="HAADL">#REF!</definedName>
    <definedName name="HAADT" localSheetId="14">#REF!</definedName>
    <definedName name="HAADT">#REF!</definedName>
    <definedName name="HAADV" localSheetId="14">#REF!</definedName>
    <definedName name="HAADV">#REF!</definedName>
    <definedName name="HAAP" localSheetId="14">#REF!</definedName>
    <definedName name="HAAP">#REF!</definedName>
    <definedName name="HAAT" localSheetId="14">#REF!</definedName>
    <definedName name="HAAT">#REF!</definedName>
    <definedName name="HAAV" localSheetId="14">#REF!</definedName>
    <definedName name="HAAV">#REF!</definedName>
    <definedName name="HACAB" localSheetId="14">#REF!</definedName>
    <definedName name="HACAB">#REF!</definedName>
    <definedName name="HACABCP" localSheetId="14">#REF!</definedName>
    <definedName name="HACABCP">#REF!</definedName>
    <definedName name="HACABE" localSheetId="14">#REF!</definedName>
    <definedName name="HACABE">#REF!</definedName>
    <definedName name="HACABEE" localSheetId="14">#REF!</definedName>
    <definedName name="HACABEE">#REF!</definedName>
    <definedName name="HACABLA" localSheetId="14">#REF!</definedName>
    <definedName name="HACABLA">#REF!</definedName>
    <definedName name="HACABLB" localSheetId="14">#REF!</definedName>
    <definedName name="HACABLB">#REF!</definedName>
    <definedName name="HACAC" localSheetId="14">#REF!</definedName>
    <definedName name="HACAC">#REF!</definedName>
    <definedName name="HACACT" localSheetId="14">#REF!</definedName>
    <definedName name="HACACT">#REF!</definedName>
    <definedName name="HACAE" localSheetId="14">#REF!</definedName>
    <definedName name="HACAE">#REF!</definedName>
    <definedName name="HACAL" localSheetId="14">#REF!</definedName>
    <definedName name="HACAL">#REF!</definedName>
    <definedName name="HACALF" localSheetId="14">#REF!</definedName>
    <definedName name="HACALF">#REF!</definedName>
    <definedName name="HACAP" localSheetId="14">#REF!</definedName>
    <definedName name="HACAP">#REF!</definedName>
    <definedName name="HACAT" localSheetId="14">#REF!</definedName>
    <definedName name="HACAT">#REF!</definedName>
    <definedName name="HACATS" localSheetId="14">#REF!</definedName>
    <definedName name="HACATS">#REF!</definedName>
    <definedName name="HACAV" localSheetId="14">#REF!</definedName>
    <definedName name="HACAV">#REF!</definedName>
    <definedName name="HACAVF" localSheetId="14">#REF!</definedName>
    <definedName name="HACAVF">#REF!</definedName>
    <definedName name="HACHE">#N/A</definedName>
    <definedName name="HACLB" localSheetId="14">#REF!</definedName>
    <definedName name="HACLB">#REF!</definedName>
    <definedName name="HACLD" localSheetId="14">#REF!</definedName>
    <definedName name="HACLD">#REF!</definedName>
    <definedName name="HACTLB" localSheetId="14">#REF!</definedName>
    <definedName name="HACTLB">#REF!</definedName>
    <definedName name="HACTLD" localSheetId="14">#REF!</definedName>
    <definedName name="HACTLD">#REF!</definedName>
    <definedName name="HAEL" localSheetId="14">#REF!</definedName>
    <definedName name="HAEL">#REF!</definedName>
    <definedName name="HAEMPSA" localSheetId="14">#REF!</definedName>
    <definedName name="HAEMPSA">#REF!</definedName>
    <definedName name="HAEMZA" localSheetId="14">#REF!</definedName>
    <definedName name="HAEMZA">#REF!</definedName>
    <definedName name="HAET" localSheetId="14">#REF!</definedName>
    <definedName name="HAET">#REF!</definedName>
    <definedName name="HAETBCP" localSheetId="14">#REF!</definedName>
    <definedName name="HAETBCP">#REF!</definedName>
    <definedName name="HAETS" localSheetId="14">#REF!</definedName>
    <definedName name="HAETS">#REF!</definedName>
    <definedName name="HAEV" localSheetId="14">#REF!</definedName>
    <definedName name="HAEV">#REF!</definedName>
    <definedName name="HAMH" localSheetId="14">#REF!</definedName>
    <definedName name="HAMH">#REF!</definedName>
    <definedName name="HAPC" localSheetId="14">#REF!</definedName>
    <definedName name="HAPC">#REF!</definedName>
    <definedName name="HAPL" localSheetId="14">#REF!</definedName>
    <definedName name="HAPL">#REF!</definedName>
    <definedName name="HAPV" localSheetId="14">#REF!</definedName>
    <definedName name="HAPV">#REF!</definedName>
    <definedName name="HAREM" localSheetId="14">#REF!</definedName>
    <definedName name="HAREM">#REF!</definedName>
    <definedName name="HARHE" localSheetId="14">#REF!</definedName>
    <definedName name="HARHE">#REF!</definedName>
    <definedName name="HATF" localSheetId="14">#REF!</definedName>
    <definedName name="HATF">#REF!</definedName>
    <definedName name="HAVE" localSheetId="14">#REF!</definedName>
    <definedName name="HAVE">#REF!</definedName>
    <definedName name="HEA" localSheetId="14">#REF!</definedName>
    <definedName name="HEA">#REF!</definedName>
    <definedName name="HEAA" localSheetId="14">#REF!</definedName>
    <definedName name="HEAA">#REF!</definedName>
    <definedName name="Header_Row">ROW(#REF!)</definedName>
    <definedName name="HEB">#REF!</definedName>
    <definedName name="HEM">#REF!</definedName>
    <definedName name="Hipotesis">#REF!</definedName>
    <definedName name="HJJ">#REF!</definedName>
    <definedName name="HOCI" localSheetId="4">#REF!</definedName>
    <definedName name="HOCI" localSheetId="3">#REF!</definedName>
    <definedName name="HOCI" localSheetId="14">#REF!</definedName>
    <definedName name="HOCI">#REF!</definedName>
    <definedName name="HOCP" localSheetId="4">#REF!</definedName>
    <definedName name="HOCP" localSheetId="3">#REF!</definedName>
    <definedName name="HOCP" localSheetId="14">#REF!</definedName>
    <definedName name="HOCP">#REF!</definedName>
    <definedName name="HOJA1" localSheetId="14">#REF!</definedName>
    <definedName name="HOJA1">#REF!</definedName>
    <definedName name="HOJA2" localSheetId="14">#REF!</definedName>
    <definedName name="HOJA2">#REF!</definedName>
    <definedName name="HOJA3" localSheetId="14">#REF!</definedName>
    <definedName name="HOJA3">#REF!</definedName>
    <definedName name="HOJA4">#REF!</definedName>
    <definedName name="HOJA5">#REF!</definedName>
    <definedName name="HOJA6">#REF!</definedName>
    <definedName name="HOJA7">#REF!</definedName>
    <definedName name="HOJA8">#REF!</definedName>
    <definedName name="HORA">#N/A</definedName>
    <definedName name="Horas_Trabajadas_x_mes" localSheetId="14">#REF!</definedName>
    <definedName name="Horas_Trabajadas_x_mes">#REF!</definedName>
    <definedName name="HORM" localSheetId="14">#REF!</definedName>
    <definedName name="HORM">#REF!</definedName>
    <definedName name="HORMA" localSheetId="14">#REF!</definedName>
    <definedName name="HORMA">#REF!</definedName>
    <definedName name="HOY" localSheetId="14">#REF!</definedName>
    <definedName name="HOY">#REF!</definedName>
    <definedName name="HP" localSheetId="14">#REF!</definedName>
    <definedName name="HP">#REF!</definedName>
    <definedName name="HR" localSheetId="14">#REF!</definedName>
    <definedName name="HR">#REF!</definedName>
    <definedName name="Hs" localSheetId="14">#REF!</definedName>
    <definedName name="Hs">#REF!</definedName>
    <definedName name="HTR" localSheetId="4">#REF!</definedName>
    <definedName name="HTR" localSheetId="5">#REF!</definedName>
    <definedName name="HTR" localSheetId="3">#REF!</definedName>
    <definedName name="HTR" localSheetId="9">#REF!</definedName>
    <definedName name="HTR" localSheetId="14">#REF!</definedName>
    <definedName name="HTR">#REF!</definedName>
    <definedName name="Huno" localSheetId="14">#REF!</definedName>
    <definedName name="Huno">#REF!</definedName>
    <definedName name="I.E.R.I.C." localSheetId="14">#REF!</definedName>
    <definedName name="I.E.R.I.C.">#REF!</definedName>
    <definedName name="ifnc" localSheetId="14">#REF!</definedName>
    <definedName name="ifnc">#REF!</definedName>
    <definedName name="iiiiluminacion" localSheetId="14">#REF!</definedName>
    <definedName name="iiiiluminacion">#REF!</definedName>
    <definedName name="iipuentes" localSheetId="14">#REF!</definedName>
    <definedName name="iipuentes">#REF!</definedName>
    <definedName name="Imdice_de_rubros">#REF!</definedName>
    <definedName name="impacto">#REF!</definedName>
    <definedName name="IMPREDIAMETRO">#REF!</definedName>
    <definedName name="IMPRESION">#REF!</definedName>
    <definedName name="IMPRIMIR">#REF!</definedName>
    <definedName name="Incap" localSheetId="14">#REF!</definedName>
    <definedName name="Incap">#REF!</definedName>
    <definedName name="Inenc" localSheetId="14">#REF!</definedName>
    <definedName name="Inenc">#REF!</definedName>
    <definedName name="inicia" localSheetId="14">#REF!</definedName>
    <definedName name="inicia">#REF!</definedName>
    <definedName name="INSSJP" localSheetId="14">#REF!</definedName>
    <definedName name="INSSJP">#REF!</definedName>
    <definedName name="Insumos" localSheetId="7">#REF!</definedName>
    <definedName name="Insumos" localSheetId="4">#REF!</definedName>
    <definedName name="Insumos" localSheetId="5">#REF!</definedName>
    <definedName name="Insumos" localSheetId="8">#REF!</definedName>
    <definedName name="Insumos" localSheetId="3">#REF!</definedName>
    <definedName name="Insumos" localSheetId="9">#REF!</definedName>
    <definedName name="Insumos" localSheetId="6">#REF!</definedName>
    <definedName name="Insumos" localSheetId="14">#REF!</definedName>
    <definedName name="Insumos" localSheetId="0">#REF!</definedName>
    <definedName name="Insumos" localSheetId="1">#REF!</definedName>
    <definedName name="Insumos" localSheetId="2">#REF!</definedName>
    <definedName name="Insumos">#REF!</definedName>
    <definedName name="Insup" localSheetId="14">#REF!</definedName>
    <definedName name="Insup">#REF!</definedName>
    <definedName name="Int" localSheetId="14">#REF!</definedName>
    <definedName name="Int">#REF!</definedName>
    <definedName name="INTERESES" localSheetId="14">#REF!</definedName>
    <definedName name="INTERESES">#REF!</definedName>
    <definedName name="Interest_Rate" localSheetId="14">#REF!</definedName>
    <definedName name="Interest_Rate">#REF!</definedName>
    <definedName name="Intop" localSheetId="14">#REF!</definedName>
    <definedName name="Intop">#REF!</definedName>
    <definedName name="Ip" localSheetId="14">#REF!</definedName>
    <definedName name="Ip">#REF!</definedName>
    <definedName name="IPE" localSheetId="14">#REF!</definedName>
    <definedName name="IPE">#REF!</definedName>
    <definedName name="IPEA" localSheetId="14">#REF!</definedName>
    <definedName name="IPEA">#REF!</definedName>
    <definedName name="IPEO">#REF!</definedName>
    <definedName name="IPN">#REF!</definedName>
    <definedName name="it25c" localSheetId="14">#REF!</definedName>
    <definedName name="it25c">#REF!</definedName>
    <definedName name="it28ac" localSheetId="14">#REF!</definedName>
    <definedName name="it28ac">#REF!</definedName>
    <definedName name="it28bc" localSheetId="14">#REF!</definedName>
    <definedName name="it28bc">#REF!</definedName>
    <definedName name="it29c" localSheetId="14">#REF!</definedName>
    <definedName name="it29c">#REF!</definedName>
    <definedName name="it30c" localSheetId="14">#REF!</definedName>
    <definedName name="it30c">#REF!</definedName>
    <definedName name="it31c" localSheetId="14">#REF!</definedName>
    <definedName name="it31c">#REF!</definedName>
    <definedName name="it32c" localSheetId="14">#REF!</definedName>
    <definedName name="it32c">#REF!</definedName>
    <definedName name="it33c" localSheetId="14">#REF!</definedName>
    <definedName name="it33c">#REF!</definedName>
    <definedName name="it34c" localSheetId="14">#REF!</definedName>
    <definedName name="it34c">#REF!</definedName>
    <definedName name="it35c" localSheetId="14">#REF!</definedName>
    <definedName name="it35c">#REF!</definedName>
    <definedName name="it36ac" localSheetId="14">#REF!</definedName>
    <definedName name="it36ac">#REF!</definedName>
    <definedName name="it36bc" localSheetId="14">#REF!</definedName>
    <definedName name="it36bc">#REF!</definedName>
    <definedName name="it37c" localSheetId="14">#REF!</definedName>
    <definedName name="it37c">#REF!</definedName>
    <definedName name="it38c" localSheetId="14">#REF!</definedName>
    <definedName name="it38c">#REF!</definedName>
    <definedName name="it39c" localSheetId="14">#REF!</definedName>
    <definedName name="it39c">#REF!</definedName>
    <definedName name="it3ac" localSheetId="14">#REF!</definedName>
    <definedName name="it3ac">#REF!</definedName>
    <definedName name="it3bc" localSheetId="14">#REF!</definedName>
    <definedName name="it3bc">#REF!</definedName>
    <definedName name="it3p" localSheetId="14">#REF!</definedName>
    <definedName name="it3p">#REF!</definedName>
    <definedName name="it41c1mod" localSheetId="14">#REF!</definedName>
    <definedName name="it41c1mod">#REF!</definedName>
    <definedName name="it42c1mod" localSheetId="14">#REF!</definedName>
    <definedName name="it42c1mod">#REF!</definedName>
    <definedName name="it4c" localSheetId="14">#REF!</definedName>
    <definedName name="it4c">#REF!</definedName>
    <definedName name="it4p" localSheetId="14">#REF!</definedName>
    <definedName name="it4p">#REF!</definedName>
    <definedName name="it5c" localSheetId="14">#REF!</definedName>
    <definedName name="it5c">#REF!</definedName>
    <definedName name="it5p" localSheetId="14">#REF!</definedName>
    <definedName name="it5p">#REF!</definedName>
    <definedName name="it6p" localSheetId="14">#REF!</definedName>
    <definedName name="it6p">#REF!</definedName>
    <definedName name="it7ac" localSheetId="14">#REF!</definedName>
    <definedName name="it7ac">#REF!</definedName>
    <definedName name="it7bc" localSheetId="14">#REF!</definedName>
    <definedName name="it7bc">#REF!</definedName>
    <definedName name="it7cc" localSheetId="14">#REF!</definedName>
    <definedName name="it7cc">#REF!</definedName>
    <definedName name="it8c" localSheetId="14">#REF!</definedName>
    <definedName name="it8c">#REF!</definedName>
    <definedName name="it9p" localSheetId="14">#REF!</definedName>
    <definedName name="it9p">#REF!</definedName>
    <definedName name="Item_Ana" localSheetId="14">#REF!</definedName>
    <definedName name="Item_Ana">#REF!</definedName>
    <definedName name="item1" localSheetId="14">#REF!</definedName>
    <definedName name="item1">#REF!</definedName>
    <definedName name="ITEM30" localSheetId="14">#REF!</definedName>
    <definedName name="ITEM30">#REF!</definedName>
    <definedName name="items" localSheetId="14">#REF!</definedName>
    <definedName name="items">#REF!</definedName>
    <definedName name="IVA" localSheetId="14">#REF!</definedName>
    <definedName name="IVA">#REF!</definedName>
    <definedName name="jj_indice_de_materiales" localSheetId="14">#REF!</definedName>
    <definedName name="jj_indice_de_materiales">#REF!</definedName>
    <definedName name="JOINT" localSheetId="14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R" localSheetId="14">#REF!</definedName>
    <definedName name="JOR">#REF!</definedName>
    <definedName name="JORNADA" localSheetId="14">#REF!</definedName>
    <definedName name="JORNADA">#REF!</definedName>
    <definedName name="JORNADA1" localSheetId="14">#REF!</definedName>
    <definedName name="JORNADA1">#REF!</definedName>
    <definedName name="Jornal_Basico_Ayudante" localSheetId="14">#REF!</definedName>
    <definedName name="Jornal_Basico_Ayudante">#REF!</definedName>
    <definedName name="Jornal_Basico_Oficial" localSheetId="14">#REF!</definedName>
    <definedName name="Jornal_Basico_Oficial">#REF!</definedName>
    <definedName name="Jornal_Basico_Oficial_Especializado" localSheetId="14">#REF!</definedName>
    <definedName name="Jornal_Basico_Oficial_Especializado">#REF!</definedName>
    <definedName name="JP" localSheetId="14">#REF!</definedName>
    <definedName name="JP">#REF!</definedName>
    <definedName name="JT" localSheetId="14">#REF!</definedName>
    <definedName name="JT">#REF!</definedName>
    <definedName name="JUBI" localSheetId="14">#REF!</definedName>
    <definedName name="JUBI">#REF!</definedName>
    <definedName name="jul.22" localSheetId="7">#REF!</definedName>
    <definedName name="jul.22" localSheetId="8">#REF!</definedName>
    <definedName name="jul.22" localSheetId="6">#REF!</definedName>
    <definedName name="jul.22" localSheetId="14">'Indice CAC'!#REF!</definedName>
    <definedName name="jul.22">'[1]Indice CAC'!#REF!</definedName>
    <definedName name="jul.23" localSheetId="7">#REF!</definedName>
    <definedName name="jul.23" localSheetId="8">#REF!</definedName>
    <definedName name="jul.23" localSheetId="6">#REF!</definedName>
    <definedName name="jul.23" localSheetId="14">'Indice CAC'!#REF!</definedName>
    <definedName name="jul.23">'[1]Indice CAC'!#REF!</definedName>
    <definedName name="jul.24" localSheetId="7">#REF!</definedName>
    <definedName name="jul.24" localSheetId="8">#REF!</definedName>
    <definedName name="jul.24" localSheetId="6">#REF!</definedName>
    <definedName name="jul.24" localSheetId="14">'Indice CAC'!#REF!</definedName>
    <definedName name="jul.24">'[1]Indice CAC'!#REF!</definedName>
    <definedName name="juli22" localSheetId="7">#REF!</definedName>
    <definedName name="juli22" localSheetId="8">#REF!</definedName>
    <definedName name="juli22" localSheetId="6">#REF!</definedName>
    <definedName name="juli22" localSheetId="14">'Indice CAC'!#REF!</definedName>
    <definedName name="juli22">'[1]Indice CAC'!#REF!</definedName>
    <definedName name="juli23" localSheetId="7">#REF!</definedName>
    <definedName name="juli23" localSheetId="8">#REF!</definedName>
    <definedName name="juli23" localSheetId="6">#REF!</definedName>
    <definedName name="juli23" localSheetId="14">'Indice CAC'!#REF!</definedName>
    <definedName name="juli23">'[1]Indice CAC'!#REF!</definedName>
    <definedName name="juli24" localSheetId="7">#REF!</definedName>
    <definedName name="juli24" localSheetId="8">#REF!</definedName>
    <definedName name="juli24" localSheetId="6">#REF!</definedName>
    <definedName name="juli24" localSheetId="14">'Indice CAC'!#REF!</definedName>
    <definedName name="juli24">'[1]Indice CAC'!#REF!</definedName>
    <definedName name="jun.22" localSheetId="7">#REF!</definedName>
    <definedName name="jun.22" localSheetId="8">#REF!</definedName>
    <definedName name="jun.22" localSheetId="6">#REF!</definedName>
    <definedName name="jun.22" localSheetId="14">'Indice CAC'!#REF!</definedName>
    <definedName name="jun.22">'[1]Indice CAC'!#REF!</definedName>
    <definedName name="jun.23" localSheetId="7">#REF!</definedName>
    <definedName name="jun.23" localSheetId="8">#REF!</definedName>
    <definedName name="jun.23" localSheetId="6">#REF!</definedName>
    <definedName name="jun.23" localSheetId="14">'Indice CAC'!#REF!</definedName>
    <definedName name="jun.23">'[1]Indice CAC'!#REF!</definedName>
    <definedName name="jun.24" localSheetId="7">#REF!</definedName>
    <definedName name="jun.24" localSheetId="8">#REF!</definedName>
    <definedName name="jun.24" localSheetId="6">#REF!</definedName>
    <definedName name="jun.24" localSheetId="14">'Indice CAC'!#REF!</definedName>
    <definedName name="jun.24">'[1]Indice CAC'!#REF!</definedName>
    <definedName name="jun.25" localSheetId="14">'Indice CAC'!#REF!</definedName>
    <definedName name="jun.25">#REF!</definedName>
    <definedName name="juni22" localSheetId="7">#REF!</definedName>
    <definedName name="juni22" localSheetId="8">#REF!</definedName>
    <definedName name="juni22" localSheetId="6">#REF!</definedName>
    <definedName name="juni22" localSheetId="14">'Indice CAC'!#REF!</definedName>
    <definedName name="juni22">'[1]Indice CAC'!#REF!</definedName>
    <definedName name="juni23" localSheetId="7">#REF!</definedName>
    <definedName name="juni23" localSheetId="8">#REF!</definedName>
    <definedName name="juni23" localSheetId="6">#REF!</definedName>
    <definedName name="juni23" localSheetId="14">'Indice CAC'!#REF!</definedName>
    <definedName name="juni23">'[1]Indice CAC'!#REF!</definedName>
    <definedName name="juni24" localSheetId="7">#REF!</definedName>
    <definedName name="juni24" localSheetId="8">#REF!</definedName>
    <definedName name="juni24" localSheetId="6">#REF!</definedName>
    <definedName name="juni24" localSheetId="14">'Indice CAC'!#REF!</definedName>
    <definedName name="juni24">'[1]Indice CAC'!#REF!</definedName>
    <definedName name="K" localSheetId="12">#REF!</definedName>
    <definedName name="K" localSheetId="13">#REF!</definedName>
    <definedName name="K" localSheetId="7">#REF!</definedName>
    <definedName name="K" localSheetId="17">#REF!</definedName>
    <definedName name="K" localSheetId="4">#REF!</definedName>
    <definedName name="K" localSheetId="5">#REF!</definedName>
    <definedName name="K" localSheetId="8">#REF!</definedName>
    <definedName name="K" localSheetId="3">#REF!</definedName>
    <definedName name="K" localSheetId="6">#REF!</definedName>
    <definedName name="K" localSheetId="11">#REF!</definedName>
    <definedName name="K" localSheetId="10">#REF!</definedName>
    <definedName name="K" localSheetId="0">#REF!</definedName>
    <definedName name="K" localSheetId="1">#REF!</definedName>
    <definedName name="K" localSheetId="2">#REF!</definedName>
    <definedName name="K">#REF!</definedName>
    <definedName name="kh">#REF!</definedName>
    <definedName name="kha" localSheetId="14">#REF!</definedName>
    <definedName name="kha">#REF!</definedName>
    <definedName name="l" localSheetId="12">#REF!</definedName>
    <definedName name="l" localSheetId="13">#REF!</definedName>
    <definedName name="l" localSheetId="7">#REF!</definedName>
    <definedName name="l" localSheetId="17">#REF!</definedName>
    <definedName name="l" localSheetId="4">#REF!</definedName>
    <definedName name="l" localSheetId="5">#REF!</definedName>
    <definedName name="l" localSheetId="8">#REF!</definedName>
    <definedName name="l" localSheetId="3">#REF!</definedName>
    <definedName name="l" localSheetId="6">#REF!</definedName>
    <definedName name="l" localSheetId="14">#REF!</definedName>
    <definedName name="l" localSheetId="11">#REF!</definedName>
    <definedName name="l" localSheetId="10">#REF!</definedName>
    <definedName name="l" localSheetId="0">#REF!</definedName>
    <definedName name="l" localSheetId="1">#REF!</definedName>
    <definedName name="l" localSheetId="2">#REF!</definedName>
    <definedName name="l">#REF!</definedName>
    <definedName name="LA">#N/A</definedName>
    <definedName name="Last_Row">#N/A</definedName>
    <definedName name="LB">#N/A</definedName>
    <definedName name="LCPCB" localSheetId="4">#REF!</definedName>
    <definedName name="LCPCB" localSheetId="3">#REF!</definedName>
    <definedName name="LCPCB" localSheetId="14">#REF!</definedName>
    <definedName name="LCPCB">#REF!</definedName>
    <definedName name="LCPCI06" localSheetId="14">#REF!</definedName>
    <definedName name="LCPCI06">#REF!</definedName>
    <definedName name="LCPCID12" localSheetId="14">#REF!</definedName>
    <definedName name="LCPCID12">#REF!</definedName>
    <definedName name="LCPCR" localSheetId="14">#REF!</definedName>
    <definedName name="LCPCR">#REF!</definedName>
    <definedName name="LCPCRE" localSheetId="14">#REF!</definedName>
    <definedName name="LCPCRE">#REF!</definedName>
    <definedName name="LCPCV" localSheetId="14">#REF!</definedName>
    <definedName name="LCPCV">#REF!</definedName>
    <definedName name="LCPPA" localSheetId="14">#REF!</definedName>
    <definedName name="LCPPA">#REF!</definedName>
    <definedName name="LIC" localSheetId="14">#REF!</definedName>
    <definedName name="LIC">#REF!</definedName>
    <definedName name="lista" localSheetId="14" hidden="1">#REF!</definedName>
    <definedName name="lista" hidden="1">#REF!</definedName>
    <definedName name="Listaperfiles" localSheetId="14">#REF!</definedName>
    <definedName name="Listaperfiles">#REF!</definedName>
    <definedName name="lk" localSheetId="7">'[5]Page 1'!#REF!</definedName>
    <definedName name="lk" localSheetId="8">'[5]Page 1'!#REF!</definedName>
    <definedName name="lk" localSheetId="6">'[5]Page 1'!#REF!</definedName>
    <definedName name="lk" localSheetId="14">#REF!</definedName>
    <definedName name="lk">#REF!</definedName>
    <definedName name="ll_tabla_para_calculo_de_costos" localSheetId="14">#REF!</definedName>
    <definedName name="ll_tabla_para_calculo_de_costos">#REF!</definedName>
    <definedName name="llll" localSheetId="14">#REF!</definedName>
    <definedName name="llll">#REF!</definedName>
    <definedName name="Lm" localSheetId="14">#REF!</definedName>
    <definedName name="Lm">#REF!</definedName>
    <definedName name="Lo">#REF!</definedName>
    <definedName name="Loan_Amount">#REF!</definedName>
    <definedName name="Loan_Start">#REF!</definedName>
    <definedName name="Loan_Years">#REF!</definedName>
    <definedName name="loser">#REF!</definedName>
    <definedName name="Lubr">#REF!</definedName>
    <definedName name="Lubricantes" localSheetId="14">#REF!</definedName>
    <definedName name="Lubricantes">#REF!</definedName>
    <definedName name="M" localSheetId="14">#REF!</definedName>
    <definedName name="M">#REF!</definedName>
    <definedName name="MAABC" localSheetId="14">#REF!</definedName>
    <definedName name="MAABC">#REF!</definedName>
    <definedName name="MAABY" localSheetId="14">#REF!</definedName>
    <definedName name="MAABY">#REF!</definedName>
    <definedName name="MAALC" localSheetId="14">#REF!</definedName>
    <definedName name="MAALC">#REF!</definedName>
    <definedName name="MAALH" localSheetId="14">#REF!</definedName>
    <definedName name="MAALH">#REF!</definedName>
    <definedName name="MAALHP" localSheetId="14">#REF!</definedName>
    <definedName name="MAALHP">#REF!</definedName>
    <definedName name="MAALV" localSheetId="14">#REF!</definedName>
    <definedName name="MAALV">#REF!</definedName>
    <definedName name="MAAP" localSheetId="14">#REF!</definedName>
    <definedName name="MAAP">#REF!</definedName>
    <definedName name="MAAPY" localSheetId="14">#REF!</definedName>
    <definedName name="MAAPY">#REF!</definedName>
    <definedName name="MABBC" localSheetId="14">#REF!</definedName>
    <definedName name="MABBC">#REF!</definedName>
    <definedName name="MABBY" localSheetId="14">#REF!</definedName>
    <definedName name="MABBY">#REF!</definedName>
    <definedName name="MABLC" localSheetId="14">#REF!</definedName>
    <definedName name="MABLC">#REF!</definedName>
    <definedName name="MABLH" localSheetId="14">#REF!</definedName>
    <definedName name="MABLH">#REF!</definedName>
    <definedName name="MABLHP" localSheetId="14">#REF!</definedName>
    <definedName name="MABLHP">#REF!</definedName>
    <definedName name="MABLV" localSheetId="14">#REF!</definedName>
    <definedName name="MABLV">#REF!</definedName>
    <definedName name="MABP" localSheetId="14">#REF!</definedName>
    <definedName name="MABP">#REF!</definedName>
    <definedName name="MABPY" localSheetId="14">#REF!</definedName>
    <definedName name="MABPY">#REF!</definedName>
    <definedName name="MACBC" localSheetId="14">#REF!</definedName>
    <definedName name="MACBC">#REF!</definedName>
    <definedName name="MACBY" localSheetId="14">#REF!</definedName>
    <definedName name="MACBY">#REF!</definedName>
    <definedName name="MACLC" localSheetId="14">#REF!</definedName>
    <definedName name="MACLC">#REF!</definedName>
    <definedName name="MACLH" localSheetId="14">#REF!</definedName>
    <definedName name="MACLH">#REF!</definedName>
    <definedName name="MACLHP" localSheetId="14">#REF!</definedName>
    <definedName name="MACLHP">#REF!</definedName>
    <definedName name="MACLV" localSheetId="14">#REF!</definedName>
    <definedName name="MACLV">#REF!</definedName>
    <definedName name="MACPLY" localSheetId="14">#REF!</definedName>
    <definedName name="MACPLY">#REF!</definedName>
    <definedName name="MACPY" localSheetId="14">#REF!</definedName>
    <definedName name="MACPY">#REF!</definedName>
    <definedName name="MACV" localSheetId="14">#REF!</definedName>
    <definedName name="MACV">#REF!</definedName>
    <definedName name="mad" localSheetId="14">#REF!</definedName>
    <definedName name="mad">#REF!</definedName>
    <definedName name="MADLH" localSheetId="14">#REF!</definedName>
    <definedName name="MADLH">#REF!</definedName>
    <definedName name="MAEJ" localSheetId="14">#REF!</definedName>
    <definedName name="MAEJ">#REF!</definedName>
    <definedName name="MAENM" localSheetId="14">#REF!</definedName>
    <definedName name="MAENM">#REF!</definedName>
    <definedName name="MAMPOSTERIA" localSheetId="14">#REF!</definedName>
    <definedName name="MAMPOSTERIA">#REF!</definedName>
    <definedName name="MANOBRA">#N/A</definedName>
    <definedName name="manodeo" localSheetId="14">#REF!</definedName>
    <definedName name="manodeo">#REF!</definedName>
    <definedName name="manodeobra" localSheetId="12">#REF!</definedName>
    <definedName name="manodeobra" localSheetId="13">#REF!</definedName>
    <definedName name="manodeobra" localSheetId="7">#REF!</definedName>
    <definedName name="manodeobra" localSheetId="17">#REF!</definedName>
    <definedName name="manodeobra" localSheetId="4">#REF!</definedName>
    <definedName name="manodeobra" localSheetId="5">#REF!</definedName>
    <definedName name="manodeobra" localSheetId="8">#REF!</definedName>
    <definedName name="manodeobra" localSheetId="3">#REF!</definedName>
    <definedName name="manodeobra" localSheetId="6">#REF!</definedName>
    <definedName name="manodeobra" localSheetId="14">#REF!</definedName>
    <definedName name="manodeobra" localSheetId="11">#REF!</definedName>
    <definedName name="manodeobra" localSheetId="10">#REF!</definedName>
    <definedName name="manodeobra" localSheetId="0">#REF!</definedName>
    <definedName name="manodeobra" localSheetId="1">#REF!</definedName>
    <definedName name="manodeobra" localSheetId="2">#REF!</definedName>
    <definedName name="manodeobra">#REF!</definedName>
    <definedName name="MAPBC" localSheetId="4">#REF!</definedName>
    <definedName name="MAPBC" localSheetId="3">#REF!</definedName>
    <definedName name="MAPBC" localSheetId="14">#REF!</definedName>
    <definedName name="MAPBC">#REF!</definedName>
    <definedName name="MAPBY" localSheetId="4">#REF!</definedName>
    <definedName name="MAPBY" localSheetId="3">#REF!</definedName>
    <definedName name="MAPBY" localSheetId="14">#REF!</definedName>
    <definedName name="MAPBY">#REF!</definedName>
    <definedName name="MAPJ" localSheetId="14">#REF!</definedName>
    <definedName name="MAPJ">#REF!</definedName>
    <definedName name="MAPLC" localSheetId="14">#REF!</definedName>
    <definedName name="MAPLC">#REF!</definedName>
    <definedName name="MAPLH" localSheetId="14">#REF!</definedName>
    <definedName name="MAPLH">#REF!</definedName>
    <definedName name="MAPLHP" localSheetId="14">#REF!</definedName>
    <definedName name="MAPLHP">#REF!</definedName>
    <definedName name="MAPLV" localSheetId="14">#REF!</definedName>
    <definedName name="MAPLV">#REF!</definedName>
    <definedName name="MAPPY" localSheetId="14">#REF!</definedName>
    <definedName name="MAPPY">#REF!</definedName>
    <definedName name="MAR" localSheetId="14">#REF!</definedName>
    <definedName name="MAR">#REF!</definedName>
    <definedName name="mar.23" localSheetId="7">#REF!</definedName>
    <definedName name="mar.23" localSheetId="8">#REF!</definedName>
    <definedName name="mar.23" localSheetId="6">#REF!</definedName>
    <definedName name="mar.23" localSheetId="14">'Indice CAC'!#REF!</definedName>
    <definedName name="mar.23">'[1]Indice CAC'!#REF!</definedName>
    <definedName name="mar.24" localSheetId="7">#REF!</definedName>
    <definedName name="mar.24" localSheetId="8">#REF!</definedName>
    <definedName name="mar.24" localSheetId="6">#REF!</definedName>
    <definedName name="mar.24" localSheetId="14">'Indice CAC'!#REF!</definedName>
    <definedName name="mar.24">'[1]Indice CAC'!#REF!</definedName>
    <definedName name="mar.25" localSheetId="14">'Indice CAC'!#REF!</definedName>
    <definedName name="mar.25">#REF!</definedName>
    <definedName name="MARHD" localSheetId="14">#REF!</definedName>
    <definedName name="MARHD">#REF!</definedName>
    <definedName name="MARHH" localSheetId="14">#REF!</definedName>
    <definedName name="MARHH">#REF!</definedName>
    <definedName name="MARHM" localSheetId="14">#REF!</definedName>
    <definedName name="MARHM">#REF!</definedName>
    <definedName name="MARHR" localSheetId="14">#REF!</definedName>
    <definedName name="MARHR">#REF!</definedName>
    <definedName name="MARHT" localSheetId="14">#REF!</definedName>
    <definedName name="MARHT">#REF!</definedName>
    <definedName name="MARLA" localSheetId="14">#REF!</definedName>
    <definedName name="MARLA">#REF!</definedName>
    <definedName name="MARLB" localSheetId="14">#REF!</definedName>
    <definedName name="MARLB">#REF!</definedName>
    <definedName name="MARP" localSheetId="14">#REF!</definedName>
    <definedName name="MARP">#REF!</definedName>
    <definedName name="marz23" localSheetId="7">#REF!</definedName>
    <definedName name="marz23" localSheetId="8">#REF!</definedName>
    <definedName name="marz23" localSheetId="6">#REF!</definedName>
    <definedName name="marz23" localSheetId="14">'Indice CAC'!#REF!</definedName>
    <definedName name="marz23">'[1]Indice CAC'!#REF!</definedName>
    <definedName name="marzo24" localSheetId="7">#REF!</definedName>
    <definedName name="marzo24" localSheetId="8">#REF!</definedName>
    <definedName name="marzo24" localSheetId="6">#REF!</definedName>
    <definedName name="marzo24" localSheetId="14">'Indice CAC'!#REF!</definedName>
    <definedName name="marzo24">'[1]Indice CAC'!#REF!</definedName>
    <definedName name="mat" localSheetId="14">#REF!</definedName>
    <definedName name="mat">#REF!</definedName>
    <definedName name="mat_prsum" localSheetId="7">'[2]#REF'!$A$114:$T$146</definedName>
    <definedName name="mat_prsum" localSheetId="8">'[2]#REF'!$A$114:$T$146</definedName>
    <definedName name="mat_prsum" localSheetId="6">'[2]#REF'!$A$114:$T$146</definedName>
    <definedName name="mat_prsum">#REF!</definedName>
    <definedName name="mat_sum" localSheetId="7">'[2]#REF'!$A$64:$T$96</definedName>
    <definedName name="mat_sum" localSheetId="8">'[2]#REF'!$A$64:$T$96</definedName>
    <definedName name="mat_sum" localSheetId="6">'[2]#REF'!$A$64:$T$96</definedName>
    <definedName name="mat_sum">#REF!</definedName>
    <definedName name="materiales" localSheetId="14">#REF!</definedName>
    <definedName name="materiales">#REF!</definedName>
    <definedName name="MATR" localSheetId="14">#REF!</definedName>
    <definedName name="MATR">#REF!</definedName>
    <definedName name="MATS" localSheetId="14">#REF!</definedName>
    <definedName name="MATS">#REF!</definedName>
    <definedName name="may.22" localSheetId="7">#REF!</definedName>
    <definedName name="may.22" localSheetId="8">#REF!</definedName>
    <definedName name="may.22" localSheetId="6">#REF!</definedName>
    <definedName name="may.22" localSheetId="14">'Indice CAC'!#REF!</definedName>
    <definedName name="may.22">'[1]Indice CAC'!#REF!</definedName>
    <definedName name="may.23" localSheetId="7">#REF!</definedName>
    <definedName name="may.23" localSheetId="8">#REF!</definedName>
    <definedName name="may.23" localSheetId="6">#REF!</definedName>
    <definedName name="may.23" localSheetId="14">'Indice CAC'!#REF!</definedName>
    <definedName name="may.23">'[1]Indice CAC'!#REF!</definedName>
    <definedName name="may.24" localSheetId="7">#REF!</definedName>
    <definedName name="may.24" localSheetId="8">#REF!</definedName>
    <definedName name="may.24" localSheetId="6">#REF!</definedName>
    <definedName name="may.24" localSheetId="14">'Indice CAC'!#REF!</definedName>
    <definedName name="may.24">'[1]Indice CAC'!#REF!</definedName>
    <definedName name="may.25" localSheetId="14">'Indice CAC'!#REF!</definedName>
    <definedName name="may.25">#REF!</definedName>
    <definedName name="mayo23" localSheetId="7">#REF!</definedName>
    <definedName name="mayo23" localSheetId="8">#REF!</definedName>
    <definedName name="mayo23" localSheetId="6">#REF!</definedName>
    <definedName name="mayo23" localSheetId="14">'Indice CAC'!#REF!</definedName>
    <definedName name="mayo23">'[1]Indice CAC'!#REF!</definedName>
    <definedName name="mayo24" localSheetId="7">#REF!</definedName>
    <definedName name="mayo24" localSheetId="8">#REF!</definedName>
    <definedName name="mayo24" localSheetId="6">#REF!</definedName>
    <definedName name="mayo24" localSheetId="14">'Indice CAC'!#REF!</definedName>
    <definedName name="mayo24">'[1]Indice CAC'!#REF!</definedName>
    <definedName name="mb" localSheetId="14">#REF!</definedName>
    <definedName name="mb">#REF!</definedName>
    <definedName name="mbs" localSheetId="14">#REF!</definedName>
    <definedName name="mbs">#REF!</definedName>
    <definedName name="MC" localSheetId="14">#REF!</definedName>
    <definedName name="MC">#REF!</definedName>
    <definedName name="Mdespl." localSheetId="14">#REF!</definedName>
    <definedName name="Mdespl.">#REF!</definedName>
    <definedName name="MDODNV" localSheetId="14">#REF!</definedName>
    <definedName name="MDODNV">#REF!</definedName>
    <definedName name="MDODPV" localSheetId="14">#REF!</definedName>
    <definedName name="MDODPV">#REF!</definedName>
    <definedName name="Medio_Oficial" localSheetId="14">#REF!</definedName>
    <definedName name="Medio_Oficial">#REF!</definedName>
    <definedName name="medioofr" localSheetId="14">#REF!</definedName>
    <definedName name="medioofr">#REF!</definedName>
    <definedName name="MEDOLAR" localSheetId="14">#REF!</definedName>
    <definedName name="MEDOLAR">#REF!</definedName>
    <definedName name="MENSUAL" localSheetId="14">#REF!</definedName>
    <definedName name="MENSUAL">#REF!</definedName>
    <definedName name="MENU" localSheetId="14">#REF!</definedName>
    <definedName name="MENU">#REF!</definedName>
    <definedName name="MES" localSheetId="14">#REF!</definedName>
    <definedName name="MES">#REF!</definedName>
    <definedName name="mes_retiro" localSheetId="14">#REF!</definedName>
    <definedName name="mes_retiro">#REF!</definedName>
    <definedName name="Meses" localSheetId="4">#REF!</definedName>
    <definedName name="Meses" localSheetId="3">#REF!</definedName>
    <definedName name="Meses" localSheetId="14">#REF!</definedName>
    <definedName name="Meses">#REF!</definedName>
    <definedName name="MisAna" localSheetId="14">#REF!</definedName>
    <definedName name="MisAna">#REF!</definedName>
    <definedName name="MMCC" localSheetId="4">#REF!</definedName>
    <definedName name="MMCC" localSheetId="5">#REF!</definedName>
    <definedName name="MMCC" localSheetId="3">#REF!</definedName>
    <definedName name="MMCC" localSheetId="9">#REF!</definedName>
    <definedName name="MMCC" localSheetId="14">#REF!</definedName>
    <definedName name="MMCC">#REF!</definedName>
    <definedName name="MMCCA" localSheetId="4">#REF!</definedName>
    <definedName name="MMCCA" localSheetId="3">#REF!</definedName>
    <definedName name="MMCCA" localSheetId="9">#REF!</definedName>
    <definedName name="MMCCA" localSheetId="14">#REF!</definedName>
    <definedName name="MMCCA">#REF!</definedName>
    <definedName name="MMCDE" localSheetId="9">#REF!</definedName>
    <definedName name="MMCDE" localSheetId="14">#REF!</definedName>
    <definedName name="MMCDE">#REF!</definedName>
    <definedName name="MMDMA" localSheetId="9">#REF!</definedName>
    <definedName name="MMDMA" localSheetId="14">#REF!</definedName>
    <definedName name="MMDMA">#REF!</definedName>
    <definedName name="MMDMC" localSheetId="14">#REF!</definedName>
    <definedName name="MMDMC">#REF!</definedName>
    <definedName name="MMDMD" localSheetId="14">#REF!</definedName>
    <definedName name="MMDMD">#REF!</definedName>
    <definedName name="MMDME" localSheetId="14">#REF!</definedName>
    <definedName name="MMDME">#REF!</definedName>
    <definedName name="MMDMP" localSheetId="14">#REF!</definedName>
    <definedName name="MMDMP">#REF!</definedName>
    <definedName name="MMDMT" localSheetId="14">#REF!</definedName>
    <definedName name="MMDMT">#REF!</definedName>
    <definedName name="MMDMV" localSheetId="14">#REF!</definedName>
    <definedName name="MMDMV">#REF!</definedName>
    <definedName name="mmm" localSheetId="14">#REF!</definedName>
    <definedName name="mmm">#REF!</definedName>
    <definedName name="MMRC" localSheetId="14">#REF!</definedName>
    <definedName name="MMRC">#REF!</definedName>
    <definedName name="MMVC" localSheetId="14">#REF!</definedName>
    <definedName name="MMVC">#REF!</definedName>
    <definedName name="MONTH" localSheetId="7">'[2]HEADCOUNT WORKSHEET'!$D$7:$O$22</definedName>
    <definedName name="MONTH" localSheetId="8">'[2]HEADCOUNT WORKSHEET'!$D$7:$O$22</definedName>
    <definedName name="MONTH" localSheetId="6">'[2]HEADCOUNT WORKSHEET'!$D$7:$O$22</definedName>
    <definedName name="MONTH">#REF!</definedName>
    <definedName name="Monto_Certif." localSheetId="14">#REF!</definedName>
    <definedName name="Monto_Certif.">#REF!</definedName>
    <definedName name="MOREGAS" localSheetId="14">#REF!</definedName>
    <definedName name="MOREGAS">#REF!</definedName>
    <definedName name="mov" localSheetId="14">#REF!</definedName>
    <definedName name="mov">#REF!</definedName>
    <definedName name="movilizacion" localSheetId="14">#REF!</definedName>
    <definedName name="movilizacion">#REF!</definedName>
    <definedName name="MQ" localSheetId="14">#REF!</definedName>
    <definedName name="MQ">#REF!</definedName>
    <definedName name="MSAP" localSheetId="4">#REF!</definedName>
    <definedName name="MSAP" localSheetId="5">#REF!</definedName>
    <definedName name="MSAP" localSheetId="3">#REF!</definedName>
    <definedName name="MSAP" localSheetId="9">#REF!</definedName>
    <definedName name="MSAP" localSheetId="14">#REF!</definedName>
    <definedName name="MSAP">#REF!</definedName>
    <definedName name="MSAS" localSheetId="4">#REF!</definedName>
    <definedName name="MSAS" localSheetId="3">#REF!</definedName>
    <definedName name="MSAS" localSheetId="9">#REF!</definedName>
    <definedName name="MSAS" localSheetId="14">#REF!</definedName>
    <definedName name="MSAS">#REF!</definedName>
    <definedName name="MSLS" localSheetId="9">#REF!</definedName>
    <definedName name="MSLS" localSheetId="14">#REF!</definedName>
    <definedName name="MSLS">#REF!</definedName>
    <definedName name="MSNP" localSheetId="9">#REF!</definedName>
    <definedName name="MSNP" localSheetId="14">#REF!</definedName>
    <definedName name="MSNP">#REF!</definedName>
    <definedName name="MU" localSheetId="14">#REF!</definedName>
    <definedName name="MU">#REF!</definedName>
    <definedName name="MWx" localSheetId="14">#REF!</definedName>
    <definedName name="MWx">#REF!</definedName>
    <definedName name="MWz" localSheetId="14">#REF!</definedName>
    <definedName name="MWz">#REF!</definedName>
    <definedName name="MX">#N/A</definedName>
    <definedName name="mxx_max">#REF!</definedName>
    <definedName name="mxx_min">#REF!</definedName>
    <definedName name="MY">#N/A</definedName>
    <definedName name="myy" localSheetId="14">#REF!</definedName>
    <definedName name="myy">#REF!</definedName>
    <definedName name="N">#N/A</definedName>
    <definedName name="NAFTA" localSheetId="14">#REF!</definedName>
    <definedName name="NAFTA">#REF!</definedName>
    <definedName name="nago" localSheetId="14">#REF!</definedName>
    <definedName name="nago">#REF!</definedName>
    <definedName name="NEW" localSheetId="14">#REF!</definedName>
    <definedName name="NEW">#REF!</definedName>
    <definedName name="NEW_E1" localSheetId="7">#REF!</definedName>
    <definedName name="NEW_E1" localSheetId="4">#REF!</definedName>
    <definedName name="NEW_E1" localSheetId="5">#REF!</definedName>
    <definedName name="NEW_E1" localSheetId="8">#REF!</definedName>
    <definedName name="NEW_E1" localSheetId="3">#REF!</definedName>
    <definedName name="NEW_E1" localSheetId="9">#REF!</definedName>
    <definedName name="NEW_E1" localSheetId="6">#REF!</definedName>
    <definedName name="NEW_E1" localSheetId="14">#REF!</definedName>
    <definedName name="NEW_E1" localSheetId="0">#REF!</definedName>
    <definedName name="NEW_E1" localSheetId="1">#REF!</definedName>
    <definedName name="NEW_E1" localSheetId="2">#REF!</definedName>
    <definedName name="NEW_E1">#REF!</definedName>
    <definedName name="Normal" localSheetId="14">#REF!</definedName>
    <definedName name="Normal">#REF!</definedName>
    <definedName name="nov.22" localSheetId="7">#REF!</definedName>
    <definedName name="nov.22" localSheetId="8">#REF!</definedName>
    <definedName name="nov.22" localSheetId="6">#REF!</definedName>
    <definedName name="nov.22" localSheetId="14">'Indice CAC'!#REF!</definedName>
    <definedName name="nov.22">'[1]Indice CAC'!#REF!</definedName>
    <definedName name="nov.23" localSheetId="7">#REF!</definedName>
    <definedName name="nov.23" localSheetId="8">#REF!</definedName>
    <definedName name="nov.23" localSheetId="6">#REF!</definedName>
    <definedName name="nov.23" localSheetId="14">'Indice CAC'!#REF!</definedName>
    <definedName name="nov.23">'[1]Indice CAC'!#REF!</definedName>
    <definedName name="nov.24" localSheetId="7">#REF!</definedName>
    <definedName name="nov.24" localSheetId="8">#REF!</definedName>
    <definedName name="nov.24" localSheetId="6">#REF!</definedName>
    <definedName name="nov.24" localSheetId="14">'Indice CAC'!#REF!</definedName>
    <definedName name="nov.24">'[1]Indice CAC'!#REF!</definedName>
    <definedName name="novi22" localSheetId="7">#REF!</definedName>
    <definedName name="novi22" localSheetId="8">#REF!</definedName>
    <definedName name="novi22" localSheetId="6">#REF!</definedName>
    <definedName name="novi22" localSheetId="14">'Indice CAC'!#REF!</definedName>
    <definedName name="novi22">'[1]Indice CAC'!#REF!</definedName>
    <definedName name="novi23" localSheetId="7">#REF!</definedName>
    <definedName name="novi23" localSheetId="8">#REF!</definedName>
    <definedName name="novi23" localSheetId="6">#REF!</definedName>
    <definedName name="novi23" localSheetId="14">'Indice CAC'!#REF!</definedName>
    <definedName name="novi23">'[1]Indice CAC'!#REF!</definedName>
    <definedName name="novi24" localSheetId="7">#REF!</definedName>
    <definedName name="novi24" localSheetId="8">#REF!</definedName>
    <definedName name="novi24" localSheetId="6">#REF!</definedName>
    <definedName name="novi24" localSheetId="14">'Indice CAC'!#REF!</definedName>
    <definedName name="novi24">'[1]Indice CAC'!#REF!</definedName>
    <definedName name="NRO" localSheetId="14">#REF!</definedName>
    <definedName name="NRO">#REF!</definedName>
    <definedName name="Nro_Pisos" localSheetId="4">#REF!</definedName>
    <definedName name="Nro_Pisos" localSheetId="5">#REF!</definedName>
    <definedName name="Nro_Pisos" localSheetId="3">#REF!</definedName>
    <definedName name="Nro_Pisos" localSheetId="9">#REF!</definedName>
    <definedName name="Nro_Pisos" localSheetId="14">#REF!</definedName>
    <definedName name="Nro_Pisos">#REF!</definedName>
    <definedName name="NUEVAHOJA" localSheetId="14">#REF!</definedName>
    <definedName name="NUEVAHOJA">#REF!</definedName>
    <definedName name="Num_Pmt_Per_Year" localSheetId="14">#REF!</definedName>
    <definedName name="Num_Pmt_Per_Year">#REF!</definedName>
    <definedName name="Number_of_Payments" localSheetId="12">MATCH(0.01,End_Bal,-1)+1</definedName>
    <definedName name="Number_of_Payments" localSheetId="13">MATCH(0.01,[0]!End_Bal,-1)+1</definedName>
    <definedName name="Number_of_Payments" localSheetId="7">MATCH(0.01,[0]!End_Bal,-1)+1</definedName>
    <definedName name="Number_of_Payments" localSheetId="15">MATCH(0.01,End_Bal,-1)+1</definedName>
    <definedName name="Number_of_Payments" localSheetId="16">MATCH(0.01,End_Bal,-1)+1</definedName>
    <definedName name="Number_of_Payments" localSheetId="17">MATCH(0.01,[0]!End_Bal,-1)+1</definedName>
    <definedName name="Number_of_Payments" localSheetId="8">MATCH(0.01,[0]!End_Bal,-1)+1</definedName>
    <definedName name="Number_of_Payments" localSheetId="9">MATCH(0.01,End_Bal,-1)+1</definedName>
    <definedName name="Number_of_Payments" localSheetId="6">MATCH(0.01,End_Bal,-1)+1</definedName>
    <definedName name="Number_of_Payments" localSheetId="14">MATCH(0.01,'Indice CAC'!End_Bal,-1)+1</definedName>
    <definedName name="Number_of_Payments" localSheetId="11">MATCH(0.01,[0]!End_Bal,-1)+1</definedName>
    <definedName name="Number_of_Payments" localSheetId="10">MATCH(0.01,End_Bal,-1)+1</definedName>
    <definedName name="Number_of_Payments" localSheetId="0">MATCH(0.01,End_Bal,-1)+1</definedName>
    <definedName name="Number_of_Payments" localSheetId="1">MATCH(0.01,End_Bal,-1)+1</definedName>
    <definedName name="Number_of_Payments" localSheetId="2">MATCH(0.01,End_Bal,-1)+1</definedName>
    <definedName name="Number_of_Payments">MATCH(0.01,End_Bal,-1)+1</definedName>
    <definedName name="Numero_Unidades_Funcionales" localSheetId="14">#REF!</definedName>
    <definedName name="Numero_Unidades_Funcionales">#REF!</definedName>
    <definedName name="OBR" localSheetId="14">#REF!</definedName>
    <definedName name="OBR">#REF!</definedName>
    <definedName name="Obra" localSheetId="14">#REF!</definedName>
    <definedName name="Obra">#REF!</definedName>
    <definedName name="OBRA__CASA_LOUZAN" localSheetId="12">#REF!</definedName>
    <definedName name="OBRA__CASA_LOUZAN" localSheetId="13">#REF!</definedName>
    <definedName name="OBRA__CASA_LOUZAN" localSheetId="7">#REF!</definedName>
    <definedName name="OBRA__CASA_LOUZAN" localSheetId="17">#REF!</definedName>
    <definedName name="OBRA__CASA_LOUZAN" localSheetId="4">#REF!</definedName>
    <definedName name="OBRA__CASA_LOUZAN" localSheetId="8">#REF!</definedName>
    <definedName name="OBRA__CASA_LOUZAN" localSheetId="3">#REF!</definedName>
    <definedName name="OBRA__CASA_LOUZAN" localSheetId="6">#REF!</definedName>
    <definedName name="OBRA__CASA_LOUZAN" localSheetId="14">#REF!</definedName>
    <definedName name="OBRA__CASA_LOUZAN" localSheetId="11">#REF!</definedName>
    <definedName name="OBRA__CASA_LOUZAN" localSheetId="10">#REF!</definedName>
    <definedName name="OBRA__CASA_LOUZAN">#REF!</definedName>
    <definedName name="OBRA_DE_TOMA" localSheetId="14">#REF!</definedName>
    <definedName name="OBRA_DE_TOMA">#REF!</definedName>
    <definedName name="oct.22" localSheetId="7">#REF!</definedName>
    <definedName name="oct.22" localSheetId="8">#REF!</definedName>
    <definedName name="oct.22" localSheetId="6">#REF!</definedName>
    <definedName name="oct.22" localSheetId="14">'Indice CAC'!#REF!</definedName>
    <definedName name="oct.22">'[1]Indice CAC'!#REF!</definedName>
    <definedName name="oct.23" localSheetId="7">#REF!</definedName>
    <definedName name="oct.23" localSheetId="8">#REF!</definedName>
    <definedName name="oct.23" localSheetId="6">#REF!</definedName>
    <definedName name="oct.23" localSheetId="14">'Indice CAC'!#REF!</definedName>
    <definedName name="oct.23">'[1]Indice CAC'!#REF!</definedName>
    <definedName name="oct.24" localSheetId="7">#REF!</definedName>
    <definedName name="oct.24" localSheetId="8">#REF!</definedName>
    <definedName name="oct.24" localSheetId="6">#REF!</definedName>
    <definedName name="oct.24" localSheetId="14">'Indice CAC'!#REF!</definedName>
    <definedName name="oct.24">'[1]Indice CAC'!#REF!</definedName>
    <definedName name="octu22" localSheetId="7">#REF!</definedName>
    <definedName name="octu22" localSheetId="8">#REF!</definedName>
    <definedName name="octu22" localSheetId="6">#REF!</definedName>
    <definedName name="octu22" localSheetId="14">'Indice CAC'!#REF!</definedName>
    <definedName name="octu22">'[1]Indice CAC'!#REF!</definedName>
    <definedName name="octu23" localSheetId="7">#REF!</definedName>
    <definedName name="octu23" localSheetId="8">#REF!</definedName>
    <definedName name="octu23" localSheetId="6">#REF!</definedName>
    <definedName name="octu23" localSheetId="14">'Indice CAC'!#REF!</definedName>
    <definedName name="octu23">'[1]Indice CAC'!#REF!</definedName>
    <definedName name="octu24" localSheetId="7">#REF!</definedName>
    <definedName name="octu24" localSheetId="8">#REF!</definedName>
    <definedName name="octu24" localSheetId="6">#REF!</definedName>
    <definedName name="octu24" localSheetId="14">'Indice CAC'!#REF!</definedName>
    <definedName name="octu24">'[1]Indice CAC'!#REF!</definedName>
    <definedName name="OFER" localSheetId="14">#REF!</definedName>
    <definedName name="OFER">#REF!</definedName>
    <definedName name="ofEspecial" localSheetId="7">#REF!</definedName>
    <definedName name="ofEspecial" localSheetId="4">#REF!</definedName>
    <definedName name="ofEspecial" localSheetId="5">#REF!</definedName>
    <definedName name="ofEspecial" localSheetId="8">#REF!</definedName>
    <definedName name="ofEspecial" localSheetId="3">#REF!</definedName>
    <definedName name="ofEspecial" localSheetId="6">#REF!</definedName>
    <definedName name="ofEspecial" localSheetId="14">#REF!</definedName>
    <definedName name="ofEspecial" localSheetId="0">#REF!</definedName>
    <definedName name="ofEspecial" localSheetId="1">#REF!</definedName>
    <definedName name="ofEspecial" localSheetId="2">#REF!</definedName>
    <definedName name="ofEspecial">#REF!</definedName>
    <definedName name="oficial" localSheetId="7">#REF!</definedName>
    <definedName name="oficial" localSheetId="4">#REF!</definedName>
    <definedName name="oficial" localSheetId="5">#REF!</definedName>
    <definedName name="oficial" localSheetId="8">#REF!</definedName>
    <definedName name="oficial" localSheetId="3">#REF!</definedName>
    <definedName name="oficial" localSheetId="6">#REF!</definedName>
    <definedName name="oficial" localSheetId="14">#REF!</definedName>
    <definedName name="oficial" localSheetId="0">#REF!</definedName>
    <definedName name="oficial" localSheetId="1">#REF!</definedName>
    <definedName name="oficial" localSheetId="2">#REF!</definedName>
    <definedName name="oficial">#REF!</definedName>
    <definedName name="Oficial_Especializado" localSheetId="14">#REF!</definedName>
    <definedName name="Oficial_Especializado">#REF!</definedName>
    <definedName name="oficial4" localSheetId="14">#REF!</definedName>
    <definedName name="oficial4">#REF!</definedName>
    <definedName name="oficial6" localSheetId="14">#REF!</definedName>
    <definedName name="oficial6">#REF!</definedName>
    <definedName name="ofies4" localSheetId="14">#REF!</definedName>
    <definedName name="ofies4">#REF!</definedName>
    <definedName name="ofr" localSheetId="14">#REF!</definedName>
    <definedName name="ofr">#REF!</definedName>
    <definedName name="Organismo1" localSheetId="14">#REF!</definedName>
    <definedName name="Organismo1">#REF!</definedName>
    <definedName name="Organismo2" localSheetId="14">#REF!</definedName>
    <definedName name="Organismo2">#REF!</definedName>
    <definedName name="OSOC" localSheetId="14">#REF!</definedName>
    <definedName name="OSOC">#REF!</definedName>
    <definedName name="OTRA" localSheetId="14">#REF!</definedName>
    <definedName name="OTRA">#REF!</definedName>
    <definedName name="OTROS" localSheetId="14">#REF!</definedName>
    <definedName name="OTROS">#REF!</definedName>
    <definedName name="OTROS_RUBROS_NO_DESAGREGADOS">#REF!</definedName>
    <definedName name="OTROS1">#REF!</definedName>
    <definedName name="P">#REF!</definedName>
    <definedName name="PANDEO">#REF!</definedName>
    <definedName name="PANDEO1">#REF!</definedName>
    <definedName name="PARC">#N/A</definedName>
    <definedName name="Paridad">#REF!</definedName>
    <definedName name="PASE" localSheetId="12">#REF!</definedName>
    <definedName name="PASE" localSheetId="13">#REF!</definedName>
    <definedName name="PASE" localSheetId="7">#REF!</definedName>
    <definedName name="PASE" localSheetId="17">#REF!</definedName>
    <definedName name="PASE" localSheetId="4">#REF!</definedName>
    <definedName name="PASE" localSheetId="5">#REF!</definedName>
    <definedName name="PASE" localSheetId="8">#REF!</definedName>
    <definedName name="PASE" localSheetId="3">#REF!</definedName>
    <definedName name="PASE" localSheetId="6">#REF!</definedName>
    <definedName name="PASE" localSheetId="14">#REF!</definedName>
    <definedName name="PASE" localSheetId="11">#REF!</definedName>
    <definedName name="PASE" localSheetId="10">#REF!</definedName>
    <definedName name="PASE" localSheetId="0">#REF!</definedName>
    <definedName name="PASE" localSheetId="1">#REF!</definedName>
    <definedName name="PASE" localSheetId="2">#REF!</definedName>
    <definedName name="PASE">#REF!</definedName>
    <definedName name="paso" localSheetId="14">#REF!</definedName>
    <definedName name="paso">#REF!</definedName>
    <definedName name="Pay_Date" localSheetId="14">#REF!</definedName>
    <definedName name="Pay_Date">#REF!</definedName>
    <definedName name="Pay_Num" localSheetId="14">#REF!</definedName>
    <definedName name="Pay_Num">#REF!</definedName>
    <definedName name="Payment_Date" localSheetId="12">DATE(YEAR(Loan_Start),MONTH(Loan_Start)+Payment_Number,DAY(Loan_Start))</definedName>
    <definedName name="Payment_Date" localSheetId="13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 localSheetId="15">DATE(YEAR(Loan_Start),MONTH(Loan_Start)+Payment_Number,DAY(Loan_Start))</definedName>
    <definedName name="Payment_Date" localSheetId="16">DATE(YEAR([0]!Loan_Start),MONTH([0]!Loan_Start)+Payment_Number,DAY([0]!Loan_Start))</definedName>
    <definedName name="Payment_Date" localSheetId="17">DATE(YEAR([0]!Loan_Start),MONTH([0]!Loan_Start)+Payment_Number,DAY([0]!Loan_Start))</definedName>
    <definedName name="Payment_Date" localSheetId="4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 localSheetId="9">DATE(YEAR(Loan_Start),MONTH(Loan_Start)+Payment_Number,DAY(Loan_Start))</definedName>
    <definedName name="Payment_Date" localSheetId="6">DATE(YEAR(Loan_Start),MONTH(Loan_Start)+Payment_Number,DAY(Loan_Start))</definedName>
    <definedName name="Payment_Date" localSheetId="14">DATE(YEAR(Loan_Start),MONTH(Loan_Start)+Payment_Number,DAY(Loan_Start))</definedName>
    <definedName name="Payment_Date" localSheetId="11">DATE(YEAR([0]!Loan_Start),MONTH([0]!Loan_Start)+Payment_Number,DAY([0]!Loan_Start))</definedName>
    <definedName name="Payment_Date" localSheetId="10">DATE(YEAR(Loan_Start),MONTH(Loan_Start)+Payment_Number,DAY(Loan_Start))</definedName>
    <definedName name="Payment_Date" localSheetId="0">DATE(YEAR(Loan_Start),MONTH(Loan_Start)+Payment_Number,DAY(Loan_Start))</definedName>
    <definedName name="Payment_Date" localSheetId="1">DATE(YEAR(#REF!),MONTH(#REF!)+Payment_Number,DAY(#REF!))</definedName>
    <definedName name="Payment_Date" localSheetId="2">DATE(YEAR(#REF!),MONTH(#REF!)+Payment_Number,DAY(#REF!))</definedName>
    <definedName name="Payment_Date">DATE(YEAR(Loan_Start),MONTH(Loan_Start)+Payment_Number,DAY(Loan_Start))</definedName>
    <definedName name="PEESC" localSheetId="4">#REF!</definedName>
    <definedName name="PEESC" localSheetId="3">#REF!</definedName>
    <definedName name="PEESC" localSheetId="14">#REF!</definedName>
    <definedName name="PEESC">#REF!</definedName>
    <definedName name="pepe" localSheetId="14">#REF!</definedName>
    <definedName name="pepe">#REF!</definedName>
    <definedName name="PerfilC" comment="PERFIL C" localSheetId="14">#REF!</definedName>
    <definedName name="PerfilC" comment="PERFIL C">#REF!</definedName>
    <definedName name="perfiles" localSheetId="14">#REF!</definedName>
    <definedName name="perfiles">#REF!</definedName>
    <definedName name="Pern." localSheetId="14">#REF!</definedName>
    <definedName name="Pern.">#REF!</definedName>
    <definedName name="pf">#REF!</definedName>
    <definedName name="PIAM" localSheetId="4">#REF!</definedName>
    <definedName name="PIAM" localSheetId="3">#REF!</definedName>
    <definedName name="PIAM" localSheetId="14">#REF!</definedName>
    <definedName name="PIAM">#REF!</definedName>
    <definedName name="pibe" localSheetId="14">#REF!</definedName>
    <definedName name="pibe">#REF!</definedName>
    <definedName name="pintref" localSheetId="14">#REF!</definedName>
    <definedName name="pintref">#REF!</definedName>
    <definedName name="Pl" localSheetId="14">#REF!</definedName>
    <definedName name="Pl">#REF!</definedName>
    <definedName name="PLAN" localSheetId="14">#REF!</definedName>
    <definedName name="PLAN">#REF!</definedName>
    <definedName name="PLANTA_DE_TRATAMIENTO" localSheetId="14">#REF!</definedName>
    <definedName name="PLANTA_DE_TRATAMIENTO">#REF!</definedName>
    <definedName name="plazo">#REF!</definedName>
    <definedName name="plazo.mes" localSheetId="14">#REF!</definedName>
    <definedName name="plazo.mes">#REF!</definedName>
    <definedName name="Plazo_de_obra" localSheetId="14">#REF!</definedName>
    <definedName name="Plazo_de_obra">#REF!</definedName>
    <definedName name="Plazo_Obra" localSheetId="14">#REF!</definedName>
    <definedName name="Plazo_Obra">#REF!</definedName>
    <definedName name="Plus" localSheetId="14">#REF!</definedName>
    <definedName name="Plus">#REF!</definedName>
    <definedName name="Plus_No_Remunerativo" localSheetId="14">#REF!</definedName>
    <definedName name="Plus_No_Remunerativo">#REF!</definedName>
    <definedName name="Plus_No_Remunerativo_Ayudante" localSheetId="14">#REF!</definedName>
    <definedName name="Plus_No_Remunerativo_Ayudante">#REF!</definedName>
    <definedName name="Plus_No_Remunerativo_Oficial" localSheetId="14">#REF!</definedName>
    <definedName name="Plus_No_Remunerativo_Oficial">#REF!</definedName>
    <definedName name="Plus_No_Remunerativo_Oficial_Especializado" localSheetId="14">#REF!</definedName>
    <definedName name="Plus_No_Remunerativo_Oficial_Especializado">#REF!</definedName>
    <definedName name="Pmax" localSheetId="14">#REF!</definedName>
    <definedName name="Pmax">#REF!</definedName>
    <definedName name="PNA" localSheetId="4">#REF!</definedName>
    <definedName name="PNA" localSheetId="5">#REF!</definedName>
    <definedName name="PNA" localSheetId="3">#REF!</definedName>
    <definedName name="PNA" localSheetId="9">#REF!</definedName>
    <definedName name="PNA" localSheetId="14">#REF!</definedName>
    <definedName name="PNA">#REF!</definedName>
    <definedName name="PNAV" localSheetId="4">#REF!</definedName>
    <definedName name="PNAV" localSheetId="3">#REF!</definedName>
    <definedName name="PNAV" localSheetId="9">#REF!</definedName>
    <definedName name="PNAV" localSheetId="14">#REF!</definedName>
    <definedName name="PNAV">#REF!</definedName>
    <definedName name="PNL" localSheetId="9">#REF!</definedName>
    <definedName name="PNL" localSheetId="14">#REF!</definedName>
    <definedName name="PNL">#REF!</definedName>
    <definedName name="PNP" localSheetId="9">#REF!</definedName>
    <definedName name="PNP" localSheetId="14">#REF!</definedName>
    <definedName name="PNP">#REF!</definedName>
    <definedName name="POficial" localSheetId="14">#REF!</definedName>
    <definedName name="POficial">#REF!</definedName>
    <definedName name="Pp" localSheetId="14">#REF!</definedName>
    <definedName name="Pp">#REF!</definedName>
    <definedName name="PPA" localSheetId="14">#REF!</definedName>
    <definedName name="PPA">#REF!</definedName>
    <definedName name="PPCOL" localSheetId="14">#REF!</definedName>
    <definedName name="PPCOL">#REF!</definedName>
    <definedName name="praccesoreadec" localSheetId="14">#REF!</definedName>
    <definedName name="praccesoreadec">#REF!</definedName>
    <definedName name="praceroptereadec" localSheetId="14">#REF!</definedName>
    <definedName name="praceroptereadec">#REF!</definedName>
    <definedName name="pracondct" localSheetId="14">#REF!</definedName>
    <definedName name="pracondct">#REF!</definedName>
    <definedName name="praguareadec" localSheetId="14">#REF!</definedName>
    <definedName name="praguareadec">#REF!</definedName>
    <definedName name="pralcantreadec" localSheetId="14">#REF!</definedName>
    <definedName name="pralcantreadec">#REF!</definedName>
    <definedName name="pralteo" localSheetId="14">#REF!</definedName>
    <definedName name="pralteo">#REF!</definedName>
    <definedName name="pralteomyg" localSheetId="14">#REF!</definedName>
    <definedName name="pralteomyg">#REF!</definedName>
    <definedName name="pralteoreadec" localSheetId="14">#REF!</definedName>
    <definedName name="pralteoreadec">#REF!</definedName>
    <definedName name="prapoyos" localSheetId="14">#REF!</definedName>
    <definedName name="prapoyos">#REF!</definedName>
    <definedName name="prarena" localSheetId="14">#REF!</definedName>
    <definedName name="prarena">#REF!</definedName>
    <definedName name="prarenatrit" localSheetId="14">#REF!</definedName>
    <definedName name="prarenatrit">#REF!</definedName>
    <definedName name="prb" localSheetId="14">#REF!</definedName>
    <definedName name="prb">#REF!</definedName>
    <definedName name="prbacheo" localSheetId="14">#REF!</definedName>
    <definedName name="prbacheo">#REF!</definedName>
    <definedName name="prbacheosan" localSheetId="14">#REF!</definedName>
    <definedName name="prbacheosan">#REF!</definedName>
    <definedName name="prbacheosanreadec" localSheetId="14">#REF!</definedName>
    <definedName name="prbacheosanreadec">#REF!</definedName>
    <definedName name="prbandas" localSheetId="14">#REF!</definedName>
    <definedName name="prbandas">#REF!</definedName>
    <definedName name="prbandassonoras" localSheetId="14">#REF!</definedName>
    <definedName name="prbandassonoras">#REF!</definedName>
    <definedName name="prbandassonorasreadec" localSheetId="14">#REF!</definedName>
    <definedName name="prbandassonorasreadec">#REF!</definedName>
    <definedName name="prbandassonreadec" localSheetId="14">#REF!</definedName>
    <definedName name="prbandassonreadec">#REF!</definedName>
    <definedName name="prbanq" localSheetId="14">#REF!</definedName>
    <definedName name="prbanq">#REF!</definedName>
    <definedName name="prbanqreadec" localSheetId="14">#REF!</definedName>
    <definedName name="prbanqreadec">#REF!</definedName>
    <definedName name="prbanquina" localSheetId="14">#REF!</definedName>
    <definedName name="prbanquina">#REF!</definedName>
    <definedName name="prbanquinasreadec" localSheetId="14">#REF!</definedName>
    <definedName name="prbanquinasreadec">#REF!</definedName>
    <definedName name="prbaranda" localSheetId="14">#REF!</definedName>
    <definedName name="prbaranda">#REF!</definedName>
    <definedName name="prbarandareadec" localSheetId="14">#REF!</definedName>
    <definedName name="prbarandareadec">#REF!</definedName>
    <definedName name="prbarpasareadec" localSheetId="14">#REF!</definedName>
    <definedName name="prbarpasareadec">#REF!</definedName>
    <definedName name="prbase" localSheetId="14">#REF!</definedName>
    <definedName name="prbase">#REF!</definedName>
    <definedName name="prbasereadec" localSheetId="14">#REF!</definedName>
    <definedName name="prbasereadec">#REF!</definedName>
    <definedName name="prbflexreadec" localSheetId="14">#REF!</definedName>
    <definedName name="prbflexreadec">#REF!</definedName>
    <definedName name="prc5readec" localSheetId="14">#REF!</definedName>
    <definedName name="prc5readec">#REF!</definedName>
    <definedName name="prc6readec" localSheetId="14">#REF!</definedName>
    <definedName name="prc6readec">#REF!</definedName>
    <definedName name="prca70100readec" localSheetId="14">#REF!</definedName>
    <definedName name="prca70100readec">#REF!</definedName>
    <definedName name="prcabezales" localSheetId="14">#REF!</definedName>
    <definedName name="prcabezales">#REF!</definedName>
    <definedName name="prcalesreadec" localSheetId="14">#REF!</definedName>
    <definedName name="prcalesreadec">#REF!</definedName>
    <definedName name="prcalzadahorm" localSheetId="14">#REF!</definedName>
    <definedName name="prcalzadahorm">#REF!</definedName>
    <definedName name="prcalzadas" localSheetId="14">#REF!</definedName>
    <definedName name="prcalzadas">#REF!</definedName>
    <definedName name="prcemreadec" localSheetId="14">#REF!</definedName>
    <definedName name="prcemreadec">#REF!</definedName>
    <definedName name="prciclovía" localSheetId="14">#REF!</definedName>
    <definedName name="prciclovía">#REF!</definedName>
    <definedName name="prcicloviareadec" localSheetId="14">#REF!</definedName>
    <definedName name="prcicloviareadec">#REF!</definedName>
    <definedName name="prcolocacionalc" localSheetId="14">#REF!</definedName>
    <definedName name="prcolocacionalc">#REF!</definedName>
    <definedName name="prcolocacionalcreadec" localSheetId="14">#REF!</definedName>
    <definedName name="prcolocacionalcreadec">#REF!</definedName>
    <definedName name="prcolumnas" localSheetId="14">#REF!</definedName>
    <definedName name="prcolumnas">#REF!</definedName>
    <definedName name="prcortepasto" localSheetId="14">#REF!</definedName>
    <definedName name="prcortepasto">#REF!</definedName>
    <definedName name="prcortepastoreadec" localSheetId="14">#REF!</definedName>
    <definedName name="prcortepastoreadec">#REF!</definedName>
    <definedName name="prdemalcantarilla" localSheetId="14">#REF!</definedName>
    <definedName name="prdemalcantarilla">#REF!</definedName>
    <definedName name="prdemalcantarillareadec" localSheetId="14">#REF!</definedName>
    <definedName name="prdemalcantarillareadec">#REF!</definedName>
    <definedName name="prdesembanque" localSheetId="14">#REF!</definedName>
    <definedName name="prdesembanque">#REF!</definedName>
    <definedName name="prdesembanquereadec" localSheetId="14">#REF!</definedName>
    <definedName name="prdesembanquereadec">#REF!</definedName>
    <definedName name="prdren" localSheetId="14">#REF!</definedName>
    <definedName name="prdren">#REF!</definedName>
    <definedName name="pre" localSheetId="14">#REF!</definedName>
    <definedName name="pre">#REF!</definedName>
    <definedName name="PRECIO" localSheetId="14">#REF!</definedName>
    <definedName name="PRECIO">#REF!</definedName>
    <definedName name="PRECIO_TOTAL" localSheetId="14">#REF!</definedName>
    <definedName name="PRECIO_TOTAL">#REF!</definedName>
    <definedName name="premerreadec" localSheetId="14">#REF!</definedName>
    <definedName name="premerreadec">#REF!</definedName>
    <definedName name="PRENUEVO" localSheetId="7">#REF!</definedName>
    <definedName name="PRENUEVO" localSheetId="5">#REF!</definedName>
    <definedName name="PRENUEVO" localSheetId="8">#REF!</definedName>
    <definedName name="PRENUEVO" localSheetId="6">#REF!</definedName>
    <definedName name="PRENUEVO" localSheetId="14">#REF!</definedName>
    <definedName name="PRENUEVO" localSheetId="0">#REF!</definedName>
    <definedName name="PRENUEVO" localSheetId="1">#REF!</definedName>
    <definedName name="PRENUEVO" localSheetId="2">#REF!</definedName>
    <definedName name="PRENUEVO">#REF!</definedName>
    <definedName name="prescarif" localSheetId="14">#REF!</definedName>
    <definedName name="prescarif">#REF!</definedName>
    <definedName name="prescarifbanq" localSheetId="14">#REF!</definedName>
    <definedName name="prescarifbanq">#REF!</definedName>
    <definedName name="prescarifbanqreadec" localSheetId="14">#REF!</definedName>
    <definedName name="prescarifbanqreadec">#REF!</definedName>
    <definedName name="prescarifreadec" localSheetId="14">#REF!</definedName>
    <definedName name="prescarifreadec">#REF!</definedName>
    <definedName name="Presión_de_Vapor_del_Agua" localSheetId="14">#REF!</definedName>
    <definedName name="Presión_de_Vapor_del_Agua">#REF!</definedName>
    <definedName name="prestribos" localSheetId="14">#REF!</definedName>
    <definedName name="prestribos">#REF!</definedName>
    <definedName name="PRESUP" localSheetId="12">#REF!</definedName>
    <definedName name="PRESUP" localSheetId="13">#REF!</definedName>
    <definedName name="PRESUP" localSheetId="7">#REF!</definedName>
    <definedName name="PRESUP" localSheetId="17">#REF!</definedName>
    <definedName name="PRESUP" localSheetId="4">#REF!</definedName>
    <definedName name="PRESUP" localSheetId="5">#REF!</definedName>
    <definedName name="PRESUP" localSheetId="8">#REF!</definedName>
    <definedName name="PRESUP" localSheetId="3">#REF!</definedName>
    <definedName name="PRESUP" localSheetId="6">#REF!</definedName>
    <definedName name="PRESUP" localSheetId="14">#REF!</definedName>
    <definedName name="PRESUP" localSheetId="11">#REF!</definedName>
    <definedName name="PRESUP" localSheetId="10">#REF!</definedName>
    <definedName name="PRESUP" localSheetId="0">#REF!</definedName>
    <definedName name="PRESUP" localSheetId="1">#REF!</definedName>
    <definedName name="PRESUP" localSheetId="2">#REF!</definedName>
    <definedName name="PRESUP">#REF!</definedName>
    <definedName name="presuporcentaje" localSheetId="12">#REF!</definedName>
    <definedName name="presuporcentaje" localSheetId="13">#REF!</definedName>
    <definedName name="presuporcentaje" localSheetId="7">#REF!</definedName>
    <definedName name="presuporcentaje" localSheetId="17">#REF!</definedName>
    <definedName name="presuporcentaje" localSheetId="4">#REF!</definedName>
    <definedName name="presuporcentaje" localSheetId="5">#REF!</definedName>
    <definedName name="presuporcentaje" localSheetId="8">#REF!</definedName>
    <definedName name="presuporcentaje" localSheetId="3">#REF!</definedName>
    <definedName name="presuporcentaje" localSheetId="6">#REF!</definedName>
    <definedName name="presuporcentaje" localSheetId="11">#REF!</definedName>
    <definedName name="presuporcentaje" localSheetId="10">#REF!</definedName>
    <definedName name="presuporcentaje" localSheetId="0">#REF!</definedName>
    <definedName name="presuporcentaje" localSheetId="1">#REF!</definedName>
    <definedName name="presuporcentaje" localSheetId="2">#REF!</definedName>
    <definedName name="presuporcentaje">#REF!</definedName>
    <definedName name="PRESUPUESTO">#REF!</definedName>
    <definedName name="PreviousYearCAt" localSheetId="7">[3]PI!$C$7</definedName>
    <definedName name="PreviousYearCAt" localSheetId="8">[3]PI!$C$7</definedName>
    <definedName name="PreviousYearCAt" localSheetId="6">[3]PI!$C$7</definedName>
    <definedName name="PreviousYearCAt">#REF!</definedName>
    <definedName name="prexcavreadec" localSheetId="14">#REF!</definedName>
    <definedName name="prexcavreadec">#REF!</definedName>
    <definedName name="prfereadec" localSheetId="14">#REF!</definedName>
    <definedName name="prfereadec">#REF!</definedName>
    <definedName name="prfisuras" localSheetId="14">#REF!</definedName>
    <definedName name="prfisuras">#REF!</definedName>
    <definedName name="prfisurasreadec" localSheetId="14">#REF!</definedName>
    <definedName name="prfisurasreadec">#REF!</definedName>
    <definedName name="prfresado" localSheetId="14">#REF!</definedName>
    <definedName name="prfresado">#REF!</definedName>
    <definedName name="prfresado22cm" localSheetId="14">#REF!</definedName>
    <definedName name="prfresado22cm">#REF!</definedName>
    <definedName name="prfresadoreadec" localSheetId="14">#REF!</definedName>
    <definedName name="prfresadoreadec">#REF!</definedName>
    <definedName name="prhermoso" localSheetId="14">#REF!</definedName>
    <definedName name="prhermoso">#REF!</definedName>
    <definedName name="prhermosoreadec" localSheetId="14">#REF!</definedName>
    <definedName name="prhermosoreadec">#REF!</definedName>
    <definedName name="prhlosaptereadec" localSheetId="14">#REF!</definedName>
    <definedName name="prhlosaptereadec">#REF!</definedName>
    <definedName name="prhor" localSheetId="14">#REF!</definedName>
    <definedName name="prhor">#REF!</definedName>
    <definedName name="prhorcunreadec" localSheetId="14">#REF!</definedName>
    <definedName name="prhorcunreadec">#REF!</definedName>
    <definedName name="PRIMERA" localSheetId="14">#REF!</definedName>
    <definedName name="PRIMERA">#REF!</definedName>
    <definedName name="primpr" localSheetId="14">#REF!</definedName>
    <definedName name="primpr">#REF!</definedName>
    <definedName name="primpreforzada" localSheetId="14">#REF!</definedName>
    <definedName name="primpreforzada">#REF!</definedName>
    <definedName name="primpreforzadareadec" localSheetId="14">#REF!</definedName>
    <definedName name="primpreforzadareadec">#REF!</definedName>
    <definedName name="primprimreadec" localSheetId="14">#REF!</definedName>
    <definedName name="primprimreadec">#REF!</definedName>
    <definedName name="primprref" localSheetId="14">#REF!</definedName>
    <definedName name="primprref">#REF!</definedName>
    <definedName name="Princ" localSheetId="14">#REF!</definedName>
    <definedName name="Princ">#REF!</definedName>
    <definedName name="_xlnm.Print_Area" localSheetId="12">'01'!$A$1:$X$221</definedName>
    <definedName name="_xlnm.Print_Area" localSheetId="13">'AING Gtos Desarrollo'!$A$1:$H$21</definedName>
    <definedName name="_xlnm.Print_Area" localSheetId="7">'Alba M.O. '!$A$1:$U$19</definedName>
    <definedName name="_xlnm.Print_Area" localSheetId="17">'Cert. Ppto 1'!$A$1:$H$59</definedName>
    <definedName name="_xlnm.Print_Area" localSheetId="4">Certificados!$A$11:$K$19</definedName>
    <definedName name="_xlnm.Print_Area" localSheetId="8">'Elect M.O.'!$A$1:$U$19</definedName>
    <definedName name="_xlnm.Print_Area" localSheetId="3">Facturacion!$A$1:$I$43</definedName>
    <definedName name="_xlnm.Print_Area" localSheetId="6">'Horm M.O.'!$A$1:$U$25</definedName>
    <definedName name="_xlnm.Print_Area" localSheetId="14">#REF!</definedName>
    <definedName name="_xlnm.Print_Area" localSheetId="11">'Preventivo Costo CH2171 '!$B$1:$N$225</definedName>
    <definedName name="_xlnm.Print_Area" localSheetId="10">'Preventivo Vta CH2171 '!$A$1:$H$228</definedName>
    <definedName name="_xlnm.Print_Area">#REF!</definedName>
    <definedName name="PRINT_AREA_MI" localSheetId="14">#REF!</definedName>
    <definedName name="PRINT_AREA_MI">#REF!</definedName>
    <definedName name="Print_Area_Reset" localSheetId="12">OFFSET(Full_Print,0,0,Last_Row)</definedName>
    <definedName name="Print_Area_Reset" localSheetId="13">OFFSET([0]!Full_Print,0,0,[0]!Last_Row)</definedName>
    <definedName name="Print_Area_Reset" localSheetId="7">OFFSET([0]!Full_Print,0,0,[0]!Last_Row)</definedName>
    <definedName name="Print_Area_Reset" localSheetId="15">OFFSET(Full_Print,0,0,Last_Row)</definedName>
    <definedName name="Print_Area_Reset" localSheetId="16">OFFSET(Full_Print,0,0,Last_Row)</definedName>
    <definedName name="Print_Area_Reset" localSheetId="17">OFFSET([0]!Full_Print,0,0,[0]!Last_Row)</definedName>
    <definedName name="Print_Area_Reset" localSheetId="8">OFFSET([0]!Full_Print,0,0,[0]!Last_Row)</definedName>
    <definedName name="Print_Area_Reset" localSheetId="9">OFFSET(Full_Print,0,0,Last_Row)</definedName>
    <definedName name="Print_Area_Reset" localSheetId="6">OFFSET(Full_Print,0,0,Last_Row)</definedName>
    <definedName name="Print_Area_Reset" localSheetId="14">OFFSET('Indice CAC'!Full_Print,0,0,Last_Row)</definedName>
    <definedName name="Print_Area_Reset" localSheetId="11">OFFSET([0]!Full_Print,0,0,[0]!Last_Row)</definedName>
    <definedName name="Print_Area_Reset" localSheetId="10">OFFSET(Full_Print,0,0,Last_Row)</definedName>
    <definedName name="Print_Area_Reset" localSheetId="0">OFFSET(Full_Print,0,0,Last_Row)</definedName>
    <definedName name="Print_Area_Reset" localSheetId="1">OFFSET(Full_Print,0,0,Last_Row)</definedName>
    <definedName name="Print_Area_Reset" localSheetId="2">OFFSET(Full_Print,0,0,Last_Row)</definedName>
    <definedName name="Print_Area_Reset">OFFSET(Full_Print,0,0,Last_Row)</definedName>
    <definedName name="_xlnm.Print_Titles" localSheetId="12">'01'!$7:$7</definedName>
    <definedName name="_xlnm.Print_Titles" localSheetId="13">'AING Gtos Desarrollo'!$7:$7</definedName>
    <definedName name="_xlnm.Print_Titles" localSheetId="17">'Cert. Ppto 1'!$7:$7</definedName>
    <definedName name="_xlnm.Print_Titles" localSheetId="14">#REF!</definedName>
    <definedName name="_xlnm.Print_Titles" localSheetId="11">'Preventivo Costo CH2171 '!$7:$7</definedName>
    <definedName name="_xlnm.Print_Titles" localSheetId="10">'Preventivo Vta CH2171 '!$7:$7</definedName>
    <definedName name="_xlnm.Print_Titles">#REF!</definedName>
    <definedName name="printercanal" localSheetId="14">#REF!</definedName>
    <definedName name="printercanal">#REF!</definedName>
    <definedName name="prinvernal" localSheetId="14">#REF!</definedName>
    <definedName name="prinvernal">#REF!</definedName>
    <definedName name="prjunta" localSheetId="14">#REF!</definedName>
    <definedName name="prjunta">#REF!</definedName>
    <definedName name="prjuntas" localSheetId="14">#REF!</definedName>
    <definedName name="prjuntas">#REF!</definedName>
    <definedName name="prlechada" localSheetId="14">#REF!</definedName>
    <definedName name="prlechada">#REF!</definedName>
    <definedName name="prlechadareadec">#REF!</definedName>
    <definedName name="prlimpieza" localSheetId="14">#REF!</definedName>
    <definedName name="prlimpieza">#REF!</definedName>
    <definedName name="prlimpiezareadec" localSheetId="14">#REF!</definedName>
    <definedName name="prlimpiezareadec">#REF!</definedName>
    <definedName name="prlimpseñales" localSheetId="14">#REF!</definedName>
    <definedName name="prlimpseñales">#REF!</definedName>
    <definedName name="prlimpseñalesreadec" localSheetId="14">#REF!</definedName>
    <definedName name="prlimpseñalesreadec">#REF!</definedName>
    <definedName name="prlimptransp" localSheetId="14">#REF!</definedName>
    <definedName name="prlimptransp">#REF!</definedName>
    <definedName name="prlosa" localSheetId="14">#REF!</definedName>
    <definedName name="prlosa">#REF!</definedName>
    <definedName name="prmatbanquina" localSheetId="14">#REF!</definedName>
    <definedName name="prmatbanquina">#REF!</definedName>
    <definedName name="prmatbanquinareadec" localSheetId="14">#REF!</definedName>
    <definedName name="prmatbanquinareadec">#REF!</definedName>
    <definedName name="prmaterialbase" localSheetId="14">#REF!</definedName>
    <definedName name="prmaterialbase">#REF!</definedName>
    <definedName name="prmicroaglomerado" localSheetId="14">#REF!</definedName>
    <definedName name="prmicroaglomerado">#REF!</definedName>
    <definedName name="prmicroreadec" localSheetId="14">#REF!</definedName>
    <definedName name="prmicroreadec">#REF!</definedName>
    <definedName name="prmontaje" localSheetId="14">#REF!</definedName>
    <definedName name="prmontaje">#REF!</definedName>
    <definedName name="pro" localSheetId="12" hidden="1">{"DECIMAL",#N/A,FALSE,"02"}</definedName>
    <definedName name="pro" localSheetId="13" hidden="1">{"DECIMAL",#N/A,FALSE,"02"}</definedName>
    <definedName name="pro" localSheetId="7" hidden="1">{"DECIMAL",#N/A,FALSE,"02"}</definedName>
    <definedName name="pro" localSheetId="15" hidden="1">{"DECIMAL",#N/A,FALSE,"02"}</definedName>
    <definedName name="pro" localSheetId="16" hidden="1">{"DECIMAL",#N/A,FALSE,"02"}</definedName>
    <definedName name="pro" localSheetId="17" hidden="1">{"DECIMAL",#N/A,FALSE,"02"}</definedName>
    <definedName name="pro" localSheetId="8" hidden="1">{"DECIMAL",#N/A,FALSE,"02"}</definedName>
    <definedName name="pro" localSheetId="9" hidden="1">{"DECIMAL",#N/A,FALSE,"02"}</definedName>
    <definedName name="pro" localSheetId="6" hidden="1">{"DECIMAL",#N/A,FALSE,"02"}</definedName>
    <definedName name="pro" localSheetId="14" hidden="1">{"DECIMAL",#N/A,FALSE,"02"}</definedName>
    <definedName name="pro" localSheetId="11" hidden="1">{"DECIMAL",#N/A,FALSE,"02"}</definedName>
    <definedName name="pro" localSheetId="10" hidden="1">{"DECIMAL",#N/A,FALSE,"02"}</definedName>
    <definedName name="pro" localSheetId="0" hidden="1">{"DECIMAL",#N/A,FALSE,"02"}</definedName>
    <definedName name="pro" localSheetId="1" hidden="1">{"DECIMAL",#N/A,FALSE,"02"}</definedName>
    <definedName name="pro" localSheetId="2" hidden="1">{"DECIMAL",#N/A,FALSE,"02"}</definedName>
    <definedName name="pro" hidden="1">{"DECIMAL",#N/A,FALSE,"02"}</definedName>
    <definedName name="Prof_fund" localSheetId="14">#REF!</definedName>
    <definedName name="Prof_fund">#REF!</definedName>
    <definedName name="Prof_Tensor" localSheetId="14">#REF!</definedName>
    <definedName name="Prof_Tensor">#REF!</definedName>
    <definedName name="Progress" localSheetId="12" hidden="1">{#N/A,#N/A,FALSE,"Monthly report";#N/A,#N/A,FALSE,"M.R. UEM";#N/A,#N/A,FALSE,"M.R. VCM"}</definedName>
    <definedName name="Progress" localSheetId="13" hidden="1">{#N/A,#N/A,FALSE,"Monthly report";#N/A,#N/A,FALSE,"M.R. UEM";#N/A,#N/A,FALSE,"M.R. VCM"}</definedName>
    <definedName name="Progress" localSheetId="7" hidden="1">{#N/A,#N/A,FALSE,"Monthly report";#N/A,#N/A,FALSE,"M.R. UEM";#N/A,#N/A,FALSE,"M.R. VCM"}</definedName>
    <definedName name="Progress" localSheetId="15" hidden="1">{#N/A,#N/A,FALSE,"Monthly report";#N/A,#N/A,FALSE,"M.R. UEM";#N/A,#N/A,FALSE,"M.R. VCM"}</definedName>
    <definedName name="Progress" localSheetId="16" hidden="1">{#N/A,#N/A,FALSE,"Monthly report";#N/A,#N/A,FALSE,"M.R. UEM";#N/A,#N/A,FALSE,"M.R. VCM"}</definedName>
    <definedName name="Progress" localSheetId="17" hidden="1">{#N/A,#N/A,FALSE,"Monthly report";#N/A,#N/A,FALSE,"M.R. UEM";#N/A,#N/A,FALSE,"M.R. VCM"}</definedName>
    <definedName name="Progress" localSheetId="8" hidden="1">{#N/A,#N/A,FALSE,"Monthly report";#N/A,#N/A,FALSE,"M.R. UEM";#N/A,#N/A,FALSE,"M.R. VCM"}</definedName>
    <definedName name="Progress" localSheetId="9" hidden="1">{#N/A,#N/A,FALSE,"Monthly report";#N/A,#N/A,FALSE,"M.R. UEM";#N/A,#N/A,FALSE,"M.R. VCM"}</definedName>
    <definedName name="Progress" localSheetId="6" hidden="1">{#N/A,#N/A,FALSE,"Monthly report";#N/A,#N/A,FALSE,"M.R. UEM";#N/A,#N/A,FALSE,"M.R. VCM"}</definedName>
    <definedName name="Progress" localSheetId="14" hidden="1">{#N/A,#N/A,FALSE,"Monthly report";#N/A,#N/A,FALSE,"M.R. UEM";#N/A,#N/A,FALSE,"M.R. VCM"}</definedName>
    <definedName name="Progress" localSheetId="11" hidden="1">{#N/A,#N/A,FALSE,"Monthly report";#N/A,#N/A,FALSE,"M.R. UEM";#N/A,#N/A,FALSE,"M.R. VCM"}</definedName>
    <definedName name="Progress" localSheetId="10" hidden="1">{#N/A,#N/A,FALSE,"Monthly report";#N/A,#N/A,FALSE,"M.R. UEM";#N/A,#N/A,FALSE,"M.R. VCM"}</definedName>
    <definedName name="Progress" localSheetId="0" hidden="1">{#N/A,#N/A,FALSE,"Monthly report";#N/A,#N/A,FALSE,"M.R. UEM";#N/A,#N/A,FALSE,"M.R. VCM"}</definedName>
    <definedName name="Progress" localSheetId="1" hidden="1">{#N/A,#N/A,FALSE,"Monthly report";#N/A,#N/A,FALSE,"M.R. UEM";#N/A,#N/A,FALSE,"M.R. VCM"}</definedName>
    <definedName name="Progress" localSheetId="2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VEEDOR">#REF!</definedName>
    <definedName name="Proyecto1" localSheetId="14">#REF!</definedName>
    <definedName name="Proyecto1">#REF!</definedName>
    <definedName name="Proyecto2" localSheetId="14">#REF!</definedName>
    <definedName name="Proyecto2">#REF!</definedName>
    <definedName name="prPartido" localSheetId="14">#REF!</definedName>
    <definedName name="prPartido">#REF!</definedName>
    <definedName name="prPCCura" localSheetId="14">#REF!</definedName>
    <definedName name="prPCCura">#REF!</definedName>
    <definedName name="prperfilado" localSheetId="14">#REF!</definedName>
    <definedName name="prperfilado">#REF!</definedName>
    <definedName name="prperfiladoreadec" localSheetId="14">#REF!</definedName>
    <definedName name="prperfiladoreadec">#REF!</definedName>
    <definedName name="prpiedratrit" localSheetId="14">#REF!</definedName>
    <definedName name="prpiedratrit">#REF!</definedName>
    <definedName name="prpilotes" localSheetId="14">#REF!</definedName>
    <definedName name="prpilotes">#REF!</definedName>
    <definedName name="prpintado" localSheetId="14">#REF!</definedName>
    <definedName name="prpintado">#REF!</definedName>
    <definedName name="prpintadoreadec" localSheetId="14">#REF!</definedName>
    <definedName name="prpintadoreadec">#REF!</definedName>
    <definedName name="prpostereadec" localSheetId="14">#REF!</definedName>
    <definedName name="prpostereadec">#REF!</definedName>
    <definedName name="prpretiles" localSheetId="14">#REF!</definedName>
    <definedName name="prpretiles">#REF!</definedName>
    <definedName name="prpretilesreadec" localSheetId="14">#REF!</definedName>
    <definedName name="prpretilesreadec">#REF!</definedName>
    <definedName name="prprolongacion" localSheetId="14">#REF!</definedName>
    <definedName name="prprolongacion">#REF!</definedName>
    <definedName name="prprolongacionreadec" localSheetId="14">#REF!</definedName>
    <definedName name="prprolongacionreadec">#REF!</definedName>
    <definedName name="prproteccion" localSheetId="14">#REF!</definedName>
    <definedName name="prproteccion">#REF!</definedName>
    <definedName name="prpteccurareadec" localSheetId="14">#REF!</definedName>
    <definedName name="prpteccurareadec">#REF!</definedName>
    <definedName name="prrecolprereadec" localSheetId="14">#REF!</definedName>
    <definedName name="prrecolprereadec">#REF!</definedName>
    <definedName name="prrefuerzo6" localSheetId="14">#REF!</definedName>
    <definedName name="prrefuerzo6">#REF!</definedName>
    <definedName name="prrefuerzo6readec" localSheetId="14">#REF!</definedName>
    <definedName name="prrefuerzo6readec">#REF!</definedName>
    <definedName name="prrefuerzo8" localSheetId="14">#REF!</definedName>
    <definedName name="prrefuerzo8">#REF!</definedName>
    <definedName name="prrefuerzo8readec" localSheetId="14">#REF!</definedName>
    <definedName name="prrefuerzo8readec">#REF!</definedName>
    <definedName name="prrelleno" localSheetId="14">#REF!</definedName>
    <definedName name="prrelleno">#REF!</definedName>
    <definedName name="prrellenoreadec" localSheetId="14">#REF!</definedName>
    <definedName name="prrellenoreadec">#REF!</definedName>
    <definedName name="prrepalc" localSheetId="14">#REF!</definedName>
    <definedName name="prrepalc">#REF!</definedName>
    <definedName name="prrepAlcPtes" localSheetId="14">#REF!</definedName>
    <definedName name="prrepAlcPtes">#REF!</definedName>
    <definedName name="prrepalcreadec" localSheetId="14">#REF!</definedName>
    <definedName name="prrepalcreadec">#REF!</definedName>
    <definedName name="prreparacionalc" localSheetId="14">#REF!</definedName>
    <definedName name="prreparacionalc">#REF!</definedName>
    <definedName name="prreparacionalcreadec" localSheetId="14">#REF!</definedName>
    <definedName name="prreparacionalcreadec">#REF!</definedName>
    <definedName name="prrestdrenaje" localSheetId="14">#REF!</definedName>
    <definedName name="prrestdrenaje">#REF!</definedName>
    <definedName name="prrestdrenajereadec" localSheetId="14">#REF!</definedName>
    <definedName name="prrestdrenajereadec">#REF!</definedName>
    <definedName name="prretderrumbe" localSheetId="14">#REF!</definedName>
    <definedName name="prretderrumbe">#REF!</definedName>
    <definedName name="prretrecolbaranda" localSheetId="14">#REF!</definedName>
    <definedName name="prretrecolbaranda">#REF!</definedName>
    <definedName name="prriegoimpreadec" localSheetId="14">#REF!</definedName>
    <definedName name="prriegoimpreadec">#REF!</definedName>
    <definedName name="prriegoliga" localSheetId="14">#REF!</definedName>
    <definedName name="prriegoliga">#REF!</definedName>
    <definedName name="prriegoligareadec" localSheetId="14">#REF!</definedName>
    <definedName name="prriegoligareadec">#REF!</definedName>
    <definedName name="prrieimpr" localSheetId="14">#REF!</definedName>
    <definedName name="prrieimpr">#REF!</definedName>
    <definedName name="prrotondas" localSheetId="14">#REF!</definedName>
    <definedName name="prrotondas">#REF!</definedName>
    <definedName name="prrotondasreadec" localSheetId="14">#REF!</definedName>
    <definedName name="prrotondasreadec">#REF!</definedName>
    <definedName name="prsandef" localSheetId="14">#REF!</definedName>
    <definedName name="prsandef">#REF!</definedName>
    <definedName name="prsb" localSheetId="14">#REF!</definedName>
    <definedName name="prsb">#REF!</definedName>
    <definedName name="prsellado" localSheetId="14">#REF!</definedName>
    <definedName name="prsellado">#REF!</definedName>
    <definedName name="prselladoreadec" localSheetId="14">#REF!</definedName>
    <definedName name="prselladoreadec">#REF!</definedName>
    <definedName name="prsenda" localSheetId="14">#REF!</definedName>
    <definedName name="prsenda">#REF!</definedName>
    <definedName name="prsendareadec" localSheetId="14">#REF!</definedName>
    <definedName name="prsendareadec">#REF!</definedName>
    <definedName name="prseñalamiento" localSheetId="14">#REF!</definedName>
    <definedName name="prseñalamiento">#REF!</definedName>
    <definedName name="prseñalamientoreadec" localSheetId="14">#REF!</definedName>
    <definedName name="prseñalamientoreadec">#REF!</definedName>
    <definedName name="prseñalizacion" localSheetId="14">#REF!</definedName>
    <definedName name="prseñalizacion">#REF!</definedName>
    <definedName name="prseñalizacionext" localSheetId="14">#REF!</definedName>
    <definedName name="prseñalizacionext">#REF!</definedName>
    <definedName name="prseñalizacionextreadec" localSheetId="14">#REF!</definedName>
    <definedName name="prseñalizacionextreadec">#REF!</definedName>
    <definedName name="prseñalizaciónreadec" localSheetId="14">#REF!</definedName>
    <definedName name="prseñalizaciónreadec">#REF!</definedName>
    <definedName name="prseñalizreadec" localSheetId="14">#REF!</definedName>
    <definedName name="prseñalizreadec">#REF!</definedName>
    <definedName name="prsistdren" localSheetId="14">#REF!</definedName>
    <definedName name="prsistdren">#REF!</definedName>
    <definedName name="prsistdren1071" localSheetId="14">#REF!</definedName>
    <definedName name="prsistdren1071">#REF!</definedName>
    <definedName name="prSoc8026" localSheetId="14">#REF!</definedName>
    <definedName name="prSoc8026">#REF!</definedName>
    <definedName name="prsocavacionreadec" localSheetId="14">#REF!</definedName>
    <definedName name="prsocavacionreadec">#REF!</definedName>
    <definedName name="prsubbase" localSheetId="14">#REF!</definedName>
    <definedName name="prsubbase">#REF!</definedName>
    <definedName name="prsubbasereadec" localSheetId="14">#REF!</definedName>
    <definedName name="prsubbasereadec">#REF!</definedName>
    <definedName name="prterr" localSheetId="14">#REF!</definedName>
    <definedName name="prterr">#REF!</definedName>
    <definedName name="prterrapreadec" localSheetId="14">#REF!</definedName>
    <definedName name="prterrapreadec">#REF!</definedName>
    <definedName name="prterrsincomp" localSheetId="14">#REF!</definedName>
    <definedName name="prterrsincomp">#REF!</definedName>
    <definedName name="prtravsenillosareadec" localSheetId="14">#REF!</definedName>
    <definedName name="prtravsenillosareadec">#REF!</definedName>
    <definedName name="Prueba" localSheetId="14">#REF!</definedName>
    <definedName name="Prueba">#REF!</definedName>
    <definedName name="prvigas" localSheetId="14">#REF!</definedName>
    <definedName name="prvigas">#REF!</definedName>
    <definedName name="pvc" localSheetId="14">#REF!</definedName>
    <definedName name="pvc">#REF!</definedName>
    <definedName name="q" localSheetId="14">#REF!</definedName>
    <definedName name="q">#REF!</definedName>
    <definedName name="Q0" localSheetId="14">#REF!</definedName>
    <definedName name="Q0">#REF!</definedName>
    <definedName name="QCAR" localSheetId="14">#REF!</definedName>
    <definedName name="QCAR">#REF!</definedName>
    <definedName name="RANGO" localSheetId="14">#REF!</definedName>
    <definedName name="RANGO">#REF!</definedName>
    <definedName name="rangobase" localSheetId="12">L2C1:L372C15</definedName>
    <definedName name="rangobase" localSheetId="13">L2C1:L372C15</definedName>
    <definedName name="rangobase" localSheetId="7">L2C1:L372C15</definedName>
    <definedName name="rangobase" localSheetId="15">L2C1:L372C15</definedName>
    <definedName name="rangobase" localSheetId="16">L2C1:L372C15</definedName>
    <definedName name="rangobase" localSheetId="17">L2C1:L372C15</definedName>
    <definedName name="rangobase" localSheetId="4">L2C1:L372C15</definedName>
    <definedName name="rangobase" localSheetId="8">L2C1:L372C15</definedName>
    <definedName name="rangobase" localSheetId="9">L2C1:L372C15</definedName>
    <definedName name="rangobase" localSheetId="6">L2C1:L372C15</definedName>
    <definedName name="rangobase" localSheetId="14">L2C1:L372C15</definedName>
    <definedName name="rangobase" localSheetId="11">L2C1:L372C15</definedName>
    <definedName name="rangobase" localSheetId="10">L2C1:L372C15</definedName>
    <definedName name="rangobase" localSheetId="0">L2C1:L372C15</definedName>
    <definedName name="rangobase" localSheetId="1">L2C1:L372C15</definedName>
    <definedName name="rangobase" localSheetId="2">L2C1:L372C15</definedName>
    <definedName name="rangobase">L2C1:L372C15</definedName>
    <definedName name="rangoformulas" localSheetId="4">#REF!</definedName>
    <definedName name="rangoformulas" localSheetId="5">#REF!</definedName>
    <definedName name="rangoformulas" localSheetId="3">#REF!</definedName>
    <definedName name="rangoformulas" localSheetId="9">#REF!</definedName>
    <definedName name="rangoformulas" localSheetId="14">#REF!</definedName>
    <definedName name="rangoformulas">#REF!</definedName>
    <definedName name="RB" localSheetId="12">L2C1:L372C15</definedName>
    <definedName name="RB" localSheetId="13">L2C1:L372C15</definedName>
    <definedName name="RB" localSheetId="7">L2C1:L372C15</definedName>
    <definedName name="RB" localSheetId="15">L2C1:L372C15</definedName>
    <definedName name="RB" localSheetId="16">L2C1:L372C15</definedName>
    <definedName name="RB" localSheetId="17">L2C1:L372C15</definedName>
    <definedName name="RB" localSheetId="4">L2C1:L372C15</definedName>
    <definedName name="RB" localSheetId="8">L2C1:L372C15</definedName>
    <definedName name="RB" localSheetId="9">L2C1:L372C15</definedName>
    <definedName name="RB" localSheetId="6">L2C1:L372C15</definedName>
    <definedName name="RB" localSheetId="14">L2C1:L372C15</definedName>
    <definedName name="RB" localSheetId="11">L2C1:L372C15</definedName>
    <definedName name="RB" localSheetId="10">L2C1:L372C15</definedName>
    <definedName name="RB" localSheetId="0">L2C1:L372C15</definedName>
    <definedName name="RB" localSheetId="1">L2C1:L372C15</definedName>
    <definedName name="RB" localSheetId="2">L2C1:L372C15</definedName>
    <definedName name="RB">L2C1:L372C15</definedName>
    <definedName name="RBASE" localSheetId="12">L2C1:L372C15</definedName>
    <definedName name="RBASE" localSheetId="13">L2C1:L372C15</definedName>
    <definedName name="RBASE" localSheetId="7">L2C1:L372C15</definedName>
    <definedName name="RBASE" localSheetId="15">L2C1:L372C15</definedName>
    <definedName name="RBASE" localSheetId="16">L2C1:L372C15</definedName>
    <definedName name="RBASE" localSheetId="17">L2C1:L372C15</definedName>
    <definedName name="RBASE" localSheetId="4">L2C1:L372C15</definedName>
    <definedName name="RBASE" localSheetId="8">L2C1:L372C15</definedName>
    <definedName name="RBASE" localSheetId="9">L2C1:L372C15</definedName>
    <definedName name="RBASE" localSheetId="6">L2C1:L372C15</definedName>
    <definedName name="RBASE" localSheetId="14">L2C1:L372C15</definedName>
    <definedName name="RBASE" localSheetId="11">L2C1:L372C15</definedName>
    <definedName name="RBASE" localSheetId="10">L2C1:L372C15</definedName>
    <definedName name="RBASE" localSheetId="0">L2C1:L372C15</definedName>
    <definedName name="RBASE" localSheetId="1">L2C1:L372C15</definedName>
    <definedName name="RBASE" localSheetId="2">L2C1:L372C15</definedName>
    <definedName name="RBASE">L2C1:L372C15</definedName>
    <definedName name="re" localSheetId="12" hidden="1">{#N/A,#N/A,FALSE,"Monthly report";#N/A,#N/A,FALSE,"M.R. UEM";#N/A,#N/A,FALSE,"M.R. VCM"}</definedName>
    <definedName name="re" localSheetId="13" hidden="1">{#N/A,#N/A,FALSE,"Monthly report";#N/A,#N/A,FALSE,"M.R. UEM";#N/A,#N/A,FALSE,"M.R. VCM"}</definedName>
    <definedName name="re" localSheetId="7" hidden="1">{#N/A,#N/A,FALSE,"Monthly report";#N/A,#N/A,FALSE,"M.R. UEM";#N/A,#N/A,FALSE,"M.R. VCM"}</definedName>
    <definedName name="re" localSheetId="15" hidden="1">{#N/A,#N/A,FALSE,"Monthly report";#N/A,#N/A,FALSE,"M.R. UEM";#N/A,#N/A,FALSE,"M.R. VCM"}</definedName>
    <definedName name="re" localSheetId="16" hidden="1">{#N/A,#N/A,FALSE,"Monthly report";#N/A,#N/A,FALSE,"M.R. UEM";#N/A,#N/A,FALSE,"M.R. VCM"}</definedName>
    <definedName name="re" localSheetId="17" hidden="1">{#N/A,#N/A,FALSE,"Monthly report";#N/A,#N/A,FALSE,"M.R. UEM";#N/A,#N/A,FALSE,"M.R. VCM"}</definedName>
    <definedName name="re" localSheetId="8" hidden="1">{#N/A,#N/A,FALSE,"Monthly report";#N/A,#N/A,FALSE,"M.R. UEM";#N/A,#N/A,FALSE,"M.R. VCM"}</definedName>
    <definedName name="re" localSheetId="9" hidden="1">{#N/A,#N/A,FALSE,"Monthly report";#N/A,#N/A,FALSE,"M.R. UEM";#N/A,#N/A,FALSE,"M.R. VCM"}</definedName>
    <definedName name="re" localSheetId="6" hidden="1">{#N/A,#N/A,FALSE,"Monthly report";#N/A,#N/A,FALSE,"M.R. UEM";#N/A,#N/A,FALSE,"M.R. VCM"}</definedName>
    <definedName name="re" localSheetId="14" hidden="1">{#N/A,#N/A,FALSE,"Monthly report";#N/A,#N/A,FALSE,"M.R. UEM";#N/A,#N/A,FALSE,"M.R. VCM"}</definedName>
    <definedName name="re" localSheetId="11" hidden="1">{#N/A,#N/A,FALSE,"Monthly report";#N/A,#N/A,FALSE,"M.R. UEM";#N/A,#N/A,FALSE,"M.R. VCM"}</definedName>
    <definedName name="re" localSheetId="10" hidden="1">{#N/A,#N/A,FALSE,"Monthly report";#N/A,#N/A,FALSE,"M.R. UEM";#N/A,#N/A,FALSE,"M.R. VCM"}</definedName>
    <definedName name="re" localSheetId="0" hidden="1">{#N/A,#N/A,FALSE,"Monthly report";#N/A,#N/A,FALSE,"M.R. UEM";#N/A,#N/A,FALSE,"M.R. VCM"}</definedName>
    <definedName name="re" localSheetId="1" hidden="1">{#N/A,#N/A,FALSE,"Monthly report";#N/A,#N/A,FALSE,"M.R. UEM";#N/A,#N/A,FALSE,"M.R. VCM"}</definedName>
    <definedName name="re" localSheetId="2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acc">#REF!</definedName>
    <definedName name="rec" localSheetId="14">#REF!</definedName>
    <definedName name="rec">#REF!</definedName>
    <definedName name="rec_c" localSheetId="14">#REF!</definedName>
    <definedName name="rec_c">#REF!</definedName>
    <definedName name="Rejilla" localSheetId="14">#REF!</definedName>
    <definedName name="Rejilla">#REF!</definedName>
    <definedName name="rellr" localSheetId="14">#REF!</definedName>
    <definedName name="rellr">#REF!</definedName>
    <definedName name="rend" localSheetId="7">#REF!</definedName>
    <definedName name="rend" localSheetId="4">#REF!</definedName>
    <definedName name="rend" localSheetId="5">#REF!</definedName>
    <definedName name="rend" localSheetId="8">#REF!</definedName>
    <definedName name="rend" localSheetId="3">#REF!</definedName>
    <definedName name="rend" localSheetId="9">#REF!</definedName>
    <definedName name="rend" localSheetId="6">#REF!</definedName>
    <definedName name="rend" localSheetId="14">#REF!</definedName>
    <definedName name="rend" localSheetId="0">#REF!</definedName>
    <definedName name="rend" localSheetId="1">#REF!</definedName>
    <definedName name="rend" localSheetId="2">#REF!</definedName>
    <definedName name="rend">#REF!</definedName>
    <definedName name="Reparaciones" localSheetId="14">#REF!</definedName>
    <definedName name="Reparaciones">#REF!</definedName>
    <definedName name="REPOTENCIACION_ACUEDUCTO_A_V._ANGELA" localSheetId="14">#REF!</definedName>
    <definedName name="REPOTENCIACION_ACUEDUCTO_A_V._ANGELA">#REF!</definedName>
    <definedName name="RES">#N/A</definedName>
    <definedName name="Residual" localSheetId="14">#REF!</definedName>
    <definedName name="Residual">#REF!</definedName>
    <definedName name="RESUMEN">#N/A</definedName>
    <definedName name="RN" localSheetId="14">#REF!</definedName>
    <definedName name="RN">#REF!</definedName>
    <definedName name="RR" localSheetId="14">#REF!</definedName>
    <definedName name="RR">#REF!</definedName>
    <definedName name="RSAD" localSheetId="4">#REF!</definedName>
    <definedName name="RSAD" localSheetId="5">#REF!</definedName>
    <definedName name="RSAD" localSheetId="3">#REF!</definedName>
    <definedName name="RSAD" localSheetId="9">#REF!</definedName>
    <definedName name="RSAD" localSheetId="14">#REF!</definedName>
    <definedName name="RSAD">#REF!</definedName>
    <definedName name="RSARL" localSheetId="4">#REF!</definedName>
    <definedName name="RSARL" localSheetId="3">#REF!</definedName>
    <definedName name="RSARL" localSheetId="9">#REF!</definedName>
    <definedName name="RSARL" localSheetId="14">#REF!</definedName>
    <definedName name="RSARL">#REF!</definedName>
    <definedName name="RSAZCE" localSheetId="9">#REF!</definedName>
    <definedName name="RSAZCE" localSheetId="14">#REF!</definedName>
    <definedName name="RSAZCE">#REF!</definedName>
    <definedName name="RSAZM" localSheetId="9">#REF!</definedName>
    <definedName name="RSAZM" localSheetId="14">#REF!</definedName>
    <definedName name="RSAZM">#REF!</definedName>
    <definedName name="RSCOL" localSheetId="9">#REF!</definedName>
    <definedName name="RSCOL" localSheetId="14">#REF!</definedName>
    <definedName name="RSCOL">#REF!</definedName>
    <definedName name="RSLD" localSheetId="14">#REF!</definedName>
    <definedName name="RSLD">#REF!</definedName>
    <definedName name="RSPD" localSheetId="14">#REF!</definedName>
    <definedName name="RSPD">#REF!</definedName>
    <definedName name="RSPZM" localSheetId="14">#REF!</definedName>
    <definedName name="RSPZM">#REF!</definedName>
    <definedName name="ryrc" localSheetId="14">#REF!</definedName>
    <definedName name="ryrc">#REF!</definedName>
    <definedName name="ryrr" localSheetId="14">#REF!</definedName>
    <definedName name="ryrr">#REF!</definedName>
    <definedName name="S" localSheetId="14">#REF!</definedName>
    <definedName name="S">#REF!</definedName>
    <definedName name="sa" localSheetId="12" hidden="1">#REF!</definedName>
    <definedName name="sa" localSheetId="13" hidden="1">#REF!</definedName>
    <definedName name="sa" localSheetId="7" hidden="1">#REF!</definedName>
    <definedName name="sa" localSheetId="17" hidden="1">#REF!</definedName>
    <definedName name="sa" localSheetId="4" hidden="1">#REF!</definedName>
    <definedName name="sa" localSheetId="5" hidden="1">#REF!</definedName>
    <definedName name="sa" localSheetId="8" hidden="1">#REF!</definedName>
    <definedName name="sa" localSheetId="3" hidden="1">#REF!</definedName>
    <definedName name="sa" localSheetId="9" hidden="1">#REF!</definedName>
    <definedName name="sa" localSheetId="6" hidden="1">#REF!</definedName>
    <definedName name="sa" localSheetId="14" hidden="1">#REF!</definedName>
    <definedName name="sa" localSheetId="11" hidden="1">#REF!</definedName>
    <definedName name="sa" localSheetId="10" hidden="1">#REF!</definedName>
    <definedName name="sa" localSheetId="0" hidden="1">#REF!</definedName>
    <definedName name="sa" localSheetId="1" hidden="1">#REF!</definedName>
    <definedName name="sa" localSheetId="2" hidden="1">#REF!</definedName>
    <definedName name="sa" hidden="1">#REF!</definedName>
    <definedName name="sadDSadsa" localSheetId="7">#REF!</definedName>
    <definedName name="sadDSadsa" localSheetId="4">#REF!</definedName>
    <definedName name="sadDSadsa" localSheetId="5">#REF!</definedName>
    <definedName name="sadDSadsa" localSheetId="8">#REF!</definedName>
    <definedName name="sadDSadsa" localSheetId="3">#REF!</definedName>
    <definedName name="sadDSadsa" localSheetId="6">#REF!</definedName>
    <definedName name="sadDSadsa" localSheetId="14">#REF!</definedName>
    <definedName name="sadDSadsa" localSheetId="0">#REF!</definedName>
    <definedName name="sadDSadsa" localSheetId="1">#REF!</definedName>
    <definedName name="sadDSadsa" localSheetId="2">#REF!</definedName>
    <definedName name="sadDSadsa">#REF!</definedName>
    <definedName name="sal_sum" localSheetId="7">'[2]#REF'!$A$1:$T$36</definedName>
    <definedName name="sal_sum" localSheetId="8">'[2]#REF'!$A$1:$T$36</definedName>
    <definedName name="sal_sum" localSheetId="6">'[2]#REF'!$A$1:$T$36</definedName>
    <definedName name="sal_sum">#REF!</definedName>
    <definedName name="Sched_Pay" localSheetId="14">#REF!</definedName>
    <definedName name="Sched_Pay">#REF!</definedName>
    <definedName name="Scheduled_Extra_Payments" localSheetId="14">#REF!</definedName>
    <definedName name="Scheduled_Extra_Payments">#REF!</definedName>
    <definedName name="Scheduled_Interest_Rate" localSheetId="14">#REF!</definedName>
    <definedName name="Scheduled_Interest_Rate">#REF!</definedName>
    <definedName name="Scheduled_Monthly_Payment">#REF!</definedName>
    <definedName name="SECCIONES" localSheetId="14">#REF!</definedName>
    <definedName name="SECCIONES">#REF!</definedName>
    <definedName name="SECCIONES_DIV" localSheetId="14">#REF!</definedName>
    <definedName name="SECCIONES_DIV">#REF!</definedName>
    <definedName name="SEG" localSheetId="14">#REF!</definedName>
    <definedName name="SEG">#REF!</definedName>
    <definedName name="SEGUNDA" localSheetId="14">#REF!</definedName>
    <definedName name="SEGUNDA">#REF!</definedName>
    <definedName name="Seguro_de_Vida_Obligatorio" localSheetId="14">#REF!</definedName>
    <definedName name="Seguro_de_Vida_Obligatorio">#REF!</definedName>
    <definedName name="sep.22" localSheetId="7">#REF!</definedName>
    <definedName name="sep.22" localSheetId="8">#REF!</definedName>
    <definedName name="sep.22" localSheetId="6">#REF!</definedName>
    <definedName name="sep.22" localSheetId="14">'Indice CAC'!#REF!</definedName>
    <definedName name="sep.22">'[1]Indice CAC'!#REF!</definedName>
    <definedName name="sep.23" localSheetId="7">#REF!</definedName>
    <definedName name="sep.23" localSheetId="8">#REF!</definedName>
    <definedName name="sep.23" localSheetId="6">#REF!</definedName>
    <definedName name="sep.23" localSheetId="14">'Indice CAC'!#REF!</definedName>
    <definedName name="sep.23">'[1]Indice CAC'!#REF!</definedName>
    <definedName name="sep.24" localSheetId="7">#REF!</definedName>
    <definedName name="sep.24" localSheetId="8">#REF!</definedName>
    <definedName name="sep.24" localSheetId="6">#REF!</definedName>
    <definedName name="sep.24" localSheetId="14">'Indice CAC'!#REF!</definedName>
    <definedName name="sep.24">'[1]Indice CAC'!#REF!</definedName>
    <definedName name="sept22" localSheetId="7">#REF!</definedName>
    <definedName name="sept22" localSheetId="8">#REF!</definedName>
    <definedName name="sept22" localSheetId="6">#REF!</definedName>
    <definedName name="sept22" localSheetId="14">'Indice CAC'!#REF!</definedName>
    <definedName name="sept22">'[1]Indice CAC'!#REF!</definedName>
    <definedName name="sept23" localSheetId="7">#REF!</definedName>
    <definedName name="sept23" localSheetId="8">#REF!</definedName>
    <definedName name="sept23" localSheetId="6">#REF!</definedName>
    <definedName name="sept23" localSheetId="14">'Indice CAC'!#REF!</definedName>
    <definedName name="sept23">'[1]Indice CAC'!#REF!</definedName>
    <definedName name="sept24" localSheetId="7">#REF!</definedName>
    <definedName name="sept24" localSheetId="8">#REF!</definedName>
    <definedName name="sept24" localSheetId="6">#REF!</definedName>
    <definedName name="sept24" localSheetId="14">'Indice CAC'!#REF!</definedName>
    <definedName name="sept24">'[1]Indice CAC'!#REF!</definedName>
    <definedName name="SIG__">#N/A</definedName>
    <definedName name="SIG2__">#N/A</definedName>
    <definedName name="sigmabk" localSheetId="14">#REF!</definedName>
    <definedName name="sigmabk">#REF!</definedName>
    <definedName name="sigmabk_c" localSheetId="14">#REF!</definedName>
    <definedName name="sigmabk_c">#REF!</definedName>
    <definedName name="sigmas" localSheetId="14">#REF!</definedName>
    <definedName name="sigmas">#REF!</definedName>
    <definedName name="sin_reaj" localSheetId="14">#REF!</definedName>
    <definedName name="sin_reaj">#REF!</definedName>
    <definedName name="sob" localSheetId="14">#REF!</definedName>
    <definedName name="sob">#REF!</definedName>
    <definedName name="sob_c" localSheetId="14">#REF!</definedName>
    <definedName name="sob_c">#REF!</definedName>
    <definedName name="SObrero" localSheetId="14">#REF!</definedName>
    <definedName name="SObrero">#REF!</definedName>
    <definedName name="ssdfsdgsdfgfgb" localSheetId="14">#REF!</definedName>
    <definedName name="ssdfsdgsdfgfgb">#REF!</definedName>
    <definedName name="SUBTOTAL" localSheetId="14">#REF!</definedName>
    <definedName name="SUBTOTAL">#REF!</definedName>
    <definedName name="Sueldo_Anual_Complementario" localSheetId="14">#REF!</definedName>
    <definedName name="Sueldo_Anual_Complementario">#REF!</definedName>
    <definedName name="Suelo" localSheetId="14">#REF!</definedName>
    <definedName name="Suelo">#REF!</definedName>
    <definedName name="SumaItems" localSheetId="14">#REF!</definedName>
    <definedName name="SumaItems">#REF!</definedName>
    <definedName name="Summary" localSheetId="7">#REF!</definedName>
    <definedName name="Summary" localSheetId="4">#REF!</definedName>
    <definedName name="Summary" localSheetId="5">#REF!</definedName>
    <definedName name="Summary" localSheetId="8">#REF!</definedName>
    <definedName name="Summary" localSheetId="3">#REF!</definedName>
    <definedName name="Summary" localSheetId="9">#REF!</definedName>
    <definedName name="Summary" localSheetId="6">#REF!</definedName>
    <definedName name="Summary" localSheetId="14">#REF!</definedName>
    <definedName name="Summary" localSheetId="0">#REF!</definedName>
    <definedName name="Summary" localSheetId="1">#REF!</definedName>
    <definedName name="Summary" localSheetId="2">#REF!</definedName>
    <definedName name="Summary">#REF!</definedName>
    <definedName name="Sup_Cubierta" localSheetId="4">#REF!</definedName>
    <definedName name="Sup_Cubierta" localSheetId="5">#REF!</definedName>
    <definedName name="Sup_Cubierta" localSheetId="3">#REF!</definedName>
    <definedName name="Sup_Cubierta" localSheetId="14">#REF!</definedName>
    <definedName name="Sup_Cubierta">#REF!</definedName>
    <definedName name="Sup_Lote" localSheetId="14">#REF!</definedName>
    <definedName name="Sup_Lote">#REF!</definedName>
    <definedName name="Sup_Proyecto" localSheetId="4">#REF!</definedName>
    <definedName name="Sup_Proyecto" localSheetId="5">#REF!</definedName>
    <definedName name="Sup_Proyecto" localSheetId="3">#REF!</definedName>
    <definedName name="Sup_Proyecto" localSheetId="9">#REF!</definedName>
    <definedName name="Sup_Proyecto" localSheetId="14">#REF!</definedName>
    <definedName name="Sup_Proyecto">#REF!</definedName>
    <definedName name="Sup_Terreno" localSheetId="4">#REF!</definedName>
    <definedName name="Sup_Terreno" localSheetId="3">#REF!</definedName>
    <definedName name="Sup_Terreno" localSheetId="9">#REF!</definedName>
    <definedName name="Sup_Terreno" localSheetId="14">#REF!</definedName>
    <definedName name="Sup_Terreno">#REF!</definedName>
    <definedName name="Superficie_Cubierta" localSheetId="14">#REF!</definedName>
    <definedName name="Superficie_Cubierta">#REF!</definedName>
    <definedName name="T.Cuad." localSheetId="14">#REF!</definedName>
    <definedName name="T.Cuad.">#REF!</definedName>
    <definedName name="T.Rect." localSheetId="14">#REF!</definedName>
    <definedName name="T.Rect.">#REF!</definedName>
    <definedName name="T.Red." localSheetId="14">#REF!</definedName>
    <definedName name="T.Red.">#REF!</definedName>
    <definedName name="T_2" localSheetId="14">#REF!</definedName>
    <definedName name="T_2">#REF!</definedName>
    <definedName name="t1000k" localSheetId="14">#REF!</definedName>
    <definedName name="t1000k">#REF!</definedName>
    <definedName name="t15k" localSheetId="14">#REF!</definedName>
    <definedName name="t15k">#REF!</definedName>
    <definedName name="t400k" localSheetId="14">#REF!</definedName>
    <definedName name="t400k">#REF!</definedName>
    <definedName name="t490k" localSheetId="14">#REF!</definedName>
    <definedName name="t490k">#REF!</definedName>
    <definedName name="t90k" localSheetId="14">#REF!</definedName>
    <definedName name="t90k">#REF!</definedName>
    <definedName name="TABLA2" localSheetId="14">#REF!</definedName>
    <definedName name="TABLA2">#REF!</definedName>
    <definedName name="TABLA3" localSheetId="14">#REF!</definedName>
    <definedName name="TABLA3">#REF!</definedName>
    <definedName name="TABLA6.2" localSheetId="14">#REF!</definedName>
    <definedName name="TABLA6.2">#REF!</definedName>
    <definedName name="tablas" localSheetId="14">#REF!</definedName>
    <definedName name="tablas">#REF!</definedName>
    <definedName name="TAC" localSheetId="14">#REF!</definedName>
    <definedName name="TAC">#REF!</definedName>
    <definedName name="TAREAS" localSheetId="7">#REF!</definedName>
    <definedName name="TAREAS" localSheetId="4">#REF!</definedName>
    <definedName name="TAREAS" localSheetId="5">#REF!</definedName>
    <definedName name="TAREAS" localSheetId="8">#REF!</definedName>
    <definedName name="TAREAS" localSheetId="3">#REF!</definedName>
    <definedName name="TAREAS" localSheetId="9">#REF!</definedName>
    <definedName name="TAREAS" localSheetId="6">#REF!</definedName>
    <definedName name="TAREAS" localSheetId="14">#REF!</definedName>
    <definedName name="TAREAS" localSheetId="0">#REF!</definedName>
    <definedName name="TAREAS" localSheetId="1">#REF!</definedName>
    <definedName name="TAREAS" localSheetId="2">#REF!</definedName>
    <definedName name="TAREAS">#REF!</definedName>
    <definedName name="TASA" localSheetId="14">#REF!</definedName>
    <definedName name="TASA">#REF!</definedName>
    <definedName name="tasa_cero" localSheetId="14">#REF!</definedName>
    <definedName name="tasa_cero">#REF!</definedName>
    <definedName name="tau" localSheetId="14">#REF!</definedName>
    <definedName name="tau">#REF!</definedName>
    <definedName name="Tdos" localSheetId="14">#REF!</definedName>
    <definedName name="Tdos">#REF!</definedName>
    <definedName name="te" localSheetId="14">#REF!</definedName>
    <definedName name="te">#REF!</definedName>
    <definedName name="Temperatura_Kelvin" localSheetId="14">#REF!</definedName>
    <definedName name="Temperatura_Kelvin">#REF!</definedName>
    <definedName name="TERCERA" localSheetId="14">#REF!</definedName>
    <definedName name="TERCERA">#REF!</definedName>
    <definedName name="terramesh" localSheetId="14">#REF!</definedName>
    <definedName name="terramesh">#REF!</definedName>
    <definedName name="ThO" localSheetId="14">#REF!</definedName>
    <definedName name="ThO">#REF!</definedName>
    <definedName name="ThPH" localSheetId="14">#REF!</definedName>
    <definedName name="ThPH">#REF!</definedName>
    <definedName name="Tip.Conj." localSheetId="14">#REF!</definedName>
    <definedName name="Tip.Conj.">#REF!</definedName>
    <definedName name="TIPIFICACION">#REF!</definedName>
    <definedName name="Tipo.Informe">#REF!</definedName>
    <definedName name="TIRANTE_CRITICO_CANALES">#REF!</definedName>
    <definedName name="TITULO" localSheetId="7">#REF!</definedName>
    <definedName name="TITULO" localSheetId="4">#REF!</definedName>
    <definedName name="TITULO" localSheetId="5">#REF!</definedName>
    <definedName name="TITULO" localSheetId="8">#REF!</definedName>
    <definedName name="TITULO" localSheetId="3">#REF!</definedName>
    <definedName name="TITULO" localSheetId="6">#REF!</definedName>
    <definedName name="TITULO" localSheetId="14">#REF!</definedName>
    <definedName name="TITULO" localSheetId="0">#REF!</definedName>
    <definedName name="TITULO" localSheetId="1">#REF!</definedName>
    <definedName name="TITULO" localSheetId="2">#REF!</definedName>
    <definedName name="TITULO">#REF!</definedName>
    <definedName name="TITULOS" localSheetId="14">#REF!</definedName>
    <definedName name="TITULOS">#REF!</definedName>
    <definedName name="TITULOS_A_IMPRIMIR" localSheetId="14">#REF!</definedName>
    <definedName name="TITULOS_A_IMPRIMIR">#REF!</definedName>
    <definedName name="Títulos_a_imprimir_IM" localSheetId="12">#REF!</definedName>
    <definedName name="Títulos_a_imprimir_IM" localSheetId="13">#REF!</definedName>
    <definedName name="Títulos_a_imprimir_IM" localSheetId="7">#REF!</definedName>
    <definedName name="Títulos_a_imprimir_IM" localSheetId="17">#REF!</definedName>
    <definedName name="Títulos_a_imprimir_IM" localSheetId="4">#REF!</definedName>
    <definedName name="Títulos_a_imprimir_IM" localSheetId="5">#REF!</definedName>
    <definedName name="Títulos_a_imprimir_IM" localSheetId="8">#REF!</definedName>
    <definedName name="Títulos_a_imprimir_IM" localSheetId="3">#REF!</definedName>
    <definedName name="Títulos_a_imprimir_IM" localSheetId="6">#REF!</definedName>
    <definedName name="Títulos_a_imprimir_IM" localSheetId="14">#REF!</definedName>
    <definedName name="Títulos_a_imprimir_IM" localSheetId="11">#REF!</definedName>
    <definedName name="Títulos_a_imprimir_IM" localSheetId="10">#REF!</definedName>
    <definedName name="Títulos_a_imprimir_IM" localSheetId="0">#REF!</definedName>
    <definedName name="Títulos_a_imprimir_IM" localSheetId="1">#REF!</definedName>
    <definedName name="Títulos_a_imprimir_IM" localSheetId="2">#REF!</definedName>
    <definedName name="Títulos_a_imprimir_IM">#REF!</definedName>
    <definedName name="TIUF" localSheetId="14">#REF!</definedName>
    <definedName name="TIUF">#REF!</definedName>
    <definedName name="to11_c" localSheetId="14">#REF!</definedName>
    <definedName name="to11_c">#REF!</definedName>
    <definedName name="TOBR1" localSheetId="14">#REF!</definedName>
    <definedName name="TOBR1">#REF!</definedName>
    <definedName name="TOBRA" localSheetId="14">#REF!</definedName>
    <definedName name="TOBRA">#REF!</definedName>
    <definedName name="tor" localSheetId="14">#REF!</definedName>
    <definedName name="tor">#REF!</definedName>
    <definedName name="tota1" localSheetId="7">#REF!</definedName>
    <definedName name="tota1" localSheetId="5">#REF!</definedName>
    <definedName name="tota1" localSheetId="8">#REF!</definedName>
    <definedName name="tota1" localSheetId="6">#REF!</definedName>
    <definedName name="tota1" localSheetId="0">#REF!</definedName>
    <definedName name="tota1" localSheetId="1">#REF!</definedName>
    <definedName name="tota1" localSheetId="2">#REF!</definedName>
    <definedName name="tota1">#REF!</definedName>
    <definedName name="TOTAL">#REF!</definedName>
    <definedName name="Total_Interest">#REF!</definedName>
    <definedName name="Total_Pay">#REF!</definedName>
    <definedName name="Total_Payment" localSheetId="12">Scheduled_Payment+Extra_Payment</definedName>
    <definedName name="Total_Payment" localSheetId="13">Scheduled_Payment+Extra_Payment</definedName>
    <definedName name="Total_Payment" localSheetId="7">Scheduled_Payment+Extra_Payment</definedName>
    <definedName name="Total_Payment" localSheetId="15">Scheduled_Payment+Extra_Payment</definedName>
    <definedName name="Total_Payment" localSheetId="16">Scheduled_Payment+Extra_Payment</definedName>
    <definedName name="Total_Payment" localSheetId="17">Scheduled_Payment+Extra_Payment</definedName>
    <definedName name="Total_Payment" localSheetId="4">Scheduled_Payment+Extra_Payment</definedName>
    <definedName name="Total_Payment" localSheetId="8">Scheduled_Payment+Extra_Payment</definedName>
    <definedName name="Total_Payment" localSheetId="9">Scheduled_Payment+Extra_Payment</definedName>
    <definedName name="Total_Payment" localSheetId="6">Scheduled_Payment+Extra_Payment</definedName>
    <definedName name="Total_Payment" localSheetId="14">Scheduled_Payment+Extra_Payment</definedName>
    <definedName name="Total_Payment" localSheetId="11">Scheduled_Payment+Extra_Payment</definedName>
    <definedName name="Total_Payment" localSheetId="10">Scheduled_Payment+Extra_Payment</definedName>
    <definedName name="Total_Payment" localSheetId="0">Scheduled_Payment+Extra_Payment</definedName>
    <definedName name="Total_Payment" localSheetId="1">Scheduled_Payment+Extra_Payment</definedName>
    <definedName name="Total_Payment" localSheetId="2">Scheduled_Payment+Extra_Payment</definedName>
    <definedName name="Total_Payment">Scheduled_Payment+Extra_Payment</definedName>
    <definedName name="TOTAL_SISTEMA_DE_ACUEDUCTOS_A_PRECIO_FINAL" localSheetId="14">#REF!</definedName>
    <definedName name="TOTAL_SISTEMA_DE_ACUEDUCTOS_A_PRECIO_FINAL">#REF!</definedName>
    <definedName name="totalcert" localSheetId="14">#REF!</definedName>
    <definedName name="totalcert">#REF!</definedName>
    <definedName name="TOTALES" localSheetId="7">#REF!</definedName>
    <definedName name="TOTALES" localSheetId="4">#REF!</definedName>
    <definedName name="TOTALES" localSheetId="5">#REF!</definedName>
    <definedName name="TOTALES" localSheetId="8">#REF!</definedName>
    <definedName name="TOTALES" localSheetId="3">#REF!</definedName>
    <definedName name="TOTALES" localSheetId="9">#REF!</definedName>
    <definedName name="TOTALES" localSheetId="6">#REF!</definedName>
    <definedName name="TOTALES" localSheetId="14">#REF!</definedName>
    <definedName name="TOTALES" localSheetId="0">#REF!</definedName>
    <definedName name="TOTALES" localSheetId="1">#REF!</definedName>
    <definedName name="TOTALES" localSheetId="2">#REF!</definedName>
    <definedName name="TOTALES">#REF!</definedName>
    <definedName name="TPA">#REF!</definedName>
    <definedName name="TRANSPORTE">#N/A</definedName>
    <definedName name="trentiuno" localSheetId="14">#REF!</definedName>
    <definedName name="trentiuno">#REF!</definedName>
    <definedName name="TUBERIAS" localSheetId="14">#REF!</definedName>
    <definedName name="TUBERIAS">#REF!</definedName>
    <definedName name="Tuberías_de_P.E.A.D." localSheetId="14">#REF!</definedName>
    <definedName name="Tuberías_de_P.E.A.D.">#REF!</definedName>
    <definedName name="Tuberías_de_P.R.F.V." localSheetId="14">#REF!</definedName>
    <definedName name="Tuberías_de_P.R.F.V.">#REF!</definedName>
    <definedName name="Tuberias_de_P.V.C.">#REF!</definedName>
    <definedName name="Tuerc.">#REF!</definedName>
    <definedName name="Tuno">#REF!</definedName>
    <definedName name="u">#REF!</definedName>
    <definedName name="UDL" localSheetId="7">[2]ACLSHL96!#REF!</definedName>
    <definedName name="UDL" localSheetId="8">[2]ACLSHL96!#REF!</definedName>
    <definedName name="UDL" localSheetId="6">[2]ACLSHL96!#REF!</definedName>
    <definedName name="UDL" localSheetId="14">#REF!</definedName>
    <definedName name="UDL">#REF!</definedName>
    <definedName name="UDLWR" localSheetId="7">[2]ACLSHL96!#REF!</definedName>
    <definedName name="UDLWR" localSheetId="8">[2]ACLSHL96!#REF!</definedName>
    <definedName name="UDLWR" localSheetId="6">[2]ACLSHL96!#REF!</definedName>
    <definedName name="UDLWR" localSheetId="14">#REF!</definedName>
    <definedName name="UDLWR">#REF!</definedName>
    <definedName name="UDM" localSheetId="7">[2]ACLSHL96!#REF!</definedName>
    <definedName name="UDM" localSheetId="8">[2]ACLSHL96!#REF!</definedName>
    <definedName name="UDM" localSheetId="6">[2]ACLSHL96!#REF!</definedName>
    <definedName name="UDM" localSheetId="14">#REF!</definedName>
    <definedName name="UDM">#REF!</definedName>
    <definedName name="UDMML" localSheetId="7">[2]ACLSHL96!#REF!</definedName>
    <definedName name="UDMML" localSheetId="8">[2]ACLSHL96!#REF!</definedName>
    <definedName name="UDMML" localSheetId="6">[2]ACLSHL96!#REF!</definedName>
    <definedName name="UDMML" localSheetId="14">#REF!</definedName>
    <definedName name="UDMML">#REF!</definedName>
    <definedName name="UDMP" localSheetId="7">[2]ACLSHL96!#REF!</definedName>
    <definedName name="UDMP" localSheetId="8">[2]ACLSHL96!#REF!</definedName>
    <definedName name="UDMP" localSheetId="6">[2]ACLSHL96!#REF!</definedName>
    <definedName name="UDMP">#REF!</definedName>
    <definedName name="UDMPB" localSheetId="7">[2]ACLSHL96!#REF!</definedName>
    <definedName name="UDMPB" localSheetId="8">[2]ACLSHL96!#REF!</definedName>
    <definedName name="UDMPB" localSheetId="6">[2]ACLSHL96!#REF!</definedName>
    <definedName name="UDMPB">#REF!</definedName>
    <definedName name="Unidades" localSheetId="4">#REF!</definedName>
    <definedName name="Unidades" localSheetId="5">#REF!</definedName>
    <definedName name="Unidades" localSheetId="3">#REF!</definedName>
    <definedName name="Unidades" localSheetId="9">#REF!</definedName>
    <definedName name="Unidades" localSheetId="14">#REF!</definedName>
    <definedName name="Unidades">#REF!</definedName>
    <definedName name="Unusual" localSheetId="7">'[6]Page 1'!#REF!</definedName>
    <definedName name="Unusual" localSheetId="8">'[6]Page 1'!#REF!</definedName>
    <definedName name="Unusual" localSheetId="6">'[6]Page 1'!#REF!</definedName>
    <definedName name="Unusual">#REF!</definedName>
    <definedName name="UOCRA" localSheetId="14">#REF!</definedName>
    <definedName name="UOCRA">#REF!</definedName>
    <definedName name="UOCRA_Cargo_Fijo" localSheetId="14">#REF!</definedName>
    <definedName name="UOCRA_Cargo_Fijo">#REF!</definedName>
    <definedName name="UPN" localSheetId="14">#REF!</definedName>
    <definedName name="UPN">#REF!</definedName>
    <definedName name="USD" localSheetId="14">#REF!</definedName>
    <definedName name="USD">#REF!</definedName>
    <definedName name="USD.BNA" localSheetId="14">#REF!</definedName>
    <definedName name="USD.BNA">#REF!</definedName>
    <definedName name="V" localSheetId="14">#REF!</definedName>
    <definedName name="V">#REF!</definedName>
    <definedName name="V.R." localSheetId="14">#REF!</definedName>
    <definedName name="V.R.">#REF!</definedName>
    <definedName name="V.Rosc" localSheetId="14">#REF!</definedName>
    <definedName name="V.Rosc">#REF!</definedName>
    <definedName name="V0">#REF!</definedName>
    <definedName name="Vacaciones" localSheetId="14">#REF!</definedName>
    <definedName name="Vacaciones">#REF!</definedName>
    <definedName name="vacdul" localSheetId="14">#REF!</definedName>
    <definedName name="vacdul">#REF!</definedName>
    <definedName name="vacdul1mod" localSheetId="14">#REF!</definedName>
    <definedName name="vacdul1mod">#REF!</definedName>
    <definedName name="vacete" localSheetId="14">#REF!</definedName>
    <definedName name="vacete">#REF!</definedName>
    <definedName name="vaclam" localSheetId="14">#REF!</definedName>
    <definedName name="vaclam">#REF!</definedName>
    <definedName name="vaclam1mod" localSheetId="14">#REF!</definedName>
    <definedName name="vaclam1mod">#REF!</definedName>
    <definedName name="vadih" localSheetId="14">#REF!</definedName>
    <definedName name="vadih">#REF!</definedName>
    <definedName name="val" localSheetId="14">#REF!</definedName>
    <definedName name="val">#REF!</definedName>
    <definedName name="valgalv" localSheetId="14">#REF!</definedName>
    <definedName name="valgalv">#REF!</definedName>
    <definedName name="valgalv1mod" localSheetId="14">#REF!</definedName>
    <definedName name="valgalv1mod">#REF!</definedName>
    <definedName name="validez" localSheetId="14">#REF!</definedName>
    <definedName name="validez">#REF!</definedName>
    <definedName name="Valor" localSheetId="14">#REF!</definedName>
    <definedName name="Valor">#REF!</definedName>
    <definedName name="valoresequipo" localSheetId="12">#REF!</definedName>
    <definedName name="valoresequipo" localSheetId="13">#REF!</definedName>
    <definedName name="valoresequipo" localSheetId="7">#REF!</definedName>
    <definedName name="valoresequipo" localSheetId="17">#REF!</definedName>
    <definedName name="valoresequipo" localSheetId="4">#REF!</definedName>
    <definedName name="valoresequipo" localSheetId="5">#REF!</definedName>
    <definedName name="valoresequipo" localSheetId="8">#REF!</definedName>
    <definedName name="valoresequipo" localSheetId="3">#REF!</definedName>
    <definedName name="valoresequipo" localSheetId="6">#REF!</definedName>
    <definedName name="valoresequipo" localSheetId="11">#REF!</definedName>
    <definedName name="valoresequipo" localSheetId="10">#REF!</definedName>
    <definedName name="valoresequipo" localSheetId="0">#REF!</definedName>
    <definedName name="valoresequipo" localSheetId="1">#REF!</definedName>
    <definedName name="valoresequipo" localSheetId="2">#REF!</definedName>
    <definedName name="valoresequipo">#REF!</definedName>
    <definedName name="Values_Entered" localSheetId="12">IF(Loan_Amount*Interest_Rate*Loan_Years*Loan_Start&gt;0,1,0)</definedName>
    <definedName name="Values_Entered" localSheetId="13">IF([0]!Loan_Amount*[0]!Interest_Rate*[0]!Loan_Years*[0]!Loan_Start&gt;0,1,0)</definedName>
    <definedName name="Values_Entered" localSheetId="7">IF([0]!Loan_Amount*[0]!Interest_Rate*[0]!Loan_Years*[0]!Loan_Start&gt;0,1,0)</definedName>
    <definedName name="Values_Entered" localSheetId="15">IF(Loan_Amount*Interest_Rate*Loan_Years*Loan_Start&gt;0,1,0)</definedName>
    <definedName name="Values_Entered" localSheetId="16">IF(Loan_Amount*Interest_Rate*Loan_Years*Loan_Start&gt;0,1,0)</definedName>
    <definedName name="Values_Entered" localSheetId="17">IF([0]!Loan_Amount*[0]!Interest_Rate*[0]!Loan_Years*[0]!Loan_Start&gt;0,1,0)</definedName>
    <definedName name="Values_Entered" localSheetId="8">IF([0]!Loan_Amount*[0]!Interest_Rate*[0]!Loan_Years*[0]!Loan_Start&gt;0,1,0)</definedName>
    <definedName name="Values_Entered" localSheetId="9">IF(Loan_Amount*Interest_Rate*Loan_Years*Loan_Start&gt;0,1,0)</definedName>
    <definedName name="Values_Entered" localSheetId="6">IF(Loan_Amount*Interest_Rate*Loan_Years*Loan_Start&gt;0,1,0)</definedName>
    <definedName name="Values_Entered" localSheetId="14">IF(Loan_Amount*'Indice CAC'!Interest_Rate*Loan_Years*Loan_Start&gt;0,1,0)</definedName>
    <definedName name="Values_Entered" localSheetId="11">IF([0]!Loan_Amount*[0]!Interest_Rate*[0]!Loan_Years*[0]!Loan_Start&gt;0,1,0)</definedName>
    <definedName name="Values_Entered" localSheetId="10">IF(Loan_Amount*Interest_Rate*Loan_Years*Loan_Start&gt;0,1,0)</definedName>
    <definedName name="Values_Entered" localSheetId="0">IF(Loan_Amount*Interest_Rate*Loan_Years*Loan_Start&gt;0,1,0)</definedName>
    <definedName name="Values_Entered" localSheetId="1">IF(Loan_Amount*Interest_Rate*Loan_Years*Loan_Start&gt;0,1,0)</definedName>
    <definedName name="Values_Entered" localSheetId="2">IF(Loan_Amount*Interest_Rate*Loan_Years*Loan_Start&gt;0,1,0)</definedName>
    <definedName name="Values_Entered">IF(Loan_Amount*Interest_Rate*Loan_Years*Loan_Start&gt;0,1,0)</definedName>
    <definedName name="valuevx">42.314159</definedName>
    <definedName name="vaponeo" localSheetId="14">#REF!</definedName>
    <definedName name="vaponeo">#REF!</definedName>
    <definedName name="varmco" localSheetId="14">#REF!</definedName>
    <definedName name="varmco">#REF!</definedName>
    <definedName name="varmco1mod" localSheetId="14">#REF!</definedName>
    <definedName name="varmco1mod">#REF!</definedName>
    <definedName name="vbarra" localSheetId="14">#REF!</definedName>
    <definedName name="vbarra">#REF!</definedName>
    <definedName name="vbarra1mod" localSheetId="14">#REF!</definedName>
    <definedName name="vbarra1mod">#REF!</definedName>
    <definedName name="vbroca" localSheetId="14">#REF!</definedName>
    <definedName name="vbroca">#REF!</definedName>
    <definedName name="vbroca1mod" localSheetId="14">#REF!</definedName>
    <definedName name="vbroca1mod">#REF!</definedName>
    <definedName name="vca" localSheetId="14">#REF!</definedName>
    <definedName name="vca">#REF!</definedName>
    <definedName name="vca1mod" localSheetId="14">#REF!</definedName>
    <definedName name="vca1mod">#REF!</definedName>
    <definedName name="vcem1mod" localSheetId="14">#REF!</definedName>
    <definedName name="vcem1mod">#REF!</definedName>
    <definedName name="vclav" localSheetId="14">#REF!</definedName>
    <definedName name="vclav">#REF!</definedName>
    <definedName name="vclav1mod" localSheetId="14">#REF!</definedName>
    <definedName name="vclav1mod">#REF!</definedName>
    <definedName name="vcub" localSheetId="14">#REF!</definedName>
    <definedName name="vcub">#REF!</definedName>
    <definedName name="vcub1mod" localSheetId="14">#REF!</definedName>
    <definedName name="vcub1mod">#REF!</definedName>
    <definedName name="vdil" localSheetId="14">#REF!</definedName>
    <definedName name="vdil">#REF!</definedName>
    <definedName name="vdil1mod" localSheetId="14">#REF!</definedName>
    <definedName name="vdil1mod">#REF!</definedName>
    <definedName name="VENTA">#N/A</definedName>
    <definedName name="veqc1mod" localSheetId="14">#REF!</definedName>
    <definedName name="veqc1mod">#REF!</definedName>
    <definedName name="veqh1mod" localSheetId="14">#REF!</definedName>
    <definedName name="veqh1mod">#REF!</definedName>
    <definedName name="veqh2mod" localSheetId="14">#REF!</definedName>
    <definedName name="veqh2mod">#REF!</definedName>
    <definedName name="veqh3mod" localSheetId="14">#REF!</definedName>
    <definedName name="veqh3mod">#REF!</definedName>
    <definedName name="veqhc" localSheetId="14">#REF!</definedName>
    <definedName name="veqhc">#REF!</definedName>
    <definedName name="veqhc1mod" localSheetId="14">#REF!</definedName>
    <definedName name="veqhc1mod">#REF!</definedName>
    <definedName name="veqimp1mod" localSheetId="14">#REF!</definedName>
    <definedName name="veqimp1mod">#REF!</definedName>
    <definedName name="veqnac1mod" localSheetId="14">#REF!</definedName>
    <definedName name="veqnac1mod">#REF!</definedName>
    <definedName name="veqp1mod">#REF!</definedName>
    <definedName name="VERTEDERO_EN__V">#REF!</definedName>
    <definedName name="VERTEDERO_HORIZONTAL__REHBOCK">#REF!</definedName>
    <definedName name="vfiller" localSheetId="14">#REF!</definedName>
    <definedName name="vfiller">#REF!</definedName>
    <definedName name="vfiller1mod" localSheetId="14">#REF!</definedName>
    <definedName name="vfiller1mod">#REF!</definedName>
    <definedName name="vflex1mod" localSheetId="14">#REF!</definedName>
    <definedName name="vflex1mod">#REF!</definedName>
    <definedName name="vflexposte" localSheetId="14">#REF!</definedName>
    <definedName name="vflexposte">#REF!</definedName>
    <definedName name="vflexposte1mod" localSheetId="14">#REF!</definedName>
    <definedName name="vflexposte1mod">#REF!</definedName>
    <definedName name="vfo" localSheetId="14">#REF!</definedName>
    <definedName name="vfo">#REF!</definedName>
    <definedName name="vfo1mod" localSheetId="14">#REF!</definedName>
    <definedName name="vfo1mod">#REF!</definedName>
    <definedName name="vgav1mod" localSheetId="14">#REF!</definedName>
    <definedName name="vgav1mod">#REF!</definedName>
    <definedName name="vgavhex" localSheetId="14">#REF!</definedName>
    <definedName name="vgavhex">#REF!</definedName>
    <definedName name="vgavhex1mod" localSheetId="14">#REF!</definedName>
    <definedName name="vgavhex1mod">#REF!</definedName>
    <definedName name="vgel" localSheetId="14">#REF!</definedName>
    <definedName name="vgel">#REF!</definedName>
    <definedName name="vgel1mod" localSheetId="14">#REF!</definedName>
    <definedName name="vgel1mod">#REF!</definedName>
    <definedName name="vgeot" localSheetId="14">#REF!</definedName>
    <definedName name="vgeot">#REF!</definedName>
    <definedName name="vgeot1mod" localSheetId="14">#REF!</definedName>
    <definedName name="vgeot1mod">#REF!</definedName>
    <definedName name="vgf" localSheetId="14">#REF!</definedName>
    <definedName name="vgf">#REF!</definedName>
    <definedName name="vgf1mod" localSheetId="14">#REF!</definedName>
    <definedName name="vgf1mod">#REF!</definedName>
    <definedName name="vgf3mod" localSheetId="14">#REF!</definedName>
    <definedName name="vgf3mod">#REF!</definedName>
    <definedName name="vggrales" localSheetId="14">#REF!</definedName>
    <definedName name="vggrales">#REF!</definedName>
    <definedName name="vgo" localSheetId="14">#REF!</definedName>
    <definedName name="vgo">#REF!</definedName>
    <definedName name="vgo1mod" localSheetId="14">#REF!</definedName>
    <definedName name="vgo1mod">#REF!</definedName>
    <definedName name="VH">#N/A</definedName>
    <definedName name="Vida" localSheetId="14">#REF!</definedName>
    <definedName name="Vida">#REF!</definedName>
    <definedName name="Viscosidad_Dinámica_y_Cinemática_del_Agua" localSheetId="14">#REF!</definedName>
    <definedName name="Viscosidad_Dinámica_y_Cinemática_del_Agua">#REF!</definedName>
    <definedName name="viv" localSheetId="14">#REF!</definedName>
    <definedName name="viv">#REF!</definedName>
    <definedName name="vjunexp" localSheetId="14">#REF!</definedName>
    <definedName name="vjunexp">#REF!</definedName>
    <definedName name="vjunt" localSheetId="14">#REF!</definedName>
    <definedName name="vjunt">#REF!</definedName>
    <definedName name="vjunt1mod" localSheetId="14">#REF!</definedName>
    <definedName name="vjunt1mod">#REF!</definedName>
    <definedName name="vmad" localSheetId="14">#REF!</definedName>
    <definedName name="vmad">#REF!</definedName>
    <definedName name="vmad1mod" localSheetId="14">#REF!</definedName>
    <definedName name="vmad1mod">#REF!</definedName>
    <definedName name="vmas" localSheetId="14">#REF!</definedName>
    <definedName name="vmas">#REF!</definedName>
    <definedName name="vmdeo1mod" localSheetId="14">#REF!</definedName>
    <definedName name="vmdeo1mod">#REF!</definedName>
    <definedName name="vmhex" localSheetId="14">#REF!</definedName>
    <definedName name="vmhex">#REF!</definedName>
    <definedName name="vmhex1mod" localSheetId="14">#REF!</definedName>
    <definedName name="vmhex1mod">#REF!</definedName>
    <definedName name="vmov1mod" localSheetId="14">#REF!</definedName>
    <definedName name="vmov1mod">#REF!</definedName>
    <definedName name="vnago" localSheetId="14">#REF!</definedName>
    <definedName name="vnago">#REF!</definedName>
    <definedName name="vnago1mod" localSheetId="14">#REF!</definedName>
    <definedName name="vnago1mod">#REF!</definedName>
    <definedName name="VOLT">#N/A</definedName>
    <definedName name="vomathap" localSheetId="14">#REF!</definedName>
    <definedName name="vomathap">#REF!</definedName>
    <definedName name="vomathpp" localSheetId="14">#REF!</definedName>
    <definedName name="vomathpp">#REF!</definedName>
    <definedName name="votros" localSheetId="14">#REF!</definedName>
    <definedName name="votros">#REF!</definedName>
    <definedName name="votros1mod" localSheetId="14">#REF!</definedName>
    <definedName name="votros1mod">#REF!</definedName>
    <definedName name="vpintref" localSheetId="14">#REF!</definedName>
    <definedName name="vpintref">#REF!</definedName>
    <definedName name="vpintref1mod" localSheetId="14">#REF!</definedName>
    <definedName name="vpintref1mod">#REF!</definedName>
    <definedName name="vpvc" localSheetId="14">#REF!</definedName>
    <definedName name="vpvc">#REF!</definedName>
    <definedName name="vpvc1mod" localSheetId="14">#REF!</definedName>
    <definedName name="vpvc1mod">#REF!</definedName>
    <definedName name="vrrc1mod" localSheetId="14">#REF!</definedName>
    <definedName name="vrrc1mod">#REF!</definedName>
    <definedName name="vrrp1mod" localSheetId="14">#REF!</definedName>
    <definedName name="vrrp1mod">#REF!</definedName>
    <definedName name="vseñ" localSheetId="14">#REF!</definedName>
    <definedName name="vseñ">#REF!</definedName>
    <definedName name="vseñ1mod" localSheetId="14">#REF!</definedName>
    <definedName name="vseñ1mod">#REF!</definedName>
    <definedName name="VT">#N/A</definedName>
    <definedName name="vt100k" localSheetId="14">#REF!</definedName>
    <definedName name="vt100k">#REF!</definedName>
    <definedName name="vt1400k" localSheetId="14">#REF!</definedName>
    <definedName name="vt1400k">#REF!</definedName>
    <definedName name="vt1450k" localSheetId="14">#REF!</definedName>
    <definedName name="vt1450k">#REF!</definedName>
    <definedName name="vt50k" localSheetId="14">#REF!</definedName>
    <definedName name="vt50k">#REF!</definedName>
    <definedName name="vtmesh" localSheetId="14">#REF!</definedName>
    <definedName name="vtmesh">#REF!</definedName>
    <definedName name="vtmesh1mod" localSheetId="14">#REF!</definedName>
    <definedName name="vtmesh1mod">#REF!</definedName>
    <definedName name="vtopes" localSheetId="14">#REF!</definedName>
    <definedName name="vtopes">#REF!</definedName>
    <definedName name="vviv" localSheetId="14">#REF!</definedName>
    <definedName name="vviv">#REF!</definedName>
    <definedName name="vviv1mod" localSheetId="14">#REF!</definedName>
    <definedName name="vviv1mod">#REF!</definedName>
    <definedName name="W" localSheetId="12" hidden="1">{"NORMAL",#N/A,FALSE,"02"}</definedName>
    <definedName name="W" localSheetId="13" hidden="1">{"NORMAL",#N/A,FALSE,"02"}</definedName>
    <definedName name="W" localSheetId="7" hidden="1">{"NORMAL",#N/A,FALSE,"02"}</definedName>
    <definedName name="W" localSheetId="15" hidden="1">{"NORMAL",#N/A,FALSE,"02"}</definedName>
    <definedName name="W" localSheetId="16" hidden="1">{"NORMAL",#N/A,FALSE,"02"}</definedName>
    <definedName name="W" localSheetId="17" hidden="1">{"NORMAL",#N/A,FALSE,"02"}</definedName>
    <definedName name="W" localSheetId="8" hidden="1">{"NORMAL",#N/A,FALSE,"02"}</definedName>
    <definedName name="W" localSheetId="9" hidden="1">{"NORMAL",#N/A,FALSE,"02"}</definedName>
    <definedName name="W" localSheetId="6" hidden="1">{"NORMAL",#N/A,FALSE,"02"}</definedName>
    <definedName name="W" localSheetId="14" hidden="1">{"NORMAL",#N/A,FALSE,"02"}</definedName>
    <definedName name="W" localSheetId="11" hidden="1">{"NORMAL",#N/A,FALSE,"02"}</definedName>
    <definedName name="W" localSheetId="10" hidden="1">{"NORMAL",#N/A,FALSE,"02"}</definedName>
    <definedName name="W" localSheetId="0" hidden="1">{"NORMAL",#N/A,FALSE,"02"}</definedName>
    <definedName name="W" localSheetId="1" hidden="1">{"NORMAL",#N/A,FALSE,"02"}</definedName>
    <definedName name="W" localSheetId="2" hidden="1">{"NORMAL",#N/A,FALSE,"02"}</definedName>
    <definedName name="W" hidden="1">{"NORMAL",#N/A,FALSE,"02"}</definedName>
    <definedName name="we" localSheetId="12">#REF!</definedName>
    <definedName name="we" localSheetId="13">#REF!</definedName>
    <definedName name="we" localSheetId="7">#REF!</definedName>
    <definedName name="we" localSheetId="17">#REF!</definedName>
    <definedName name="we" localSheetId="4">#REF!</definedName>
    <definedName name="we" localSheetId="5">#REF!</definedName>
    <definedName name="we" localSheetId="8">#REF!</definedName>
    <definedName name="we" localSheetId="3">#REF!</definedName>
    <definedName name="we" localSheetId="6">#REF!</definedName>
    <definedName name="we" localSheetId="14">#REF!</definedName>
    <definedName name="we" localSheetId="11">#REF!</definedName>
    <definedName name="we" localSheetId="10">#REF!</definedName>
    <definedName name="we" localSheetId="0">#REF!</definedName>
    <definedName name="we" localSheetId="1">#REF!</definedName>
    <definedName name="we" localSheetId="2">#REF!</definedName>
    <definedName name="we">#REF!</definedName>
    <definedName name="wrn.02INFORME." localSheetId="12" hidden="1">{"NORMAL",#N/A,FALSE,"02"}</definedName>
    <definedName name="wrn.02INFORME." localSheetId="13" hidden="1">{"NORMAL",#N/A,FALSE,"02"}</definedName>
    <definedName name="wrn.02INFORME." localSheetId="7" hidden="1">{"NORMAL",#N/A,FALSE,"02"}</definedName>
    <definedName name="wrn.02INFORME." localSheetId="15" hidden="1">{"NORMAL",#N/A,FALSE,"02"}</definedName>
    <definedName name="wrn.02INFORME." localSheetId="16" hidden="1">{"NORMAL",#N/A,FALSE,"02"}</definedName>
    <definedName name="wrn.02INFORME." localSheetId="17" hidden="1">{"NORMAL",#N/A,FALSE,"02"}</definedName>
    <definedName name="wrn.02INFORME." localSheetId="8" hidden="1">{"NORMAL",#N/A,FALSE,"02"}</definedName>
    <definedName name="wrn.02INFORME." localSheetId="9" hidden="1">{"NORMAL",#N/A,FALSE,"02"}</definedName>
    <definedName name="wrn.02INFORME." localSheetId="6" hidden="1">{"NORMAL",#N/A,FALSE,"02"}</definedName>
    <definedName name="wrn.02INFORME." localSheetId="14" hidden="1">{"NORMAL",#N/A,FALSE,"02"}</definedName>
    <definedName name="wrn.02INFORME." localSheetId="11" hidden="1">{"NORMAL",#N/A,FALSE,"02"}</definedName>
    <definedName name="wrn.02INFORME." localSheetId="10" hidden="1">{"NORMAL",#N/A,FALSE,"02"}</definedName>
    <definedName name="wrn.02INFORME." localSheetId="0" hidden="1">{"NORMAL",#N/A,FALSE,"02"}</definedName>
    <definedName name="wrn.02INFORME." localSheetId="1" hidden="1">{"NORMAL",#N/A,FALSE,"02"}</definedName>
    <definedName name="wrn.02INFORME." localSheetId="2" hidden="1">{"NORMAL",#N/A,FALSE,"02"}</definedName>
    <definedName name="wrn.02INFORME." hidden="1">{"NORMAL",#N/A,FALSE,"02"}</definedName>
    <definedName name="wrn.DECIMAL." localSheetId="12" hidden="1">{"DECIMAL",#N/A,FALSE,"02"}</definedName>
    <definedName name="wrn.DECIMAL." localSheetId="13" hidden="1">{"DECIMAL",#N/A,FALSE,"02"}</definedName>
    <definedName name="wrn.DECIMAL." localSheetId="7" hidden="1">{"DECIMAL",#N/A,FALSE,"02"}</definedName>
    <definedName name="wrn.DECIMAL." localSheetId="15" hidden="1">{"DECIMAL",#N/A,FALSE,"02"}</definedName>
    <definedName name="wrn.DECIMAL." localSheetId="16" hidden="1">{"DECIMAL",#N/A,FALSE,"02"}</definedName>
    <definedName name="wrn.DECIMAL." localSheetId="17" hidden="1">{"DECIMAL",#N/A,FALSE,"02"}</definedName>
    <definedName name="wrn.DECIMAL." localSheetId="8" hidden="1">{"DECIMAL",#N/A,FALSE,"02"}</definedName>
    <definedName name="wrn.DECIMAL." localSheetId="9" hidden="1">{"DECIMAL",#N/A,FALSE,"02"}</definedName>
    <definedName name="wrn.DECIMAL." localSheetId="6" hidden="1">{"DECIMAL",#N/A,FALSE,"02"}</definedName>
    <definedName name="wrn.DECIMAL." localSheetId="14" hidden="1">{"DECIMAL",#N/A,FALSE,"02"}</definedName>
    <definedName name="wrn.DECIMAL." localSheetId="11" hidden="1">{"DECIMAL",#N/A,FALSE,"02"}</definedName>
    <definedName name="wrn.DECIMAL." localSheetId="10" hidden="1">{"DECIMAL",#N/A,FALSE,"02"}</definedName>
    <definedName name="wrn.DECIMAL." localSheetId="0" hidden="1">{"DECIMAL",#N/A,FALSE,"02"}</definedName>
    <definedName name="wrn.DECIMAL." localSheetId="1" hidden="1">{"DECIMAL",#N/A,FALSE,"02"}</definedName>
    <definedName name="wrn.DECIMAL." localSheetId="2" hidden="1">{"DECIMAL",#N/A,FALSE,"02"}</definedName>
    <definedName name="wrn.DECIMAL." hidden="1">{"DECIMAL",#N/A,FALSE,"02"}</definedName>
    <definedName name="wrn.Graficos._.CG." localSheetId="12" hidden="1">{#N/A,#N/A,TRUE,"Cert.Global";#N/A,#N/A,TRUE,"Cert. M&amp;C";#N/A,#N/A,TRUE,"Cert. Engineering";#N/A,#N/A,TRUE,"Cert. Procurement ";#N/A,#N/A,TRUE,"Cert. Constr. Manag."}</definedName>
    <definedName name="wrn.Graficos._.CG." localSheetId="13" hidden="1">{#N/A,#N/A,TRUE,"Cert.Global";#N/A,#N/A,TRUE,"Cert. M&amp;C";#N/A,#N/A,TRUE,"Cert. Engineering";#N/A,#N/A,TRUE,"Cert. Procurement ";#N/A,#N/A,TRUE,"Cert. Constr. Manag."}</definedName>
    <definedName name="wrn.Graficos._.CG." localSheetId="7" hidden="1">{#N/A,#N/A,TRUE,"Cert.Global";#N/A,#N/A,TRUE,"Cert. M&amp;C";#N/A,#N/A,TRUE,"Cert. Engineering";#N/A,#N/A,TRUE,"Cert. Procurement ";#N/A,#N/A,TRUE,"Cert. Constr. Manag."}</definedName>
    <definedName name="wrn.Graficos._.CG." localSheetId="15" hidden="1">{#N/A,#N/A,TRUE,"Cert.Global";#N/A,#N/A,TRUE,"Cert. M&amp;C";#N/A,#N/A,TRUE,"Cert. Engineering";#N/A,#N/A,TRUE,"Cert. Procurement ";#N/A,#N/A,TRUE,"Cert. Constr. Manag."}</definedName>
    <definedName name="wrn.Graficos._.CG." localSheetId="16" hidden="1">{#N/A,#N/A,TRUE,"Cert.Global";#N/A,#N/A,TRUE,"Cert. M&amp;C";#N/A,#N/A,TRUE,"Cert. Engineering";#N/A,#N/A,TRUE,"Cert. Procurement ";#N/A,#N/A,TRUE,"Cert. Constr. Manag."}</definedName>
    <definedName name="wrn.Graficos._.CG." localSheetId="17" hidden="1">{#N/A,#N/A,TRUE,"Cert.Global";#N/A,#N/A,TRUE,"Cert. M&amp;C";#N/A,#N/A,TRUE,"Cert. Engineering";#N/A,#N/A,TRUE,"Cert. Procurement ";#N/A,#N/A,TRUE,"Cert. Constr. Manag."}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6" hidden="1">{#N/A,#N/A,TRUE,"Cert.Global";#N/A,#N/A,TRUE,"Cert. M&amp;C";#N/A,#N/A,TRUE,"Cert. Engineering";#N/A,#N/A,TRUE,"Cert. Procurement ";#N/A,#N/A,TRUE,"Cert. Constr. Manag."}</definedName>
    <definedName name="wrn.Graficos._.CG." localSheetId="14" hidden="1">{#N/A,#N/A,TRUE,"Cert.Global";#N/A,#N/A,TRUE,"Cert. M&amp;C";#N/A,#N/A,TRUE,"Cert. Engineering";#N/A,#N/A,TRUE,"Cert. Procurement ";#N/A,#N/A,TRUE,"Cert. Constr. Manag."}</definedName>
    <definedName name="wrn.Graficos._.CG." localSheetId="11" hidden="1">{#N/A,#N/A,TRUE,"Cert.Global";#N/A,#N/A,TRUE,"Cert. M&amp;C";#N/A,#N/A,TRUE,"Cert. Engineering";#N/A,#N/A,TRUE,"Cert. Procurement ";#N/A,#N/A,TRUE,"Cert. Constr. Manag."}</definedName>
    <definedName name="wrn.Graficos._.CG." localSheetId="10" hidden="1">{#N/A,#N/A,TRUE,"Cert.Global";#N/A,#N/A,TRUE,"Cert. M&amp;C";#N/A,#N/A,TRUE,"Cert. Engineering";#N/A,#N/A,TRUE,"Cert. Procurement ";#N/A,#N/A,TRUE,"Cert. Constr. Manag."}</definedName>
    <definedName name="wrn.Graficos._.CG." localSheetId="0" hidden="1">{#N/A,#N/A,TRUE,"Cert.Global";#N/A,#N/A,TRUE,"Cert. M&amp;C";#N/A,#N/A,TRUE,"Cert. Engineering";#N/A,#N/A,TRUE,"Cert. Procurement ";#N/A,#N/A,TRUE,"Cert. Constr. Manag."}</definedName>
    <definedName name="wrn.Graficos._.CG." localSheetId="1" hidden="1">{#N/A,#N/A,TRUE,"Cert.Global";#N/A,#N/A,TRUE,"Cert. M&amp;C";#N/A,#N/A,TRUE,"Cert. Engineering";#N/A,#N/A,TRUE,"Cert. Procurement ";#N/A,#N/A,TRUE,"Cert. Constr. Manag."}</definedName>
    <definedName name="wrn.Graficos._.CG." localSheetId="2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Presentación._.Budget." localSheetId="12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3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7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5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6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7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6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4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1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0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0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Report._.Mensual." localSheetId="12" hidden="1">{#N/A,#N/A,FALSE,"Monthly report";#N/A,#N/A,FALSE,"M.R. UEM";#N/A,#N/A,FALSE,"M.R. VCM"}</definedName>
    <definedName name="wrn.Report._.Mensual." localSheetId="13" hidden="1">{#N/A,#N/A,FALSE,"Monthly report";#N/A,#N/A,FALSE,"M.R. UEM";#N/A,#N/A,FALSE,"M.R. VCM"}</definedName>
    <definedName name="wrn.Report._.Mensual." localSheetId="7" hidden="1">{#N/A,#N/A,FALSE,"Monthly report";#N/A,#N/A,FALSE,"M.R. UEM";#N/A,#N/A,FALSE,"M.R. VCM"}</definedName>
    <definedName name="wrn.Report._.Mensual." localSheetId="15" hidden="1">{#N/A,#N/A,FALSE,"Monthly report";#N/A,#N/A,FALSE,"M.R. UEM";#N/A,#N/A,FALSE,"M.R. VCM"}</definedName>
    <definedName name="wrn.Report._.Mensual." localSheetId="16" hidden="1">{#N/A,#N/A,FALSE,"Monthly report";#N/A,#N/A,FALSE,"M.R. UEM";#N/A,#N/A,FALSE,"M.R. VCM"}</definedName>
    <definedName name="wrn.Report._.Mensual." localSheetId="17" hidden="1">{#N/A,#N/A,FALSE,"Monthly report";#N/A,#N/A,FALSE,"M.R. UEM";#N/A,#N/A,FALSE,"M.R. VCM"}</definedName>
    <definedName name="wrn.Report._.Mensual." localSheetId="8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6" hidden="1">{#N/A,#N/A,FALSE,"Monthly report";#N/A,#N/A,FALSE,"M.R. UEM";#N/A,#N/A,FALSE,"M.R. VCM"}</definedName>
    <definedName name="wrn.Report._.Mensual." localSheetId="14" hidden="1">{#N/A,#N/A,FALSE,"Monthly report";#N/A,#N/A,FALSE,"M.R. UEM";#N/A,#N/A,FALSE,"M.R. VCM"}</definedName>
    <definedName name="wrn.Report._.Mensual." localSheetId="11" hidden="1">{#N/A,#N/A,FALSE,"Monthly report";#N/A,#N/A,FALSE,"M.R. UEM";#N/A,#N/A,FALSE,"M.R. VCM"}</definedName>
    <definedName name="wrn.Report._.Mensual." localSheetId="10" hidden="1">{#N/A,#N/A,FALSE,"Monthly report";#N/A,#N/A,FALSE,"M.R. UEM";#N/A,#N/A,FALSE,"M.R. VCM"}</definedName>
    <definedName name="wrn.Report._.Mensual." localSheetId="0" hidden="1">{#N/A,#N/A,FALSE,"Monthly report";#N/A,#N/A,FALSE,"M.R. UEM";#N/A,#N/A,FALSE,"M.R. VCM"}</definedName>
    <definedName name="wrn.Report._.Mensual." localSheetId="1" hidden="1">{#N/A,#N/A,FALSE,"Monthly report";#N/A,#N/A,FALSE,"M.R. UEM";#N/A,#N/A,FALSE,"M.R. VCM"}</definedName>
    <definedName name="wrn.Report._.Mensual." localSheetId="2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x">#REF!</definedName>
    <definedName name="WY">#N/A</definedName>
    <definedName name="Wz">#REF!</definedName>
    <definedName name="x" localSheetId="12" hidden="1">{"DECIMAL",#N/A,FALSE,"02"}</definedName>
    <definedName name="x" localSheetId="13" hidden="1">{"DECIMAL",#N/A,FALSE,"02"}</definedName>
    <definedName name="x" localSheetId="7" hidden="1">{"DECIMAL",#N/A,FALSE,"02"}</definedName>
    <definedName name="x" localSheetId="15" hidden="1">{"DECIMAL",#N/A,FALSE,"02"}</definedName>
    <definedName name="x" localSheetId="16" hidden="1">{"DECIMAL",#N/A,FALSE,"02"}</definedName>
    <definedName name="x" localSheetId="17" hidden="1">{"DECIMAL",#N/A,FALSE,"02"}</definedName>
    <definedName name="x" localSheetId="8" hidden="1">{"DECIMAL",#N/A,FALSE,"02"}</definedName>
    <definedName name="x" localSheetId="9" hidden="1">{"DECIMAL",#N/A,FALSE,"02"}</definedName>
    <definedName name="x" localSheetId="6" hidden="1">{"DECIMAL",#N/A,FALSE,"02"}</definedName>
    <definedName name="x" localSheetId="14" hidden="1">{"DECIMAL",#N/A,FALSE,"02"}</definedName>
    <definedName name="x" localSheetId="11" hidden="1">{"DECIMAL",#N/A,FALSE,"02"}</definedName>
    <definedName name="x" localSheetId="10" hidden="1">{"DECIMAL",#N/A,FALSE,"02"}</definedName>
    <definedName name="x" localSheetId="0" hidden="1">{"DECIMAL",#N/A,FALSE,"02"}</definedName>
    <definedName name="x" localSheetId="1" hidden="1">{"DECIMAL",#N/A,FALSE,"02"}</definedName>
    <definedName name="x" localSheetId="2" hidden="1">{"DECIMAL",#N/A,FALSE,"02"}</definedName>
    <definedName name="x" hidden="1">{"DECIMAL",#N/A,FALSE,"02"}</definedName>
    <definedName name="XXX" localSheetId="12" hidden="1">{"NORMAL",#N/A,FALSE,"02"}</definedName>
    <definedName name="XXX" localSheetId="13" hidden="1">{"NORMAL",#N/A,FALSE,"02"}</definedName>
    <definedName name="XXX" localSheetId="7" hidden="1">{"NORMAL",#N/A,FALSE,"02"}</definedName>
    <definedName name="XXX" localSheetId="15" hidden="1">{"NORMAL",#N/A,FALSE,"02"}</definedName>
    <definedName name="XXX" localSheetId="16" hidden="1">{"NORMAL",#N/A,FALSE,"02"}</definedName>
    <definedName name="XXX" localSheetId="17" hidden="1">{"NORMAL",#N/A,FALSE,"02"}</definedName>
    <definedName name="XXX" localSheetId="8" hidden="1">{"NORMAL",#N/A,FALSE,"02"}</definedName>
    <definedName name="XXX" localSheetId="9" hidden="1">{"NORMAL",#N/A,FALSE,"02"}</definedName>
    <definedName name="XXX" localSheetId="6" hidden="1">{"NORMAL",#N/A,FALSE,"02"}</definedName>
    <definedName name="xxx" localSheetId="14">#REF!</definedName>
    <definedName name="XXX" localSheetId="11" hidden="1">{"NORMAL",#N/A,FALSE,"02"}</definedName>
    <definedName name="XXX" localSheetId="10" hidden="1">{"NORMAL",#N/A,FALSE,"02"}</definedName>
    <definedName name="XXX" localSheetId="0" hidden="1">{"NORMAL",#N/A,FALSE,"02"}</definedName>
    <definedName name="XXX" localSheetId="1" hidden="1">{"NORMAL",#N/A,FALSE,"02"}</definedName>
    <definedName name="XXX" localSheetId="2" hidden="1">{"NORMAL",#N/A,FALSE,"02"}</definedName>
    <definedName name="XXX" hidden="1">{"NORMAL",#N/A,FALSE,"02"}</definedName>
    <definedName name="Y2000Target" localSheetId="7">'[2]Mat''l Pareto'!#REF!</definedName>
    <definedName name="Y2000Target" localSheetId="8">'[2]Mat''l Pareto'!#REF!</definedName>
    <definedName name="Y2000Target" localSheetId="6">'[2]Mat''l Pareto'!#REF!</definedName>
    <definedName name="Y2000Target">#REF!</definedName>
    <definedName name="z" localSheetId="14">#REF!</definedName>
    <definedName name="z">#REF!</definedName>
    <definedName name="Z_3EF0D3E3_8069_11D6_A032_005004A43871_.wvu.PrintTitles" localSheetId="14" hidden="1">#REF!</definedName>
    <definedName name="Z_3EF0D3E3_8069_11D6_A032_005004A43871_.wvu.PrintTitles" hidden="1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7" l="1"/>
  <c r="F18" i="7"/>
  <c r="E19" i="7"/>
  <c r="E18" i="7"/>
  <c r="H27" i="1"/>
  <c r="I12" i="12" l="1" a="1"/>
  <c r="I12" i="12" s="1"/>
  <c r="H26" i="1"/>
  <c r="G26" i="1"/>
  <c r="T18" i="3" l="1"/>
  <c r="U18" i="3" s="1"/>
  <c r="S18" i="3"/>
  <c r="R18" i="3"/>
  <c r="Q18" i="3"/>
  <c r="Q17" i="3"/>
  <c r="R17" i="3"/>
  <c r="U17" i="3" s="1"/>
  <c r="S17" i="3"/>
  <c r="T17" i="3"/>
  <c r="L17" i="3"/>
  <c r="M17" i="3"/>
  <c r="I17" i="3"/>
  <c r="J17" i="3"/>
  <c r="K17" i="3"/>
  <c r="I18" i="3"/>
  <c r="J18" i="3"/>
  <c r="K18" i="3"/>
  <c r="H18" i="3"/>
  <c r="H17" i="3"/>
  <c r="J9" i="11"/>
  <c r="J7" i="11"/>
  <c r="L14" i="11" a="1"/>
  <c r="L14" i="11" s="1"/>
  <c r="L15" i="11" a="1"/>
  <c r="L15" i="11"/>
  <c r="L16" i="11" a="1"/>
  <c r="L16" i="11" s="1"/>
  <c r="L17" i="11" a="1"/>
  <c r="L17" i="11"/>
  <c r="L18" i="11" a="1"/>
  <c r="L18" i="11" s="1"/>
  <c r="L19" i="11" a="1"/>
  <c r="L19" i="11"/>
  <c r="L20" i="11" a="1"/>
  <c r="L20" i="11" s="1"/>
  <c r="L21" i="11" a="1"/>
  <c r="L21" i="11"/>
  <c r="L22" i="11" a="1"/>
  <c r="L22" i="11" s="1"/>
  <c r="L23" i="11" a="1"/>
  <c r="L23" i="11"/>
  <c r="L24" i="11" a="1"/>
  <c r="L24" i="11" s="1"/>
  <c r="L25" i="11" a="1"/>
  <c r="L25" i="11"/>
  <c r="L26" i="11" a="1"/>
  <c r="L26" i="11" s="1"/>
  <c r="L27" i="11" a="1"/>
  <c r="L27" i="11"/>
  <c r="L28" i="11" a="1"/>
  <c r="L28" i="11" s="1"/>
  <c r="L29" i="11" a="1"/>
  <c r="L29" i="11"/>
  <c r="L30" i="11" a="1"/>
  <c r="L30" i="11" s="1"/>
  <c r="L13" i="11" a="1"/>
  <c r="L13" i="11" s="1"/>
  <c r="J13" i="11"/>
  <c r="J14" i="11"/>
  <c r="J15" i="11"/>
  <c r="J16" i="11"/>
  <c r="J31" i="11" s="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I23" i="13"/>
  <c r="I40" i="13"/>
  <c r="I46" i="13"/>
  <c r="J23" i="9"/>
  <c r="J24" i="9"/>
  <c r="J25" i="9"/>
  <c r="J26" i="9"/>
  <c r="J27" i="9"/>
  <c r="J28" i="9"/>
  <c r="J29" i="9"/>
  <c r="J30" i="9"/>
  <c r="J31" i="9"/>
  <c r="J32" i="9"/>
  <c r="J33" i="9"/>
  <c r="I11" i="12" a="1"/>
  <c r="I11" i="12" s="1"/>
  <c r="C26" i="1"/>
  <c r="L18" i="3" l="1"/>
  <c r="M18" i="3" s="1"/>
  <c r="J10" i="11"/>
  <c r="J8" i="11"/>
  <c r="F11" i="6"/>
  <c r="E11" i="6"/>
  <c r="I40" i="9"/>
  <c r="H40" i="9"/>
  <c r="I39" i="9"/>
  <c r="H39" i="9"/>
  <c r="F39" i="9"/>
  <c r="G39" i="9"/>
  <c r="F40" i="9"/>
  <c r="G40" i="9"/>
  <c r="I9" i="11"/>
  <c r="H9" i="11"/>
  <c r="I7" i="11"/>
  <c r="H7" i="11"/>
  <c r="J9" i="10"/>
  <c r="J9" i="9" s="1"/>
  <c r="J10" i="9" s="1"/>
  <c r="J7" i="10"/>
  <c r="J7" i="9" s="1"/>
  <c r="J8" i="9" s="1"/>
  <c r="G7" i="10"/>
  <c r="F7" i="10"/>
  <c r="E7" i="10"/>
  <c r="D7" i="10"/>
  <c r="I12" i="21"/>
  <c r="J12" i="21"/>
  <c r="K12" i="21"/>
  <c r="H12" i="21"/>
  <c r="Q15" i="3"/>
  <c r="R15" i="3"/>
  <c r="S15" i="3"/>
  <c r="T15" i="3"/>
  <c r="Q16" i="3"/>
  <c r="R16" i="3"/>
  <c r="S16" i="3"/>
  <c r="T16" i="3"/>
  <c r="H16" i="3"/>
  <c r="I16" i="3"/>
  <c r="J16" i="3"/>
  <c r="K16" i="3"/>
  <c r="I15" i="3"/>
  <c r="J15" i="3"/>
  <c r="K15" i="3"/>
  <c r="H15" i="3"/>
  <c r="H11" i="21"/>
  <c r="P14" i="21"/>
  <c r="T12" i="21"/>
  <c r="S12" i="21"/>
  <c r="R12" i="21"/>
  <c r="Q12" i="21"/>
  <c r="T11" i="21"/>
  <c r="S11" i="21"/>
  <c r="S14" i="21" s="1"/>
  <c r="R11" i="21"/>
  <c r="Q11" i="21"/>
  <c r="K11" i="21"/>
  <c r="J11" i="21"/>
  <c r="I11" i="21"/>
  <c r="M28" i="7"/>
  <c r="M3" i="6"/>
  <c r="J33" i="11" l="1"/>
  <c r="U15" i="3"/>
  <c r="U16" i="3"/>
  <c r="L16" i="3"/>
  <c r="M16" i="3" s="1"/>
  <c r="L15" i="3"/>
  <c r="M15" i="3" s="1"/>
  <c r="T14" i="21"/>
  <c r="U11" i="21"/>
  <c r="R14" i="21"/>
  <c r="L11" i="21"/>
  <c r="M11" i="21" s="1"/>
  <c r="L12" i="21"/>
  <c r="M12" i="21" s="1"/>
  <c r="H14" i="12" s="1"/>
  <c r="U12" i="21"/>
  <c r="U14" i="21" s="1"/>
  <c r="Q14" i="21"/>
  <c r="F10" i="6"/>
  <c r="F9" i="6"/>
  <c r="L3" i="6"/>
  <c r="E10" i="6"/>
  <c r="E9" i="6"/>
  <c r="L14" i="21" l="1"/>
  <c r="M14" i="21"/>
  <c r="M17" i="21"/>
  <c r="M19" i="21" s="1"/>
  <c r="M4" i="6"/>
  <c r="M5" i="6" s="1"/>
  <c r="J17" i="7"/>
  <c r="J16" i="7"/>
  <c r="E16" i="7"/>
  <c r="E15" i="7"/>
  <c r="I7" i="10" s="1"/>
  <c r="I7" i="9" s="1"/>
  <c r="E34" i="7" l="1"/>
  <c r="E33" i="7"/>
  <c r="E42" i="7"/>
  <c r="F42" i="7" s="1"/>
  <c r="J14" i="7"/>
  <c r="J13" i="7"/>
  <c r="G44" i="7" l="1"/>
  <c r="I2" i="7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F15" i="7" l="1"/>
  <c r="F16" i="7"/>
  <c r="E20" i="20"/>
  <c r="F20" i="20" s="1"/>
  <c r="AF17" i="20"/>
  <c r="E17" i="20"/>
  <c r="F17" i="20" s="1"/>
  <c r="B17" i="20"/>
  <c r="E16" i="20"/>
  <c r="F16" i="20" s="1"/>
  <c r="B16" i="20"/>
  <c r="E15" i="20"/>
  <c r="F15" i="20" s="1"/>
  <c r="B15" i="20"/>
  <c r="E14" i="20"/>
  <c r="F14" i="20" s="1"/>
  <c r="B14" i="20"/>
  <c r="E13" i="20"/>
  <c r="F13" i="20" s="1"/>
  <c r="B13" i="20"/>
  <c r="AF12" i="20"/>
  <c r="E12" i="20"/>
  <c r="F12" i="20" s="1"/>
  <c r="B12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AF11" i="20" s="1"/>
  <c r="E11" i="20"/>
  <c r="F11" i="20" s="1"/>
  <c r="B11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AF10" i="20" s="1"/>
  <c r="M10" i="20"/>
  <c r="E10" i="20"/>
  <c r="F10" i="20" s="1"/>
  <c r="B10" i="20"/>
  <c r="AF9" i="20"/>
  <c r="E9" i="20"/>
  <c r="F9" i="20" s="1"/>
  <c r="B9" i="20"/>
  <c r="B8" i="20"/>
  <c r="G15" i="7" l="1"/>
  <c r="I9" i="10"/>
  <c r="I9" i="9" s="1"/>
  <c r="Z19" i="20"/>
  <c r="S19" i="20"/>
  <c r="AC19" i="20"/>
  <c r="Y19" i="20"/>
  <c r="F18" i="20"/>
  <c r="X19" i="20"/>
  <c r="G8" i="20"/>
  <c r="N19" i="20"/>
  <c r="M19" i="20"/>
  <c r="K17" i="7" s="1"/>
  <c r="L19" i="20"/>
  <c r="K14" i="7" s="1"/>
  <c r="E41" i="7" s="1"/>
  <c r="W19" i="20"/>
  <c r="V19" i="20"/>
  <c r="Q19" i="20"/>
  <c r="P19" i="20"/>
  <c r="AE19" i="20"/>
  <c r="AD19" i="20"/>
  <c r="U19" i="20"/>
  <c r="O19" i="20"/>
  <c r="T19" i="20"/>
  <c r="AA19" i="20"/>
  <c r="R19" i="20"/>
  <c r="AB19" i="20"/>
  <c r="E44" i="7" l="1"/>
  <c r="L20" i="20"/>
  <c r="AF19" i="20"/>
  <c r="E8" i="7" s="1"/>
  <c r="G8" i="7" s="1"/>
  <c r="G18" i="20"/>
  <c r="H18" i="20" s="1"/>
  <c r="H8" i="20"/>
  <c r="F41" i="7" l="1"/>
  <c r="F44" i="7" s="1"/>
  <c r="L21" i="20"/>
  <c r="M20" i="20"/>
  <c r="M21" i="20" l="1"/>
  <c r="N20" i="20"/>
  <c r="N21" i="20" l="1"/>
  <c r="O20" i="20"/>
  <c r="O21" i="20" l="1"/>
  <c r="P20" i="20"/>
  <c r="Q20" i="20" l="1"/>
  <c r="P21" i="20"/>
  <c r="B856" i="19"/>
  <c r="B857" i="19" s="1"/>
  <c r="B858" i="19" s="1"/>
  <c r="B859" i="19" s="1"/>
  <c r="B860" i="19" s="1"/>
  <c r="B861" i="19" s="1"/>
  <c r="B862" i="19" s="1"/>
  <c r="B863" i="19" s="1"/>
  <c r="B864" i="19" s="1"/>
  <c r="B865" i="19" s="1"/>
  <c r="B866" i="19" s="1"/>
  <c r="B867" i="19" s="1"/>
  <c r="B868" i="19" s="1"/>
  <c r="B869" i="19" s="1"/>
  <c r="B870" i="19" s="1"/>
  <c r="B871" i="19" s="1"/>
  <c r="B872" i="19" s="1"/>
  <c r="B873" i="19" s="1"/>
  <c r="B874" i="19" s="1"/>
  <c r="B875" i="19" s="1"/>
  <c r="B876" i="19" s="1"/>
  <c r="B877" i="19" s="1"/>
  <c r="B878" i="19" s="1"/>
  <c r="B879" i="19" s="1"/>
  <c r="B880" i="19" s="1"/>
  <c r="B881" i="19" s="1"/>
  <c r="B882" i="19" s="1"/>
  <c r="B883" i="19" s="1"/>
  <c r="B884" i="19" s="1"/>
  <c r="B885" i="19" s="1"/>
  <c r="B886" i="19" s="1"/>
  <c r="B887" i="19" s="1"/>
  <c r="B888" i="19" s="1"/>
  <c r="B889" i="19" s="1"/>
  <c r="B890" i="19" s="1"/>
  <c r="B891" i="19" s="1"/>
  <c r="B892" i="19" s="1"/>
  <c r="B893" i="19" s="1"/>
  <c r="B894" i="19" s="1"/>
  <c r="B895" i="19" s="1"/>
  <c r="B896" i="19" s="1"/>
  <c r="B897" i="19" s="1"/>
  <c r="B898" i="19" s="1"/>
  <c r="B899" i="19" s="1"/>
  <c r="B900" i="19" s="1"/>
  <c r="B901" i="19" s="1"/>
  <c r="B902" i="19" s="1"/>
  <c r="B903" i="19" s="1"/>
  <c r="B904" i="19" s="1"/>
  <c r="B905" i="19" s="1"/>
  <c r="B906" i="19" s="1"/>
  <c r="B907" i="19" s="1"/>
  <c r="B908" i="19" s="1"/>
  <c r="B909" i="19" s="1"/>
  <c r="B910" i="19" s="1"/>
  <c r="B911" i="19" s="1"/>
  <c r="B912" i="19" s="1"/>
  <c r="B913" i="19" s="1"/>
  <c r="B914" i="19" s="1"/>
  <c r="B915" i="19" s="1"/>
  <c r="B916" i="19" s="1"/>
  <c r="B917" i="19" s="1"/>
  <c r="B918" i="19" s="1"/>
  <c r="B919" i="19" s="1"/>
  <c r="B920" i="19" s="1"/>
  <c r="B921" i="19" s="1"/>
  <c r="B922" i="19" s="1"/>
  <c r="B923" i="19" s="1"/>
  <c r="B924" i="19" s="1"/>
  <c r="B925" i="19" s="1"/>
  <c r="B926" i="19" s="1"/>
  <c r="B927" i="19" s="1"/>
  <c r="B928" i="19" s="1"/>
  <c r="B929" i="19" s="1"/>
  <c r="B930" i="19" s="1"/>
  <c r="B931" i="19" s="1"/>
  <c r="B932" i="19" s="1"/>
  <c r="B933" i="19" s="1"/>
  <c r="B934" i="19" s="1"/>
  <c r="B935" i="19" s="1"/>
  <c r="B936" i="19" s="1"/>
  <c r="B937" i="19" s="1"/>
  <c r="B938" i="19" s="1"/>
  <c r="B939" i="19" s="1"/>
  <c r="B940" i="19" s="1"/>
  <c r="B941" i="19" s="1"/>
  <c r="B942" i="19" s="1"/>
  <c r="B943" i="19" s="1"/>
  <c r="B944" i="19" s="1"/>
  <c r="B945" i="19" s="1"/>
  <c r="B946" i="19" s="1"/>
  <c r="B947" i="19" s="1"/>
  <c r="B948" i="19" s="1"/>
  <c r="B949" i="19" s="1"/>
  <c r="B950" i="19" s="1"/>
  <c r="B951" i="19" s="1"/>
  <c r="B952" i="19" s="1"/>
  <c r="B953" i="19" s="1"/>
  <c r="B954" i="19" s="1"/>
  <c r="B955" i="19" s="1"/>
  <c r="B956" i="19" s="1"/>
  <c r="B957" i="19" s="1"/>
  <c r="B958" i="19" s="1"/>
  <c r="B959" i="19" s="1"/>
  <c r="B960" i="19" s="1"/>
  <c r="B961" i="19" s="1"/>
  <c r="B962" i="19" s="1"/>
  <c r="B963" i="19" s="1"/>
  <c r="B964" i="19" s="1"/>
  <c r="B965" i="19" s="1"/>
  <c r="B966" i="19" s="1"/>
  <c r="B967" i="19" s="1"/>
  <c r="B968" i="19" s="1"/>
  <c r="B969" i="19" s="1"/>
  <c r="B970" i="19" s="1"/>
  <c r="B971" i="19" s="1"/>
  <c r="B972" i="19" s="1"/>
  <c r="B973" i="19" s="1"/>
  <c r="B974" i="19" s="1"/>
  <c r="B975" i="19" s="1"/>
  <c r="B976" i="19" s="1"/>
  <c r="B977" i="19" s="1"/>
  <c r="B978" i="19" s="1"/>
  <c r="B979" i="19" s="1"/>
  <c r="B980" i="19" s="1"/>
  <c r="B981" i="19" s="1"/>
  <c r="B982" i="19" s="1"/>
  <c r="B983" i="19" s="1"/>
  <c r="B984" i="19" s="1"/>
  <c r="B985" i="19" s="1"/>
  <c r="B986" i="19" s="1"/>
  <c r="B987" i="19" s="1"/>
  <c r="B988" i="19" s="1"/>
  <c r="B989" i="19" s="1"/>
  <c r="B990" i="19" s="1"/>
  <c r="B991" i="19" s="1"/>
  <c r="B992" i="19" s="1"/>
  <c r="B993" i="19" s="1"/>
  <c r="B994" i="19" s="1"/>
  <c r="B995" i="19" s="1"/>
  <c r="B996" i="19" s="1"/>
  <c r="B997" i="19" s="1"/>
  <c r="B998" i="19" s="1"/>
  <c r="B999" i="19" s="1"/>
  <c r="B1000" i="19" s="1"/>
  <c r="B1001" i="19" s="1"/>
  <c r="B1002" i="19" s="1"/>
  <c r="B1003" i="19" s="1"/>
  <c r="B1004" i="19" s="1"/>
  <c r="B1005" i="19" s="1"/>
  <c r="B1006" i="19" s="1"/>
  <c r="B1007" i="19" s="1"/>
  <c r="B1008" i="19" s="1"/>
  <c r="B1009" i="19" s="1"/>
  <c r="B1010" i="19" s="1"/>
  <c r="B1011" i="19" s="1"/>
  <c r="B1012" i="19" s="1"/>
  <c r="B1013" i="19" s="1"/>
  <c r="B1014" i="19" s="1"/>
  <c r="B1015" i="19" s="1"/>
  <c r="B1016" i="19" s="1"/>
  <c r="B1017" i="19" s="1"/>
  <c r="B1018" i="19" s="1"/>
  <c r="B1019" i="19" s="1"/>
  <c r="B1020" i="19" s="1"/>
  <c r="B1021" i="19" s="1"/>
  <c r="B1022" i="19" s="1"/>
  <c r="B1023" i="19" s="1"/>
  <c r="B1024" i="19" s="1"/>
  <c r="B1025" i="19" s="1"/>
  <c r="B1026" i="19" s="1"/>
  <c r="B1027" i="19" s="1"/>
  <c r="B1028" i="19" s="1"/>
  <c r="B1029" i="19" s="1"/>
  <c r="B1030" i="19" s="1"/>
  <c r="B1031" i="19" s="1"/>
  <c r="B1032" i="19" s="1"/>
  <c r="B1033" i="19" s="1"/>
  <c r="B1034" i="19" s="1"/>
  <c r="B1035" i="19" s="1"/>
  <c r="B1036" i="19" s="1"/>
  <c r="B1037" i="19" s="1"/>
  <c r="B1038" i="19" s="1"/>
  <c r="B1039" i="19" s="1"/>
  <c r="B1040" i="19" s="1"/>
  <c r="B1041" i="19" s="1"/>
  <c r="B1042" i="19" s="1"/>
  <c r="B1043" i="19" s="1"/>
  <c r="B1044" i="19" s="1"/>
  <c r="B1045" i="19" s="1"/>
  <c r="B1046" i="19" s="1"/>
  <c r="B1047" i="19" s="1"/>
  <c r="B1048" i="19" s="1"/>
  <c r="B1049" i="19" s="1"/>
  <c r="B1050" i="19" s="1"/>
  <c r="B1051" i="19" s="1"/>
  <c r="B1052" i="19" s="1"/>
  <c r="B1053" i="19" s="1"/>
  <c r="B1054" i="19" s="1"/>
  <c r="B1055" i="19" s="1"/>
  <c r="B1056" i="19" s="1"/>
  <c r="B1057" i="19" s="1"/>
  <c r="B1058" i="19" s="1"/>
  <c r="B1059" i="19" s="1"/>
  <c r="B1060" i="19" s="1"/>
  <c r="B1061" i="19" s="1"/>
  <c r="B1062" i="19" s="1"/>
  <c r="B1063" i="19" s="1"/>
  <c r="B1064" i="19" s="1"/>
  <c r="B1065" i="19" s="1"/>
  <c r="B1066" i="19" s="1"/>
  <c r="B1067" i="19" s="1"/>
  <c r="B1068" i="19" s="1"/>
  <c r="B1069" i="19" s="1"/>
  <c r="B1070" i="19" s="1"/>
  <c r="B1071" i="19" s="1"/>
  <c r="B1072" i="19" s="1"/>
  <c r="B1073" i="19" s="1"/>
  <c r="B1074" i="19" s="1"/>
  <c r="B1075" i="19" s="1"/>
  <c r="B1076" i="19" s="1"/>
  <c r="B1077" i="19" s="1"/>
  <c r="B1078" i="19" s="1"/>
  <c r="B1079" i="19" s="1"/>
  <c r="B1080" i="19" s="1"/>
  <c r="B1081" i="19" s="1"/>
  <c r="B1082" i="19" s="1"/>
  <c r="B1083" i="19" s="1"/>
  <c r="B1084" i="19" s="1"/>
  <c r="B1085" i="19" s="1"/>
  <c r="B1086" i="19" s="1"/>
  <c r="B1087" i="19" s="1"/>
  <c r="B1088" i="19" s="1"/>
  <c r="B1089" i="19" s="1"/>
  <c r="B1090" i="19" s="1"/>
  <c r="B1091" i="19" s="1"/>
  <c r="B1092" i="19" s="1"/>
  <c r="B1093" i="19" s="1"/>
  <c r="B1094" i="19" s="1"/>
  <c r="B1095" i="19" s="1"/>
  <c r="M17" i="18"/>
  <c r="P20" i="3"/>
  <c r="R20" i="20" l="1"/>
  <c r="Q21" i="20"/>
  <c r="S20" i="20" l="1"/>
  <c r="R21" i="20"/>
  <c r="T20" i="20" l="1"/>
  <c r="S21" i="20"/>
  <c r="U20" i="20" l="1"/>
  <c r="T21" i="20"/>
  <c r="V20" i="20" l="1"/>
  <c r="U21" i="20"/>
  <c r="W20" i="20" l="1"/>
  <c r="V21" i="20"/>
  <c r="X20" i="20" l="1"/>
  <c r="W21" i="20"/>
  <c r="Y20" i="20" l="1"/>
  <c r="X21" i="20"/>
  <c r="Z20" i="20" l="1"/>
  <c r="Y21" i="20"/>
  <c r="Z21" i="20" l="1"/>
  <c r="AA20" i="20"/>
  <c r="AB20" i="20" l="1"/>
  <c r="AA21" i="20"/>
  <c r="AB21" i="20" l="1"/>
  <c r="AC20" i="20"/>
  <c r="AC21" i="20" l="1"/>
  <c r="AD20" i="20"/>
  <c r="AD21" i="20" l="1"/>
  <c r="AE20" i="20"/>
  <c r="AE21" i="20" s="1"/>
  <c r="M19" i="18" l="1"/>
  <c r="T12" i="18"/>
  <c r="S12" i="18"/>
  <c r="R12" i="18"/>
  <c r="Q12" i="18"/>
  <c r="K12" i="18"/>
  <c r="J12" i="18"/>
  <c r="I12" i="18"/>
  <c r="H12" i="18"/>
  <c r="T11" i="18"/>
  <c r="S11" i="18"/>
  <c r="R11" i="18"/>
  <c r="Q11" i="18"/>
  <c r="U11" i="18" s="1"/>
  <c r="K11" i="18"/>
  <c r="J11" i="18"/>
  <c r="I11" i="18"/>
  <c r="H11" i="18"/>
  <c r="L11" i="18" s="1"/>
  <c r="M11" i="18" s="1"/>
  <c r="T10" i="18"/>
  <c r="S10" i="18"/>
  <c r="R10" i="18"/>
  <c r="Q10" i="18"/>
  <c r="U10" i="18" s="1"/>
  <c r="K10" i="18"/>
  <c r="J10" i="18"/>
  <c r="I10" i="18"/>
  <c r="H10" i="18"/>
  <c r="L10" i="18" s="1"/>
  <c r="M10" i="18" s="1"/>
  <c r="T9" i="18"/>
  <c r="S9" i="18"/>
  <c r="R9" i="18"/>
  <c r="Q9" i="18"/>
  <c r="K9" i="18"/>
  <c r="J9" i="18"/>
  <c r="I9" i="18"/>
  <c r="H9" i="18"/>
  <c r="L9" i="18" s="1"/>
  <c r="U9" i="18" l="1"/>
  <c r="L12" i="18"/>
  <c r="M12" i="18" s="1"/>
  <c r="U12" i="18"/>
  <c r="M9" i="18"/>
  <c r="L14" i="18" l="1"/>
  <c r="M14" i="18"/>
  <c r="N24" i="10" l="1"/>
  <c r="D24" i="10"/>
  <c r="E24" i="10"/>
  <c r="F24" i="10"/>
  <c r="G24" i="10"/>
  <c r="H24" i="10"/>
  <c r="I24" i="10"/>
  <c r="J24" i="10"/>
  <c r="J14" i="9" s="1"/>
  <c r="R24" i="10"/>
  <c r="N24" i="9"/>
  <c r="N25" i="9"/>
  <c r="N26" i="9"/>
  <c r="N27" i="9"/>
  <c r="N28" i="9"/>
  <c r="N29" i="9"/>
  <c r="N30" i="9"/>
  <c r="N31" i="9"/>
  <c r="N32" i="9"/>
  <c r="N33" i="9"/>
  <c r="N23" i="9"/>
  <c r="O16" i="9"/>
  <c r="O17" i="9"/>
  <c r="O18" i="9"/>
  <c r="L24" i="10" l="1" a="1"/>
  <c r="L24" i="10" s="1"/>
  <c r="P24" i="10" s="1"/>
  <c r="Q24" i="10" s="1"/>
  <c r="N14" i="9"/>
  <c r="H10" i="12" l="1"/>
  <c r="G11" i="12" l="1"/>
  <c r="Q25" i="8"/>
  <c r="P25" i="8"/>
  <c r="G7" i="12"/>
  <c r="H8" i="12"/>
  <c r="F8" i="12"/>
  <c r="J8" i="10"/>
  <c r="J10" i="10"/>
  <c r="J13" i="10"/>
  <c r="J16" i="9" s="1"/>
  <c r="J14" i="10"/>
  <c r="J17" i="9" s="1"/>
  <c r="J15" i="10"/>
  <c r="J13" i="9" s="1"/>
  <c r="J16" i="10"/>
  <c r="J15" i="9" s="1"/>
  <c r="J17" i="10"/>
  <c r="J21" i="9" s="1"/>
  <c r="J18" i="10"/>
  <c r="J22" i="9" s="1"/>
  <c r="J19" i="10"/>
  <c r="J18" i="9" s="1"/>
  <c r="J20" i="10"/>
  <c r="J19" i="9" s="1"/>
  <c r="J21" i="10"/>
  <c r="J20" i="9" s="1"/>
  <c r="J22" i="10"/>
  <c r="J34" i="9" s="1"/>
  <c r="J23" i="10"/>
  <c r="J35" i="9" s="1"/>
  <c r="I17" i="12"/>
  <c r="I33" i="12"/>
  <c r="J39" i="9" s="1"/>
  <c r="L39" i="9" s="1" a="1"/>
  <c r="L39" i="9" s="1"/>
  <c r="I39" i="12"/>
  <c r="J40" i="9" s="1"/>
  <c r="R18" i="10"/>
  <c r="D17" i="12"/>
  <c r="E17" i="12"/>
  <c r="F17" i="12"/>
  <c r="C17" i="12"/>
  <c r="C25" i="1"/>
  <c r="N67" i="17"/>
  <c r="O62" i="17"/>
  <c r="M62" i="17"/>
  <c r="M58" i="17"/>
  <c r="L58" i="17"/>
  <c r="F58" i="17"/>
  <c r="N57" i="17"/>
  <c r="M57" i="17"/>
  <c r="L57" i="17"/>
  <c r="F57" i="17"/>
  <c r="O57" i="17" s="1"/>
  <c r="G56" i="17"/>
  <c r="M55" i="17"/>
  <c r="L55" i="17"/>
  <c r="F55" i="17"/>
  <c r="O55" i="17" s="1"/>
  <c r="N54" i="17"/>
  <c r="M54" i="17"/>
  <c r="L54" i="17"/>
  <c r="F54" i="17"/>
  <c r="N53" i="17"/>
  <c r="L53" i="17"/>
  <c r="F53" i="17"/>
  <c r="M53" i="17" s="1"/>
  <c r="L52" i="17"/>
  <c r="F52" i="17"/>
  <c r="N52" i="17" s="1"/>
  <c r="M51" i="17"/>
  <c r="L51" i="17"/>
  <c r="F51" i="17"/>
  <c r="O51" i="17" s="1"/>
  <c r="N50" i="17"/>
  <c r="M50" i="17"/>
  <c r="L50" i="17"/>
  <c r="F50" i="17"/>
  <c r="O50" i="17" s="1"/>
  <c r="N49" i="17"/>
  <c r="L49" i="17"/>
  <c r="F49" i="17"/>
  <c r="M49" i="17" s="1"/>
  <c r="L48" i="17"/>
  <c r="F48" i="17"/>
  <c r="N48" i="17" s="1"/>
  <c r="M47" i="17"/>
  <c r="L47" i="17"/>
  <c r="F47" i="17"/>
  <c r="O47" i="17" s="1"/>
  <c r="L45" i="17"/>
  <c r="F45" i="17"/>
  <c r="N45" i="17" s="1"/>
  <c r="M44" i="17"/>
  <c r="L44" i="17"/>
  <c r="F44" i="17"/>
  <c r="N43" i="17"/>
  <c r="M43" i="17"/>
  <c r="L43" i="17"/>
  <c r="F43" i="17"/>
  <c r="N42" i="17"/>
  <c r="L42" i="17"/>
  <c r="F42" i="17"/>
  <c r="M42" i="17" s="1"/>
  <c r="L41" i="17"/>
  <c r="F41" i="17"/>
  <c r="N41" i="17" s="1"/>
  <c r="M40" i="17"/>
  <c r="L40" i="17"/>
  <c r="F40" i="17"/>
  <c r="N39" i="17"/>
  <c r="M39" i="17"/>
  <c r="L39" i="17"/>
  <c r="F39" i="17"/>
  <c r="N38" i="17"/>
  <c r="L38" i="17"/>
  <c r="F38" i="17"/>
  <c r="M38" i="17" s="1"/>
  <c r="L37" i="17"/>
  <c r="F37" i="17"/>
  <c r="N37" i="17" s="1"/>
  <c r="M36" i="17"/>
  <c r="L36" i="17"/>
  <c r="F36" i="17"/>
  <c r="N35" i="17"/>
  <c r="M35" i="17"/>
  <c r="L35" i="17"/>
  <c r="F35" i="17"/>
  <c r="N34" i="17"/>
  <c r="L34" i="17"/>
  <c r="F34" i="17"/>
  <c r="M34" i="17" s="1"/>
  <c r="L33" i="17"/>
  <c r="F33" i="17"/>
  <c r="N33" i="17" s="1"/>
  <c r="M32" i="17"/>
  <c r="L32" i="17"/>
  <c r="F32" i="17"/>
  <c r="N31" i="17"/>
  <c r="M31" i="17"/>
  <c r="L31" i="17"/>
  <c r="F31" i="17"/>
  <c r="N30" i="17"/>
  <c r="L30" i="17"/>
  <c r="F30" i="17"/>
  <c r="M30" i="17" s="1"/>
  <c r="L29" i="17"/>
  <c r="F29" i="17"/>
  <c r="N29" i="17" s="1"/>
  <c r="M28" i="17"/>
  <c r="L28" i="17"/>
  <c r="F28" i="17"/>
  <c r="N27" i="17"/>
  <c r="M27" i="17"/>
  <c r="L27" i="17"/>
  <c r="F27" i="17"/>
  <c r="N26" i="17"/>
  <c r="L26" i="17"/>
  <c r="F26" i="17"/>
  <c r="M26" i="17" s="1"/>
  <c r="L25" i="17"/>
  <c r="F25" i="17"/>
  <c r="N25" i="17" s="1"/>
  <c r="M24" i="17"/>
  <c r="L24" i="17"/>
  <c r="F24" i="17"/>
  <c r="L22" i="17"/>
  <c r="F22" i="17"/>
  <c r="N22" i="17" s="1"/>
  <c r="M21" i="17"/>
  <c r="L21" i="17"/>
  <c r="F21" i="17"/>
  <c r="O21" i="17" s="1"/>
  <c r="N20" i="17"/>
  <c r="M20" i="17"/>
  <c r="L20" i="17"/>
  <c r="F20" i="17"/>
  <c r="O20" i="17" s="1"/>
  <c r="N19" i="17"/>
  <c r="L19" i="17"/>
  <c r="F19" i="17"/>
  <c r="M19" i="17" s="1"/>
  <c r="N17" i="17"/>
  <c r="M17" i="17"/>
  <c r="L17" i="17"/>
  <c r="F17" i="17"/>
  <c r="N16" i="17"/>
  <c r="L16" i="17"/>
  <c r="O16" i="17" s="1"/>
  <c r="F16" i="17"/>
  <c r="M16" i="17" s="1"/>
  <c r="L15" i="17"/>
  <c r="F15" i="17"/>
  <c r="N15" i="17" s="1"/>
  <c r="M14" i="17"/>
  <c r="L14" i="17"/>
  <c r="F14" i="17"/>
  <c r="N13" i="17"/>
  <c r="M13" i="17"/>
  <c r="L13" i="17"/>
  <c r="F13" i="17"/>
  <c r="N12" i="17"/>
  <c r="L12" i="17"/>
  <c r="F12" i="17"/>
  <c r="M12" i="17" s="1"/>
  <c r="L11" i="17"/>
  <c r="F11" i="17"/>
  <c r="N11" i="17" s="1"/>
  <c r="M10" i="17"/>
  <c r="L10" i="17"/>
  <c r="F10" i="17"/>
  <c r="O10" i="17" s="1"/>
  <c r="N9" i="17"/>
  <c r="M9" i="17"/>
  <c r="L9" i="17"/>
  <c r="F9" i="17"/>
  <c r="O9" i="17" s="1"/>
  <c r="G8" i="17"/>
  <c r="G2" i="17"/>
  <c r="F2" i="17"/>
  <c r="O13" i="17" l="1"/>
  <c r="O14" i="17"/>
  <c r="O17" i="17"/>
  <c r="O24" i="17"/>
  <c r="O27" i="17"/>
  <c r="O28" i="17"/>
  <c r="O31" i="17"/>
  <c r="O32" i="17"/>
  <c r="O35" i="17"/>
  <c r="O36" i="17"/>
  <c r="O39" i="17"/>
  <c r="O40" i="17"/>
  <c r="O43" i="17"/>
  <c r="O44" i="17"/>
  <c r="J41" i="9"/>
  <c r="L40" i="9" a="1"/>
  <c r="L40" i="9" s="1"/>
  <c r="J36" i="9"/>
  <c r="H11" i="12"/>
  <c r="H12" i="12"/>
  <c r="J25" i="10"/>
  <c r="J27" i="10" s="1"/>
  <c r="O58" i="17"/>
  <c r="O54" i="17"/>
  <c r="O22" i="17"/>
  <c r="O25" i="17"/>
  <c r="O29" i="17"/>
  <c r="O41" i="17"/>
  <c r="O48" i="17"/>
  <c r="O52" i="17"/>
  <c r="O19" i="17"/>
  <c r="G23" i="17"/>
  <c r="O26" i="17"/>
  <c r="O30" i="17"/>
  <c r="O34" i="17"/>
  <c r="O38" i="17"/>
  <c r="O42" i="17"/>
  <c r="G46" i="17"/>
  <c r="O49" i="17"/>
  <c r="O53" i="17"/>
  <c r="O15" i="17"/>
  <c r="F59" i="17"/>
  <c r="O12" i="17"/>
  <c r="N10" i="17"/>
  <c r="M11" i="17"/>
  <c r="N14" i="17"/>
  <c r="M15" i="17"/>
  <c r="N21" i="17"/>
  <c r="M22" i="17"/>
  <c r="N24" i="17"/>
  <c r="M25" i="17"/>
  <c r="N28" i="17"/>
  <c r="M29" i="17"/>
  <c r="N32" i="17"/>
  <c r="M33" i="17"/>
  <c r="N36" i="17"/>
  <c r="M37" i="17"/>
  <c r="N40" i="17"/>
  <c r="M41" i="17"/>
  <c r="N44" i="17"/>
  <c r="M45" i="17"/>
  <c r="N47" i="17"/>
  <c r="M48" i="17"/>
  <c r="N51" i="17"/>
  <c r="M52" i="17"/>
  <c r="N55" i="17"/>
  <c r="N58" i="17"/>
  <c r="O11" i="17"/>
  <c r="O33" i="17"/>
  <c r="O37" i="17"/>
  <c r="O45" i="17"/>
  <c r="G18" i="17"/>
  <c r="M59" i="17" l="1"/>
  <c r="J43" i="9"/>
  <c r="J45" i="9" s="1"/>
  <c r="J48" i="9" s="1"/>
  <c r="H17" i="12"/>
  <c r="O59" i="17"/>
  <c r="N59" i="17"/>
  <c r="G59" i="17"/>
  <c r="O64" i="17" l="1"/>
  <c r="O65" i="17" s="1"/>
  <c r="H59" i="17"/>
  <c r="H56" i="17"/>
  <c r="H8" i="17"/>
  <c r="H23" i="17"/>
  <c r="N60" i="17"/>
  <c r="O66" i="17"/>
  <c r="O60" i="17"/>
  <c r="H18" i="17"/>
  <c r="H46" i="17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13" i="9"/>
  <c r="G23" i="9"/>
  <c r="E29" i="9"/>
  <c r="E31" i="9"/>
  <c r="F32" i="9"/>
  <c r="O20" i="9"/>
  <c r="O19" i="9"/>
  <c r="G9" i="11"/>
  <c r="F9" i="11"/>
  <c r="E9" i="11"/>
  <c r="D9" i="11"/>
  <c r="G7" i="11"/>
  <c r="G7" i="9" s="1"/>
  <c r="F7" i="11"/>
  <c r="F7" i="9" s="1"/>
  <c r="E7" i="11"/>
  <c r="D7" i="11"/>
  <c r="G9" i="10"/>
  <c r="F9" i="10"/>
  <c r="E9" i="10"/>
  <c r="E9" i="9" s="1"/>
  <c r="D9" i="10"/>
  <c r="P40" i="9"/>
  <c r="P39" i="9"/>
  <c r="N18" i="10"/>
  <c r="N22" i="9" s="1"/>
  <c r="E18" i="10"/>
  <c r="F18" i="10"/>
  <c r="G18" i="10"/>
  <c r="H18" i="10"/>
  <c r="I18" i="10"/>
  <c r="D18" i="10"/>
  <c r="N28" i="11"/>
  <c r="O33" i="9" s="1"/>
  <c r="P33" i="9" s="1"/>
  <c r="R33" i="9" s="1"/>
  <c r="E28" i="11"/>
  <c r="E33" i="9" s="1"/>
  <c r="F28" i="11"/>
  <c r="F33" i="9" s="1"/>
  <c r="G28" i="11"/>
  <c r="G33" i="9" s="1"/>
  <c r="H28" i="11"/>
  <c r="I28" i="11"/>
  <c r="I33" i="9" s="1"/>
  <c r="D28" i="11"/>
  <c r="D33" i="9" s="1"/>
  <c r="N30" i="11"/>
  <c r="O35" i="9" s="1"/>
  <c r="E30" i="11"/>
  <c r="F30" i="11"/>
  <c r="G30" i="11"/>
  <c r="H30" i="11"/>
  <c r="I30" i="11"/>
  <c r="D30" i="11"/>
  <c r="N29" i="11"/>
  <c r="O34" i="9" s="1"/>
  <c r="N14" i="11"/>
  <c r="O13" i="9" s="1"/>
  <c r="N15" i="11"/>
  <c r="O15" i="9" s="1"/>
  <c r="N16" i="11"/>
  <c r="O21" i="9" s="1"/>
  <c r="N17" i="11"/>
  <c r="O22" i="9" s="1"/>
  <c r="N18" i="11"/>
  <c r="O23" i="9" s="1"/>
  <c r="N19" i="11"/>
  <c r="O24" i="9" s="1"/>
  <c r="N20" i="11"/>
  <c r="O25" i="9" s="1"/>
  <c r="N21" i="11"/>
  <c r="O26" i="9" s="1"/>
  <c r="N22" i="11"/>
  <c r="O27" i="9" s="1"/>
  <c r="N23" i="11"/>
  <c r="O28" i="9" s="1"/>
  <c r="N24" i="11"/>
  <c r="O29" i="9" s="1"/>
  <c r="N25" i="11"/>
  <c r="O30" i="9" s="1"/>
  <c r="N26" i="11"/>
  <c r="O31" i="9" s="1"/>
  <c r="N27" i="11"/>
  <c r="O32" i="9" s="1"/>
  <c r="N13" i="11"/>
  <c r="O14" i="9" s="1"/>
  <c r="D14" i="11"/>
  <c r="E14" i="11"/>
  <c r="F14" i="11"/>
  <c r="G14" i="11"/>
  <c r="H14" i="11"/>
  <c r="I14" i="11"/>
  <c r="D15" i="11"/>
  <c r="E15" i="11"/>
  <c r="F15" i="11"/>
  <c r="G15" i="11"/>
  <c r="H15" i="11"/>
  <c r="I15" i="11"/>
  <c r="D16" i="11"/>
  <c r="E16" i="11"/>
  <c r="F16" i="11"/>
  <c r="G16" i="11"/>
  <c r="H16" i="11"/>
  <c r="I16" i="11"/>
  <c r="D17" i="11"/>
  <c r="E17" i="11"/>
  <c r="F17" i="11"/>
  <c r="G17" i="11"/>
  <c r="H17" i="11"/>
  <c r="I17" i="11"/>
  <c r="D18" i="11"/>
  <c r="E18" i="11"/>
  <c r="E23" i="9" s="1"/>
  <c r="F18" i="11"/>
  <c r="F23" i="9" s="1"/>
  <c r="G18" i="11"/>
  <c r="H18" i="11"/>
  <c r="H23" i="9" s="1"/>
  <c r="I18" i="11"/>
  <c r="I23" i="9" s="1"/>
  <c r="D19" i="11"/>
  <c r="D24" i="9" s="1"/>
  <c r="E19" i="11"/>
  <c r="E24" i="9" s="1"/>
  <c r="F19" i="11"/>
  <c r="F24" i="9" s="1"/>
  <c r="G19" i="11"/>
  <c r="G24" i="9" s="1"/>
  <c r="H19" i="11"/>
  <c r="H24" i="9" s="1"/>
  <c r="I19" i="11"/>
  <c r="I24" i="9" s="1"/>
  <c r="D20" i="11"/>
  <c r="D25" i="9" s="1"/>
  <c r="E20" i="11"/>
  <c r="E25" i="9" s="1"/>
  <c r="F20" i="11"/>
  <c r="F25" i="9" s="1"/>
  <c r="G20" i="11"/>
  <c r="G25" i="9" s="1"/>
  <c r="H20" i="11"/>
  <c r="H25" i="9" s="1"/>
  <c r="I20" i="11"/>
  <c r="I25" i="9" s="1"/>
  <c r="D21" i="11"/>
  <c r="E21" i="11"/>
  <c r="E26" i="9" s="1"/>
  <c r="F21" i="11"/>
  <c r="F26" i="9" s="1"/>
  <c r="G21" i="11"/>
  <c r="G26" i="9" s="1"/>
  <c r="H21" i="11"/>
  <c r="H26" i="9" s="1"/>
  <c r="I21" i="11"/>
  <c r="I26" i="9" s="1"/>
  <c r="D22" i="11"/>
  <c r="E22" i="11"/>
  <c r="E27" i="9" s="1"/>
  <c r="F22" i="11"/>
  <c r="F27" i="9" s="1"/>
  <c r="G22" i="11"/>
  <c r="G27" i="9" s="1"/>
  <c r="H22" i="11"/>
  <c r="H27" i="9" s="1"/>
  <c r="I22" i="11"/>
  <c r="I27" i="9" s="1"/>
  <c r="D23" i="11"/>
  <c r="D28" i="9" s="1"/>
  <c r="E23" i="11"/>
  <c r="E28" i="9" s="1"/>
  <c r="F23" i="11"/>
  <c r="F28" i="9" s="1"/>
  <c r="G23" i="11"/>
  <c r="G28" i="9" s="1"/>
  <c r="H23" i="11"/>
  <c r="H28" i="9" s="1"/>
  <c r="I23" i="11"/>
  <c r="I28" i="9" s="1"/>
  <c r="D24" i="11"/>
  <c r="D29" i="9" s="1"/>
  <c r="E24" i="11"/>
  <c r="F24" i="11"/>
  <c r="F29" i="9" s="1"/>
  <c r="G24" i="11"/>
  <c r="G29" i="9" s="1"/>
  <c r="H24" i="11"/>
  <c r="H29" i="9" s="1"/>
  <c r="I24" i="11"/>
  <c r="I29" i="9" s="1"/>
  <c r="D25" i="11"/>
  <c r="D30" i="9" s="1"/>
  <c r="E25" i="11"/>
  <c r="E30" i="9" s="1"/>
  <c r="F25" i="11"/>
  <c r="F30" i="9" s="1"/>
  <c r="G25" i="11"/>
  <c r="G30" i="9" s="1"/>
  <c r="H25" i="11"/>
  <c r="H30" i="9" s="1"/>
  <c r="I25" i="11"/>
  <c r="I30" i="9" s="1"/>
  <c r="D26" i="11"/>
  <c r="E26" i="11"/>
  <c r="F26" i="11"/>
  <c r="F31" i="9" s="1"/>
  <c r="G26" i="11"/>
  <c r="G31" i="9" s="1"/>
  <c r="H26" i="11"/>
  <c r="H31" i="9" s="1"/>
  <c r="I26" i="11"/>
  <c r="I31" i="9" s="1"/>
  <c r="D27" i="11"/>
  <c r="D32" i="9" s="1"/>
  <c r="E27" i="11"/>
  <c r="E32" i="9" s="1"/>
  <c r="F27" i="11"/>
  <c r="G27" i="11"/>
  <c r="G32" i="9" s="1"/>
  <c r="H27" i="11"/>
  <c r="H32" i="9" s="1"/>
  <c r="I27" i="11"/>
  <c r="I32" i="9" s="1"/>
  <c r="D29" i="11"/>
  <c r="E29" i="11"/>
  <c r="F29" i="11"/>
  <c r="G29" i="11"/>
  <c r="H29" i="11"/>
  <c r="I29" i="11"/>
  <c r="E13" i="11"/>
  <c r="E14" i="9" s="1"/>
  <c r="F13" i="11"/>
  <c r="F14" i="9" s="1"/>
  <c r="G13" i="11"/>
  <c r="G14" i="9" s="1"/>
  <c r="H13" i="11"/>
  <c r="H14" i="9" s="1"/>
  <c r="I13" i="11"/>
  <c r="I14" i="9" s="1"/>
  <c r="D13" i="11"/>
  <c r="D14" i="9" s="1"/>
  <c r="D14" i="10"/>
  <c r="D13" i="10"/>
  <c r="G51" i="16"/>
  <c r="H51" i="16" s="1"/>
  <c r="G50" i="16"/>
  <c r="H50" i="16" s="1"/>
  <c r="G49" i="16"/>
  <c r="H49" i="16" s="1"/>
  <c r="G48" i="16"/>
  <c r="H48" i="16" s="1"/>
  <c r="G47" i="16"/>
  <c r="H47" i="16" s="1"/>
  <c r="G42" i="16"/>
  <c r="G41" i="16"/>
  <c r="F41" i="16"/>
  <c r="E41" i="16"/>
  <c r="D41" i="16"/>
  <c r="G40" i="16"/>
  <c r="F38" i="16"/>
  <c r="G38" i="16" s="1"/>
  <c r="H37" i="16" s="1"/>
  <c r="G36" i="16"/>
  <c r="G35" i="16"/>
  <c r="G34" i="16"/>
  <c r="G33" i="16"/>
  <c r="G32" i="16"/>
  <c r="H31" i="16"/>
  <c r="J30" i="16"/>
  <c r="J28" i="16"/>
  <c r="F27" i="16"/>
  <c r="G27" i="16" s="1"/>
  <c r="D27" i="16"/>
  <c r="F25" i="16"/>
  <c r="F24" i="16"/>
  <c r="G24" i="16" s="1"/>
  <c r="D24" i="16"/>
  <c r="J23" i="16"/>
  <c r="K23" i="16" s="1"/>
  <c r="D23" i="16"/>
  <c r="G23" i="16" s="1"/>
  <c r="F22" i="16"/>
  <c r="N21" i="16"/>
  <c r="F21" i="16"/>
  <c r="G21" i="16" s="1"/>
  <c r="D21" i="16"/>
  <c r="O20" i="16"/>
  <c r="O19" i="16"/>
  <c r="F19" i="16"/>
  <c r="O18" i="16"/>
  <c r="F18" i="16"/>
  <c r="O17" i="16"/>
  <c r="O16" i="16"/>
  <c r="D16" i="16"/>
  <c r="G16" i="16" s="1"/>
  <c r="O15" i="16"/>
  <c r="O14" i="16"/>
  <c r="O13" i="16"/>
  <c r="Q12" i="16"/>
  <c r="R12" i="16" s="1"/>
  <c r="O12" i="16"/>
  <c r="J12" i="16"/>
  <c r="O11" i="16"/>
  <c r="O10" i="16"/>
  <c r="O21" i="16" s="1"/>
  <c r="O9" i="16"/>
  <c r="O8" i="16"/>
  <c r="F8" i="16"/>
  <c r="O7" i="16"/>
  <c r="F7" i="16"/>
  <c r="O6" i="16"/>
  <c r="Q5" i="16"/>
  <c r="D12" i="16" s="1"/>
  <c r="G12" i="16" s="1"/>
  <c r="O5" i="16"/>
  <c r="O4" i="16"/>
  <c r="F4" i="16"/>
  <c r="D38" i="16" s="1"/>
  <c r="D39" i="16" s="1"/>
  <c r="G39" i="16" s="1"/>
  <c r="L14" i="9" l="1" a="1"/>
  <c r="L14" i="9" s="1"/>
  <c r="L32" i="9" a="1"/>
  <c r="L32" i="9" s="1"/>
  <c r="L30" i="9" a="1"/>
  <c r="L30" i="9" s="1"/>
  <c r="L24" i="9" a="1"/>
  <c r="L24" i="9" s="1"/>
  <c r="L28" i="9" a="1"/>
  <c r="L28" i="9" s="1"/>
  <c r="L29" i="9" a="1"/>
  <c r="L29" i="9" s="1"/>
  <c r="L25" i="9" a="1"/>
  <c r="L25" i="9" s="1"/>
  <c r="F22" i="9"/>
  <c r="I22" i="9"/>
  <c r="E22" i="9"/>
  <c r="D26" i="9"/>
  <c r="L26" i="9" s="1" a="1"/>
  <c r="L26" i="9" s="1"/>
  <c r="D23" i="9"/>
  <c r="L23" i="9" s="1" a="1"/>
  <c r="L23" i="9" s="1"/>
  <c r="D27" i="9"/>
  <c r="L27" i="9" s="1" a="1"/>
  <c r="L27" i="9" s="1"/>
  <c r="D31" i="9"/>
  <c r="L31" i="9" s="1" a="1"/>
  <c r="L31" i="9" s="1"/>
  <c r="L18" i="10" a="1"/>
  <c r="L18" i="10" s="1"/>
  <c r="P18" i="10" s="1"/>
  <c r="Q18" i="10" s="1"/>
  <c r="D16" i="9"/>
  <c r="G9" i="9"/>
  <c r="F9" i="9"/>
  <c r="D7" i="9"/>
  <c r="E7" i="9"/>
  <c r="D22" i="9"/>
  <c r="D17" i="9"/>
  <c r="D9" i="9"/>
  <c r="P28" i="11"/>
  <c r="Q28" i="11" s="1"/>
  <c r="H22" i="9"/>
  <c r="H33" i="9"/>
  <c r="L33" i="9" s="1" a="1"/>
  <c r="L33" i="9" s="1"/>
  <c r="G22" i="9"/>
  <c r="P30" i="11"/>
  <c r="Q30" i="11" s="1"/>
  <c r="O67" i="17"/>
  <c r="O68" i="17" s="1"/>
  <c r="N31" i="11"/>
  <c r="G25" i="16"/>
  <c r="K12" i="16"/>
  <c r="H53" i="16"/>
  <c r="D15" i="16"/>
  <c r="G15" i="16" s="1"/>
  <c r="D22" i="16"/>
  <c r="G22" i="16" s="1"/>
  <c r="H20" i="16" s="1"/>
  <c r="D10" i="16"/>
  <c r="G10" i="16" s="1"/>
  <c r="D13" i="16"/>
  <c r="D14" i="16"/>
  <c r="G14" i="16" s="1"/>
  <c r="D18" i="16"/>
  <c r="G18" i="16" s="1"/>
  <c r="D19" i="16"/>
  <c r="G19" i="16" s="1"/>
  <c r="D26" i="16"/>
  <c r="G26" i="16" s="1"/>
  <c r="G53" i="16"/>
  <c r="D30" i="16"/>
  <c r="K30" i="16" s="1"/>
  <c r="D7" i="16"/>
  <c r="G7" i="16" s="1"/>
  <c r="D8" i="16"/>
  <c r="G8" i="16" s="1"/>
  <c r="D9" i="16"/>
  <c r="G9" i="16" s="1"/>
  <c r="D17" i="16"/>
  <c r="G17" i="16" s="1"/>
  <c r="D25" i="16"/>
  <c r="D28" i="16"/>
  <c r="G28" i="16" s="1"/>
  <c r="D29" i="16"/>
  <c r="G29" i="16" s="1"/>
  <c r="L22" i="9" l="1" a="1"/>
  <c r="L22" i="9" s="1"/>
  <c r="S33" i="9"/>
  <c r="H6" i="16"/>
  <c r="G58" i="16"/>
  <c r="H58" i="16" s="1"/>
  <c r="J54" i="16"/>
  <c r="J55" i="16" s="1"/>
  <c r="J56" i="16" s="1"/>
  <c r="G56" i="16" s="1"/>
  <c r="G57" i="16"/>
  <c r="H57" i="16" s="1"/>
  <c r="K28" i="16"/>
  <c r="K43" i="16" s="1"/>
  <c r="G13" i="16"/>
  <c r="H11" i="16" s="1"/>
  <c r="K13" i="16"/>
  <c r="H56" i="16" l="1"/>
  <c r="F56" i="16"/>
  <c r="H43" i="16"/>
  <c r="G43" i="16"/>
  <c r="H45" i="16" l="1"/>
  <c r="F55" i="16" s="1"/>
  <c r="L43" i="16"/>
  <c r="L45" i="16" s="1"/>
  <c r="F59" i="16" l="1"/>
  <c r="F61" i="16" s="1"/>
  <c r="G61" i="16" s="1"/>
  <c r="G55" i="16"/>
  <c r="H55" i="16" l="1"/>
  <c r="G59" i="16"/>
  <c r="H59" i="16" l="1"/>
  <c r="G63" i="16"/>
  <c r="H63" i="16" s="1"/>
  <c r="R15" i="10" l="1"/>
  <c r="R16" i="10"/>
  <c r="R17" i="10"/>
  <c r="R59" i="8"/>
  <c r="N16" i="10"/>
  <c r="N15" i="9" s="1"/>
  <c r="E16" i="10"/>
  <c r="E15" i="9" s="1"/>
  <c r="F16" i="10"/>
  <c r="F15" i="9" s="1"/>
  <c r="G16" i="10"/>
  <c r="G15" i="9" s="1"/>
  <c r="H16" i="10"/>
  <c r="H15" i="9" s="1"/>
  <c r="I16" i="10"/>
  <c r="I15" i="9" s="1"/>
  <c r="D16" i="10"/>
  <c r="N15" i="10"/>
  <c r="N13" i="9" s="1"/>
  <c r="E15" i="10"/>
  <c r="E13" i="9" s="1"/>
  <c r="F15" i="10"/>
  <c r="F13" i="9" s="1"/>
  <c r="G15" i="10"/>
  <c r="G13" i="9" s="1"/>
  <c r="H15" i="10"/>
  <c r="H13" i="9" s="1"/>
  <c r="I15" i="10"/>
  <c r="I13" i="9" s="1"/>
  <c r="D15" i="10"/>
  <c r="N17" i="10"/>
  <c r="N21" i="9" s="1"/>
  <c r="E17" i="10"/>
  <c r="E21" i="9" s="1"/>
  <c r="F17" i="10"/>
  <c r="F21" i="9" s="1"/>
  <c r="G17" i="10"/>
  <c r="G21" i="9" s="1"/>
  <c r="H17" i="10"/>
  <c r="H21" i="9" s="1"/>
  <c r="I17" i="10"/>
  <c r="I21" i="9" s="1"/>
  <c r="D17" i="10"/>
  <c r="N22" i="10"/>
  <c r="N34" i="9" s="1"/>
  <c r="N14" i="10"/>
  <c r="N17" i="9" s="1"/>
  <c r="P17" i="9" s="1"/>
  <c r="R17" i="9" s="1"/>
  <c r="N19" i="10"/>
  <c r="N18" i="9" s="1"/>
  <c r="P18" i="9" s="1"/>
  <c r="R18" i="9" s="1"/>
  <c r="N20" i="10"/>
  <c r="N19" i="9" s="1"/>
  <c r="N21" i="10"/>
  <c r="N20" i="9" s="1"/>
  <c r="N23" i="10"/>
  <c r="N35" i="9" s="1"/>
  <c r="N13" i="10"/>
  <c r="N224" i="8"/>
  <c r="N223" i="8"/>
  <c r="N221" i="8"/>
  <c r="N220" i="8"/>
  <c r="N219" i="8"/>
  <c r="N218" i="8"/>
  <c r="N217" i="8"/>
  <c r="N216" i="8"/>
  <c r="N215" i="8"/>
  <c r="N213" i="8"/>
  <c r="N212" i="8"/>
  <c r="N211" i="8"/>
  <c r="N209" i="8"/>
  <c r="N208" i="8"/>
  <c r="N206" i="8"/>
  <c r="N204" i="8"/>
  <c r="N203" i="8"/>
  <c r="N201" i="8"/>
  <c r="N200" i="8"/>
  <c r="N199" i="8"/>
  <c r="N198" i="8"/>
  <c r="N196" i="8"/>
  <c r="N194" i="8"/>
  <c r="N192" i="8"/>
  <c r="N191" i="8"/>
  <c r="N190" i="8"/>
  <c r="N189" i="8"/>
  <c r="N188" i="8"/>
  <c r="N187" i="8"/>
  <c r="N186" i="8"/>
  <c r="N185" i="8"/>
  <c r="N183" i="8"/>
  <c r="N182" i="8"/>
  <c r="N180" i="8"/>
  <c r="N179" i="8"/>
  <c r="N178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7" i="8"/>
  <c r="N146" i="8"/>
  <c r="N145" i="8"/>
  <c r="N144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7" i="8"/>
  <c r="N126" i="8"/>
  <c r="N125" i="8"/>
  <c r="N124" i="8"/>
  <c r="N123" i="8"/>
  <c r="N122" i="8"/>
  <c r="N121" i="8"/>
  <c r="N120" i="8"/>
  <c r="N118" i="8"/>
  <c r="N117" i="8"/>
  <c r="N116" i="8"/>
  <c r="N114" i="8"/>
  <c r="N113" i="8"/>
  <c r="N112" i="8"/>
  <c r="N111" i="8"/>
  <c r="N109" i="8"/>
  <c r="N108" i="8"/>
  <c r="N107" i="8"/>
  <c r="N106" i="8"/>
  <c r="N105" i="8"/>
  <c r="N104" i="8"/>
  <c r="N103" i="8"/>
  <c r="N101" i="8"/>
  <c r="N100" i="8"/>
  <c r="N99" i="8"/>
  <c r="N97" i="8"/>
  <c r="N96" i="8"/>
  <c r="N95" i="8"/>
  <c r="N93" i="8"/>
  <c r="N92" i="8"/>
  <c r="N91" i="8"/>
  <c r="N90" i="8"/>
  <c r="N89" i="8"/>
  <c r="N88" i="8"/>
  <c r="N87" i="8"/>
  <c r="N86" i="8"/>
  <c r="N84" i="8"/>
  <c r="N83" i="8"/>
  <c r="N82" i="8"/>
  <c r="N81" i="8"/>
  <c r="N80" i="8"/>
  <c r="N79" i="8"/>
  <c r="N78" i="8"/>
  <c r="N77" i="8"/>
  <c r="N75" i="8"/>
  <c r="N73" i="8"/>
  <c r="N72" i="8"/>
  <c r="N71" i="8"/>
  <c r="N70" i="8"/>
  <c r="N69" i="8"/>
  <c r="N68" i="8"/>
  <c r="N66" i="8"/>
  <c r="N65" i="8"/>
  <c r="N64" i="8"/>
  <c r="N63" i="8"/>
  <c r="N62" i="8"/>
  <c r="N61" i="8"/>
  <c r="N57" i="8"/>
  <c r="N56" i="8"/>
  <c r="N54" i="8"/>
  <c r="N53" i="8"/>
  <c r="N52" i="8"/>
  <c r="N51" i="8"/>
  <c r="N50" i="8"/>
  <c r="N49" i="8"/>
  <c r="N48" i="8"/>
  <c r="N47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2" i="8"/>
  <c r="N21" i="8"/>
  <c r="N20" i="8"/>
  <c r="N19" i="8"/>
  <c r="N10" i="8"/>
  <c r="N11" i="8"/>
  <c r="N12" i="8"/>
  <c r="N13" i="8"/>
  <c r="N14" i="8"/>
  <c r="N15" i="8"/>
  <c r="N16" i="8"/>
  <c r="N17" i="8"/>
  <c r="N9" i="8"/>
  <c r="L224" i="8"/>
  <c r="L223" i="8"/>
  <c r="L221" i="8"/>
  <c r="L220" i="8"/>
  <c r="L219" i="8"/>
  <c r="L218" i="8"/>
  <c r="L217" i="8"/>
  <c r="L216" i="8"/>
  <c r="L215" i="8"/>
  <c r="L213" i="8"/>
  <c r="L212" i="8"/>
  <c r="L211" i="8"/>
  <c r="L209" i="8"/>
  <c r="L208" i="8"/>
  <c r="L206" i="8"/>
  <c r="L204" i="8"/>
  <c r="L203" i="8"/>
  <c r="L201" i="8"/>
  <c r="L200" i="8"/>
  <c r="L199" i="8"/>
  <c r="L198" i="8"/>
  <c r="L196" i="8"/>
  <c r="L194" i="8"/>
  <c r="L192" i="8"/>
  <c r="L191" i="8"/>
  <c r="L190" i="8"/>
  <c r="L189" i="8"/>
  <c r="L188" i="8"/>
  <c r="L187" i="8"/>
  <c r="L186" i="8"/>
  <c r="L185" i="8"/>
  <c r="L183" i="8"/>
  <c r="L182" i="8"/>
  <c r="L180" i="8"/>
  <c r="L179" i="8"/>
  <c r="L178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7" i="8"/>
  <c r="L146" i="8"/>
  <c r="L145" i="8"/>
  <c r="L144" i="8"/>
  <c r="L142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7" i="8"/>
  <c r="L126" i="8"/>
  <c r="L125" i="8"/>
  <c r="L124" i="8"/>
  <c r="L123" i="8"/>
  <c r="L122" i="8"/>
  <c r="L121" i="8"/>
  <c r="L120" i="8"/>
  <c r="L118" i="8"/>
  <c r="L117" i="8"/>
  <c r="L116" i="8"/>
  <c r="L114" i="8"/>
  <c r="L113" i="8"/>
  <c r="L112" i="8"/>
  <c r="L111" i="8"/>
  <c r="L109" i="8"/>
  <c r="L108" i="8"/>
  <c r="L107" i="8"/>
  <c r="L106" i="8"/>
  <c r="L105" i="8"/>
  <c r="L104" i="8"/>
  <c r="L103" i="8"/>
  <c r="L101" i="8"/>
  <c r="L100" i="8"/>
  <c r="L99" i="8"/>
  <c r="L97" i="8"/>
  <c r="L96" i="8"/>
  <c r="L95" i="8"/>
  <c r="L93" i="8"/>
  <c r="L92" i="8"/>
  <c r="L91" i="8"/>
  <c r="L90" i="8"/>
  <c r="L89" i="8"/>
  <c r="L88" i="8"/>
  <c r="L87" i="8"/>
  <c r="L86" i="8"/>
  <c r="L84" i="8"/>
  <c r="L83" i="8"/>
  <c r="L82" i="8"/>
  <c r="L81" i="8"/>
  <c r="L80" i="8"/>
  <c r="L79" i="8"/>
  <c r="L78" i="8"/>
  <c r="L77" i="8"/>
  <c r="L75" i="8"/>
  <c r="L73" i="8"/>
  <c r="L72" i="8"/>
  <c r="L71" i="8"/>
  <c r="L70" i="8"/>
  <c r="L69" i="8"/>
  <c r="L68" i="8"/>
  <c r="L66" i="8"/>
  <c r="L65" i="8"/>
  <c r="L64" i="8"/>
  <c r="L63" i="8"/>
  <c r="L62" i="8"/>
  <c r="L61" i="8"/>
  <c r="L57" i="8"/>
  <c r="L56" i="8"/>
  <c r="L54" i="8"/>
  <c r="L53" i="8"/>
  <c r="L52" i="8"/>
  <c r="L51" i="8"/>
  <c r="L50" i="8"/>
  <c r="L49" i="8"/>
  <c r="L48" i="8"/>
  <c r="L47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2" i="8"/>
  <c r="L21" i="8"/>
  <c r="L20" i="8"/>
  <c r="L19" i="8"/>
  <c r="L17" i="8"/>
  <c r="L16" i="8"/>
  <c r="L15" i="8"/>
  <c r="L14" i="8"/>
  <c r="L13" i="8"/>
  <c r="L12" i="8"/>
  <c r="L11" i="8"/>
  <c r="L10" i="8"/>
  <c r="L9" i="8"/>
  <c r="I224" i="8"/>
  <c r="I223" i="8"/>
  <c r="I221" i="8"/>
  <c r="I220" i="8"/>
  <c r="I219" i="8"/>
  <c r="I218" i="8"/>
  <c r="I217" i="8"/>
  <c r="I216" i="8"/>
  <c r="I215" i="8"/>
  <c r="I213" i="8"/>
  <c r="I212" i="8"/>
  <c r="I211" i="8"/>
  <c r="I209" i="8"/>
  <c r="I208" i="8"/>
  <c r="I206" i="8"/>
  <c r="I204" i="8"/>
  <c r="I203" i="8"/>
  <c r="I201" i="8"/>
  <c r="I200" i="8"/>
  <c r="I199" i="8"/>
  <c r="I198" i="8"/>
  <c r="I196" i="8"/>
  <c r="I194" i="8"/>
  <c r="I192" i="8"/>
  <c r="I191" i="8"/>
  <c r="I190" i="8"/>
  <c r="I189" i="8"/>
  <c r="I188" i="8"/>
  <c r="I187" i="8"/>
  <c r="I186" i="8"/>
  <c r="I185" i="8"/>
  <c r="I183" i="8"/>
  <c r="I182" i="8"/>
  <c r="I180" i="8"/>
  <c r="I179" i="8"/>
  <c r="I178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7" i="8"/>
  <c r="I146" i="8"/>
  <c r="I145" i="8"/>
  <c r="I144" i="8"/>
  <c r="I142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7" i="8"/>
  <c r="I126" i="8"/>
  <c r="I125" i="8"/>
  <c r="I124" i="8"/>
  <c r="I123" i="8"/>
  <c r="I122" i="8"/>
  <c r="I121" i="8"/>
  <c r="I120" i="8"/>
  <c r="I118" i="8"/>
  <c r="I117" i="8"/>
  <c r="I116" i="8"/>
  <c r="I114" i="8"/>
  <c r="I113" i="8"/>
  <c r="I112" i="8"/>
  <c r="I111" i="8"/>
  <c r="I109" i="8"/>
  <c r="I108" i="8"/>
  <c r="I107" i="8"/>
  <c r="I106" i="8"/>
  <c r="I105" i="8"/>
  <c r="I104" i="8"/>
  <c r="I103" i="8"/>
  <c r="I101" i="8"/>
  <c r="I100" i="8"/>
  <c r="I99" i="8"/>
  <c r="I97" i="8"/>
  <c r="I96" i="8"/>
  <c r="I95" i="8"/>
  <c r="I93" i="8"/>
  <c r="I92" i="8"/>
  <c r="I91" i="8"/>
  <c r="I90" i="8"/>
  <c r="I89" i="8"/>
  <c r="I88" i="8"/>
  <c r="I87" i="8"/>
  <c r="I86" i="8"/>
  <c r="I84" i="8"/>
  <c r="I83" i="8"/>
  <c r="I82" i="8"/>
  <c r="I81" i="8"/>
  <c r="I80" i="8"/>
  <c r="I79" i="8"/>
  <c r="I78" i="8"/>
  <c r="I77" i="8"/>
  <c r="I75" i="8"/>
  <c r="I73" i="8"/>
  <c r="I72" i="8"/>
  <c r="I71" i="8"/>
  <c r="I70" i="8"/>
  <c r="I69" i="8"/>
  <c r="I68" i="8"/>
  <c r="I66" i="8"/>
  <c r="I65" i="8"/>
  <c r="I64" i="8"/>
  <c r="I63" i="8"/>
  <c r="I62" i="8"/>
  <c r="I61" i="8"/>
  <c r="I57" i="8"/>
  <c r="I56" i="8"/>
  <c r="I54" i="8"/>
  <c r="I53" i="8"/>
  <c r="I52" i="8"/>
  <c r="I51" i="8"/>
  <c r="I50" i="8"/>
  <c r="I49" i="8"/>
  <c r="I48" i="8"/>
  <c r="I47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2" i="8"/>
  <c r="I21" i="8"/>
  <c r="I20" i="8"/>
  <c r="I19" i="8"/>
  <c r="I10" i="8"/>
  <c r="I11" i="8"/>
  <c r="I12" i="8"/>
  <c r="I13" i="8"/>
  <c r="I14" i="8"/>
  <c r="I15" i="8"/>
  <c r="I16" i="8"/>
  <c r="I17" i="8"/>
  <c r="I9" i="8"/>
  <c r="L16" i="10" l="1" a="1"/>
  <c r="L16" i="10" s="1"/>
  <c r="P16" i="10" s="1"/>
  <c r="Q16" i="10" s="1"/>
  <c r="L15" i="10" a="1"/>
  <c r="L15" i="10" s="1"/>
  <c r="P15" i="10" s="1"/>
  <c r="Q15" i="10" s="1"/>
  <c r="L17" i="10" a="1"/>
  <c r="L17" i="10" s="1"/>
  <c r="P17" i="10" s="1"/>
  <c r="Q17" i="10" s="1"/>
  <c r="N16" i="9"/>
  <c r="P16" i="9" s="1"/>
  <c r="R16" i="9" s="1"/>
  <c r="N25" i="10"/>
  <c r="D15" i="9"/>
  <c r="L15" i="9" s="1" a="1"/>
  <c r="L15" i="9" s="1"/>
  <c r="D13" i="9"/>
  <c r="L13" i="9" s="1" a="1"/>
  <c r="L13" i="9" s="1"/>
  <c r="D21" i="9"/>
  <c r="L21" i="9" s="1" a="1"/>
  <c r="L21" i="9" s="1"/>
  <c r="E14" i="10" l="1"/>
  <c r="F14" i="10"/>
  <c r="F17" i="9" s="1"/>
  <c r="G14" i="10"/>
  <c r="G17" i="9" s="1"/>
  <c r="H14" i="10"/>
  <c r="H17" i="9" s="1"/>
  <c r="I14" i="10"/>
  <c r="I17" i="9" s="1"/>
  <c r="D19" i="10"/>
  <c r="E19" i="10"/>
  <c r="E18" i="9" s="1"/>
  <c r="F19" i="10"/>
  <c r="F18" i="9" s="1"/>
  <c r="G19" i="10"/>
  <c r="G18" i="9" s="1"/>
  <c r="H19" i="10"/>
  <c r="H18" i="9" s="1"/>
  <c r="I19" i="10"/>
  <c r="I18" i="9" s="1"/>
  <c r="D20" i="10"/>
  <c r="E20" i="10"/>
  <c r="E19" i="9" s="1"/>
  <c r="F20" i="10"/>
  <c r="F19" i="9" s="1"/>
  <c r="G20" i="10"/>
  <c r="G19" i="9" s="1"/>
  <c r="H20" i="10"/>
  <c r="H19" i="9" s="1"/>
  <c r="I20" i="10"/>
  <c r="I19" i="9" s="1"/>
  <c r="D21" i="10"/>
  <c r="E21" i="10"/>
  <c r="E20" i="9" s="1"/>
  <c r="F21" i="10"/>
  <c r="F20" i="9" s="1"/>
  <c r="G21" i="10"/>
  <c r="G20" i="9" s="1"/>
  <c r="I21" i="10"/>
  <c r="I20" i="9" s="1"/>
  <c r="D22" i="10"/>
  <c r="E22" i="10"/>
  <c r="E34" i="9" s="1"/>
  <c r="F22" i="10"/>
  <c r="F34" i="9" s="1"/>
  <c r="G22" i="10"/>
  <c r="G34" i="9" s="1"/>
  <c r="H22" i="10"/>
  <c r="H34" i="9" s="1"/>
  <c r="I22" i="10"/>
  <c r="I34" i="9" s="1"/>
  <c r="D23" i="10"/>
  <c r="E23" i="10"/>
  <c r="E35" i="9" s="1"/>
  <c r="F23" i="10"/>
  <c r="F35" i="9" s="1"/>
  <c r="G23" i="10"/>
  <c r="G35" i="9" s="1"/>
  <c r="H23" i="10"/>
  <c r="H35" i="9" s="1"/>
  <c r="I23" i="10"/>
  <c r="I35" i="9" s="1"/>
  <c r="E13" i="10"/>
  <c r="F13" i="10"/>
  <c r="G13" i="10"/>
  <c r="H13" i="10"/>
  <c r="I13" i="10"/>
  <c r="H46" i="13"/>
  <c r="G46" i="13"/>
  <c r="F46" i="13"/>
  <c r="E46" i="13"/>
  <c r="D46" i="13"/>
  <c r="C46" i="13"/>
  <c r="H40" i="13"/>
  <c r="G40" i="13"/>
  <c r="F40" i="13"/>
  <c r="E40" i="13"/>
  <c r="D40" i="13"/>
  <c r="C40" i="13"/>
  <c r="H23" i="13"/>
  <c r="F23" i="13"/>
  <c r="E23" i="13"/>
  <c r="C23" i="13"/>
  <c r="H39" i="12"/>
  <c r="G39" i="12"/>
  <c r="F39" i="12"/>
  <c r="E39" i="12"/>
  <c r="D39" i="12"/>
  <c r="C39" i="12"/>
  <c r="H33" i="12"/>
  <c r="G33" i="12"/>
  <c r="F33" i="12"/>
  <c r="E33" i="12"/>
  <c r="D33" i="12"/>
  <c r="C33" i="12"/>
  <c r="R29" i="11"/>
  <c r="R27" i="11"/>
  <c r="R26" i="11"/>
  <c r="R25" i="11"/>
  <c r="R24" i="11"/>
  <c r="R23" i="11"/>
  <c r="R22" i="11"/>
  <c r="R21" i="11"/>
  <c r="R20" i="11"/>
  <c r="R19" i="11"/>
  <c r="R18" i="11"/>
  <c r="R17" i="11"/>
  <c r="R16" i="11"/>
  <c r="R15" i="11"/>
  <c r="R14" i="11"/>
  <c r="R13" i="11"/>
  <c r="H31" i="11"/>
  <c r="D31" i="11"/>
  <c r="N10" i="11"/>
  <c r="R9" i="11"/>
  <c r="R10" i="11" s="1"/>
  <c r="P9" i="11"/>
  <c r="Q9" i="11" s="1"/>
  <c r="I10" i="11"/>
  <c r="H10" i="11"/>
  <c r="G10" i="11"/>
  <c r="F10" i="11"/>
  <c r="E10" i="11"/>
  <c r="D10" i="11"/>
  <c r="R7" i="11"/>
  <c r="R8" i="11" s="1"/>
  <c r="I8" i="11"/>
  <c r="H8" i="11"/>
  <c r="G8" i="11"/>
  <c r="F8" i="11"/>
  <c r="E8" i="11"/>
  <c r="D8" i="11"/>
  <c r="N10" i="10"/>
  <c r="F10" i="10"/>
  <c r="R9" i="10"/>
  <c r="R10" i="10" s="1"/>
  <c r="P9" i="10"/>
  <c r="I10" i="10"/>
  <c r="G10" i="10"/>
  <c r="E10" i="10"/>
  <c r="D10" i="10"/>
  <c r="I8" i="10"/>
  <c r="F8" i="10"/>
  <c r="E8" i="10"/>
  <c r="G8" i="10"/>
  <c r="D8" i="10"/>
  <c r="T39" i="9"/>
  <c r="O41" i="9"/>
  <c r="N41" i="9"/>
  <c r="P35" i="9"/>
  <c r="R35" i="9" s="1"/>
  <c r="P32" i="9"/>
  <c r="P30" i="9"/>
  <c r="P28" i="9"/>
  <c r="P26" i="9"/>
  <c r="P24" i="9"/>
  <c r="P22" i="9"/>
  <c r="P20" i="9"/>
  <c r="R20" i="9" s="1"/>
  <c r="P19" i="9"/>
  <c r="R19" i="9" s="1"/>
  <c r="P15" i="9"/>
  <c r="P14" i="9"/>
  <c r="P13" i="9"/>
  <c r="T9" i="9"/>
  <c r="T10" i="9" s="1"/>
  <c r="O9" i="9"/>
  <c r="O10" i="9" s="1"/>
  <c r="N9" i="9"/>
  <c r="N10" i="9" s="1"/>
  <c r="I10" i="9"/>
  <c r="G10" i="9"/>
  <c r="F10" i="9"/>
  <c r="E10" i="9"/>
  <c r="D10" i="9"/>
  <c r="T7" i="9"/>
  <c r="T8" i="9" s="1"/>
  <c r="I8" i="9"/>
  <c r="G8" i="9"/>
  <c r="F8" i="9"/>
  <c r="E8" i="9"/>
  <c r="D8" i="9"/>
  <c r="R22" i="9" l="1"/>
  <c r="S22" i="9" s="1"/>
  <c r="R30" i="9"/>
  <c r="S30" i="9" s="1"/>
  <c r="R14" i="9"/>
  <c r="S14" i="9" s="1"/>
  <c r="R26" i="9"/>
  <c r="S26" i="9" s="1"/>
  <c r="R32" i="9"/>
  <c r="S32" i="9" s="1"/>
  <c r="R15" i="9"/>
  <c r="S15" i="9" s="1"/>
  <c r="R24" i="9"/>
  <c r="S24" i="9" s="1"/>
  <c r="R28" i="9"/>
  <c r="S28" i="9" s="1"/>
  <c r="R13" i="9"/>
  <c r="S13" i="9" s="1"/>
  <c r="I16" i="9"/>
  <c r="I25" i="10"/>
  <c r="L22" i="10" a="1"/>
  <c r="L22" i="10" s="1"/>
  <c r="G16" i="9"/>
  <c r="G36" i="9" s="1"/>
  <c r="G25" i="10"/>
  <c r="L23" i="10" a="1"/>
  <c r="L23" i="10" s="1"/>
  <c r="P23" i="10" s="1"/>
  <c r="Q23" i="10" s="1"/>
  <c r="L19" i="10" a="1"/>
  <c r="L19" i="10" s="1"/>
  <c r="P19" i="10" s="1"/>
  <c r="Q19" i="10" s="1"/>
  <c r="D25" i="10"/>
  <c r="D27" i="10" s="1"/>
  <c r="D28" i="10" s="1"/>
  <c r="E16" i="9"/>
  <c r="E25" i="10"/>
  <c r="L13" i="10" a="1"/>
  <c r="L13" i="10" s="1"/>
  <c r="L20" i="10" a="1"/>
  <c r="L20" i="10" s="1"/>
  <c r="P20" i="10" s="1"/>
  <c r="Q20" i="10" s="1"/>
  <c r="H16" i="9"/>
  <c r="F16" i="9"/>
  <c r="F36" i="9" s="1"/>
  <c r="F25" i="10"/>
  <c r="L14" i="10" a="1"/>
  <c r="L14" i="10" s="1"/>
  <c r="E17" i="9"/>
  <c r="L17" i="9" s="1" a="1"/>
  <c r="L17" i="9" s="1"/>
  <c r="D34" i="9"/>
  <c r="L34" i="9" s="1" a="1"/>
  <c r="L34" i="9" s="1"/>
  <c r="D19" i="9"/>
  <c r="L19" i="9" s="1" a="1"/>
  <c r="L19" i="9" s="1"/>
  <c r="D35" i="9"/>
  <c r="L35" i="9" s="1" a="1"/>
  <c r="L35" i="9" s="1"/>
  <c r="D20" i="9"/>
  <c r="D18" i="9"/>
  <c r="L18" i="9" s="1" a="1"/>
  <c r="L18" i="9" s="1"/>
  <c r="E40" i="9"/>
  <c r="D40" i="9"/>
  <c r="D39" i="9"/>
  <c r="E39" i="9"/>
  <c r="F33" i="11"/>
  <c r="H33" i="11"/>
  <c r="D33" i="11"/>
  <c r="D34" i="11" s="1"/>
  <c r="P26" i="11"/>
  <c r="Q26" i="11" s="1"/>
  <c r="P21" i="11"/>
  <c r="Q21" i="11" s="1"/>
  <c r="G23" i="13"/>
  <c r="D23" i="13"/>
  <c r="P14" i="11"/>
  <c r="Q14" i="11" s="1"/>
  <c r="P10" i="11"/>
  <c r="Q10" i="11" s="1"/>
  <c r="P25" i="11"/>
  <c r="Q25" i="11" s="1"/>
  <c r="L31" i="11"/>
  <c r="P18" i="11"/>
  <c r="Q18" i="11" s="1"/>
  <c r="P19" i="11"/>
  <c r="Q19" i="11" s="1"/>
  <c r="P20" i="11"/>
  <c r="Q20" i="11" s="1"/>
  <c r="F31" i="11"/>
  <c r="P23" i="11"/>
  <c r="Q23" i="11" s="1"/>
  <c r="P24" i="11"/>
  <c r="Q24" i="11" s="1"/>
  <c r="P29" i="11"/>
  <c r="Q29" i="11" s="1"/>
  <c r="L7" i="11"/>
  <c r="L8" i="11" s="1"/>
  <c r="P15" i="11"/>
  <c r="Q15" i="11" s="1"/>
  <c r="G31" i="11"/>
  <c r="G33" i="11" s="1"/>
  <c r="P16" i="11"/>
  <c r="Q16" i="11" s="1"/>
  <c r="P17" i="11"/>
  <c r="Q17" i="11" s="1"/>
  <c r="P22" i="11"/>
  <c r="Q22" i="11" s="1"/>
  <c r="P27" i="11"/>
  <c r="Q27" i="11" s="1"/>
  <c r="R31" i="11"/>
  <c r="L9" i="11"/>
  <c r="L10" i="11" s="1"/>
  <c r="E31" i="11"/>
  <c r="E33" i="11" s="1"/>
  <c r="I31" i="11"/>
  <c r="I33" i="11" s="1"/>
  <c r="R20" i="10"/>
  <c r="R19" i="10"/>
  <c r="R23" i="10"/>
  <c r="R7" i="10"/>
  <c r="R8" i="10" s="1"/>
  <c r="P10" i="10"/>
  <c r="Q10" i="10" s="1"/>
  <c r="Q9" i="10"/>
  <c r="I36" i="9"/>
  <c r="P34" i="9"/>
  <c r="R34" i="9" s="1"/>
  <c r="P9" i="9"/>
  <c r="N36" i="9"/>
  <c r="N43" i="9" s="1"/>
  <c r="T40" i="9"/>
  <c r="T41" i="9" s="1"/>
  <c r="P41" i="9"/>
  <c r="L16" i="9" l="1" a="1"/>
  <c r="L16" i="9" s="1"/>
  <c r="S16" i="9" s="1"/>
  <c r="E41" i="9"/>
  <c r="I41" i="9"/>
  <c r="I43" i="9" s="1"/>
  <c r="I45" i="9" s="1"/>
  <c r="I48" i="9" s="1"/>
  <c r="R39" i="9"/>
  <c r="S39" i="9" s="1"/>
  <c r="H41" i="9"/>
  <c r="F41" i="9"/>
  <c r="R40" i="9"/>
  <c r="S40" i="9" s="1"/>
  <c r="S18" i="9"/>
  <c r="S19" i="9"/>
  <c r="D36" i="9"/>
  <c r="E36" i="9"/>
  <c r="E43" i="9" s="1"/>
  <c r="E45" i="9" s="1"/>
  <c r="E48" i="9" s="1"/>
  <c r="S35" i="9"/>
  <c r="S17" i="9"/>
  <c r="P13" i="10"/>
  <c r="Q13" i="10" s="1"/>
  <c r="G41" i="9"/>
  <c r="G43" i="9" s="1"/>
  <c r="G45" i="9" s="1"/>
  <c r="G48" i="9" s="1"/>
  <c r="L33" i="11"/>
  <c r="F43" i="9"/>
  <c r="F45" i="9" s="1"/>
  <c r="F48" i="9" s="1"/>
  <c r="D41" i="9"/>
  <c r="S34" i="9"/>
  <c r="R22" i="10"/>
  <c r="P22" i="10"/>
  <c r="Q22" i="10" s="1"/>
  <c r="R14" i="10"/>
  <c r="P14" i="10"/>
  <c r="Q14" i="10" s="1"/>
  <c r="R21" i="10"/>
  <c r="E27" i="10"/>
  <c r="E28" i="10" s="1"/>
  <c r="P13" i="11"/>
  <c r="Q13" i="11" s="1"/>
  <c r="P31" i="11"/>
  <c r="Q31" i="11" s="1"/>
  <c r="T36" i="9"/>
  <c r="P10" i="9"/>
  <c r="R9" i="9"/>
  <c r="D43" i="9" l="1"/>
  <c r="D45" i="9" s="1"/>
  <c r="L41" i="9"/>
  <c r="R41" i="9" s="1"/>
  <c r="S41" i="9" s="1"/>
  <c r="G27" i="10"/>
  <c r="F27" i="10"/>
  <c r="E34" i="11"/>
  <c r="F34" i="11" s="1"/>
  <c r="G34" i="11" s="1"/>
  <c r="H34" i="11" s="1"/>
  <c r="I34" i="11" s="1"/>
  <c r="J34" i="11" s="1"/>
  <c r="S9" i="9"/>
  <c r="R10" i="9"/>
  <c r="S10" i="9" s="1"/>
  <c r="D48" i="9" l="1"/>
  <c r="D49" i="9" s="1"/>
  <c r="E49" i="9" s="1"/>
  <c r="F49" i="9" s="1"/>
  <c r="G49" i="9" s="1"/>
  <c r="D46" i="9"/>
  <c r="E46" i="9" s="1"/>
  <c r="F46" i="9" s="1"/>
  <c r="G46" i="9" s="1"/>
  <c r="F28" i="10"/>
  <c r="G28" i="10" s="1"/>
  <c r="I27" i="10"/>
  <c r="R13" i="10" l="1"/>
  <c r="R25" i="10" s="1"/>
  <c r="M221" i="8" l="1"/>
  <c r="K221" i="8"/>
  <c r="G221" i="8"/>
  <c r="J220" i="8"/>
  <c r="M219" i="8"/>
  <c r="K219" i="8"/>
  <c r="G219" i="8"/>
  <c r="M218" i="8"/>
  <c r="K218" i="8"/>
  <c r="H218" i="8"/>
  <c r="M217" i="8"/>
  <c r="K217" i="8"/>
  <c r="H217" i="8"/>
  <c r="J216" i="8"/>
  <c r="J215" i="8"/>
  <c r="J224" i="8"/>
  <c r="J223" i="8"/>
  <c r="J57" i="8"/>
  <c r="J56" i="8"/>
  <c r="M54" i="8"/>
  <c r="K54" i="8"/>
  <c r="G54" i="8"/>
  <c r="J53" i="8"/>
  <c r="M52" i="8"/>
  <c r="K52" i="8"/>
  <c r="H52" i="8"/>
  <c r="M51" i="8"/>
  <c r="K51" i="8"/>
  <c r="H51" i="8"/>
  <c r="M50" i="8"/>
  <c r="K50" i="8"/>
  <c r="J50" i="8"/>
  <c r="G50" i="8"/>
  <c r="J49" i="8"/>
  <c r="J48" i="8"/>
  <c r="J47" i="8"/>
  <c r="P25" i="9" l="1"/>
  <c r="P31" i="9"/>
  <c r="P29" i="9"/>
  <c r="P27" i="9"/>
  <c r="P23" i="9"/>
  <c r="R23" i="9" s="1"/>
  <c r="R29" i="9" l="1"/>
  <c r="S29" i="9" s="1"/>
  <c r="R27" i="9"/>
  <c r="S27" i="9" s="1"/>
  <c r="R31" i="9"/>
  <c r="S31" i="9" s="1"/>
  <c r="R25" i="9"/>
  <c r="S25" i="9" s="1"/>
  <c r="S23" i="9"/>
  <c r="P21" i="9"/>
  <c r="O36" i="9"/>
  <c r="O43" i="9" s="1"/>
  <c r="R21" i="9" l="1"/>
  <c r="S21" i="9" s="1"/>
  <c r="P36" i="9"/>
  <c r="P43" i="9" l="1"/>
  <c r="S233" i="8" l="1"/>
  <c r="Q233" i="8"/>
  <c r="S232" i="8"/>
  <c r="Q232" i="8"/>
  <c r="Q234" i="8" s="1"/>
  <c r="Q225" i="8"/>
  <c r="B144" i="8"/>
  <c r="B120" i="8"/>
  <c r="Q58" i="8"/>
  <c r="R4" i="8"/>
  <c r="Q4" i="8"/>
  <c r="R225" i="8" l="1"/>
  <c r="R58" i="8"/>
  <c r="G33" i="6" l="1"/>
  <c r="G32" i="6"/>
  <c r="G31" i="6"/>
  <c r="G30" i="6"/>
  <c r="H30" i="6" s="1"/>
  <c r="G29" i="6"/>
  <c r="H29" i="6" s="1"/>
  <c r="G28" i="6"/>
  <c r="H28" i="6" s="1"/>
  <c r="G27" i="6"/>
  <c r="H27" i="6" s="1"/>
  <c r="G20" i="6"/>
  <c r="H20" i="6" s="1"/>
  <c r="G19" i="6"/>
  <c r="H19" i="6" s="1"/>
  <c r="E27" i="7"/>
  <c r="E26" i="7"/>
  <c r="M22" i="7"/>
  <c r="H19" i="7"/>
  <c r="G18" i="7"/>
  <c r="H17" i="7"/>
  <c r="H16" i="7"/>
  <c r="K16" i="7" s="1"/>
  <c r="E50" i="6"/>
  <c r="E49" i="6"/>
  <c r="E42" i="6"/>
  <c r="H35" i="6"/>
  <c r="H33" i="6"/>
  <c r="H32" i="6"/>
  <c r="H31" i="6"/>
  <c r="M36" i="6"/>
  <c r="G25" i="6"/>
  <c r="H25" i="6" s="1"/>
  <c r="G24" i="6"/>
  <c r="G23" i="6"/>
  <c r="G22" i="6"/>
  <c r="H22" i="6" s="1"/>
  <c r="G21" i="6"/>
  <c r="H21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F36" i="6"/>
  <c r="E41" i="6"/>
  <c r="E52" i="6" l="1"/>
  <c r="H18" i="7"/>
  <c r="H24" i="6"/>
  <c r="E36" i="6"/>
  <c r="H23" i="6"/>
  <c r="G9" i="6"/>
  <c r="H9" i="6" s="1"/>
  <c r="G10" i="6"/>
  <c r="H10" i="6" s="1"/>
  <c r="G26" i="6"/>
  <c r="H26" i="6" s="1"/>
  <c r="H36" i="6" l="1"/>
  <c r="G36" i="6"/>
  <c r="H15" i="7"/>
  <c r="M39" i="6" l="1"/>
  <c r="H39" i="6"/>
  <c r="G33" i="7"/>
  <c r="H14" i="7"/>
  <c r="F227" i="5" l="1"/>
  <c r="F226" i="5"/>
  <c r="G225" i="5" s="1"/>
  <c r="F224" i="5"/>
  <c r="F223" i="5"/>
  <c r="F222" i="5"/>
  <c r="F221" i="5"/>
  <c r="F220" i="5"/>
  <c r="F219" i="5"/>
  <c r="F218" i="5"/>
  <c r="F217" i="5"/>
  <c r="F216" i="5"/>
  <c r="F214" i="5"/>
  <c r="F213" i="5"/>
  <c r="F212" i="5"/>
  <c r="F210" i="5"/>
  <c r="F209" i="5"/>
  <c r="G208" i="5"/>
  <c r="F207" i="5"/>
  <c r="G206" i="5" s="1"/>
  <c r="F205" i="5"/>
  <c r="G203" i="5" s="1"/>
  <c r="F204" i="5"/>
  <c r="F202" i="5"/>
  <c r="F201" i="5"/>
  <c r="F200" i="5"/>
  <c r="F199" i="5"/>
  <c r="F197" i="5"/>
  <c r="G196" i="5" s="1"/>
  <c r="F195" i="5"/>
  <c r="G194" i="5" s="1"/>
  <c r="F193" i="5"/>
  <c r="F192" i="5"/>
  <c r="F191" i="5"/>
  <c r="F190" i="5"/>
  <c r="F189" i="5"/>
  <c r="F188" i="5"/>
  <c r="F187" i="5"/>
  <c r="F186" i="5"/>
  <c r="F184" i="5"/>
  <c r="F183" i="5"/>
  <c r="G182" i="5" s="1"/>
  <c r="F181" i="5"/>
  <c r="G178" i="5" s="1"/>
  <c r="F180" i="5"/>
  <c r="F179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8" i="5"/>
  <c r="F147" i="5"/>
  <c r="F146" i="5"/>
  <c r="F145" i="5"/>
  <c r="A145" i="5"/>
  <c r="F143" i="5"/>
  <c r="G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8" i="5"/>
  <c r="F127" i="5"/>
  <c r="F126" i="5"/>
  <c r="F125" i="5"/>
  <c r="F124" i="5"/>
  <c r="F123" i="5"/>
  <c r="F122" i="5"/>
  <c r="F121" i="5"/>
  <c r="A121" i="5"/>
  <c r="F119" i="5"/>
  <c r="F118" i="5"/>
  <c r="F117" i="5"/>
  <c r="G116" i="5" s="1"/>
  <c r="F115" i="5"/>
  <c r="F114" i="5"/>
  <c r="F113" i="5"/>
  <c r="F112" i="5"/>
  <c r="G111" i="5" s="1"/>
  <c r="F110" i="5"/>
  <c r="F109" i="5"/>
  <c r="F108" i="5"/>
  <c r="F107" i="5"/>
  <c r="F106" i="5"/>
  <c r="F105" i="5"/>
  <c r="F104" i="5"/>
  <c r="F102" i="5"/>
  <c r="F101" i="5"/>
  <c r="F100" i="5"/>
  <c r="F98" i="5"/>
  <c r="F97" i="5"/>
  <c r="F96" i="5"/>
  <c r="F94" i="5"/>
  <c r="F93" i="5"/>
  <c r="F92" i="5"/>
  <c r="F91" i="5"/>
  <c r="F90" i="5"/>
  <c r="F89" i="5"/>
  <c r="F88" i="5"/>
  <c r="F87" i="5"/>
  <c r="F85" i="5"/>
  <c r="F84" i="5"/>
  <c r="F83" i="5"/>
  <c r="F82" i="5"/>
  <c r="F81" i="5"/>
  <c r="F80" i="5"/>
  <c r="F79" i="5"/>
  <c r="F78" i="5"/>
  <c r="F76" i="5"/>
  <c r="G75" i="5"/>
  <c r="F74" i="5"/>
  <c r="F73" i="5"/>
  <c r="F72" i="5"/>
  <c r="F71" i="5"/>
  <c r="F70" i="5"/>
  <c r="F69" i="5"/>
  <c r="F67" i="5"/>
  <c r="F66" i="5"/>
  <c r="F65" i="5"/>
  <c r="F64" i="5"/>
  <c r="F63" i="5"/>
  <c r="F62" i="5"/>
  <c r="F58" i="5"/>
  <c r="F57" i="5"/>
  <c r="F55" i="5"/>
  <c r="F54" i="5"/>
  <c r="F53" i="5"/>
  <c r="F52" i="5"/>
  <c r="F51" i="5"/>
  <c r="F50" i="5"/>
  <c r="F49" i="5"/>
  <c r="F48" i="5"/>
  <c r="F47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2" i="5"/>
  <c r="F21" i="5"/>
  <c r="F20" i="5"/>
  <c r="F19" i="5"/>
  <c r="G18" i="5" s="1"/>
  <c r="F17" i="5"/>
  <c r="F16" i="5"/>
  <c r="F15" i="5"/>
  <c r="F14" i="5"/>
  <c r="F13" i="5"/>
  <c r="F12" i="5"/>
  <c r="F11" i="5"/>
  <c r="F10" i="5"/>
  <c r="F9" i="5"/>
  <c r="G2" i="5"/>
  <c r="F2" i="5"/>
  <c r="E265" i="4"/>
  <c r="E258" i="4"/>
  <c r="S254" i="4"/>
  <c r="Q254" i="4"/>
  <c r="P254" i="4"/>
  <c r="N254" i="4"/>
  <c r="K254" i="4"/>
  <c r="H254" i="4"/>
  <c r="M254" i="4" s="1"/>
  <c r="U254" i="4" s="1"/>
  <c r="V254" i="4" s="1"/>
  <c r="F254" i="4"/>
  <c r="E254" i="4"/>
  <c r="R254" i="4" s="1"/>
  <c r="S253" i="4"/>
  <c r="Q253" i="4"/>
  <c r="P253" i="4"/>
  <c r="N253" i="4"/>
  <c r="K253" i="4"/>
  <c r="F253" i="4"/>
  <c r="G253" i="4" s="1"/>
  <c r="E253" i="4"/>
  <c r="R253" i="4" s="1"/>
  <c r="Q252" i="4"/>
  <c r="O252" i="4"/>
  <c r="N252" i="4"/>
  <c r="S252" i="4" s="1"/>
  <c r="K252" i="4"/>
  <c r="H252" i="4"/>
  <c r="M252" i="4" s="1"/>
  <c r="U252" i="4" s="1"/>
  <c r="V252" i="4" s="1"/>
  <c r="F252" i="4"/>
  <c r="E252" i="4"/>
  <c r="R252" i="4" s="1"/>
  <c r="N251" i="4"/>
  <c r="S251" i="4" s="1"/>
  <c r="K251" i="4"/>
  <c r="H251" i="4"/>
  <c r="M251" i="4" s="1"/>
  <c r="U251" i="4" s="1"/>
  <c r="V251" i="4" s="1"/>
  <c r="F251" i="4"/>
  <c r="E251" i="4"/>
  <c r="R251" i="4" s="1"/>
  <c r="K250" i="4"/>
  <c r="H250" i="4"/>
  <c r="M250" i="4" s="1"/>
  <c r="U250" i="4" s="1"/>
  <c r="V250" i="4" s="1"/>
  <c r="F250" i="4"/>
  <c r="E250" i="4"/>
  <c r="O250" i="4" s="1"/>
  <c r="S249" i="4"/>
  <c r="R249" i="4"/>
  <c r="P249" i="4"/>
  <c r="N249" i="4"/>
  <c r="M249" i="4"/>
  <c r="U249" i="4" s="1"/>
  <c r="V249" i="4" s="1"/>
  <c r="K249" i="4"/>
  <c r="H249" i="4"/>
  <c r="F249" i="4"/>
  <c r="E249" i="4"/>
  <c r="Q249" i="4" s="1"/>
  <c r="R248" i="4"/>
  <c r="P248" i="4"/>
  <c r="O248" i="4"/>
  <c r="K248" i="4"/>
  <c r="F248" i="4"/>
  <c r="N248" i="4" s="1"/>
  <c r="S248" i="4" s="1"/>
  <c r="T247" i="4" s="1"/>
  <c r="E248" i="4"/>
  <c r="Q248" i="4" s="1"/>
  <c r="R246" i="4"/>
  <c r="Q246" i="4"/>
  <c r="P246" i="4"/>
  <c r="O246" i="4"/>
  <c r="K246" i="4"/>
  <c r="F246" i="4"/>
  <c r="N246" i="4" s="1"/>
  <c r="S246" i="4" s="1"/>
  <c r="R245" i="4"/>
  <c r="Q245" i="4"/>
  <c r="P245" i="4"/>
  <c r="O245" i="4"/>
  <c r="K245" i="4"/>
  <c r="F245" i="4"/>
  <c r="N245" i="4" s="1"/>
  <c r="R244" i="4"/>
  <c r="Q244" i="4"/>
  <c r="P244" i="4"/>
  <c r="O244" i="4"/>
  <c r="K244" i="4"/>
  <c r="F244" i="4"/>
  <c r="N244" i="4" s="1"/>
  <c r="S244" i="4" s="1"/>
  <c r="K243" i="4"/>
  <c r="F243" i="4"/>
  <c r="H243" i="4" s="1"/>
  <c r="M243" i="4" s="1"/>
  <c r="U243" i="4" s="1"/>
  <c r="E243" i="4"/>
  <c r="S242" i="4"/>
  <c r="Q242" i="4"/>
  <c r="P242" i="4"/>
  <c r="O242" i="4"/>
  <c r="K242" i="4"/>
  <c r="H242" i="4"/>
  <c r="M242" i="4" s="1"/>
  <c r="U242" i="4" s="1"/>
  <c r="V242" i="4" s="1"/>
  <c r="F242" i="4"/>
  <c r="N242" i="4" s="1"/>
  <c r="E242" i="4"/>
  <c r="R242" i="4" s="1"/>
  <c r="Q241" i="4"/>
  <c r="P241" i="4"/>
  <c r="K241" i="4"/>
  <c r="F241" i="4"/>
  <c r="N241" i="4" s="1"/>
  <c r="E241" i="4"/>
  <c r="R241" i="4" s="1"/>
  <c r="Q240" i="4"/>
  <c r="P240" i="4"/>
  <c r="K240" i="4"/>
  <c r="F240" i="4"/>
  <c r="N240" i="4" s="1"/>
  <c r="E240" i="4"/>
  <c r="R238" i="4"/>
  <c r="Q238" i="4"/>
  <c r="P238" i="4"/>
  <c r="O238" i="4"/>
  <c r="K238" i="4"/>
  <c r="F238" i="4"/>
  <c r="S237" i="4"/>
  <c r="R237" i="4"/>
  <c r="Q237" i="4"/>
  <c r="P237" i="4"/>
  <c r="O237" i="4"/>
  <c r="K237" i="4"/>
  <c r="F237" i="4"/>
  <c r="N237" i="4" s="1"/>
  <c r="R236" i="4"/>
  <c r="Q236" i="4"/>
  <c r="P236" i="4"/>
  <c r="O236" i="4"/>
  <c r="K236" i="4"/>
  <c r="M236" i="4" s="1"/>
  <c r="U236" i="4" s="1"/>
  <c r="V236" i="4" s="1"/>
  <c r="F236" i="4"/>
  <c r="H236" i="4" s="1"/>
  <c r="V235" i="4"/>
  <c r="R235" i="4"/>
  <c r="Q235" i="4"/>
  <c r="P235" i="4"/>
  <c r="O235" i="4"/>
  <c r="N235" i="4"/>
  <c r="K235" i="4"/>
  <c r="H235" i="4"/>
  <c r="M235" i="4" s="1"/>
  <c r="U235" i="4" s="1"/>
  <c r="F235" i="4"/>
  <c r="R234" i="4"/>
  <c r="Q234" i="4"/>
  <c r="P234" i="4"/>
  <c r="O234" i="4"/>
  <c r="N234" i="4"/>
  <c r="K234" i="4"/>
  <c r="F234" i="4"/>
  <c r="H234" i="4" s="1"/>
  <c r="M234" i="4" s="1"/>
  <c r="U234" i="4" s="1"/>
  <c r="V234" i="4" s="1"/>
  <c r="R233" i="4"/>
  <c r="Q233" i="4"/>
  <c r="P233" i="4"/>
  <c r="O233" i="4"/>
  <c r="K233" i="4"/>
  <c r="F233" i="4"/>
  <c r="R232" i="4"/>
  <c r="Q232" i="4"/>
  <c r="P232" i="4"/>
  <c r="O232" i="4"/>
  <c r="K232" i="4"/>
  <c r="F232" i="4"/>
  <c r="H232" i="4" s="1"/>
  <c r="M232" i="4" s="1"/>
  <c r="U232" i="4" s="1"/>
  <c r="V232" i="4" s="1"/>
  <c r="R231" i="4"/>
  <c r="Q231" i="4"/>
  <c r="P231" i="4"/>
  <c r="O231" i="4"/>
  <c r="N231" i="4"/>
  <c r="S231" i="4" s="1"/>
  <c r="K231" i="4"/>
  <c r="F231" i="4"/>
  <c r="H231" i="4" s="1"/>
  <c r="M231" i="4" s="1"/>
  <c r="U231" i="4" s="1"/>
  <c r="V231" i="4" s="1"/>
  <c r="R229" i="4"/>
  <c r="Q229" i="4"/>
  <c r="P229" i="4"/>
  <c r="O229" i="4"/>
  <c r="N229" i="4"/>
  <c r="S229" i="4" s="1"/>
  <c r="K229" i="4"/>
  <c r="H229" i="4"/>
  <c r="R228" i="4"/>
  <c r="Q228" i="4"/>
  <c r="P228" i="4"/>
  <c r="O228" i="4"/>
  <c r="N228" i="4"/>
  <c r="S228" i="4" s="1"/>
  <c r="K228" i="4"/>
  <c r="H228" i="4"/>
  <c r="R227" i="4"/>
  <c r="Q227" i="4"/>
  <c r="P227" i="4"/>
  <c r="O227" i="4"/>
  <c r="N227" i="4"/>
  <c r="K227" i="4"/>
  <c r="H227" i="4"/>
  <c r="M227" i="4" s="1"/>
  <c r="U227" i="4" s="1"/>
  <c r="V227" i="4" s="1"/>
  <c r="R226" i="4"/>
  <c r="Q226" i="4"/>
  <c r="P226" i="4"/>
  <c r="O226" i="4"/>
  <c r="N226" i="4"/>
  <c r="K226" i="4"/>
  <c r="H226" i="4"/>
  <c r="R225" i="4"/>
  <c r="Q225" i="4"/>
  <c r="P225" i="4"/>
  <c r="O225" i="4"/>
  <c r="N225" i="4"/>
  <c r="K225" i="4"/>
  <c r="H225" i="4"/>
  <c r="M225" i="4" s="1"/>
  <c r="U225" i="4" s="1"/>
  <c r="V225" i="4" s="1"/>
  <c r="R224" i="4"/>
  <c r="Q224" i="4"/>
  <c r="P224" i="4"/>
  <c r="O224" i="4"/>
  <c r="N224" i="4"/>
  <c r="K224" i="4"/>
  <c r="H224" i="4"/>
  <c r="M224" i="4" s="1"/>
  <c r="U224" i="4" s="1"/>
  <c r="V224" i="4" s="1"/>
  <c r="R223" i="4"/>
  <c r="Q223" i="4"/>
  <c r="P223" i="4"/>
  <c r="O223" i="4"/>
  <c r="S223" i="4" s="1"/>
  <c r="N223" i="4"/>
  <c r="K223" i="4"/>
  <c r="H223" i="4"/>
  <c r="R221" i="4"/>
  <c r="Q221" i="4"/>
  <c r="P221" i="4"/>
  <c r="O221" i="4"/>
  <c r="K221" i="4"/>
  <c r="F221" i="4"/>
  <c r="R220" i="4"/>
  <c r="Q220" i="4"/>
  <c r="P220" i="4"/>
  <c r="O220" i="4"/>
  <c r="K220" i="4"/>
  <c r="F220" i="4"/>
  <c r="N220" i="4" s="1"/>
  <c r="E215" i="4"/>
  <c r="Y207" i="4" s="1"/>
  <c r="R212" i="4"/>
  <c r="Q212" i="4"/>
  <c r="O212" i="4"/>
  <c r="N212" i="4"/>
  <c r="I212" i="4"/>
  <c r="H212" i="4"/>
  <c r="E212" i="4"/>
  <c r="R211" i="4"/>
  <c r="Q211" i="4"/>
  <c r="O211" i="4"/>
  <c r="N211" i="4"/>
  <c r="I211" i="4"/>
  <c r="H211" i="4"/>
  <c r="E211" i="4"/>
  <c r="P209" i="4"/>
  <c r="N209" i="4"/>
  <c r="J209" i="4"/>
  <c r="I209" i="4"/>
  <c r="G209" i="4"/>
  <c r="F209" i="4"/>
  <c r="E209" i="4"/>
  <c r="R208" i="4"/>
  <c r="Q208" i="4"/>
  <c r="P208" i="4"/>
  <c r="O208" i="4"/>
  <c r="N208" i="4"/>
  <c r="K208" i="4"/>
  <c r="H208" i="4"/>
  <c r="M208" i="4" s="1"/>
  <c r="E208" i="4"/>
  <c r="Q207" i="4"/>
  <c r="P207" i="4"/>
  <c r="N207" i="4"/>
  <c r="K207" i="4"/>
  <c r="J207" i="4"/>
  <c r="I207" i="4"/>
  <c r="G207" i="4"/>
  <c r="O207" i="4" s="1"/>
  <c r="F207" i="4"/>
  <c r="Q206" i="4"/>
  <c r="O206" i="4"/>
  <c r="J206" i="4"/>
  <c r="I206" i="4"/>
  <c r="K206" i="4" s="1"/>
  <c r="H206" i="4"/>
  <c r="G206" i="4"/>
  <c r="F206" i="4"/>
  <c r="E206" i="4"/>
  <c r="Y205" i="4"/>
  <c r="Q205" i="4"/>
  <c r="P205" i="4"/>
  <c r="J205" i="4"/>
  <c r="I205" i="4"/>
  <c r="K205" i="4" s="1"/>
  <c r="L205" i="4" s="1"/>
  <c r="R205" i="4" s="1"/>
  <c r="H205" i="4"/>
  <c r="G205" i="4"/>
  <c r="F205" i="4"/>
  <c r="E205" i="4"/>
  <c r="O205" i="4" s="1"/>
  <c r="Q204" i="4"/>
  <c r="P204" i="4"/>
  <c r="N204" i="4"/>
  <c r="J204" i="4"/>
  <c r="I204" i="4"/>
  <c r="K204" i="4" s="1"/>
  <c r="G204" i="4"/>
  <c r="O204" i="4" s="1"/>
  <c r="F204" i="4"/>
  <c r="M203" i="4"/>
  <c r="I203" i="4"/>
  <c r="K203" i="4" s="1"/>
  <c r="H203" i="4"/>
  <c r="E203" i="4"/>
  <c r="R202" i="4"/>
  <c r="Q202" i="4"/>
  <c r="O202" i="4"/>
  <c r="N202" i="4"/>
  <c r="I202" i="4"/>
  <c r="H202" i="4"/>
  <c r="E202" i="4"/>
  <c r="R201" i="4"/>
  <c r="Q201" i="4"/>
  <c r="P201" i="4"/>
  <c r="O201" i="4"/>
  <c r="N201" i="4"/>
  <c r="K201" i="4"/>
  <c r="I201" i="4"/>
  <c r="H201" i="4"/>
  <c r="E201" i="4"/>
  <c r="P199" i="4"/>
  <c r="O199" i="4"/>
  <c r="N199" i="4"/>
  <c r="J199" i="4"/>
  <c r="I199" i="4"/>
  <c r="H199" i="4"/>
  <c r="G199" i="4"/>
  <c r="F199" i="4"/>
  <c r="P198" i="4"/>
  <c r="N198" i="4"/>
  <c r="J198" i="4"/>
  <c r="I198" i="4"/>
  <c r="G198" i="4"/>
  <c r="F198" i="4"/>
  <c r="P197" i="4"/>
  <c r="N197" i="4"/>
  <c r="J197" i="4"/>
  <c r="Q197" i="4" s="1"/>
  <c r="I197" i="4"/>
  <c r="G197" i="4"/>
  <c r="F197" i="4"/>
  <c r="R195" i="4"/>
  <c r="Q195" i="4"/>
  <c r="P195" i="4"/>
  <c r="O195" i="4"/>
  <c r="N195" i="4"/>
  <c r="S195" i="4" s="1"/>
  <c r="K195" i="4"/>
  <c r="H195" i="4"/>
  <c r="M195" i="4" s="1"/>
  <c r="R194" i="4"/>
  <c r="Q194" i="4"/>
  <c r="O194" i="4"/>
  <c r="N194" i="4"/>
  <c r="K194" i="4"/>
  <c r="I194" i="4"/>
  <c r="H194" i="4"/>
  <c r="M194" i="4" s="1"/>
  <c r="E194" i="4"/>
  <c r="P194" i="4" s="1"/>
  <c r="R192" i="4"/>
  <c r="Q192" i="4"/>
  <c r="P192" i="4"/>
  <c r="O192" i="4"/>
  <c r="N192" i="4"/>
  <c r="K192" i="4"/>
  <c r="M192" i="4" s="1"/>
  <c r="U192" i="4" s="1"/>
  <c r="V192" i="4" s="1"/>
  <c r="W191" i="4" s="1"/>
  <c r="H192" i="4"/>
  <c r="R190" i="4"/>
  <c r="Q190" i="4"/>
  <c r="P190" i="4"/>
  <c r="O190" i="4"/>
  <c r="N190" i="4"/>
  <c r="I190" i="4"/>
  <c r="K190" i="4" s="1"/>
  <c r="H190" i="4"/>
  <c r="R189" i="4"/>
  <c r="P189" i="4"/>
  <c r="O189" i="4"/>
  <c r="I189" i="4"/>
  <c r="K189" i="4" s="1"/>
  <c r="F189" i="4"/>
  <c r="E189" i="4"/>
  <c r="Q189" i="4" s="1"/>
  <c r="R187" i="4"/>
  <c r="Q187" i="4"/>
  <c r="O187" i="4"/>
  <c r="N187" i="4"/>
  <c r="I187" i="4"/>
  <c r="K187" i="4" s="1"/>
  <c r="M187" i="4" s="1"/>
  <c r="H187" i="4"/>
  <c r="S186" i="4"/>
  <c r="R186" i="4"/>
  <c r="Q186" i="4"/>
  <c r="P186" i="4"/>
  <c r="O186" i="4"/>
  <c r="N186" i="4"/>
  <c r="M186" i="4"/>
  <c r="K186" i="4"/>
  <c r="I186" i="4"/>
  <c r="H186" i="4"/>
  <c r="Q185" i="4"/>
  <c r="P185" i="4"/>
  <c r="O185" i="4"/>
  <c r="K185" i="4"/>
  <c r="I185" i="4"/>
  <c r="F185" i="4"/>
  <c r="N185" i="4" s="1"/>
  <c r="Q184" i="4"/>
  <c r="P184" i="4"/>
  <c r="O184" i="4"/>
  <c r="N184" i="4"/>
  <c r="I184" i="4"/>
  <c r="K184" i="4" s="1"/>
  <c r="H184" i="4"/>
  <c r="F184" i="4"/>
  <c r="Q182" i="4"/>
  <c r="P182" i="4"/>
  <c r="O182" i="4"/>
  <c r="N182" i="4"/>
  <c r="I182" i="4"/>
  <c r="AD166" i="4" s="1"/>
  <c r="F182" i="4"/>
  <c r="H182" i="4" s="1"/>
  <c r="Q180" i="4"/>
  <c r="P180" i="4"/>
  <c r="O180" i="4"/>
  <c r="K180" i="4"/>
  <c r="I180" i="4"/>
  <c r="F180" i="4"/>
  <c r="Q178" i="4"/>
  <c r="O178" i="4"/>
  <c r="I178" i="4"/>
  <c r="K178" i="4" s="1"/>
  <c r="Q177" i="4"/>
  <c r="P177" i="4"/>
  <c r="O177" i="4"/>
  <c r="K177" i="4"/>
  <c r="I177" i="4"/>
  <c r="F177" i="4"/>
  <c r="H177" i="4" s="1"/>
  <c r="Q176" i="4"/>
  <c r="P176" i="4"/>
  <c r="O176" i="4"/>
  <c r="N176" i="4"/>
  <c r="L176" i="4"/>
  <c r="R176" i="4" s="1"/>
  <c r="K176" i="4"/>
  <c r="H176" i="4"/>
  <c r="Q175" i="4"/>
  <c r="O175" i="4"/>
  <c r="I175" i="4"/>
  <c r="P175" i="4" s="1"/>
  <c r="F175" i="4"/>
  <c r="Q174" i="4"/>
  <c r="P174" i="4"/>
  <c r="O174" i="4"/>
  <c r="K174" i="4"/>
  <c r="L174" i="4" s="1"/>
  <c r="R174" i="4" s="1"/>
  <c r="I174" i="4"/>
  <c r="H174" i="4"/>
  <c r="F174" i="4"/>
  <c r="N174" i="4" s="1"/>
  <c r="Q173" i="4"/>
  <c r="P173" i="4"/>
  <c r="O173" i="4"/>
  <c r="N173" i="4"/>
  <c r="K173" i="4"/>
  <c r="I173" i="4"/>
  <c r="H173" i="4"/>
  <c r="F173" i="4"/>
  <c r="F178" i="4" s="1"/>
  <c r="N178" i="4" s="1"/>
  <c r="Q172" i="4"/>
  <c r="P172" i="4"/>
  <c r="O172" i="4"/>
  <c r="N172" i="4"/>
  <c r="K172" i="4"/>
  <c r="I172" i="4"/>
  <c r="F172" i="4"/>
  <c r="H172" i="4" s="1"/>
  <c r="Q171" i="4"/>
  <c r="P171" i="4"/>
  <c r="O171" i="4"/>
  <c r="N171" i="4"/>
  <c r="I171" i="4"/>
  <c r="K171" i="4" s="1"/>
  <c r="H171" i="4"/>
  <c r="F171" i="4"/>
  <c r="Z169" i="4"/>
  <c r="Q169" i="4"/>
  <c r="O169" i="4"/>
  <c r="K169" i="4"/>
  <c r="I169" i="4"/>
  <c r="P169" i="4" s="1"/>
  <c r="H169" i="4"/>
  <c r="L169" i="4" s="1"/>
  <c r="R169" i="4" s="1"/>
  <c r="F169" i="4"/>
  <c r="N169" i="4" s="1"/>
  <c r="Q168" i="4"/>
  <c r="P168" i="4"/>
  <c r="O168" i="4"/>
  <c r="K168" i="4"/>
  <c r="I168" i="4"/>
  <c r="F168" i="4"/>
  <c r="AA166" i="4"/>
  <c r="AC166" i="4" s="1"/>
  <c r="Q166" i="4"/>
  <c r="P166" i="4"/>
  <c r="O166" i="4"/>
  <c r="K166" i="4"/>
  <c r="I166" i="4"/>
  <c r="H166" i="4"/>
  <c r="F166" i="4"/>
  <c r="N166" i="4" s="1"/>
  <c r="AD165" i="4"/>
  <c r="Q165" i="4"/>
  <c r="O165" i="4"/>
  <c r="I165" i="4"/>
  <c r="AD164" i="4" s="1"/>
  <c r="F165" i="4"/>
  <c r="Q164" i="4"/>
  <c r="O164" i="4"/>
  <c r="I164" i="4"/>
  <c r="K164" i="4" s="1"/>
  <c r="F164" i="4"/>
  <c r="N164" i="4" s="1"/>
  <c r="AA162" i="4"/>
  <c r="AA165" i="4" s="1"/>
  <c r="AC165" i="4" s="1"/>
  <c r="R161" i="4"/>
  <c r="Q161" i="4"/>
  <c r="O161" i="4"/>
  <c r="N161" i="4"/>
  <c r="I161" i="4"/>
  <c r="P161" i="4" s="1"/>
  <c r="H161" i="4"/>
  <c r="P160" i="4"/>
  <c r="O160" i="4"/>
  <c r="N160" i="4"/>
  <c r="J160" i="4"/>
  <c r="Q160" i="4" s="1"/>
  <c r="I160" i="4"/>
  <c r="G160" i="4"/>
  <c r="H160" i="4" s="1"/>
  <c r="F160" i="4"/>
  <c r="P159" i="4"/>
  <c r="O159" i="4"/>
  <c r="N159" i="4"/>
  <c r="J159" i="4"/>
  <c r="I159" i="4"/>
  <c r="H159" i="4"/>
  <c r="G159" i="4"/>
  <c r="F159" i="4"/>
  <c r="I158" i="4"/>
  <c r="H158" i="4"/>
  <c r="E158" i="4"/>
  <c r="Q158" i="4" s="1"/>
  <c r="O157" i="4"/>
  <c r="K157" i="4"/>
  <c r="I157" i="4"/>
  <c r="H157" i="4"/>
  <c r="E157" i="4"/>
  <c r="N157" i="4" s="1"/>
  <c r="Q156" i="4"/>
  <c r="P156" i="4"/>
  <c r="O156" i="4"/>
  <c r="N156" i="4"/>
  <c r="I156" i="4"/>
  <c r="K156" i="4" s="1"/>
  <c r="H156" i="4"/>
  <c r="E156" i="4"/>
  <c r="Q155" i="4"/>
  <c r="P155" i="4"/>
  <c r="N155" i="4"/>
  <c r="M155" i="4"/>
  <c r="K155" i="4"/>
  <c r="I155" i="4"/>
  <c r="H155" i="4"/>
  <c r="L155" i="4" s="1"/>
  <c r="R155" i="4" s="1"/>
  <c r="E155" i="4"/>
  <c r="O155" i="4" s="1"/>
  <c r="P154" i="4"/>
  <c r="O154" i="4"/>
  <c r="N154" i="4"/>
  <c r="I154" i="4"/>
  <c r="K154" i="4" s="1"/>
  <c r="H154" i="4"/>
  <c r="E154" i="4"/>
  <c r="Q154" i="4" s="1"/>
  <c r="R153" i="4"/>
  <c r="Q153" i="4"/>
  <c r="P153" i="4"/>
  <c r="O153" i="4"/>
  <c r="N153" i="4"/>
  <c r="S153" i="4" s="1"/>
  <c r="K153" i="4"/>
  <c r="H153" i="4"/>
  <c r="M153" i="4" s="1"/>
  <c r="P152" i="4"/>
  <c r="O152" i="4"/>
  <c r="N152" i="4"/>
  <c r="K152" i="4"/>
  <c r="L152" i="4" s="1"/>
  <c r="R152" i="4" s="1"/>
  <c r="J152" i="4"/>
  <c r="Q152" i="4" s="1"/>
  <c r="I152" i="4"/>
  <c r="H152" i="4"/>
  <c r="G152" i="4"/>
  <c r="F152" i="4"/>
  <c r="O151" i="4"/>
  <c r="N151" i="4"/>
  <c r="K151" i="4"/>
  <c r="J151" i="4"/>
  <c r="Q151" i="4" s="1"/>
  <c r="I151" i="4"/>
  <c r="P151" i="4" s="1"/>
  <c r="G151" i="4"/>
  <c r="H151" i="4" s="1"/>
  <c r="F151" i="4"/>
  <c r="K150" i="4"/>
  <c r="I150" i="4"/>
  <c r="H150" i="4"/>
  <c r="F150" i="4"/>
  <c r="N150" i="4" s="1"/>
  <c r="E150" i="4"/>
  <c r="Q150" i="4" s="1"/>
  <c r="I149" i="4"/>
  <c r="F149" i="4"/>
  <c r="H149" i="4" s="1"/>
  <c r="E149" i="4"/>
  <c r="Q148" i="4"/>
  <c r="P148" i="4"/>
  <c r="O148" i="4"/>
  <c r="N148" i="4"/>
  <c r="I148" i="4"/>
  <c r="K148" i="4" s="1"/>
  <c r="H148" i="4"/>
  <c r="F148" i="4"/>
  <c r="Q147" i="4"/>
  <c r="P147" i="4"/>
  <c r="O147" i="4"/>
  <c r="N147" i="4"/>
  <c r="K147" i="4"/>
  <c r="L147" i="4" s="1"/>
  <c r="R147" i="4" s="1"/>
  <c r="I147" i="4"/>
  <c r="F147" i="4"/>
  <c r="H147" i="4" s="1"/>
  <c r="Q146" i="4"/>
  <c r="O146" i="4"/>
  <c r="I146" i="4"/>
  <c r="H146" i="4"/>
  <c r="F146" i="4"/>
  <c r="N146" i="4" s="1"/>
  <c r="Q145" i="4"/>
  <c r="O145" i="4"/>
  <c r="K145" i="4"/>
  <c r="I145" i="4"/>
  <c r="P145" i="4" s="1"/>
  <c r="F145" i="4"/>
  <c r="R144" i="4"/>
  <c r="Q144" i="4"/>
  <c r="O144" i="4"/>
  <c r="L144" i="4"/>
  <c r="K144" i="4"/>
  <c r="I144" i="4"/>
  <c r="P144" i="4" s="1"/>
  <c r="F144" i="4"/>
  <c r="H144" i="4" s="1"/>
  <c r="L143" i="4"/>
  <c r="R143" i="4" s="1"/>
  <c r="K143" i="4"/>
  <c r="I143" i="4"/>
  <c r="F143" i="4"/>
  <c r="E143" i="4"/>
  <c r="Q143" i="4" s="1"/>
  <c r="Q142" i="4"/>
  <c r="O142" i="4"/>
  <c r="N142" i="4"/>
  <c r="L142" i="4"/>
  <c r="R142" i="4" s="1"/>
  <c r="I142" i="4"/>
  <c r="P142" i="4" s="1"/>
  <c r="F142" i="4"/>
  <c r="H142" i="4" s="1"/>
  <c r="Q141" i="4"/>
  <c r="P141" i="4"/>
  <c r="O141" i="4"/>
  <c r="L141" i="4"/>
  <c r="R141" i="4" s="1"/>
  <c r="I141" i="4"/>
  <c r="K141" i="4" s="1"/>
  <c r="H141" i="4"/>
  <c r="M141" i="4" s="1"/>
  <c r="F141" i="4"/>
  <c r="N141" i="4" s="1"/>
  <c r="E141" i="4"/>
  <c r="R140" i="4"/>
  <c r="P140" i="4"/>
  <c r="O140" i="4"/>
  <c r="N140" i="4"/>
  <c r="L140" i="4"/>
  <c r="K140" i="4"/>
  <c r="I140" i="4"/>
  <c r="H140" i="4"/>
  <c r="F140" i="4"/>
  <c r="E140" i="4"/>
  <c r="Q140" i="4" s="1"/>
  <c r="L139" i="4"/>
  <c r="I139" i="4"/>
  <c r="F139" i="4"/>
  <c r="H139" i="4" s="1"/>
  <c r="E139" i="4"/>
  <c r="L138" i="4"/>
  <c r="R138" i="4" s="1"/>
  <c r="I138" i="4"/>
  <c r="K138" i="4" s="1"/>
  <c r="H138" i="4"/>
  <c r="M138" i="4" s="1"/>
  <c r="F138" i="4"/>
  <c r="E138" i="4"/>
  <c r="O138" i="4" s="1"/>
  <c r="R137" i="4"/>
  <c r="Q137" i="4"/>
  <c r="P137" i="4"/>
  <c r="O137" i="4"/>
  <c r="L137" i="4"/>
  <c r="K137" i="4"/>
  <c r="I137" i="4"/>
  <c r="H137" i="4"/>
  <c r="F137" i="4"/>
  <c r="N137" i="4" s="1"/>
  <c r="E137" i="4"/>
  <c r="Q136" i="4"/>
  <c r="P136" i="4"/>
  <c r="N136" i="4"/>
  <c r="L136" i="4"/>
  <c r="R136" i="4" s="1"/>
  <c r="K136" i="4"/>
  <c r="I136" i="4"/>
  <c r="F136" i="4"/>
  <c r="H136" i="4" s="1"/>
  <c r="E136" i="4"/>
  <c r="O136" i="4" s="1"/>
  <c r="R135" i="4"/>
  <c r="Q135" i="4"/>
  <c r="O135" i="4"/>
  <c r="N135" i="4"/>
  <c r="L135" i="4"/>
  <c r="I135" i="4"/>
  <c r="F135" i="4"/>
  <c r="H135" i="4" s="1"/>
  <c r="E135" i="4"/>
  <c r="L133" i="4"/>
  <c r="R133" i="4" s="1"/>
  <c r="J133" i="4"/>
  <c r="I133" i="4" s="1"/>
  <c r="E133" i="4"/>
  <c r="P132" i="4"/>
  <c r="L132" i="4"/>
  <c r="R132" i="4" s="1"/>
  <c r="J132" i="4"/>
  <c r="K132" i="4" s="1"/>
  <c r="G132" i="4"/>
  <c r="E132" i="4"/>
  <c r="N132" i="4" s="1"/>
  <c r="R131" i="4"/>
  <c r="N131" i="4"/>
  <c r="L131" i="4"/>
  <c r="K131" i="4"/>
  <c r="J131" i="4"/>
  <c r="G131" i="4"/>
  <c r="O131" i="4" s="1"/>
  <c r="E131" i="4"/>
  <c r="P131" i="4" s="1"/>
  <c r="R130" i="4"/>
  <c r="Q130" i="4"/>
  <c r="O130" i="4"/>
  <c r="N130" i="4"/>
  <c r="S130" i="4" s="1"/>
  <c r="L130" i="4"/>
  <c r="K130" i="4"/>
  <c r="J130" i="4"/>
  <c r="G130" i="4"/>
  <c r="E130" i="4"/>
  <c r="P130" i="4" s="1"/>
  <c r="A130" i="4"/>
  <c r="R128" i="4"/>
  <c r="Q128" i="4"/>
  <c r="P128" i="4"/>
  <c r="O128" i="4"/>
  <c r="N128" i="4"/>
  <c r="K128" i="4"/>
  <c r="H128" i="4"/>
  <c r="M128" i="4" s="1"/>
  <c r="U128" i="4" s="1"/>
  <c r="V128" i="4" s="1"/>
  <c r="W127" i="4" s="1"/>
  <c r="P126" i="4"/>
  <c r="O126" i="4"/>
  <c r="N126" i="4"/>
  <c r="K126" i="4"/>
  <c r="J126" i="4"/>
  <c r="Q126" i="4" s="1"/>
  <c r="I126" i="4"/>
  <c r="G126" i="4"/>
  <c r="F126" i="4"/>
  <c r="H126" i="4" s="1"/>
  <c r="O125" i="4"/>
  <c r="N125" i="4"/>
  <c r="J125" i="4"/>
  <c r="Q125" i="4" s="1"/>
  <c r="I125" i="4"/>
  <c r="P125" i="4" s="1"/>
  <c r="G125" i="4"/>
  <c r="F125" i="4"/>
  <c r="H125" i="4" s="1"/>
  <c r="E125" i="4"/>
  <c r="Q124" i="4"/>
  <c r="J124" i="4"/>
  <c r="I124" i="4"/>
  <c r="G124" i="4"/>
  <c r="F124" i="4"/>
  <c r="E124" i="4"/>
  <c r="J123" i="4"/>
  <c r="Q123" i="4" s="1"/>
  <c r="I123" i="4"/>
  <c r="G123" i="4"/>
  <c r="F123" i="4"/>
  <c r="E123" i="4"/>
  <c r="R122" i="4"/>
  <c r="O122" i="4"/>
  <c r="L122" i="4"/>
  <c r="I122" i="4"/>
  <c r="P122" i="4" s="1"/>
  <c r="F122" i="4"/>
  <c r="N122" i="4" s="1"/>
  <c r="E122" i="4"/>
  <c r="R121" i="4"/>
  <c r="N121" i="4"/>
  <c r="L121" i="4"/>
  <c r="K121" i="4"/>
  <c r="I121" i="4"/>
  <c r="F121" i="4"/>
  <c r="H121" i="4" s="1"/>
  <c r="M121" i="4" s="1"/>
  <c r="E121" i="4"/>
  <c r="Q121" i="4" s="1"/>
  <c r="R120" i="4"/>
  <c r="Q120" i="4"/>
  <c r="P120" i="4"/>
  <c r="N120" i="4"/>
  <c r="L120" i="4"/>
  <c r="I120" i="4"/>
  <c r="K120" i="4" s="1"/>
  <c r="F120" i="4"/>
  <c r="H120" i="4" s="1"/>
  <c r="E120" i="4"/>
  <c r="O120" i="4" s="1"/>
  <c r="Q119" i="4"/>
  <c r="P119" i="4"/>
  <c r="O119" i="4"/>
  <c r="L119" i="4"/>
  <c r="R119" i="4" s="1"/>
  <c r="I119" i="4"/>
  <c r="K119" i="4" s="1"/>
  <c r="H119" i="4"/>
  <c r="F119" i="4"/>
  <c r="E119" i="4"/>
  <c r="L118" i="4"/>
  <c r="R118" i="4" s="1"/>
  <c r="K118" i="4"/>
  <c r="I118" i="4"/>
  <c r="F118" i="4"/>
  <c r="E118" i="4"/>
  <c r="Q118" i="4" s="1"/>
  <c r="L117" i="4"/>
  <c r="I117" i="4"/>
  <c r="F117" i="4"/>
  <c r="E117" i="4"/>
  <c r="R116" i="4"/>
  <c r="N116" i="4"/>
  <c r="L116" i="4"/>
  <c r="I116" i="4"/>
  <c r="K116" i="4" s="1"/>
  <c r="H116" i="4"/>
  <c r="F116" i="4"/>
  <c r="E116" i="4"/>
  <c r="O116" i="4" s="1"/>
  <c r="R115" i="4"/>
  <c r="Q115" i="4"/>
  <c r="P115" i="4"/>
  <c r="O115" i="4"/>
  <c r="L115" i="4"/>
  <c r="K115" i="4"/>
  <c r="I115" i="4"/>
  <c r="H115" i="4"/>
  <c r="F115" i="4"/>
  <c r="N115" i="4" s="1"/>
  <c r="E115" i="4"/>
  <c r="Q113" i="4"/>
  <c r="O113" i="4"/>
  <c r="K113" i="4"/>
  <c r="J113" i="4"/>
  <c r="I113" i="4"/>
  <c r="P113" i="4" s="1"/>
  <c r="G113" i="4"/>
  <c r="F113" i="4"/>
  <c r="N113" i="4" s="1"/>
  <c r="E113" i="4"/>
  <c r="S112" i="4"/>
  <c r="R112" i="4"/>
  <c r="P112" i="4"/>
  <c r="O112" i="4"/>
  <c r="N112" i="4"/>
  <c r="I112" i="4"/>
  <c r="K112" i="4" s="1"/>
  <c r="H112" i="4"/>
  <c r="E112" i="4"/>
  <c r="Q112" i="4" s="1"/>
  <c r="Q111" i="4"/>
  <c r="P111" i="4"/>
  <c r="O111" i="4"/>
  <c r="K111" i="4"/>
  <c r="I111" i="4"/>
  <c r="H111" i="4"/>
  <c r="L111" i="4" s="1"/>
  <c r="R111" i="4" s="1"/>
  <c r="E111" i="4"/>
  <c r="N111" i="4" s="1"/>
  <c r="J110" i="4"/>
  <c r="Q110" i="4" s="1"/>
  <c r="I110" i="4"/>
  <c r="G110" i="4"/>
  <c r="O110" i="4" s="1"/>
  <c r="F110" i="4"/>
  <c r="E110" i="4"/>
  <c r="L109" i="4"/>
  <c r="I109" i="4"/>
  <c r="K109" i="4" s="1"/>
  <c r="F109" i="4"/>
  <c r="E109" i="4"/>
  <c r="R108" i="4"/>
  <c r="Q108" i="4"/>
  <c r="N108" i="4"/>
  <c r="L108" i="4"/>
  <c r="J108" i="4"/>
  <c r="I108" i="4"/>
  <c r="P108" i="4" s="1"/>
  <c r="G108" i="4"/>
  <c r="O108" i="4" s="1"/>
  <c r="S108" i="4" s="1"/>
  <c r="F108" i="4"/>
  <c r="H108" i="4" s="1"/>
  <c r="E108" i="4"/>
  <c r="R107" i="4"/>
  <c r="Q107" i="4"/>
  <c r="N107" i="4"/>
  <c r="L107" i="4"/>
  <c r="K107" i="4"/>
  <c r="I107" i="4"/>
  <c r="F107" i="4"/>
  <c r="H107" i="4" s="1"/>
  <c r="M107" i="4" s="1"/>
  <c r="U107" i="4" s="1"/>
  <c r="V107" i="4" s="1"/>
  <c r="E107" i="4"/>
  <c r="P107" i="4" s="1"/>
  <c r="R106" i="4"/>
  <c r="Q106" i="4"/>
  <c r="P106" i="4"/>
  <c r="L106" i="4"/>
  <c r="K106" i="4"/>
  <c r="I106" i="4"/>
  <c r="F106" i="4"/>
  <c r="N106" i="4" s="1"/>
  <c r="E106" i="4"/>
  <c r="O106" i="4" s="1"/>
  <c r="A106" i="4"/>
  <c r="L104" i="4"/>
  <c r="J104" i="4"/>
  <c r="Q104" i="4" s="1"/>
  <c r="G104" i="4"/>
  <c r="E104" i="4"/>
  <c r="L103" i="4"/>
  <c r="J103" i="4"/>
  <c r="G103" i="4"/>
  <c r="H103" i="4" s="1"/>
  <c r="E103" i="4"/>
  <c r="R102" i="4"/>
  <c r="Q102" i="4"/>
  <c r="N102" i="4"/>
  <c r="L102" i="4"/>
  <c r="K102" i="4"/>
  <c r="J102" i="4"/>
  <c r="G102" i="4"/>
  <c r="O102" i="4" s="1"/>
  <c r="S102" i="4" s="1"/>
  <c r="E102" i="4"/>
  <c r="P102" i="4" s="1"/>
  <c r="L100" i="4"/>
  <c r="J100" i="4"/>
  <c r="Q100" i="4" s="1"/>
  <c r="G100" i="4"/>
  <c r="E100" i="4"/>
  <c r="L99" i="4"/>
  <c r="J99" i="4"/>
  <c r="Q99" i="4" s="1"/>
  <c r="G99" i="4"/>
  <c r="H99" i="4" s="1"/>
  <c r="E99" i="4"/>
  <c r="R98" i="4"/>
  <c r="Q98" i="4"/>
  <c r="N98" i="4"/>
  <c r="L98" i="4"/>
  <c r="K98" i="4"/>
  <c r="J98" i="4"/>
  <c r="G98" i="4"/>
  <c r="O98" i="4" s="1"/>
  <c r="S98" i="4" s="1"/>
  <c r="E98" i="4"/>
  <c r="P98" i="4" s="1"/>
  <c r="Q97" i="4"/>
  <c r="P97" i="4"/>
  <c r="K97" i="4"/>
  <c r="J97" i="4"/>
  <c r="I97" i="4"/>
  <c r="G97" i="4"/>
  <c r="F97" i="4"/>
  <c r="E97" i="4"/>
  <c r="Q95" i="4"/>
  <c r="L95" i="4"/>
  <c r="R95" i="4" s="1"/>
  <c r="J95" i="4"/>
  <c r="K95" i="4" s="1"/>
  <c r="G95" i="4"/>
  <c r="O95" i="4" s="1"/>
  <c r="E95" i="4"/>
  <c r="P95" i="4" s="1"/>
  <c r="L94" i="4"/>
  <c r="J94" i="4"/>
  <c r="G94" i="4"/>
  <c r="E94" i="4"/>
  <c r="R93" i="4"/>
  <c r="O93" i="4"/>
  <c r="M93" i="4"/>
  <c r="K93" i="4"/>
  <c r="H93" i="4"/>
  <c r="E93" i="4"/>
  <c r="Q93" i="4" s="1"/>
  <c r="R92" i="4"/>
  <c r="S92" i="4" s="1"/>
  <c r="Q92" i="4"/>
  <c r="P92" i="4"/>
  <c r="O92" i="4"/>
  <c r="N92" i="4"/>
  <c r="L92" i="4"/>
  <c r="K92" i="4"/>
  <c r="J92" i="4"/>
  <c r="H92" i="4"/>
  <c r="M92" i="4" s="1"/>
  <c r="G92" i="4"/>
  <c r="E92" i="4"/>
  <c r="R91" i="4"/>
  <c r="Q91" i="4"/>
  <c r="P91" i="4"/>
  <c r="O91" i="4"/>
  <c r="N91" i="4"/>
  <c r="M91" i="4"/>
  <c r="U91" i="4" s="1"/>
  <c r="V91" i="4" s="1"/>
  <c r="L91" i="4"/>
  <c r="J91" i="4"/>
  <c r="K91" i="4" s="1"/>
  <c r="G91" i="4"/>
  <c r="H91" i="4" s="1"/>
  <c r="E91" i="4"/>
  <c r="Q90" i="4"/>
  <c r="P90" i="4"/>
  <c r="N90" i="4"/>
  <c r="L90" i="4"/>
  <c r="R90" i="4" s="1"/>
  <c r="K90" i="4"/>
  <c r="J90" i="4"/>
  <c r="H90" i="4"/>
  <c r="G90" i="4"/>
  <c r="E90" i="4"/>
  <c r="O90" i="4" s="1"/>
  <c r="Q89" i="4"/>
  <c r="P89" i="4"/>
  <c r="O89" i="4"/>
  <c r="S89" i="4" s="1"/>
  <c r="N89" i="4"/>
  <c r="L89" i="4"/>
  <c r="R89" i="4" s="1"/>
  <c r="K89" i="4"/>
  <c r="J89" i="4"/>
  <c r="G89" i="4"/>
  <c r="H89" i="4" s="1"/>
  <c r="M89" i="4" s="1"/>
  <c r="U89" i="4" s="1"/>
  <c r="V89" i="4" s="1"/>
  <c r="E89" i="4"/>
  <c r="Q87" i="4"/>
  <c r="P87" i="4"/>
  <c r="O87" i="4"/>
  <c r="N87" i="4"/>
  <c r="J87" i="4"/>
  <c r="K87" i="4" s="1"/>
  <c r="I87" i="4"/>
  <c r="H87" i="4"/>
  <c r="L87" i="4" s="1"/>
  <c r="R87" i="4" s="1"/>
  <c r="G87" i="4"/>
  <c r="F87" i="4"/>
  <c r="Q86" i="4"/>
  <c r="P86" i="4"/>
  <c r="O86" i="4"/>
  <c r="N86" i="4"/>
  <c r="J86" i="4"/>
  <c r="K86" i="4" s="1"/>
  <c r="M86" i="4" s="1"/>
  <c r="U86" i="4" s="1"/>
  <c r="V86" i="4" s="1"/>
  <c r="I86" i="4"/>
  <c r="H86" i="4"/>
  <c r="L86" i="4" s="1"/>
  <c r="R86" i="4" s="1"/>
  <c r="G86" i="4"/>
  <c r="F86" i="4"/>
  <c r="Q85" i="4"/>
  <c r="P85" i="4"/>
  <c r="O85" i="4"/>
  <c r="N85" i="4"/>
  <c r="J85" i="4"/>
  <c r="K85" i="4" s="1"/>
  <c r="I85" i="4"/>
  <c r="H85" i="4"/>
  <c r="G85" i="4"/>
  <c r="F85" i="4"/>
  <c r="R83" i="4"/>
  <c r="Q83" i="4"/>
  <c r="P83" i="4"/>
  <c r="L83" i="4"/>
  <c r="J83" i="4"/>
  <c r="I83" i="4" s="1"/>
  <c r="K83" i="4" s="1"/>
  <c r="G83" i="4"/>
  <c r="O83" i="4" s="1"/>
  <c r="E83" i="4"/>
  <c r="N83" i="4" s="1"/>
  <c r="Q82" i="4"/>
  <c r="P82" i="4"/>
  <c r="K82" i="4"/>
  <c r="J82" i="4"/>
  <c r="I82" i="4"/>
  <c r="G82" i="4"/>
  <c r="O82" i="4" s="1"/>
  <c r="F82" i="4"/>
  <c r="N82" i="4" s="1"/>
  <c r="Q81" i="4"/>
  <c r="P81" i="4"/>
  <c r="K81" i="4"/>
  <c r="J81" i="4"/>
  <c r="I81" i="4"/>
  <c r="G81" i="4"/>
  <c r="O81" i="4" s="1"/>
  <c r="F81" i="4"/>
  <c r="N81" i="4" s="1"/>
  <c r="P79" i="4"/>
  <c r="N79" i="4"/>
  <c r="J79" i="4"/>
  <c r="Q79" i="4" s="1"/>
  <c r="I79" i="4"/>
  <c r="K79" i="4" s="1"/>
  <c r="G79" i="4"/>
  <c r="O79" i="4" s="1"/>
  <c r="F79" i="4"/>
  <c r="S78" i="4"/>
  <c r="R78" i="4"/>
  <c r="Q78" i="4"/>
  <c r="P78" i="4"/>
  <c r="O78" i="4"/>
  <c r="N78" i="4"/>
  <c r="K78" i="4"/>
  <c r="H78" i="4"/>
  <c r="M78" i="4" s="1"/>
  <c r="U78" i="4" s="1"/>
  <c r="V78" i="4" s="1"/>
  <c r="R77" i="4"/>
  <c r="Q77" i="4"/>
  <c r="P77" i="4"/>
  <c r="O77" i="4"/>
  <c r="S77" i="4" s="1"/>
  <c r="N77" i="4"/>
  <c r="L77" i="4"/>
  <c r="K77" i="4"/>
  <c r="J77" i="4"/>
  <c r="H77" i="4"/>
  <c r="M77" i="4" s="1"/>
  <c r="G77" i="4"/>
  <c r="E77" i="4"/>
  <c r="R76" i="4"/>
  <c r="Q76" i="4"/>
  <c r="P76" i="4"/>
  <c r="O76" i="4"/>
  <c r="N76" i="4"/>
  <c r="L76" i="4"/>
  <c r="J76" i="4"/>
  <c r="K76" i="4" s="1"/>
  <c r="G76" i="4"/>
  <c r="H76" i="4" s="1"/>
  <c r="M76" i="4" s="1"/>
  <c r="U76" i="4" s="1"/>
  <c r="V76" i="4" s="1"/>
  <c r="E76" i="4"/>
  <c r="L75" i="4"/>
  <c r="K75" i="4"/>
  <c r="J75" i="4"/>
  <c r="H75" i="4"/>
  <c r="M75" i="4" s="1"/>
  <c r="U75" i="4" s="1"/>
  <c r="V75" i="4" s="1"/>
  <c r="G75" i="4"/>
  <c r="E75" i="4"/>
  <c r="O75" i="4" s="1"/>
  <c r="Q74" i="4"/>
  <c r="P74" i="4"/>
  <c r="O74" i="4"/>
  <c r="N74" i="4"/>
  <c r="M74" i="4"/>
  <c r="U74" i="4" s="1"/>
  <c r="V74" i="4" s="1"/>
  <c r="L74" i="4"/>
  <c r="R74" i="4" s="1"/>
  <c r="K74" i="4"/>
  <c r="J74" i="4"/>
  <c r="G74" i="4"/>
  <c r="H74" i="4" s="1"/>
  <c r="E74" i="4"/>
  <c r="K73" i="4"/>
  <c r="J73" i="4"/>
  <c r="I73" i="4"/>
  <c r="G73" i="4"/>
  <c r="H73" i="4" s="1"/>
  <c r="F73" i="4"/>
  <c r="E73" i="4"/>
  <c r="P73" i="4" s="1"/>
  <c r="Q72" i="4"/>
  <c r="P72" i="4"/>
  <c r="N72" i="4"/>
  <c r="L72" i="4"/>
  <c r="R72" i="4" s="1"/>
  <c r="K72" i="4"/>
  <c r="J72" i="4"/>
  <c r="G72" i="4"/>
  <c r="H72" i="4" s="1"/>
  <c r="M72" i="4" s="1"/>
  <c r="U72" i="4" s="1"/>
  <c r="V72" i="4" s="1"/>
  <c r="E72" i="4"/>
  <c r="R70" i="4"/>
  <c r="Q70" i="4"/>
  <c r="P70" i="4"/>
  <c r="O70" i="4"/>
  <c r="S70" i="4" s="1"/>
  <c r="N70" i="4"/>
  <c r="L70" i="4"/>
  <c r="J70" i="4"/>
  <c r="K70" i="4" s="1"/>
  <c r="M70" i="4" s="1"/>
  <c r="U70" i="4" s="1"/>
  <c r="V70" i="4" s="1"/>
  <c r="G70" i="4"/>
  <c r="H70" i="4" s="1"/>
  <c r="E70" i="4"/>
  <c r="Q69" i="4"/>
  <c r="N69" i="4"/>
  <c r="J69" i="4"/>
  <c r="I69" i="4"/>
  <c r="K69" i="4" s="1"/>
  <c r="G69" i="4"/>
  <c r="O69" i="4" s="1"/>
  <c r="F69" i="4"/>
  <c r="H69" i="4" s="1"/>
  <c r="E69" i="4"/>
  <c r="Q68" i="4"/>
  <c r="O68" i="4"/>
  <c r="N68" i="4"/>
  <c r="J68" i="4"/>
  <c r="K68" i="4" s="1"/>
  <c r="I68" i="4"/>
  <c r="H68" i="4"/>
  <c r="L68" i="4" s="1"/>
  <c r="R68" i="4" s="1"/>
  <c r="G68" i="4"/>
  <c r="F68" i="4"/>
  <c r="E68" i="4"/>
  <c r="P68" i="4" s="1"/>
  <c r="K67" i="4"/>
  <c r="J67" i="4"/>
  <c r="I67" i="4"/>
  <c r="P67" i="4" s="1"/>
  <c r="G67" i="4"/>
  <c r="F67" i="4"/>
  <c r="H67" i="4" s="1"/>
  <c r="E67" i="4"/>
  <c r="Q67" i="4" s="1"/>
  <c r="Q66" i="4"/>
  <c r="P66" i="4"/>
  <c r="O66" i="4"/>
  <c r="L66" i="4"/>
  <c r="R66" i="4" s="1"/>
  <c r="J66" i="4"/>
  <c r="K66" i="4" s="1"/>
  <c r="H66" i="4"/>
  <c r="G66" i="4"/>
  <c r="E66" i="4"/>
  <c r="N66" i="4" s="1"/>
  <c r="S66" i="4" s="1"/>
  <c r="I65" i="4"/>
  <c r="K65" i="4" s="1"/>
  <c r="M65" i="4" s="1"/>
  <c r="U65" i="4" s="1"/>
  <c r="V65" i="4" s="1"/>
  <c r="H65" i="4"/>
  <c r="E65" i="4"/>
  <c r="Q65" i="4" s="1"/>
  <c r="R64" i="4"/>
  <c r="Q64" i="4"/>
  <c r="P64" i="4"/>
  <c r="N64" i="4"/>
  <c r="M64" i="4"/>
  <c r="U64" i="4" s="1"/>
  <c r="V64" i="4" s="1"/>
  <c r="L64" i="4"/>
  <c r="K64" i="4"/>
  <c r="J64" i="4"/>
  <c r="G64" i="4"/>
  <c r="H64" i="4" s="1"/>
  <c r="E64" i="4"/>
  <c r="Q63" i="4"/>
  <c r="O63" i="4"/>
  <c r="N63" i="4"/>
  <c r="L63" i="4"/>
  <c r="R63" i="4" s="1"/>
  <c r="K63" i="4"/>
  <c r="M63" i="4" s="1"/>
  <c r="U63" i="4" s="1"/>
  <c r="V63" i="4" s="1"/>
  <c r="J63" i="4"/>
  <c r="H63" i="4"/>
  <c r="G63" i="4"/>
  <c r="E63" i="4"/>
  <c r="P63" i="4" s="1"/>
  <c r="Q61" i="4"/>
  <c r="N61" i="4"/>
  <c r="J61" i="4"/>
  <c r="I61" i="4"/>
  <c r="K61" i="4" s="1"/>
  <c r="G61" i="4"/>
  <c r="O61" i="4" s="1"/>
  <c r="F61" i="4"/>
  <c r="E61" i="4"/>
  <c r="R59" i="4"/>
  <c r="Q59" i="4"/>
  <c r="L59" i="4"/>
  <c r="J59" i="4"/>
  <c r="I59" i="4" s="1"/>
  <c r="P59" i="4" s="1"/>
  <c r="G59" i="4"/>
  <c r="O59" i="4" s="1"/>
  <c r="E59" i="4"/>
  <c r="L58" i="4"/>
  <c r="R58" i="4" s="1"/>
  <c r="K58" i="4"/>
  <c r="J58" i="4"/>
  <c r="H58" i="4"/>
  <c r="M58" i="4" s="1"/>
  <c r="U58" i="4" s="1"/>
  <c r="V58" i="4" s="1"/>
  <c r="G58" i="4"/>
  <c r="E58" i="4"/>
  <c r="P58" i="4" s="1"/>
  <c r="V57" i="4"/>
  <c r="U57" i="4"/>
  <c r="R57" i="4"/>
  <c r="Q57" i="4"/>
  <c r="P57" i="4"/>
  <c r="N57" i="4"/>
  <c r="M57" i="4"/>
  <c r="K57" i="4"/>
  <c r="H57" i="4"/>
  <c r="G57" i="4"/>
  <c r="O57" i="4" s="1"/>
  <c r="E57" i="4"/>
  <c r="R56" i="4"/>
  <c r="Q56" i="4"/>
  <c r="P56" i="4"/>
  <c r="O56" i="4"/>
  <c r="N56" i="4"/>
  <c r="S56" i="4" s="1"/>
  <c r="L56" i="4"/>
  <c r="J56" i="4"/>
  <c r="K56" i="4" s="1"/>
  <c r="G56" i="4"/>
  <c r="H56" i="4" s="1"/>
  <c r="M56" i="4" s="1"/>
  <c r="U56" i="4" s="1"/>
  <c r="V56" i="4" s="1"/>
  <c r="E56" i="4"/>
  <c r="Q55" i="4"/>
  <c r="P55" i="4"/>
  <c r="O55" i="4"/>
  <c r="N55" i="4"/>
  <c r="S55" i="4" s="1"/>
  <c r="L55" i="4"/>
  <c r="R55" i="4" s="1"/>
  <c r="K55" i="4"/>
  <c r="J55" i="4"/>
  <c r="H55" i="4"/>
  <c r="G55" i="4"/>
  <c r="E55" i="4"/>
  <c r="Q54" i="4"/>
  <c r="O54" i="4"/>
  <c r="N54" i="4"/>
  <c r="S54" i="4" s="1"/>
  <c r="L54" i="4"/>
  <c r="R54" i="4" s="1"/>
  <c r="J54" i="4"/>
  <c r="I54" i="4" s="1"/>
  <c r="P54" i="4" s="1"/>
  <c r="H54" i="4"/>
  <c r="G54" i="4"/>
  <c r="F54" i="4"/>
  <c r="E54" i="4"/>
  <c r="J52" i="4"/>
  <c r="Q52" i="4" s="1"/>
  <c r="I52" i="4"/>
  <c r="K52" i="4" s="1"/>
  <c r="G52" i="4"/>
  <c r="O52" i="4" s="1"/>
  <c r="F52" i="4"/>
  <c r="E52" i="4"/>
  <c r="L51" i="4"/>
  <c r="R51" i="4" s="1"/>
  <c r="I51" i="4"/>
  <c r="P51" i="4" s="1"/>
  <c r="F51" i="4"/>
  <c r="E51" i="4"/>
  <c r="O51" i="4" s="1"/>
  <c r="L50" i="4"/>
  <c r="R50" i="4" s="1"/>
  <c r="J50" i="4"/>
  <c r="Q50" i="4" s="1"/>
  <c r="H50" i="4"/>
  <c r="G50" i="4"/>
  <c r="E50" i="4"/>
  <c r="P50" i="4" s="1"/>
  <c r="R49" i="4"/>
  <c r="Q49" i="4"/>
  <c r="P49" i="4"/>
  <c r="N49" i="4"/>
  <c r="L49" i="4"/>
  <c r="K49" i="4"/>
  <c r="J49" i="4"/>
  <c r="G49" i="4"/>
  <c r="O49" i="4" s="1"/>
  <c r="S49" i="4" s="1"/>
  <c r="E49" i="4"/>
  <c r="R48" i="4"/>
  <c r="Q48" i="4"/>
  <c r="P48" i="4"/>
  <c r="L48" i="4"/>
  <c r="J48" i="4"/>
  <c r="K48" i="4" s="1"/>
  <c r="G48" i="4"/>
  <c r="O48" i="4" s="1"/>
  <c r="E48" i="4"/>
  <c r="N48" i="4" s="1"/>
  <c r="S48" i="4" s="1"/>
  <c r="R47" i="4"/>
  <c r="Q47" i="4"/>
  <c r="P47" i="4"/>
  <c r="O47" i="4"/>
  <c r="L47" i="4"/>
  <c r="K47" i="4"/>
  <c r="J47" i="4"/>
  <c r="H47" i="4"/>
  <c r="M47" i="4" s="1"/>
  <c r="U47" i="4" s="1"/>
  <c r="V47" i="4" s="1"/>
  <c r="G47" i="4"/>
  <c r="E47" i="4"/>
  <c r="N47" i="4" s="1"/>
  <c r="S47" i="4" s="1"/>
  <c r="Q45" i="4"/>
  <c r="K45" i="4"/>
  <c r="J45" i="4"/>
  <c r="I45" i="4"/>
  <c r="P45" i="4" s="1"/>
  <c r="G45" i="4"/>
  <c r="O45" i="4" s="1"/>
  <c r="F45" i="4"/>
  <c r="N45" i="4" s="1"/>
  <c r="E45" i="4"/>
  <c r="R44" i="4"/>
  <c r="N44" i="4"/>
  <c r="K44" i="4"/>
  <c r="H44" i="4"/>
  <c r="M44" i="4" s="1"/>
  <c r="U44" i="4" s="1"/>
  <c r="V44" i="4" s="1"/>
  <c r="E44" i="4"/>
  <c r="Q44" i="4" s="1"/>
  <c r="R43" i="4"/>
  <c r="Q43" i="4"/>
  <c r="P43" i="4"/>
  <c r="O43" i="4"/>
  <c r="N43" i="4"/>
  <c r="S43" i="4" s="1"/>
  <c r="I43" i="4"/>
  <c r="K43" i="4" s="1"/>
  <c r="H43" i="4"/>
  <c r="E43" i="4"/>
  <c r="Q42" i="4"/>
  <c r="P42" i="4"/>
  <c r="O42" i="4"/>
  <c r="N42" i="4"/>
  <c r="L42" i="4"/>
  <c r="R42" i="4" s="1"/>
  <c r="K42" i="4"/>
  <c r="M42" i="4" s="1"/>
  <c r="U42" i="4" s="1"/>
  <c r="V42" i="4" s="1"/>
  <c r="H42" i="4"/>
  <c r="O41" i="4"/>
  <c r="I41" i="4"/>
  <c r="J41" i="4" s="1"/>
  <c r="Q41" i="4" s="1"/>
  <c r="F41" i="4"/>
  <c r="N41" i="4" s="1"/>
  <c r="E41" i="4"/>
  <c r="I40" i="4"/>
  <c r="P40" i="4" s="1"/>
  <c r="H40" i="4"/>
  <c r="F40" i="4"/>
  <c r="N40" i="4" s="1"/>
  <c r="E40" i="4"/>
  <c r="Q40" i="4" s="1"/>
  <c r="I39" i="4"/>
  <c r="H39" i="4"/>
  <c r="F39" i="4"/>
  <c r="N39" i="4" s="1"/>
  <c r="E39" i="4"/>
  <c r="O39" i="4" s="1"/>
  <c r="K38" i="4"/>
  <c r="I38" i="4"/>
  <c r="P38" i="4" s="1"/>
  <c r="F38" i="4"/>
  <c r="N38" i="4" s="1"/>
  <c r="E38" i="4"/>
  <c r="Q38" i="4" s="1"/>
  <c r="I37" i="4"/>
  <c r="P37" i="4" s="1"/>
  <c r="F37" i="4"/>
  <c r="N37" i="4" s="1"/>
  <c r="E37" i="4"/>
  <c r="Q37" i="4" s="1"/>
  <c r="I36" i="4"/>
  <c r="P36" i="4" s="1"/>
  <c r="F36" i="4"/>
  <c r="N36" i="4" s="1"/>
  <c r="E36" i="4"/>
  <c r="O36" i="4" s="1"/>
  <c r="I35" i="4"/>
  <c r="P35" i="4" s="1"/>
  <c r="F35" i="4"/>
  <c r="N35" i="4" s="1"/>
  <c r="E35" i="4"/>
  <c r="O35" i="4" s="1"/>
  <c r="I34" i="4"/>
  <c r="P34" i="4" s="1"/>
  <c r="H34" i="4"/>
  <c r="F34" i="4"/>
  <c r="N34" i="4" s="1"/>
  <c r="E34" i="4"/>
  <c r="Q34" i="4" s="1"/>
  <c r="I33" i="4"/>
  <c r="P33" i="4" s="1"/>
  <c r="F33" i="4"/>
  <c r="N33" i="4" s="1"/>
  <c r="E33" i="4"/>
  <c r="O33" i="4" s="1"/>
  <c r="Q32" i="4"/>
  <c r="O32" i="4"/>
  <c r="I32" i="4"/>
  <c r="P32" i="4" s="1"/>
  <c r="F32" i="4"/>
  <c r="N32" i="4" s="1"/>
  <c r="I31" i="4"/>
  <c r="P31" i="4" s="1"/>
  <c r="F31" i="4"/>
  <c r="N31" i="4" s="1"/>
  <c r="E31" i="4"/>
  <c r="Q31" i="4" s="1"/>
  <c r="Q30" i="4"/>
  <c r="K30" i="4"/>
  <c r="I30" i="4"/>
  <c r="P30" i="4" s="1"/>
  <c r="F30" i="4"/>
  <c r="N30" i="4" s="1"/>
  <c r="E30" i="4"/>
  <c r="O30" i="4" s="1"/>
  <c r="Q29" i="4"/>
  <c r="P29" i="4"/>
  <c r="I29" i="4"/>
  <c r="K29" i="4" s="1"/>
  <c r="F29" i="4"/>
  <c r="N29" i="4" s="1"/>
  <c r="E29" i="4"/>
  <c r="O29" i="4" s="1"/>
  <c r="Q28" i="4"/>
  <c r="P28" i="4"/>
  <c r="O28" i="4"/>
  <c r="K28" i="4"/>
  <c r="I28" i="4"/>
  <c r="H28" i="4"/>
  <c r="F28" i="4"/>
  <c r="N28" i="4" s="1"/>
  <c r="E28" i="4"/>
  <c r="Q27" i="4"/>
  <c r="P27" i="4"/>
  <c r="O27" i="4"/>
  <c r="N27" i="4"/>
  <c r="I27" i="4"/>
  <c r="K27" i="4" s="1"/>
  <c r="F27" i="4"/>
  <c r="H27" i="4" s="1"/>
  <c r="E27" i="4"/>
  <c r="Z26" i="4"/>
  <c r="Q26" i="4"/>
  <c r="P26" i="4"/>
  <c r="O26" i="4"/>
  <c r="N26" i="4"/>
  <c r="I26" i="4"/>
  <c r="K26" i="4" s="1"/>
  <c r="F26" i="4"/>
  <c r="H26" i="4" s="1"/>
  <c r="E26" i="4"/>
  <c r="Q25" i="4"/>
  <c r="P25" i="4"/>
  <c r="O25" i="4"/>
  <c r="N25" i="4"/>
  <c r="J25" i="4"/>
  <c r="I25" i="4"/>
  <c r="K25" i="4" s="1"/>
  <c r="H25" i="4"/>
  <c r="G25" i="4"/>
  <c r="F25" i="4"/>
  <c r="Q24" i="4"/>
  <c r="P24" i="4"/>
  <c r="O24" i="4"/>
  <c r="K24" i="4"/>
  <c r="J24" i="4"/>
  <c r="I24" i="4"/>
  <c r="G24" i="4"/>
  <c r="F24" i="4"/>
  <c r="N24" i="4" s="1"/>
  <c r="U22" i="4"/>
  <c r="V22" i="4" s="1"/>
  <c r="S22" i="4"/>
  <c r="R22" i="4"/>
  <c r="Q22" i="4"/>
  <c r="P22" i="4"/>
  <c r="O22" i="4"/>
  <c r="N22" i="4"/>
  <c r="M22" i="4"/>
  <c r="K22" i="4"/>
  <c r="H22" i="4"/>
  <c r="R21" i="4"/>
  <c r="Q21" i="4"/>
  <c r="P21" i="4"/>
  <c r="O21" i="4"/>
  <c r="N21" i="4"/>
  <c r="S21" i="4" s="1"/>
  <c r="J21" i="4"/>
  <c r="K21" i="4" s="1"/>
  <c r="H21" i="4"/>
  <c r="M21" i="4" s="1"/>
  <c r="U21" i="4" s="1"/>
  <c r="V21" i="4" s="1"/>
  <c r="E21" i="4"/>
  <c r="Q20" i="4"/>
  <c r="P20" i="4"/>
  <c r="O20" i="4"/>
  <c r="N20" i="4"/>
  <c r="K20" i="4"/>
  <c r="J20" i="4"/>
  <c r="I20" i="4"/>
  <c r="G20" i="4"/>
  <c r="F20" i="4"/>
  <c r="H20" i="4" s="1"/>
  <c r="E20" i="4"/>
  <c r="R19" i="4"/>
  <c r="Q19" i="4"/>
  <c r="P19" i="4"/>
  <c r="O19" i="4"/>
  <c r="N19" i="4"/>
  <c r="S19" i="4" s="1"/>
  <c r="K19" i="4"/>
  <c r="J19" i="4"/>
  <c r="I19" i="4"/>
  <c r="G19" i="4"/>
  <c r="F19" i="4"/>
  <c r="H19" i="4" s="1"/>
  <c r="M19" i="4" s="1"/>
  <c r="U19" i="4" s="1"/>
  <c r="V19" i="4" s="1"/>
  <c r="E19" i="4"/>
  <c r="R17" i="4"/>
  <c r="Q17" i="4"/>
  <c r="P17" i="4"/>
  <c r="O17" i="4"/>
  <c r="J17" i="4"/>
  <c r="I17" i="4"/>
  <c r="K17" i="4" s="1"/>
  <c r="H17" i="4"/>
  <c r="M17" i="4" s="1"/>
  <c r="U17" i="4" s="1"/>
  <c r="V17" i="4" s="1"/>
  <c r="G17" i="4"/>
  <c r="F17" i="4"/>
  <c r="N17" i="4" s="1"/>
  <c r="S17" i="4" s="1"/>
  <c r="Q16" i="4"/>
  <c r="P16" i="4"/>
  <c r="O16" i="4"/>
  <c r="N16" i="4"/>
  <c r="J16" i="4"/>
  <c r="I16" i="4"/>
  <c r="K16" i="4" s="1"/>
  <c r="H16" i="4"/>
  <c r="G16" i="4"/>
  <c r="F16" i="4"/>
  <c r="Q15" i="4"/>
  <c r="P15" i="4"/>
  <c r="O15" i="4"/>
  <c r="N15" i="4"/>
  <c r="J15" i="4"/>
  <c r="I15" i="4"/>
  <c r="K15" i="4" s="1"/>
  <c r="H15" i="4"/>
  <c r="G15" i="4"/>
  <c r="F15" i="4"/>
  <c r="R14" i="4"/>
  <c r="Q14" i="4"/>
  <c r="P14" i="4"/>
  <c r="O14" i="4"/>
  <c r="N14" i="4"/>
  <c r="S14" i="4" s="1"/>
  <c r="J14" i="4"/>
  <c r="I14" i="4"/>
  <c r="K14" i="4" s="1"/>
  <c r="G14" i="4"/>
  <c r="F14" i="4"/>
  <c r="H14" i="4" s="1"/>
  <c r="M14" i="4" s="1"/>
  <c r="U14" i="4" s="1"/>
  <c r="V14" i="4" s="1"/>
  <c r="Q13" i="4"/>
  <c r="P13" i="4"/>
  <c r="O13" i="4"/>
  <c r="N13" i="4"/>
  <c r="J13" i="4"/>
  <c r="I13" i="4"/>
  <c r="K13" i="4" s="1"/>
  <c r="G13" i="4"/>
  <c r="F13" i="4"/>
  <c r="H13" i="4" s="1"/>
  <c r="Q12" i="4"/>
  <c r="P12" i="4"/>
  <c r="O12" i="4"/>
  <c r="N12" i="4"/>
  <c r="J12" i="4"/>
  <c r="I12" i="4"/>
  <c r="K12" i="4" s="1"/>
  <c r="G12" i="4"/>
  <c r="F12" i="4"/>
  <c r="H12" i="4" s="1"/>
  <c r="R11" i="4"/>
  <c r="Q11" i="4"/>
  <c r="P11" i="4"/>
  <c r="O11" i="4"/>
  <c r="N11" i="4"/>
  <c r="S11" i="4" s="1"/>
  <c r="M11" i="4"/>
  <c r="U11" i="4" s="1"/>
  <c r="V11" i="4" s="1"/>
  <c r="K11" i="4"/>
  <c r="H11" i="4"/>
  <c r="O10" i="4"/>
  <c r="N10" i="4"/>
  <c r="J10" i="4"/>
  <c r="Q10" i="4" s="1"/>
  <c r="I10" i="4"/>
  <c r="P10" i="4" s="1"/>
  <c r="H10" i="4"/>
  <c r="G10" i="4"/>
  <c r="F10" i="4"/>
  <c r="R9" i="4"/>
  <c r="Q9" i="4"/>
  <c r="P9" i="4"/>
  <c r="O9" i="4"/>
  <c r="N9" i="4"/>
  <c r="S9" i="4" s="1"/>
  <c r="K9" i="4"/>
  <c r="H9" i="4"/>
  <c r="M9" i="4" s="1"/>
  <c r="U9" i="4" s="1"/>
  <c r="V9" i="4" s="1"/>
  <c r="T5" i="4"/>
  <c r="W2" i="4"/>
  <c r="V2" i="4"/>
  <c r="C18" i="1"/>
  <c r="S225" i="4" l="1"/>
  <c r="M226" i="4"/>
  <c r="U226" i="4" s="1"/>
  <c r="V226" i="4" s="1"/>
  <c r="M229" i="4"/>
  <c r="U229" i="4" s="1"/>
  <c r="V229" i="4" s="1"/>
  <c r="U195" i="4"/>
  <c r="V195" i="4" s="1"/>
  <c r="S192" i="4"/>
  <c r="T191" i="4" s="1"/>
  <c r="S190" i="4"/>
  <c r="M190" i="4"/>
  <c r="U190" i="4" s="1"/>
  <c r="V190" i="4" s="1"/>
  <c r="P187" i="4"/>
  <c r="S187" i="4" s="1"/>
  <c r="S176" i="4"/>
  <c r="M174" i="4"/>
  <c r="U174" i="4" s="1"/>
  <c r="V174" i="4" s="1"/>
  <c r="M176" i="4"/>
  <c r="S174" i="4"/>
  <c r="S136" i="4"/>
  <c r="S141" i="4"/>
  <c r="S161" i="4"/>
  <c r="AA167" i="4"/>
  <c r="AC167" i="4" s="1"/>
  <c r="AE166" i="4"/>
  <c r="M137" i="4"/>
  <c r="U137" i="4" s="1"/>
  <c r="V137" i="4" s="1"/>
  <c r="M140" i="4"/>
  <c r="U140" i="4" s="1"/>
  <c r="V140" i="4" s="1"/>
  <c r="S142" i="4"/>
  <c r="M144" i="4"/>
  <c r="U144" i="4" s="1"/>
  <c r="V144" i="4" s="1"/>
  <c r="L148" i="4"/>
  <c r="R148" i="4" s="1"/>
  <c r="L157" i="4"/>
  <c r="R157" i="4" s="1"/>
  <c r="AA164" i="4"/>
  <c r="AC164" i="4" s="1"/>
  <c r="M115" i="4"/>
  <c r="U115" i="4" s="1"/>
  <c r="V115" i="4" s="1"/>
  <c r="S115" i="4"/>
  <c r="M116" i="4"/>
  <c r="U116" i="4" s="1"/>
  <c r="V116" i="4" s="1"/>
  <c r="M120" i="4"/>
  <c r="U120" i="4" s="1"/>
  <c r="V120" i="4" s="1"/>
  <c r="G77" i="5"/>
  <c r="G103" i="5"/>
  <c r="G129" i="5"/>
  <c r="G211" i="5"/>
  <c r="G23" i="5"/>
  <c r="G46" i="5"/>
  <c r="G198" i="5"/>
  <c r="G56" i="5"/>
  <c r="G61" i="5"/>
  <c r="G68" i="5"/>
  <c r="G86" i="5"/>
  <c r="G95" i="5"/>
  <c r="G228" i="5" s="1"/>
  <c r="G99" i="5"/>
  <c r="G120" i="5"/>
  <c r="G144" i="5"/>
  <c r="G149" i="5"/>
  <c r="G185" i="5"/>
  <c r="G215" i="5"/>
  <c r="F59" i="5"/>
  <c r="F228" i="5"/>
  <c r="G8" i="5"/>
  <c r="M26" i="4"/>
  <c r="U26" i="4" s="1"/>
  <c r="V26" i="4" s="1"/>
  <c r="L26" i="4"/>
  <c r="R26" i="4" s="1"/>
  <c r="M40" i="4"/>
  <c r="U40" i="4" s="1"/>
  <c r="V40" i="4" s="1"/>
  <c r="S26" i="4"/>
  <c r="L27" i="4"/>
  <c r="R27" i="4" s="1"/>
  <c r="L12" i="4"/>
  <c r="R12" i="4" s="1"/>
  <c r="M12" i="4"/>
  <c r="U12" i="4" s="1"/>
  <c r="V12" i="4" s="1"/>
  <c r="S27" i="4"/>
  <c r="M85" i="4"/>
  <c r="U85" i="4" s="1"/>
  <c r="V85" i="4" s="1"/>
  <c r="W84" i="4" s="1"/>
  <c r="L20" i="4"/>
  <c r="R20" i="4" s="1"/>
  <c r="S20" i="4" s="1"/>
  <c r="T18" i="4" s="1"/>
  <c r="M54" i="4"/>
  <c r="U54" i="4" s="1"/>
  <c r="V54" i="4" s="1"/>
  <c r="S68" i="4"/>
  <c r="S12" i="4"/>
  <c r="S42" i="4"/>
  <c r="L13" i="4"/>
  <c r="R13" i="4" s="1"/>
  <c r="S13" i="4" s="1"/>
  <c r="M43" i="4"/>
  <c r="U43" i="4" s="1"/>
  <c r="V43" i="4" s="1"/>
  <c r="H41" i="4"/>
  <c r="H79" i="4"/>
  <c r="P99" i="4"/>
  <c r="O99" i="4"/>
  <c r="N99" i="4"/>
  <c r="S99" i="4" s="1"/>
  <c r="R104" i="4"/>
  <c r="P104" i="4"/>
  <c r="N104" i="4"/>
  <c r="S140" i="4"/>
  <c r="S147" i="4"/>
  <c r="U153" i="4"/>
  <c r="V153" i="4" s="1"/>
  <c r="Q209" i="4"/>
  <c r="K209" i="4"/>
  <c r="S63" i="4"/>
  <c r="S74" i="4"/>
  <c r="S91" i="4"/>
  <c r="O104" i="4"/>
  <c r="H104" i="4"/>
  <c r="M104" i="4" s="1"/>
  <c r="U104" i="4" s="1"/>
  <c r="V104" i="4" s="1"/>
  <c r="S111" i="4"/>
  <c r="R117" i="4"/>
  <c r="Q117" i="4"/>
  <c r="O117" i="4"/>
  <c r="L126" i="4"/>
  <c r="R126" i="4" s="1"/>
  <c r="S126" i="4" s="1"/>
  <c r="N238" i="4"/>
  <c r="S238" i="4" s="1"/>
  <c r="H238" i="4"/>
  <c r="M238" i="4" s="1"/>
  <c r="U238" i="4" s="1"/>
  <c r="V238" i="4" s="1"/>
  <c r="K54" i="4"/>
  <c r="M55" i="4"/>
  <c r="U55" i="4" s="1"/>
  <c r="V55" i="4" s="1"/>
  <c r="K59" i="4"/>
  <c r="M87" i="4"/>
  <c r="U87" i="4" s="1"/>
  <c r="V87" i="4" s="1"/>
  <c r="H117" i="4"/>
  <c r="N117" i="4"/>
  <c r="L154" i="4"/>
  <c r="R154" i="4" s="1"/>
  <c r="P158" i="4"/>
  <c r="K158" i="4"/>
  <c r="U187" i="4"/>
  <c r="V187" i="4" s="1"/>
  <c r="K10" i="4"/>
  <c r="H35" i="4"/>
  <c r="H36" i="4"/>
  <c r="H37" i="4"/>
  <c r="J39" i="4"/>
  <c r="Q39" i="4" s="1"/>
  <c r="K40" i="4"/>
  <c r="K41" i="4"/>
  <c r="N51" i="4"/>
  <c r="H51" i="4"/>
  <c r="O58" i="4"/>
  <c r="L69" i="4"/>
  <c r="R69" i="4" s="1"/>
  <c r="Q73" i="4"/>
  <c r="S76" i="4"/>
  <c r="S87" i="4"/>
  <c r="H95" i="4"/>
  <c r="M95" i="4" s="1"/>
  <c r="U95" i="4" s="1"/>
  <c r="V95" i="4" s="1"/>
  <c r="O124" i="4"/>
  <c r="H124" i="4"/>
  <c r="S152" i="4"/>
  <c r="Q199" i="4"/>
  <c r="S199" i="4" s="1"/>
  <c r="K199" i="4"/>
  <c r="L199" i="4" s="1"/>
  <c r="R199" i="4" s="1"/>
  <c r="N65" i="4"/>
  <c r="R99" i="4"/>
  <c r="K124" i="4"/>
  <c r="P124" i="4"/>
  <c r="P135" i="4"/>
  <c r="K135" i="4"/>
  <c r="M135" i="4" s="1"/>
  <c r="U135" i="4" s="1"/>
  <c r="V135" i="4" s="1"/>
  <c r="H165" i="4"/>
  <c r="N165" i="4"/>
  <c r="N168" i="4"/>
  <c r="H168" i="4"/>
  <c r="L171" i="4"/>
  <c r="R171" i="4" s="1"/>
  <c r="S171" i="4" s="1"/>
  <c r="N175" i="4"/>
  <c r="H175" i="4"/>
  <c r="U194" i="4"/>
  <c r="V194" i="4" s="1"/>
  <c r="W193" i="4" s="1"/>
  <c r="O197" i="4"/>
  <c r="H197" i="4"/>
  <c r="J36" i="4"/>
  <c r="Q36" i="4" s="1"/>
  <c r="K51" i="4"/>
  <c r="P52" i="4"/>
  <c r="P61" i="4"/>
  <c r="O65" i="4"/>
  <c r="S69" i="4"/>
  <c r="L73" i="4"/>
  <c r="R73" i="4" s="1"/>
  <c r="M111" i="4"/>
  <c r="U111" i="4" s="1"/>
  <c r="V111" i="4" s="1"/>
  <c r="R139" i="4"/>
  <c r="Q139" i="4"/>
  <c r="O139" i="4"/>
  <c r="N139" i="4"/>
  <c r="L150" i="4"/>
  <c r="R150" i="4" s="1"/>
  <c r="P165" i="4"/>
  <c r="K165" i="4"/>
  <c r="U208" i="4"/>
  <c r="V208" i="4" s="1"/>
  <c r="P211" i="4"/>
  <c r="K211" i="4"/>
  <c r="K34" i="4"/>
  <c r="L34" i="4" s="1"/>
  <c r="K35" i="4"/>
  <c r="K36" i="4"/>
  <c r="H45" i="4"/>
  <c r="P65" i="4"/>
  <c r="P69" i="4"/>
  <c r="N73" i="4"/>
  <c r="S135" i="4"/>
  <c r="N143" i="4"/>
  <c r="H143" i="4"/>
  <c r="M143" i="4" s="1"/>
  <c r="U143" i="4" s="1"/>
  <c r="V143" i="4" s="1"/>
  <c r="M148" i="4"/>
  <c r="U148" i="4" s="1"/>
  <c r="V148" i="4" s="1"/>
  <c r="S154" i="4"/>
  <c r="S211" i="4"/>
  <c r="N52" i="4"/>
  <c r="H52" i="4"/>
  <c r="H38" i="4"/>
  <c r="AA31" i="4"/>
  <c r="L40" i="4"/>
  <c r="R40" i="4" s="1"/>
  <c r="H32" i="4"/>
  <c r="H30" i="4"/>
  <c r="K33" i="4"/>
  <c r="O40" i="4"/>
  <c r="S40" i="4" s="1"/>
  <c r="H49" i="4"/>
  <c r="M49" i="4" s="1"/>
  <c r="U49" i="4" s="1"/>
  <c r="V49" i="4" s="1"/>
  <c r="R65" i="4"/>
  <c r="L67" i="4"/>
  <c r="R67" i="4" s="1"/>
  <c r="O73" i="4"/>
  <c r="R100" i="4"/>
  <c r="P100" i="4"/>
  <c r="N100" i="4"/>
  <c r="S100" i="4" s="1"/>
  <c r="R109" i="4"/>
  <c r="Q109" i="4"/>
  <c r="P109" i="4"/>
  <c r="O109" i="4"/>
  <c r="N118" i="4"/>
  <c r="H118" i="4"/>
  <c r="M118" i="4" s="1"/>
  <c r="U118" i="4" s="1"/>
  <c r="V118" i="4" s="1"/>
  <c r="H122" i="4"/>
  <c r="P139" i="4"/>
  <c r="L151" i="4"/>
  <c r="R151" i="4" s="1"/>
  <c r="S151" i="4" s="1"/>
  <c r="Q159" i="4"/>
  <c r="K159" i="4"/>
  <c r="S227" i="4"/>
  <c r="P123" i="4"/>
  <c r="K123" i="4"/>
  <c r="J35" i="4"/>
  <c r="Q35" i="4" s="1"/>
  <c r="H31" i="4"/>
  <c r="H24" i="4"/>
  <c r="H29" i="4"/>
  <c r="K31" i="4"/>
  <c r="K32" i="4"/>
  <c r="O38" i="4"/>
  <c r="P41" i="4"/>
  <c r="H48" i="4"/>
  <c r="M48" i="4" s="1"/>
  <c r="U48" i="4" s="1"/>
  <c r="V48" i="4" s="1"/>
  <c r="K50" i="4"/>
  <c r="M50" i="4" s="1"/>
  <c r="U50" i="4" s="1"/>
  <c r="V50" i="4" s="1"/>
  <c r="S57" i="4"/>
  <c r="N58" i="4"/>
  <c r="S58" i="4" s="1"/>
  <c r="M68" i="4"/>
  <c r="U68" i="4" s="1"/>
  <c r="V68" i="4" s="1"/>
  <c r="S86" i="4"/>
  <c r="M90" i="4"/>
  <c r="U90" i="4" s="1"/>
  <c r="V90" i="4" s="1"/>
  <c r="U92" i="4"/>
  <c r="V92" i="4" s="1"/>
  <c r="O100" i="4"/>
  <c r="H100" i="4"/>
  <c r="H109" i="4"/>
  <c r="M109" i="4" s="1"/>
  <c r="U109" i="4" s="1"/>
  <c r="V109" i="4" s="1"/>
  <c r="N109" i="4"/>
  <c r="S109" i="4" s="1"/>
  <c r="K139" i="4"/>
  <c r="M139" i="4" s="1"/>
  <c r="U139" i="4" s="1"/>
  <c r="V139" i="4" s="1"/>
  <c r="U176" i="4"/>
  <c r="V176" i="4" s="1"/>
  <c r="O203" i="4"/>
  <c r="R203" i="4"/>
  <c r="Q203" i="4"/>
  <c r="P203" i="4"/>
  <c r="N203" i="4"/>
  <c r="S203" i="4" s="1"/>
  <c r="M205" i="4"/>
  <c r="U205" i="4" s="1"/>
  <c r="V205" i="4" s="1"/>
  <c r="Z205" i="4" s="1"/>
  <c r="AB205" i="4" s="1"/>
  <c r="H33" i="4"/>
  <c r="O37" i="4"/>
  <c r="P39" i="4"/>
  <c r="Q51" i="4"/>
  <c r="Q58" i="4"/>
  <c r="R75" i="4"/>
  <c r="L85" i="4"/>
  <c r="R85" i="4" s="1"/>
  <c r="S85" i="4" s="1"/>
  <c r="T84" i="4" s="1"/>
  <c r="S90" i="4"/>
  <c r="U93" i="4"/>
  <c r="V93" i="4" s="1"/>
  <c r="O132" i="4"/>
  <c r="S132" i="4" s="1"/>
  <c r="H132" i="4"/>
  <c r="M132" i="4" s="1"/>
  <c r="U132" i="4" s="1"/>
  <c r="V132" i="4" s="1"/>
  <c r="S148" i="4"/>
  <c r="U186" i="4"/>
  <c r="V186" i="4" s="1"/>
  <c r="Q243" i="4"/>
  <c r="P243" i="4"/>
  <c r="O243" i="4"/>
  <c r="R243" i="4"/>
  <c r="N243" i="4"/>
  <c r="K37" i="4"/>
  <c r="O34" i="4"/>
  <c r="N50" i="4"/>
  <c r="S50" i="4" s="1"/>
  <c r="U77" i="4"/>
  <c r="V77" i="4" s="1"/>
  <c r="R94" i="4"/>
  <c r="P94" i="4"/>
  <c r="N94" i="4"/>
  <c r="P103" i="4"/>
  <c r="O103" i="4"/>
  <c r="N103" i="4"/>
  <c r="S106" i="4"/>
  <c r="K146" i="4"/>
  <c r="L146" i="4" s="1"/>
  <c r="R146" i="4" s="1"/>
  <c r="P146" i="4"/>
  <c r="S169" i="4"/>
  <c r="N180" i="4"/>
  <c r="H180" i="4"/>
  <c r="O198" i="4"/>
  <c r="H198" i="4"/>
  <c r="O50" i="4"/>
  <c r="N75" i="4"/>
  <c r="O94" i="4"/>
  <c r="H94" i="4"/>
  <c r="U155" i="4"/>
  <c r="V155" i="4" s="1"/>
  <c r="U203" i="4"/>
  <c r="V203" i="4" s="1"/>
  <c r="H233" i="4"/>
  <c r="M233" i="4" s="1"/>
  <c r="U233" i="4" s="1"/>
  <c r="V233" i="4" s="1"/>
  <c r="W230" i="4" s="1"/>
  <c r="N233" i="4"/>
  <c r="S233" i="4" s="1"/>
  <c r="P110" i="4"/>
  <c r="K110" i="4"/>
  <c r="L28" i="4"/>
  <c r="R28" i="4" s="1"/>
  <c r="S28" i="4" s="1"/>
  <c r="O31" i="4"/>
  <c r="O44" i="4"/>
  <c r="S44" i="4" s="1"/>
  <c r="N67" i="4"/>
  <c r="O72" i="4"/>
  <c r="S72" i="4" s="1"/>
  <c r="P75" i="4"/>
  <c r="Q94" i="4"/>
  <c r="N97" i="4"/>
  <c r="Q103" i="4"/>
  <c r="S155" i="4"/>
  <c r="Q198" i="4"/>
  <c r="K198" i="4"/>
  <c r="S201" i="4"/>
  <c r="L15" i="4"/>
  <c r="R15" i="4" s="1"/>
  <c r="S15" i="4" s="1"/>
  <c r="L16" i="4"/>
  <c r="R16" i="4" s="1"/>
  <c r="S16" i="4" s="1"/>
  <c r="L25" i="4"/>
  <c r="R25" i="4" s="1"/>
  <c r="S25" i="4" s="1"/>
  <c r="Q33" i="4"/>
  <c r="P44" i="4"/>
  <c r="O64" i="4"/>
  <c r="S64" i="4" s="1"/>
  <c r="M66" i="4"/>
  <c r="U66" i="4" s="1"/>
  <c r="V66" i="4" s="1"/>
  <c r="O67" i="4"/>
  <c r="Q75" i="4"/>
  <c r="O97" i="4"/>
  <c r="H110" i="4"/>
  <c r="N110" i="4"/>
  <c r="M119" i="4"/>
  <c r="U119" i="4" s="1"/>
  <c r="V119" i="4" s="1"/>
  <c r="N123" i="4"/>
  <c r="N133" i="4"/>
  <c r="Q133" i="4"/>
  <c r="Q149" i="4"/>
  <c r="O149" i="4"/>
  <c r="L160" i="4"/>
  <c r="R160" i="4" s="1"/>
  <c r="S160" i="4" s="1"/>
  <c r="L166" i="4"/>
  <c r="R166" i="4" s="1"/>
  <c r="S166" i="4" s="1"/>
  <c r="L172" i="4"/>
  <c r="R172" i="4" s="1"/>
  <c r="F59" i="4"/>
  <c r="H61" i="4"/>
  <c r="S83" i="4"/>
  <c r="R103" i="4"/>
  <c r="U121" i="4"/>
  <c r="V121" i="4" s="1"/>
  <c r="O123" i="4"/>
  <c r="K125" i="4"/>
  <c r="K133" i="4"/>
  <c r="P133" i="4"/>
  <c r="U141" i="4"/>
  <c r="V141" i="4" s="1"/>
  <c r="M169" i="4"/>
  <c r="U169" i="4" s="1"/>
  <c r="V169" i="4" s="1"/>
  <c r="S172" i="4"/>
  <c r="O209" i="4"/>
  <c r="H209" i="4"/>
  <c r="S224" i="4"/>
  <c r="S120" i="4"/>
  <c r="K160" i="4"/>
  <c r="K182" i="4"/>
  <c r="L182" i="4" s="1"/>
  <c r="R182" i="4" s="1"/>
  <c r="S182" i="4" s="1"/>
  <c r="T181" i="4" s="1"/>
  <c r="P206" i="4"/>
  <c r="M211" i="4"/>
  <c r="U211" i="4" s="1"/>
  <c r="V211" i="4" s="1"/>
  <c r="W210" i="4" s="1"/>
  <c r="S234" i="4"/>
  <c r="S245" i="4"/>
  <c r="H123" i="4"/>
  <c r="N144" i="4"/>
  <c r="S144" i="4" s="1"/>
  <c r="AD167" i="4"/>
  <c r="S194" i="4"/>
  <c r="T193" i="4" s="1"/>
  <c r="P117" i="4"/>
  <c r="H178" i="4"/>
  <c r="V243" i="4"/>
  <c r="K117" i="4"/>
  <c r="J122" i="4"/>
  <c r="Q122" i="4" s="1"/>
  <c r="S122" i="4" s="1"/>
  <c r="P149" i="4"/>
  <c r="O150" i="4"/>
  <c r="S150" i="4" s="1"/>
  <c r="H164" i="4"/>
  <c r="H185" i="4"/>
  <c r="P255" i="4"/>
  <c r="H81" i="4"/>
  <c r="H82" i="4"/>
  <c r="H83" i="4"/>
  <c r="M83" i="4" s="1"/>
  <c r="U83" i="4" s="1"/>
  <c r="V83" i="4" s="1"/>
  <c r="K94" i="4"/>
  <c r="H97" i="4"/>
  <c r="H98" i="4"/>
  <c r="M98" i="4" s="1"/>
  <c r="U98" i="4" s="1"/>
  <c r="V98" i="4" s="1"/>
  <c r="K100" i="4"/>
  <c r="H102" i="4"/>
  <c r="M102" i="4" s="1"/>
  <c r="U102" i="4" s="1"/>
  <c r="V102" i="4" s="1"/>
  <c r="K104" i="4"/>
  <c r="O118" i="4"/>
  <c r="K122" i="4"/>
  <c r="O143" i="4"/>
  <c r="K149" i="4"/>
  <c r="L149" i="4" s="1"/>
  <c r="R149" i="4" s="1"/>
  <c r="P150" i="4"/>
  <c r="N158" i="4"/>
  <c r="K175" i="4"/>
  <c r="N205" i="4"/>
  <c r="S205" i="4" s="1"/>
  <c r="N206" i="4"/>
  <c r="H207" i="4"/>
  <c r="Q255" i="4"/>
  <c r="K99" i="4"/>
  <c r="M99" i="4" s="1"/>
  <c r="U99" i="4" s="1"/>
  <c r="V99" i="4" s="1"/>
  <c r="K103" i="4"/>
  <c r="M103" i="4" s="1"/>
  <c r="U103" i="4" s="1"/>
  <c r="V103" i="4" s="1"/>
  <c r="H106" i="4"/>
  <c r="M106" i="4" s="1"/>
  <c r="U106" i="4" s="1"/>
  <c r="V106" i="4" s="1"/>
  <c r="P118" i="4"/>
  <c r="H131" i="4"/>
  <c r="M131" i="4" s="1"/>
  <c r="U131" i="4" s="1"/>
  <c r="V131" i="4" s="1"/>
  <c r="K142" i="4"/>
  <c r="M142" i="4" s="1"/>
  <c r="U142" i="4" s="1"/>
  <c r="V142" i="4" s="1"/>
  <c r="P143" i="4"/>
  <c r="H145" i="4"/>
  <c r="N145" i="4"/>
  <c r="O158" i="4"/>
  <c r="K197" i="4"/>
  <c r="M223" i="4"/>
  <c r="U223" i="4" s="1"/>
  <c r="V223" i="4" s="1"/>
  <c r="W222" i="4" s="1"/>
  <c r="S226" i="4"/>
  <c r="T222" i="4" s="1"/>
  <c r="M228" i="4"/>
  <c r="U228" i="4" s="1"/>
  <c r="V228" i="4" s="1"/>
  <c r="N95" i="4"/>
  <c r="S95" i="4" s="1"/>
  <c r="K108" i="4"/>
  <c r="M108" i="4" s="1"/>
  <c r="U108" i="4" s="1"/>
  <c r="V108" i="4" s="1"/>
  <c r="H113" i="4"/>
  <c r="P121" i="4"/>
  <c r="Q131" i="4"/>
  <c r="S131" i="4" s="1"/>
  <c r="S137" i="4"/>
  <c r="N149" i="4"/>
  <c r="P202" i="4"/>
  <c r="S202" i="4" s="1"/>
  <c r="K202" i="4"/>
  <c r="M202" i="4" s="1"/>
  <c r="U202" i="4" s="1"/>
  <c r="V202" i="4" s="1"/>
  <c r="S208" i="4"/>
  <c r="S220" i="4"/>
  <c r="H130" i="4"/>
  <c r="M130" i="4" s="1"/>
  <c r="U130" i="4" s="1"/>
  <c r="V130" i="4" s="1"/>
  <c r="G133" i="4"/>
  <c r="U138" i="4"/>
  <c r="V138" i="4" s="1"/>
  <c r="M177" i="4"/>
  <c r="U177" i="4" s="1"/>
  <c r="V177" i="4" s="1"/>
  <c r="N93" i="4"/>
  <c r="Q132" i="4"/>
  <c r="N138" i="4"/>
  <c r="S138" i="4" s="1"/>
  <c r="L156" i="4"/>
  <c r="R156" i="4" s="1"/>
  <c r="S156" i="4" s="1"/>
  <c r="K161" i="4"/>
  <c r="M161" i="4" s="1"/>
  <c r="U161" i="4" s="1"/>
  <c r="V161" i="4" s="1"/>
  <c r="P164" i="4"/>
  <c r="P178" i="4"/>
  <c r="L184" i="4"/>
  <c r="R184" i="4" s="1"/>
  <c r="S184" i="4" s="1"/>
  <c r="H204" i="4"/>
  <c r="S235" i="4"/>
  <c r="M112" i="4"/>
  <c r="U112" i="4" s="1"/>
  <c r="V112" i="4" s="1"/>
  <c r="P138" i="4"/>
  <c r="M152" i="4"/>
  <c r="U152" i="4" s="1"/>
  <c r="V152" i="4" s="1"/>
  <c r="N189" i="4"/>
  <c r="S189" i="4" s="1"/>
  <c r="T188" i="4" s="1"/>
  <c r="H189" i="4"/>
  <c r="M189" i="4" s="1"/>
  <c r="U189" i="4" s="1"/>
  <c r="V189" i="4" s="1"/>
  <c r="W188" i="4" s="1"/>
  <c r="P212" i="4"/>
  <c r="S212" i="4" s="1"/>
  <c r="K212" i="4"/>
  <c r="M212" i="4" s="1"/>
  <c r="U212" i="4" s="1"/>
  <c r="V212" i="4" s="1"/>
  <c r="N221" i="4"/>
  <c r="S221" i="4" s="1"/>
  <c r="H221" i="4"/>
  <c r="M221" i="4" s="1"/>
  <c r="U221" i="4" s="1"/>
  <c r="V221" i="4" s="1"/>
  <c r="P93" i="4"/>
  <c r="O107" i="4"/>
  <c r="S107" i="4" s="1"/>
  <c r="P116" i="4"/>
  <c r="O121" i="4"/>
  <c r="S121" i="4" s="1"/>
  <c r="M136" i="4"/>
  <c r="U136" i="4" s="1"/>
  <c r="V136" i="4" s="1"/>
  <c r="Q138" i="4"/>
  <c r="M147" i="4"/>
  <c r="U147" i="4" s="1"/>
  <c r="V147" i="4" s="1"/>
  <c r="P157" i="4"/>
  <c r="L173" i="4"/>
  <c r="R173" i="4" s="1"/>
  <c r="S173" i="4" s="1"/>
  <c r="L177" i="4"/>
  <c r="R177" i="4" s="1"/>
  <c r="M201" i="4"/>
  <c r="U201" i="4" s="1"/>
  <c r="V201" i="4" s="1"/>
  <c r="L206" i="4"/>
  <c r="R206" i="4" s="1"/>
  <c r="N232" i="4"/>
  <c r="S232" i="4" s="1"/>
  <c r="T230" i="4" s="1"/>
  <c r="R240" i="4"/>
  <c r="R255" i="4" s="1"/>
  <c r="O240" i="4"/>
  <c r="S240" i="4" s="1"/>
  <c r="Q116" i="4"/>
  <c r="N119" i="4"/>
  <c r="S119" i="4" s="1"/>
  <c r="N124" i="4"/>
  <c r="S128" i="4"/>
  <c r="T127" i="4" s="1"/>
  <c r="Q157" i="4"/>
  <c r="N177" i="4"/>
  <c r="S177" i="4" s="1"/>
  <c r="O253" i="4"/>
  <c r="H253" i="4"/>
  <c r="M253" i="4" s="1"/>
  <c r="U253" i="4" s="1"/>
  <c r="V253" i="4" s="1"/>
  <c r="AE165" i="4"/>
  <c r="P250" i="4"/>
  <c r="N236" i="4"/>
  <c r="S236" i="4" s="1"/>
  <c r="H246" i="4"/>
  <c r="M246" i="4" s="1"/>
  <c r="U246" i="4" s="1"/>
  <c r="V246" i="4" s="1"/>
  <c r="H248" i="4"/>
  <c r="M248" i="4" s="1"/>
  <c r="U248" i="4" s="1"/>
  <c r="V248" i="4" s="1"/>
  <c r="W247" i="4" s="1"/>
  <c r="Q250" i="4"/>
  <c r="O249" i="4"/>
  <c r="R250" i="4"/>
  <c r="H241" i="4"/>
  <c r="M241" i="4" s="1"/>
  <c r="U241" i="4" s="1"/>
  <c r="V241" i="4" s="1"/>
  <c r="O254" i="4"/>
  <c r="H245" i="4"/>
  <c r="M245" i="4" s="1"/>
  <c r="U245" i="4" s="1"/>
  <c r="V245" i="4" s="1"/>
  <c r="H240" i="4"/>
  <c r="M240" i="4" s="1"/>
  <c r="U240" i="4" s="1"/>
  <c r="V240" i="4" s="1"/>
  <c r="H220" i="4"/>
  <c r="M220" i="4" s="1"/>
  <c r="U220" i="4" s="1"/>
  <c r="V220" i="4" s="1"/>
  <c r="O241" i="4"/>
  <c r="S241" i="4" s="1"/>
  <c r="H244" i="4"/>
  <c r="M244" i="4" s="1"/>
  <c r="U244" i="4" s="1"/>
  <c r="V244" i="4" s="1"/>
  <c r="H237" i="4"/>
  <c r="M237" i="4" s="1"/>
  <c r="U237" i="4" s="1"/>
  <c r="V237" i="4" s="1"/>
  <c r="P252" i="4"/>
  <c r="O251" i="4"/>
  <c r="P251" i="4"/>
  <c r="N250" i="4"/>
  <c r="S250" i="4" s="1"/>
  <c r="Q251" i="4"/>
  <c r="Q13" i="3"/>
  <c r="R13" i="3"/>
  <c r="S13" i="3"/>
  <c r="T13" i="3"/>
  <c r="Q14" i="3"/>
  <c r="R14" i="3"/>
  <c r="S14" i="3"/>
  <c r="T14" i="3"/>
  <c r="I13" i="3"/>
  <c r="J13" i="3"/>
  <c r="K13" i="3"/>
  <c r="I14" i="3"/>
  <c r="J14" i="3"/>
  <c r="K14" i="3"/>
  <c r="H14" i="3"/>
  <c r="L14" i="3" s="1"/>
  <c r="M14" i="3" s="1"/>
  <c r="H13" i="3"/>
  <c r="E36" i="1"/>
  <c r="D36" i="1"/>
  <c r="C36" i="1"/>
  <c r="S12" i="3"/>
  <c r="R12" i="3"/>
  <c r="Q12" i="3"/>
  <c r="J12" i="3"/>
  <c r="I12" i="3"/>
  <c r="H12" i="3"/>
  <c r="K12" i="3"/>
  <c r="T11" i="3"/>
  <c r="S11" i="3"/>
  <c r="R11" i="3"/>
  <c r="Q11" i="3"/>
  <c r="K11" i="3"/>
  <c r="J11" i="3"/>
  <c r="I11" i="3"/>
  <c r="H11" i="3"/>
  <c r="R20" i="3" l="1"/>
  <c r="U14" i="3"/>
  <c r="L13" i="3"/>
  <c r="M13" i="3" s="1"/>
  <c r="G12" i="12"/>
  <c r="S20" i="3"/>
  <c r="U13" i="3"/>
  <c r="Q20" i="3"/>
  <c r="M199" i="4"/>
  <c r="U199" i="4" s="1"/>
  <c r="V199" i="4" s="1"/>
  <c r="M172" i="4"/>
  <c r="U172" i="4" s="1"/>
  <c r="V172" i="4" s="1"/>
  <c r="S157" i="4"/>
  <c r="S149" i="4"/>
  <c r="AE167" i="4"/>
  <c r="AC169" i="4"/>
  <c r="M146" i="4"/>
  <c r="U146" i="4" s="1"/>
  <c r="V146" i="4" s="1"/>
  <c r="AA169" i="4"/>
  <c r="M157" i="4"/>
  <c r="U157" i="4" s="1"/>
  <c r="V157" i="4" s="1"/>
  <c r="M149" i="4"/>
  <c r="U149" i="4" s="1"/>
  <c r="V149" i="4" s="1"/>
  <c r="S146" i="4"/>
  <c r="Q213" i="4"/>
  <c r="S116" i="4"/>
  <c r="P213" i="4"/>
  <c r="H18" i="5"/>
  <c r="E5" i="6"/>
  <c r="F50" i="6" s="1"/>
  <c r="E6" i="7"/>
  <c r="F33" i="7" s="1"/>
  <c r="E7" i="7"/>
  <c r="H56" i="5"/>
  <c r="H182" i="5"/>
  <c r="H46" i="5"/>
  <c r="G236" i="5"/>
  <c r="H228" i="5"/>
  <c r="G232" i="5"/>
  <c r="G233" i="5" s="1"/>
  <c r="H225" i="5"/>
  <c r="H77" i="5"/>
  <c r="H206" i="5"/>
  <c r="H194" i="5"/>
  <c r="H99" i="5"/>
  <c r="H116" i="5"/>
  <c r="H185" i="5"/>
  <c r="H211" i="5"/>
  <c r="H198" i="5"/>
  <c r="H149" i="5"/>
  <c r="H178" i="5"/>
  <c r="K59" i="5"/>
  <c r="H75" i="5"/>
  <c r="H120" i="5"/>
  <c r="H61" i="5"/>
  <c r="H142" i="5"/>
  <c r="H68" i="5"/>
  <c r="H203" i="5"/>
  <c r="H208" i="5"/>
  <c r="H103" i="5"/>
  <c r="H23" i="5"/>
  <c r="H8" i="5"/>
  <c r="G59" i="5"/>
  <c r="H196" i="5"/>
  <c r="H215" i="5"/>
  <c r="H144" i="5"/>
  <c r="H95" i="5"/>
  <c r="H129" i="5"/>
  <c r="H86" i="5"/>
  <c r="H111" i="5"/>
  <c r="S36" i="4"/>
  <c r="S198" i="4"/>
  <c r="W88" i="4"/>
  <c r="O213" i="4"/>
  <c r="R34" i="4"/>
  <c r="S34" i="4" s="1"/>
  <c r="M34" i="4"/>
  <c r="U34" i="4" s="1"/>
  <c r="V34" i="4" s="1"/>
  <c r="T239" i="4"/>
  <c r="L180" i="4"/>
  <c r="R180" i="4" s="1"/>
  <c r="S180" i="4" s="1"/>
  <c r="T179" i="4" s="1"/>
  <c r="L168" i="4"/>
  <c r="R168" i="4" s="1"/>
  <c r="S168" i="4" s="1"/>
  <c r="T167" i="4" s="1"/>
  <c r="L124" i="4"/>
  <c r="R124" i="4" s="1"/>
  <c r="S124" i="4" s="1"/>
  <c r="L35" i="4"/>
  <c r="R35" i="4" s="1"/>
  <c r="S35" i="4" s="1"/>
  <c r="M13" i="4"/>
  <c r="U13" i="4" s="1"/>
  <c r="V13" i="4" s="1"/>
  <c r="T210" i="4"/>
  <c r="L79" i="4"/>
  <c r="R79" i="4" s="1"/>
  <c r="S79" i="4" s="1"/>
  <c r="L41" i="4"/>
  <c r="R41" i="4" s="1"/>
  <c r="S41" i="4" s="1"/>
  <c r="M41" i="4"/>
  <c r="U41" i="4" s="1"/>
  <c r="V41" i="4" s="1"/>
  <c r="M67" i="4"/>
  <c r="U67" i="4" s="1"/>
  <c r="V67" i="4" s="1"/>
  <c r="W62" i="4" s="1"/>
  <c r="N255" i="4"/>
  <c r="L165" i="4"/>
  <c r="R165" i="4" s="1"/>
  <c r="S165" i="4" s="1"/>
  <c r="M165" i="4"/>
  <c r="U165" i="4" s="1"/>
  <c r="V165" i="4" s="1"/>
  <c r="N213" i="4"/>
  <c r="M73" i="4"/>
  <c r="U73" i="4" s="1"/>
  <c r="V73" i="4" s="1"/>
  <c r="M20" i="4"/>
  <c r="U20" i="4" s="1"/>
  <c r="V20" i="4" s="1"/>
  <c r="W18" i="4" s="1"/>
  <c r="L37" i="4"/>
  <c r="R37" i="4" s="1"/>
  <c r="S37" i="4" s="1"/>
  <c r="M166" i="4"/>
  <c r="U166" i="4" s="1"/>
  <c r="V166" i="4" s="1"/>
  <c r="L45" i="4"/>
  <c r="R45" i="4" s="1"/>
  <c r="S45" i="4" s="1"/>
  <c r="M151" i="4"/>
  <c r="U151" i="4" s="1"/>
  <c r="V151" i="4" s="1"/>
  <c r="M156" i="4"/>
  <c r="U156" i="4" s="1"/>
  <c r="V156" i="4" s="1"/>
  <c r="L10" i="4"/>
  <c r="R10" i="4" s="1"/>
  <c r="S31" i="4"/>
  <c r="L198" i="4"/>
  <c r="R198" i="4" s="1"/>
  <c r="L38" i="4"/>
  <c r="R38" i="4" s="1"/>
  <c r="S38" i="4" s="1"/>
  <c r="S93" i="4"/>
  <c r="T88" i="4" s="1"/>
  <c r="L178" i="4"/>
  <c r="R178" i="4" s="1"/>
  <c r="S178" i="4" s="1"/>
  <c r="M160" i="4"/>
  <c r="U160" i="4" s="1"/>
  <c r="V160" i="4" s="1"/>
  <c r="S110" i="4"/>
  <c r="S243" i="4"/>
  <c r="S143" i="4"/>
  <c r="L158" i="4"/>
  <c r="R158" i="4" s="1"/>
  <c r="S158" i="4" s="1"/>
  <c r="M158" i="4"/>
  <c r="U158" i="4" s="1"/>
  <c r="V158" i="4" s="1"/>
  <c r="M36" i="4"/>
  <c r="U36" i="4" s="1"/>
  <c r="V36" i="4" s="1"/>
  <c r="L36" i="4"/>
  <c r="R36" i="4" s="1"/>
  <c r="L207" i="4"/>
  <c r="R207" i="4" s="1"/>
  <c r="S207" i="4" s="1"/>
  <c r="L125" i="4"/>
  <c r="R125" i="4" s="1"/>
  <c r="S125" i="4" s="1"/>
  <c r="M122" i="4"/>
  <c r="U122" i="4" s="1"/>
  <c r="V122" i="4" s="1"/>
  <c r="M28" i="4"/>
  <c r="U28" i="4" s="1"/>
  <c r="V28" i="4" s="1"/>
  <c r="M69" i="4"/>
  <c r="U69" i="4" s="1"/>
  <c r="V69" i="4" s="1"/>
  <c r="M171" i="4"/>
  <c r="U171" i="4" s="1"/>
  <c r="V171" i="4" s="1"/>
  <c r="L29" i="4"/>
  <c r="R29" i="4" s="1"/>
  <c r="S29" i="4" s="1"/>
  <c r="M173" i="4"/>
  <c r="U173" i="4" s="1"/>
  <c r="V173" i="4" s="1"/>
  <c r="L197" i="4"/>
  <c r="R197" i="4" s="1"/>
  <c r="S197" i="4" s="1"/>
  <c r="L81" i="4"/>
  <c r="R81" i="4" s="1"/>
  <c r="S81" i="4" s="1"/>
  <c r="L61" i="4"/>
  <c r="R61" i="4" s="1"/>
  <c r="S61" i="4" s="1"/>
  <c r="T60" i="4" s="1"/>
  <c r="S97" i="4"/>
  <c r="T96" i="4" s="1"/>
  <c r="L24" i="4"/>
  <c r="R24" i="4" s="1"/>
  <c r="S118" i="4"/>
  <c r="M30" i="4"/>
  <c r="U30" i="4" s="1"/>
  <c r="V30" i="4" s="1"/>
  <c r="L30" i="4"/>
  <c r="R30" i="4" s="1"/>
  <c r="S30" i="4" s="1"/>
  <c r="M51" i="4"/>
  <c r="U51" i="4" s="1"/>
  <c r="V51" i="4" s="1"/>
  <c r="M154" i="4"/>
  <c r="U154" i="4" s="1"/>
  <c r="V154" i="4" s="1"/>
  <c r="M126" i="4"/>
  <c r="U126" i="4" s="1"/>
  <c r="V126" i="4" s="1"/>
  <c r="K39" i="4"/>
  <c r="AE164" i="4"/>
  <c r="S33" i="4"/>
  <c r="W101" i="4"/>
  <c r="O255" i="4"/>
  <c r="V255" i="4"/>
  <c r="W219" i="4"/>
  <c r="T219" i="4"/>
  <c r="S255" i="4"/>
  <c r="N59" i="4"/>
  <c r="S59" i="4" s="1"/>
  <c r="T53" i="4" s="1"/>
  <c r="H59" i="4"/>
  <c r="M59" i="4" s="1"/>
  <c r="U59" i="4" s="1"/>
  <c r="V59" i="4" s="1"/>
  <c r="W53" i="4" s="1"/>
  <c r="M94" i="4"/>
  <c r="U94" i="4" s="1"/>
  <c r="V94" i="4" s="1"/>
  <c r="S103" i="4"/>
  <c r="M100" i="4"/>
  <c r="U100" i="4" s="1"/>
  <c r="V100" i="4" s="1"/>
  <c r="L32" i="4"/>
  <c r="R32" i="4" s="1"/>
  <c r="S32" i="4" s="1"/>
  <c r="S73" i="4"/>
  <c r="T71" i="4" s="1"/>
  <c r="S65" i="4"/>
  <c r="T62" i="4" s="1"/>
  <c r="S51" i="4"/>
  <c r="M150" i="4"/>
  <c r="U150" i="4" s="1"/>
  <c r="V150" i="4" s="1"/>
  <c r="AD169" i="4"/>
  <c r="L52" i="4"/>
  <c r="R52" i="4" s="1"/>
  <c r="S52" i="4" s="1"/>
  <c r="L82" i="4"/>
  <c r="R82" i="4" s="1"/>
  <c r="S82" i="4" s="1"/>
  <c r="L159" i="4"/>
  <c r="R159" i="4" s="1"/>
  <c r="Z135" i="4" s="1"/>
  <c r="W239" i="4"/>
  <c r="L185" i="4"/>
  <c r="R185" i="4" s="1"/>
  <c r="S185" i="4" s="1"/>
  <c r="T183" i="4" s="1"/>
  <c r="L209" i="4"/>
  <c r="R209" i="4" s="1"/>
  <c r="S209" i="4" s="1"/>
  <c r="S117" i="4"/>
  <c r="S104" i="4"/>
  <c r="M27" i="4"/>
  <c r="U27" i="4" s="1"/>
  <c r="V27" i="4" s="1"/>
  <c r="L145" i="4"/>
  <c r="R145" i="4" s="1"/>
  <c r="T200" i="4"/>
  <c r="L164" i="4"/>
  <c r="R164" i="4" s="1"/>
  <c r="S164" i="4" s="1"/>
  <c r="L123" i="4"/>
  <c r="R123" i="4" s="1"/>
  <c r="S123" i="4" s="1"/>
  <c r="S75" i="4"/>
  <c r="M184" i="4"/>
  <c r="U184" i="4" s="1"/>
  <c r="V184" i="4" s="1"/>
  <c r="L33" i="4"/>
  <c r="R33" i="4" s="1"/>
  <c r="L31" i="4"/>
  <c r="R31" i="4" s="1"/>
  <c r="S139" i="4"/>
  <c r="L175" i="4"/>
  <c r="R175" i="4" s="1"/>
  <c r="M175" i="4"/>
  <c r="U175" i="4" s="1"/>
  <c r="V175" i="4" s="1"/>
  <c r="M206" i="4"/>
  <c r="U206" i="4" s="1"/>
  <c r="M117" i="4"/>
  <c r="U117" i="4" s="1"/>
  <c r="V117" i="4" s="1"/>
  <c r="M15" i="4"/>
  <c r="U15" i="4" s="1"/>
  <c r="V15" i="4" s="1"/>
  <c r="M25" i="4"/>
  <c r="U25" i="4" s="1"/>
  <c r="V25" i="4" s="1"/>
  <c r="L113" i="4"/>
  <c r="R113" i="4" s="1"/>
  <c r="S113" i="4" s="1"/>
  <c r="T105" i="4" s="1"/>
  <c r="M113" i="4"/>
  <c r="U113" i="4" s="1"/>
  <c r="V113" i="4" s="1"/>
  <c r="L97" i="4"/>
  <c r="R97" i="4" s="1"/>
  <c r="L110" i="4"/>
  <c r="R110" i="4" s="1"/>
  <c r="M110" i="4"/>
  <c r="U110" i="4" s="1"/>
  <c r="V110" i="4" s="1"/>
  <c r="W105" i="4" s="1"/>
  <c r="O133" i="4"/>
  <c r="S133" i="4" s="1"/>
  <c r="T129" i="4" s="1"/>
  <c r="H133" i="4"/>
  <c r="M133" i="4" s="1"/>
  <c r="U133" i="4" s="1"/>
  <c r="V133" i="4" s="1"/>
  <c r="W129" i="4" s="1"/>
  <c r="S206" i="4"/>
  <c r="M182" i="4"/>
  <c r="U182" i="4" s="1"/>
  <c r="V182" i="4" s="1"/>
  <c r="W181" i="4" s="1"/>
  <c r="L204" i="4"/>
  <c r="R204" i="4" s="1"/>
  <c r="S204" i="4" s="1"/>
  <c r="M204" i="4"/>
  <c r="U204" i="4" s="1"/>
  <c r="V204" i="4" s="1"/>
  <c r="S145" i="4"/>
  <c r="S67" i="4"/>
  <c r="S94" i="4"/>
  <c r="S175" i="4"/>
  <c r="M16" i="4"/>
  <c r="U16" i="4" s="1"/>
  <c r="V16" i="4" s="1"/>
  <c r="F36" i="1"/>
  <c r="L11" i="3"/>
  <c r="M11" i="3" s="1"/>
  <c r="M23" i="3" s="1"/>
  <c r="M25" i="3" s="1"/>
  <c r="U11" i="3"/>
  <c r="L12" i="3"/>
  <c r="M12" i="3" s="1"/>
  <c r="T12" i="3"/>
  <c r="U12" i="3" s="1"/>
  <c r="T20" i="3" l="1"/>
  <c r="U20" i="3"/>
  <c r="G17" i="12"/>
  <c r="H21" i="10"/>
  <c r="G7" i="7"/>
  <c r="F34" i="7"/>
  <c r="F5" i="6"/>
  <c r="G5" i="6" s="1"/>
  <c r="N7" i="11"/>
  <c r="T170" i="4"/>
  <c r="M123" i="4"/>
  <c r="U123" i="4" s="1"/>
  <c r="V123" i="4" s="1"/>
  <c r="F6" i="7"/>
  <c r="G6" i="7" s="1"/>
  <c r="G235" i="5"/>
  <c r="E4" i="7"/>
  <c r="E5" i="7"/>
  <c r="E4" i="6"/>
  <c r="L59" i="5"/>
  <c r="T114" i="4"/>
  <c r="AC135" i="4"/>
  <c r="AE135" i="4" s="1"/>
  <c r="T46" i="4"/>
  <c r="Z23" i="4"/>
  <c r="Z24" i="4" s="1"/>
  <c r="S24" i="4"/>
  <c r="T23" i="4" s="1"/>
  <c r="T163" i="4"/>
  <c r="S159" i="4"/>
  <c r="T134" i="4" s="1"/>
  <c r="AA135" i="4" s="1"/>
  <c r="M82" i="4"/>
  <c r="U82" i="4" s="1"/>
  <c r="V82" i="4" s="1"/>
  <c r="M145" i="4"/>
  <c r="U145" i="4" s="1"/>
  <c r="V145" i="4" s="1"/>
  <c r="W134" i="4" s="1"/>
  <c r="M10" i="4"/>
  <c r="U10" i="4" s="1"/>
  <c r="V10" i="4" s="1"/>
  <c r="M24" i="4"/>
  <c r="U24" i="4" s="1"/>
  <c r="V24" i="4" s="1"/>
  <c r="M124" i="4"/>
  <c r="U124" i="4" s="1"/>
  <c r="V124" i="4" s="1"/>
  <c r="W114" i="4" s="1"/>
  <c r="M52" i="4"/>
  <c r="U52" i="4" s="1"/>
  <c r="V52" i="4" s="1"/>
  <c r="W46" i="4" s="1"/>
  <c r="AG169" i="4"/>
  <c r="AI169" i="4" s="1"/>
  <c r="AE169" i="4"/>
  <c r="M168" i="4"/>
  <c r="U168" i="4" s="1"/>
  <c r="V168" i="4" s="1"/>
  <c r="W167" i="4" s="1"/>
  <c r="M159" i="4"/>
  <c r="U159" i="4" s="1"/>
  <c r="V159" i="4" s="1"/>
  <c r="M35" i="4"/>
  <c r="U35" i="4" s="1"/>
  <c r="V35" i="4" s="1"/>
  <c r="M164" i="4"/>
  <c r="U164" i="4" s="1"/>
  <c r="V164" i="4" s="1"/>
  <c r="W163" i="4" s="1"/>
  <c r="M61" i="4"/>
  <c r="U61" i="4" s="1"/>
  <c r="V61" i="4" s="1"/>
  <c r="W60" i="4" s="1"/>
  <c r="M81" i="4"/>
  <c r="U81" i="4" s="1"/>
  <c r="V81" i="4" s="1"/>
  <c r="M125" i="4"/>
  <c r="U125" i="4" s="1"/>
  <c r="V125" i="4" s="1"/>
  <c r="M45" i="4"/>
  <c r="U45" i="4" s="1"/>
  <c r="V45" i="4" s="1"/>
  <c r="T80" i="4"/>
  <c r="M178" i="4"/>
  <c r="U178" i="4" s="1"/>
  <c r="V178" i="4" s="1"/>
  <c r="M31" i="4"/>
  <c r="U31" i="4" s="1"/>
  <c r="V31" i="4" s="1"/>
  <c r="M38" i="4"/>
  <c r="U38" i="4" s="1"/>
  <c r="V38" i="4" s="1"/>
  <c r="M79" i="4"/>
  <c r="U79" i="4" s="1"/>
  <c r="V79" i="4" s="1"/>
  <c r="W71" i="4" s="1"/>
  <c r="W255" i="4"/>
  <c r="X219" i="4" s="1"/>
  <c r="M209" i="4"/>
  <c r="U209" i="4" s="1"/>
  <c r="V209" i="4" s="1"/>
  <c r="L39" i="4"/>
  <c r="R39" i="4" s="1"/>
  <c r="S39" i="4" s="1"/>
  <c r="M37" i="4"/>
  <c r="U37" i="4" s="1"/>
  <c r="V37" i="4" s="1"/>
  <c r="R213" i="4"/>
  <c r="S10" i="4"/>
  <c r="M29" i="4"/>
  <c r="U29" i="4" s="1"/>
  <c r="V29" i="4" s="1"/>
  <c r="T255" i="4"/>
  <c r="T258" i="4" s="1"/>
  <c r="S258" i="4" s="1"/>
  <c r="M180" i="4"/>
  <c r="U180" i="4" s="1"/>
  <c r="V180" i="4" s="1"/>
  <c r="W179" i="4" s="1"/>
  <c r="M32" i="4"/>
  <c r="U32" i="4" s="1"/>
  <c r="V32" i="4" s="1"/>
  <c r="T101" i="4"/>
  <c r="T196" i="4"/>
  <c r="M207" i="4"/>
  <c r="U207" i="4" s="1"/>
  <c r="V207" i="4" s="1"/>
  <c r="Z207" i="4" s="1"/>
  <c r="AB207" i="4" s="1"/>
  <c r="M198" i="4"/>
  <c r="U198" i="4" s="1"/>
  <c r="V198" i="4" s="1"/>
  <c r="AB206" i="4"/>
  <c r="V206" i="4"/>
  <c r="W200" i="4" s="1"/>
  <c r="W170" i="4"/>
  <c r="M33" i="4"/>
  <c r="U33" i="4" s="1"/>
  <c r="V33" i="4" s="1"/>
  <c r="M185" i="4"/>
  <c r="U185" i="4" s="1"/>
  <c r="V185" i="4" s="1"/>
  <c r="W183" i="4" s="1"/>
  <c r="M97" i="4"/>
  <c r="U97" i="4" s="1"/>
  <c r="V97" i="4" s="1"/>
  <c r="W96" i="4" s="1"/>
  <c r="M197" i="4"/>
  <c r="U197" i="4" s="1"/>
  <c r="V197" i="4" s="1"/>
  <c r="L20" i="3"/>
  <c r="M20" i="3"/>
  <c r="H20" i="9" l="1"/>
  <c r="L20" i="9" s="1" a="1"/>
  <c r="L20" i="9" s="1"/>
  <c r="L21" i="10" a="1"/>
  <c r="L21" i="10" s="1"/>
  <c r="H25" i="10"/>
  <c r="E12" i="7"/>
  <c r="N7" i="10"/>
  <c r="F49" i="6"/>
  <c r="F52" i="6" s="1"/>
  <c r="N7" i="9"/>
  <c r="N8" i="10"/>
  <c r="N27" i="10" s="1"/>
  <c r="O7" i="9"/>
  <c r="O8" i="9" s="1"/>
  <c r="N8" i="11"/>
  <c r="N33" i="11" s="1"/>
  <c r="P7" i="11"/>
  <c r="G5" i="7"/>
  <c r="E13" i="7"/>
  <c r="E32" i="7" s="1"/>
  <c r="F32" i="7" s="1"/>
  <c r="E22" i="7"/>
  <c r="F4" i="7"/>
  <c r="E25" i="7"/>
  <c r="E28" i="7" s="1"/>
  <c r="E9" i="7"/>
  <c r="E6" i="6"/>
  <c r="E40" i="6"/>
  <c r="E43" i="6" s="1"/>
  <c r="F4" i="6"/>
  <c r="F6" i="6" s="1"/>
  <c r="G4" i="6"/>
  <c r="G6" i="6" s="1"/>
  <c r="M39" i="4"/>
  <c r="U39" i="4" s="1"/>
  <c r="V39" i="4" s="1"/>
  <c r="W23" i="4" s="1"/>
  <c r="S213" i="4"/>
  <c r="T8" i="4"/>
  <c r="T213" i="4" s="1"/>
  <c r="T215" i="4" s="1"/>
  <c r="S215" i="4" s="1"/>
  <c r="W258" i="4"/>
  <c r="V258" i="4" s="1"/>
  <c r="X255" i="4"/>
  <c r="W262" i="4"/>
  <c r="X247" i="4"/>
  <c r="X222" i="4"/>
  <c r="X230" i="4"/>
  <c r="Z25" i="4"/>
  <c r="Z31" i="4"/>
  <c r="W80" i="4"/>
  <c r="W196" i="4"/>
  <c r="X239" i="4"/>
  <c r="V213" i="4"/>
  <c r="W8" i="4"/>
  <c r="C30" i="1"/>
  <c r="E30" i="1"/>
  <c r="D30" i="1"/>
  <c r="E18" i="1"/>
  <c r="D18" i="1"/>
  <c r="C10" i="1"/>
  <c r="E10" i="1"/>
  <c r="D10" i="1"/>
  <c r="E31" i="7" l="1"/>
  <c r="F31" i="7" s="1"/>
  <c r="F37" i="7" s="1"/>
  <c r="H7" i="10"/>
  <c r="F12" i="7"/>
  <c r="P21" i="10"/>
  <c r="Q21" i="10" s="1"/>
  <c r="L25" i="10"/>
  <c r="H36" i="9"/>
  <c r="H43" i="9" s="1"/>
  <c r="P8" i="11"/>
  <c r="Q8" i="11" s="1"/>
  <c r="Q7" i="11"/>
  <c r="N8" i="9"/>
  <c r="P7" i="9"/>
  <c r="F13" i="7"/>
  <c r="H13" i="7" s="1"/>
  <c r="K13" i="7" s="1"/>
  <c r="G12" i="7"/>
  <c r="G4" i="7"/>
  <c r="G9" i="7" s="1"/>
  <c r="F9" i="7"/>
  <c r="W213" i="4"/>
  <c r="X80" i="4" s="1"/>
  <c r="F30" i="1"/>
  <c r="F18" i="1"/>
  <c r="F10" i="1"/>
  <c r="E37" i="7" l="1"/>
  <c r="G31" i="7"/>
  <c r="G37" i="7" s="1"/>
  <c r="H9" i="10"/>
  <c r="H7" i="9"/>
  <c r="L7" i="10"/>
  <c r="H8" i="10"/>
  <c r="S20" i="9"/>
  <c r="L36" i="9"/>
  <c r="P25" i="10"/>
  <c r="Q25" i="10" s="1"/>
  <c r="K11" i="7"/>
  <c r="K22" i="7"/>
  <c r="M24" i="7" s="1"/>
  <c r="M27" i="7" s="1"/>
  <c r="M29" i="7" s="1"/>
  <c r="M31" i="7" s="1"/>
  <c r="F22" i="7"/>
  <c r="P8" i="9"/>
  <c r="P45" i="9" s="1"/>
  <c r="P68" i="9" s="1"/>
  <c r="H12" i="7"/>
  <c r="H22" i="7" s="1"/>
  <c r="G22" i="7"/>
  <c r="X196" i="4"/>
  <c r="X8" i="4"/>
  <c r="W261" i="4"/>
  <c r="W263" i="4" s="1"/>
  <c r="W265" i="4" s="1"/>
  <c r="V265" i="4" s="1"/>
  <c r="W215" i="4"/>
  <c r="V215" i="4" s="1"/>
  <c r="X213" i="4"/>
  <c r="X191" i="4"/>
  <c r="X127" i="4"/>
  <c r="X210" i="4"/>
  <c r="X193" i="4"/>
  <c r="X188" i="4"/>
  <c r="X84" i="4"/>
  <c r="X53" i="4"/>
  <c r="X101" i="4"/>
  <c r="X181" i="4"/>
  <c r="X88" i="4"/>
  <c r="X105" i="4"/>
  <c r="X18" i="4"/>
  <c r="X129" i="4"/>
  <c r="X62" i="4"/>
  <c r="X46" i="4"/>
  <c r="X163" i="4"/>
  <c r="X200" i="4"/>
  <c r="X179" i="4"/>
  <c r="X71" i="4"/>
  <c r="X183" i="4"/>
  <c r="X60" i="4"/>
  <c r="X134" i="4"/>
  <c r="X96" i="4"/>
  <c r="X114" i="4"/>
  <c r="X170" i="4"/>
  <c r="X167" i="4"/>
  <c r="X23" i="4"/>
  <c r="L8" i="10" l="1"/>
  <c r="L27" i="10" s="1"/>
  <c r="P7" i="10"/>
  <c r="H8" i="9"/>
  <c r="L7" i="9"/>
  <c r="H9" i="9"/>
  <c r="L9" i="10"/>
  <c r="L10" i="10" s="1"/>
  <c r="H10" i="10"/>
  <c r="H27" i="10" s="1"/>
  <c r="H28" i="10" s="1"/>
  <c r="I28" i="10" s="1"/>
  <c r="J28" i="10" s="1"/>
  <c r="L43" i="9"/>
  <c r="R36" i="9"/>
  <c r="S36" i="9" s="1"/>
  <c r="H10" i="9" l="1"/>
  <c r="H45" i="9" s="1"/>
  <c r="L9" i="9"/>
  <c r="L10" i="9" s="1"/>
  <c r="L8" i="9"/>
  <c r="R7" i="9"/>
  <c r="P8" i="10"/>
  <c r="Q8" i="10" s="1"/>
  <c r="Q7" i="10"/>
  <c r="L45" i="9"/>
  <c r="R8" i="9" l="1"/>
  <c r="S8" i="9" s="1"/>
  <c r="S7" i="9"/>
  <c r="H48" i="9"/>
  <c r="H49" i="9" s="1"/>
  <c r="I49" i="9" s="1"/>
  <c r="J49" i="9" s="1"/>
  <c r="H46" i="9"/>
  <c r="I46" i="9" s="1"/>
  <c r="J4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Rebeca Campos</author>
  </authors>
  <commentList>
    <comment ref="J4" authorId="0" shapeId="0" xr:uid="{DBA953E5-C8E9-44EA-9B91-1E8211E172DD}">
      <text>
        <r>
          <rPr>
            <b/>
            <sz val="9"/>
            <color indexed="81"/>
            <rFont val="Tahoma"/>
            <family val="2"/>
          </rPr>
          <t>Rebeca Campos:</t>
        </r>
        <r>
          <rPr>
            <sz val="9"/>
            <color indexed="81"/>
            <rFont val="Tahoma"/>
            <family val="2"/>
          </rPr>
          <t xml:space="preserve">
Para revisar - considerando que el fideicomiso realizará compras de material grandes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Rebeca</author>
  </authors>
  <commentList>
    <comment ref="B16" authorId="0" shapeId="0" xr:uid="{2C4556DF-CEFA-4408-BD7D-4588862DF6D6}">
      <text>
        <r>
          <rPr>
            <b/>
            <sz val="9"/>
            <color indexed="81"/>
            <rFont val="Tahoma"/>
            <family val="2"/>
          </rPr>
          <t>Rebeca:</t>
        </r>
        <r>
          <rPr>
            <sz val="9"/>
            <color indexed="81"/>
            <rFont val="Tahoma"/>
            <family val="2"/>
          </rPr>
          <t xml:space="preserve">
Amortización Herramientas</t>
        </r>
      </text>
    </comment>
    <comment ref="B32" authorId="0" shapeId="0" xr:uid="{095E3604-1A6C-4467-BA1D-D25E9D0A4CF5}">
      <text>
        <r>
          <rPr>
            <b/>
            <sz val="9"/>
            <color indexed="81"/>
            <rFont val="Tahoma"/>
            <family val="2"/>
          </rPr>
          <t>Rebeca:</t>
        </r>
        <r>
          <rPr>
            <sz val="9"/>
            <color indexed="81"/>
            <rFont val="Tahoma"/>
            <family val="2"/>
          </rPr>
          <t xml:space="preserve">
Amortización Rodados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<sst xmlns="http://schemas.openxmlformats.org/spreadsheetml/2006/main" count="2618" uniqueCount="683">
  <si>
    <t>CONTRATISTAS</t>
  </si>
  <si>
    <t>Fecha</t>
  </si>
  <si>
    <t>Observacion</t>
  </si>
  <si>
    <t>Pagos</t>
  </si>
  <si>
    <t>CAC</t>
  </si>
  <si>
    <t>Presupuesto</t>
  </si>
  <si>
    <t>Presupuesto Aprobado</t>
  </si>
  <si>
    <t>CHIVILCOY</t>
  </si>
  <si>
    <t>GESTOR ELECTRICO</t>
  </si>
  <si>
    <t>CLAUDIO BALACLAV</t>
  </si>
  <si>
    <t>ALEJANDRO ARDILES</t>
  </si>
  <si>
    <t>AGRIMENSOR</t>
  </si>
  <si>
    <t>MICROPILOTES</t>
  </si>
  <si>
    <t>Anticipo 30% - Fact. 1-1478</t>
  </si>
  <si>
    <t>MANO DE OBRA</t>
  </si>
  <si>
    <t>T</t>
  </si>
  <si>
    <t>Trabajado</t>
  </si>
  <si>
    <t>Costo Real</t>
  </si>
  <si>
    <t>P</t>
  </si>
  <si>
    <t>Días x Quincena</t>
  </si>
  <si>
    <t>Especializado</t>
  </si>
  <si>
    <t>Oficial</t>
  </si>
  <si>
    <t>1/2 Oficial</t>
  </si>
  <si>
    <t>Ayudante</t>
  </si>
  <si>
    <t>Total</t>
  </si>
  <si>
    <t>Subtotal</t>
  </si>
  <si>
    <t>Personal por día</t>
  </si>
  <si>
    <t>ESP</t>
  </si>
  <si>
    <t>OF</t>
  </si>
  <si>
    <t>1/2 Of</t>
  </si>
  <si>
    <t>Ayu</t>
  </si>
  <si>
    <t>Días</t>
  </si>
  <si>
    <t>Tot</t>
  </si>
  <si>
    <t>1Q</t>
  </si>
  <si>
    <t>2Q</t>
  </si>
  <si>
    <t>Total T</t>
  </si>
  <si>
    <t>Total P</t>
  </si>
  <si>
    <t xml:space="preserve">Anticipo </t>
  </si>
  <si>
    <t>Saldo</t>
  </si>
  <si>
    <t>CELSI VIAL</t>
  </si>
  <si>
    <t>Certificado</t>
  </si>
  <si>
    <t>Alejandro Ardiles - Agrimensor</t>
  </si>
  <si>
    <t>OK</t>
  </si>
  <si>
    <t>Listo</t>
  </si>
  <si>
    <t>DÓLAR BNA</t>
  </si>
  <si>
    <t>DÓLAR MEP</t>
  </si>
  <si>
    <t>IN</t>
  </si>
  <si>
    <t xml:space="preserve">Estimado </t>
  </si>
  <si>
    <t>C</t>
  </si>
  <si>
    <t>Chekear (Inventado)</t>
  </si>
  <si>
    <t>R</t>
  </si>
  <si>
    <t>Sin hacer/revisar</t>
  </si>
  <si>
    <t>OBRA: EDIFICIO CHIVILCOY 2171</t>
  </si>
  <si>
    <t>MATERIAL</t>
  </si>
  <si>
    <t>M. DE OBRA</t>
  </si>
  <si>
    <t>PRESUPUESTO OBRA CIVIL</t>
  </si>
  <si>
    <t xml:space="preserve"> </t>
  </si>
  <si>
    <t>E</t>
  </si>
  <si>
    <t>Descripción</t>
  </si>
  <si>
    <t>U</t>
  </si>
  <si>
    <t>Cant</t>
  </si>
  <si>
    <t>Otro</t>
  </si>
  <si>
    <t>Corralón</t>
  </si>
  <si>
    <t>Albañil</t>
  </si>
  <si>
    <t>EQUIPOS</t>
  </si>
  <si>
    <t>P.Unit</t>
  </si>
  <si>
    <t xml:space="preserve">P unit </t>
  </si>
  <si>
    <t>TAREAS PRELIMINARES</t>
  </si>
  <si>
    <r>
      <t xml:space="preserve">Limpieza y preparación del terreno </t>
    </r>
    <r>
      <rPr>
        <i/>
        <sz val="10"/>
        <color rgb="FFFF0000"/>
        <rFont val="Calibri"/>
        <family val="2"/>
        <scheme val="minor"/>
      </rPr>
      <t>- No cotiza</t>
    </r>
  </si>
  <si>
    <t>gl</t>
  </si>
  <si>
    <t>Topógrafo - Visita de obra replanteo</t>
  </si>
  <si>
    <t>un</t>
  </si>
  <si>
    <r>
      <t xml:space="preserve">Cartel de Obra </t>
    </r>
    <r>
      <rPr>
        <i/>
        <sz val="10"/>
        <color rgb="FFFF0000"/>
        <rFont val="Calibri"/>
        <family val="2"/>
        <scheme val="minor"/>
      </rPr>
      <t>- No cotiza</t>
    </r>
  </si>
  <si>
    <r>
      <t>Cerco de obra perimetral</t>
    </r>
    <r>
      <rPr>
        <i/>
        <sz val="10"/>
        <color rgb="FFFF0000"/>
        <rFont val="Calibri"/>
        <family val="2"/>
        <scheme val="minor"/>
      </rPr>
      <t xml:space="preserve"> - En chapa C25 + Concertina + Porton corredizo </t>
    </r>
  </si>
  <si>
    <t>ml</t>
  </si>
  <si>
    <t>Obrador, pañol y ducha</t>
  </si>
  <si>
    <t>Alquiler de baños quimicos y duchas portatiles</t>
  </si>
  <si>
    <t>mes</t>
  </si>
  <si>
    <t>Conexión pilar y luz de obra + Tablero de obra</t>
  </si>
  <si>
    <t>Conexión agua de obra, tanque + bomba</t>
  </si>
  <si>
    <t>Tramite luz de obra, certificado luz de obra (2) y medición PAT</t>
  </si>
  <si>
    <t>MOVIMIENTO DE TIERRA, COMPACTACION Y RELLENO</t>
  </si>
  <si>
    <t>Retiro de suelo vegetal e: 50 cm, aporte y compactación de tosca e: 40 cm (dos capas de 20 cm)</t>
  </si>
  <si>
    <t>m2</t>
  </si>
  <si>
    <t>Excavación para cámara transformadora</t>
  </si>
  <si>
    <t>m3</t>
  </si>
  <si>
    <t>Excavación manual para tensores y vigas de fundación</t>
  </si>
  <si>
    <r>
      <t xml:space="preserve">Demolición y retiro de fundaciones existentes </t>
    </r>
    <r>
      <rPr>
        <i/>
        <sz val="10"/>
        <color rgb="FFFF0000"/>
        <rFont val="Calibri"/>
        <family val="2"/>
        <scheme val="minor"/>
      </rPr>
      <t>- No cotiza</t>
    </r>
  </si>
  <si>
    <t>ESTRUCTURA RESISTENTE</t>
  </si>
  <si>
    <t>M.O HA</t>
  </si>
  <si>
    <t>Hormigón de limpieza - e: 10 cm</t>
  </si>
  <si>
    <t>S/cargas</t>
  </si>
  <si>
    <t xml:space="preserve">Micropilotes Ø 20 cm </t>
  </si>
  <si>
    <t>Meses</t>
  </si>
  <si>
    <t>Platea - H30 (110 kg/m3 de hierro)</t>
  </si>
  <si>
    <t>Cuadrilla (9)</t>
  </si>
  <si>
    <t>Zapata corrida tabique - H30 (180 kg/m3 de hierro)</t>
  </si>
  <si>
    <t>Bases aisladas - H30 (110 kg/m3 de hierro)</t>
  </si>
  <si>
    <t>Cabezales - H30 (130 kg/m3 de hierro)</t>
  </si>
  <si>
    <t>Viga de  fundación - H30 (180 kg/m3 de hierro)</t>
  </si>
  <si>
    <t>Tabique submuración - H30 (90 kg/m3 de hierro)</t>
  </si>
  <si>
    <t>$ x m3</t>
  </si>
  <si>
    <t>Puntales de compresión/codales - H30 (120 kg/m3)</t>
  </si>
  <si>
    <t>Columna - H30 (240 kg/m3 de hierro)</t>
  </si>
  <si>
    <t>Tabiques - H30 (120 kg/m3 de hierro)</t>
  </si>
  <si>
    <t>Viga H° Visto - H30 (120 kg/m3 de hierro)</t>
  </si>
  <si>
    <t>Viga apeo s/PB - H30 (180 kg/m3 de hierro)</t>
  </si>
  <si>
    <t>Viga - H30 (120 kg/m3 de hierro)</t>
  </si>
  <si>
    <t>Losa - H30 (95 kg/m3 de hierro)</t>
  </si>
  <si>
    <t>Losa H° Visto - H30 (95 kg/m3 de hierro)</t>
  </si>
  <si>
    <t>Escalera - H30 (105 kg/m3)</t>
  </si>
  <si>
    <t>Viga alero - H30 (120 kg/m3 de hierro)</t>
  </si>
  <si>
    <t>Sistema de apuntalamiento y reapuntalamiento</t>
  </si>
  <si>
    <t xml:space="preserve">Ensayos de Hormigon por etapas de hormigonado </t>
  </si>
  <si>
    <t>u</t>
  </si>
  <si>
    <t>Permiso de estacionamiento de bomba de hormigón a contramano</t>
  </si>
  <si>
    <r>
      <t xml:space="preserve">Picado de medianeras para columnas y vigas </t>
    </r>
    <r>
      <rPr>
        <i/>
        <sz val="10"/>
        <color rgb="FFFF0000"/>
        <rFont val="Calibri"/>
        <family val="2"/>
        <scheme val="minor"/>
      </rPr>
      <t xml:space="preserve">- Cotizado solo para PB, 1P, </t>
    </r>
    <r>
      <rPr>
        <b/>
        <i/>
        <sz val="10"/>
        <color rgb="FFFF0000"/>
        <rFont val="Calibri"/>
        <family val="2"/>
        <scheme val="minor"/>
      </rPr>
      <t>NO</t>
    </r>
    <r>
      <rPr>
        <i/>
        <sz val="10"/>
        <color rgb="FFFF0000"/>
        <rFont val="Calibri"/>
        <family val="2"/>
        <scheme val="minor"/>
      </rPr>
      <t xml:space="preserve"> contempla picado en CT</t>
    </r>
  </si>
  <si>
    <t>MAMPOSTERÍA</t>
  </si>
  <si>
    <t>Muro tipo 1 (interiores, divisorio de locales) e: 10 cm - Ladrillo hueco 08 x 18 x 33</t>
  </si>
  <si>
    <t xml:space="preserve">Muro tipo 2 y 3 (medianera, caja de escaleras y ascensor) e: 15 cm - Ladrillo hueco portante 12 x 19 x 33 </t>
  </si>
  <si>
    <t>Muro tipo 4 (divisorio de unidades y fachadas) e: 15 cm -  Ladrillo hueco 12 x 18 x 33</t>
  </si>
  <si>
    <r>
      <t xml:space="preserve">Enchape medianeras existentes </t>
    </r>
    <r>
      <rPr>
        <i/>
        <sz val="10"/>
        <color rgb="FFFF0000"/>
        <rFont val="Calibri"/>
        <family val="2"/>
        <scheme val="minor"/>
      </rPr>
      <t>- Contemplamos picado zonas sueltas y enchape con ladrillo comun para PB y 1°</t>
    </r>
  </si>
  <si>
    <t>Muro de tabique seco ignifugo</t>
  </si>
  <si>
    <r>
      <t xml:space="preserve">Vigas de encadenado </t>
    </r>
    <r>
      <rPr>
        <i/>
        <sz val="10"/>
        <color rgb="FFFF0000"/>
        <rFont val="Calibri"/>
        <family val="2"/>
        <scheme val="minor"/>
      </rPr>
      <t>- En muros de PB, incl. excavación y armado</t>
    </r>
  </si>
  <si>
    <t>AISLACIONES</t>
  </si>
  <si>
    <r>
      <t xml:space="preserve">Aislación hidrófuga horizontal (baños) - </t>
    </r>
    <r>
      <rPr>
        <i/>
        <sz val="10"/>
        <color rgb="FFFF0000"/>
        <rFont val="Calibri"/>
        <family val="2"/>
        <scheme val="minor"/>
      </rPr>
      <t>Inc. membrana geotextil</t>
    </r>
    <r>
      <rPr>
        <sz val="10"/>
        <color rgb="FFFF0000"/>
        <rFont val="Calibri"/>
        <family val="2"/>
        <scheme val="minor"/>
      </rPr>
      <t xml:space="preserve"> y 35% en concepto de babetas</t>
    </r>
  </si>
  <si>
    <r>
      <t xml:space="preserve">Cajón hidrófugo </t>
    </r>
    <r>
      <rPr>
        <i/>
        <sz val="10"/>
        <color rgb="FFFF0000"/>
        <rFont val="Calibri"/>
        <family val="2"/>
        <scheme val="minor"/>
      </rPr>
      <t>- Muros de PB</t>
    </r>
  </si>
  <si>
    <r>
      <t xml:space="preserve">Azotado hidrófugo </t>
    </r>
    <r>
      <rPr>
        <sz val="10"/>
        <color rgb="FFFF0000"/>
        <rFont val="Calibri"/>
        <family val="2"/>
        <scheme val="minor"/>
      </rPr>
      <t>- Sobre contrapiso</t>
    </r>
    <r>
      <rPr>
        <i/>
        <sz val="10"/>
        <color rgb="FFFF0000"/>
        <rFont val="Calibri"/>
        <family val="2"/>
        <scheme val="minor"/>
      </rPr>
      <t xml:space="preserve"> en vereda y PB</t>
    </r>
  </si>
  <si>
    <t xml:space="preserve">Aislación térmica en terrazas, eps e:2,00 cm </t>
  </si>
  <si>
    <t>Barrera de vapor</t>
  </si>
  <si>
    <r>
      <t xml:space="preserve">Membrana asfaltica geotextil 4mm </t>
    </r>
    <r>
      <rPr>
        <i/>
        <sz val="10"/>
        <color rgb="FFFF0000"/>
        <rFont val="Calibri"/>
        <family val="2"/>
        <scheme val="minor"/>
      </rPr>
      <t>- Balcones y azotea - Inc. 20% en concepto de babetas</t>
    </r>
  </si>
  <si>
    <t>CUBIERTAS</t>
  </si>
  <si>
    <t>Babeta de chapa galvanizada en medianeras</t>
  </si>
  <si>
    <t>REVOQUES</t>
  </si>
  <si>
    <t xml:space="preserve">Revoque Grueso Impermeable Exterior </t>
  </si>
  <si>
    <r>
      <t xml:space="preserve">Revoque Grueso Impermeable Exterior a mas de 3m </t>
    </r>
    <r>
      <rPr>
        <i/>
        <sz val="10"/>
        <color rgb="FFFF0000"/>
        <rFont val="Calibri"/>
        <family val="2"/>
        <scheme val="minor"/>
      </rPr>
      <t>- Medianero y fachadas</t>
    </r>
  </si>
  <si>
    <r>
      <t xml:space="preserve">Buña en revoque </t>
    </r>
    <r>
      <rPr>
        <i/>
        <sz val="10"/>
        <color rgb="FFFF0000"/>
        <rFont val="Calibri"/>
        <family val="2"/>
        <scheme val="minor"/>
      </rPr>
      <t>- Estimados ml en medianeras</t>
    </r>
  </si>
  <si>
    <t>Revoque Grueso Interior + fino</t>
  </si>
  <si>
    <t>Yeso interior</t>
  </si>
  <si>
    <t xml:space="preserve">Arista en yeso </t>
  </si>
  <si>
    <t xml:space="preserve">Provisión y colocación de guardacanto yesero </t>
  </si>
  <si>
    <t>Revoque Grueso Impermeable Interior b/ revestimiento</t>
  </si>
  <si>
    <t>CONTRAPISOS Y CARPETAS</t>
  </si>
  <si>
    <t>Contrapiso de cascotes s/ss e: 15 cm</t>
  </si>
  <si>
    <t>Contrapiso armado de H° pobre s/terreno natural e: 20 cm - Incluye film de polietileno</t>
  </si>
  <si>
    <t>Contrapiso de cascotes en azoteas c/pendiente e: 15 cm</t>
  </si>
  <si>
    <t>Contrapiso - Carpeta monolitico e: 6 cm</t>
  </si>
  <si>
    <t>Carpeta en PB, balcones, baños y azoteas e: 3,00 cm</t>
  </si>
  <si>
    <t>Carpeta sobre membrana, e: 3,00 cm</t>
  </si>
  <si>
    <r>
      <t xml:space="preserve">Banquinas para cocinas </t>
    </r>
    <r>
      <rPr>
        <i/>
        <sz val="10"/>
        <color rgb="FFFF0000"/>
        <rFont val="Calibri"/>
        <family val="2"/>
        <scheme val="minor"/>
      </rPr>
      <t>- N/A</t>
    </r>
  </si>
  <si>
    <t>Banquinas para bombas, TT, etc. h: 15 cm</t>
  </si>
  <si>
    <t>ESCALERAS</t>
  </si>
  <si>
    <t xml:space="preserve">Provisión y ejecución de alisado de cemento en pedadas y alzadas </t>
  </si>
  <si>
    <t xml:space="preserve">Provisión y colocación de nariz metálica en escalones </t>
  </si>
  <si>
    <r>
      <t>Zócalo de concreto en escalera</t>
    </r>
    <r>
      <rPr>
        <i/>
        <sz val="10"/>
        <color rgb="FFFF0000"/>
        <rFont val="Calibri"/>
        <family val="2"/>
        <scheme val="minor"/>
      </rPr>
      <t xml:space="preserve"> - No incluye el ojo</t>
    </r>
  </si>
  <si>
    <r>
      <t xml:space="preserve">VENTILACIONES </t>
    </r>
    <r>
      <rPr>
        <b/>
        <i/>
        <sz val="10"/>
        <color rgb="FFFF0000"/>
        <rFont val="Calibri"/>
        <family val="2"/>
        <scheme val="minor"/>
      </rPr>
      <t>- PROVISION COTIZADA EN ITEM 26</t>
    </r>
  </si>
  <si>
    <t xml:space="preserve">Colocación de ventilación de conducto de humos. Inc. toma de aire en PB </t>
  </si>
  <si>
    <t>Colocación y montaje de conducto de ventilación en baños</t>
  </si>
  <si>
    <r>
      <t xml:space="preserve">Colocación sombreretes en chapa prepintada C25 </t>
    </r>
    <r>
      <rPr>
        <i/>
        <sz val="10"/>
        <color rgb="FFFF0000"/>
        <rFont val="Calibri"/>
        <family val="2"/>
        <scheme val="minor"/>
      </rPr>
      <t>- Provisión en item 26</t>
    </r>
  </si>
  <si>
    <r>
      <t xml:space="preserve">PISOS </t>
    </r>
    <r>
      <rPr>
        <b/>
        <i/>
        <sz val="10"/>
        <color rgb="FFFF0000"/>
        <rFont val="Calibri"/>
        <family val="2"/>
        <scheme val="minor"/>
      </rPr>
      <t>- PROVISION A CARGO DEL COMITENTE</t>
    </r>
  </si>
  <si>
    <r>
      <t xml:space="preserve">Colocación de baldosas en palieres 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</si>
  <si>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en UF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</si>
  <si>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en baños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</si>
  <si>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en exterior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</si>
  <si>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Provisión y colocación de sustrato </t>
    </r>
    <r>
      <rPr>
        <i/>
        <sz val="10"/>
        <color rgb="FFFF0000"/>
        <rFont val="Calibri"/>
        <family val="2"/>
        <scheme val="minor"/>
      </rPr>
      <t>- No cotiza</t>
    </r>
  </si>
  <si>
    <t xml:space="preserve">Provisión y ejecución de alisado de cemento rodillado </t>
  </si>
  <si>
    <r>
      <t>Colocación de baldoson de vereda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</si>
  <si>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ZOCALOS Y SOLIAS </t>
    </r>
    <r>
      <rPr>
        <b/>
        <i/>
        <sz val="10"/>
        <color rgb="FFFF0000"/>
        <rFont val="Calibri"/>
        <family val="2"/>
        <scheme val="minor"/>
      </rPr>
      <t>- PROVISION A CARGO DEL COMITENTE</t>
    </r>
  </si>
  <si>
    <t>Provisión y colocación de zocalos de Madera (MDF) h: 5 cm</t>
  </si>
  <si>
    <r>
      <t xml:space="preserve">Colocación de zócalo de porcelanato en balcones UF </t>
    </r>
    <r>
      <rPr>
        <i/>
        <sz val="10"/>
        <color rgb="FFEE0000"/>
        <rFont val="Calibri"/>
        <family val="2"/>
        <scheme val="minor"/>
      </rPr>
      <t>- Provisión a cargo del comitente</t>
    </r>
  </si>
  <si>
    <r>
      <t xml:space="preserve">Colocación de zócalo de porcelanato en espacios comunes </t>
    </r>
    <r>
      <rPr>
        <i/>
        <sz val="10"/>
        <color rgb="FFEE0000"/>
        <rFont val="Calibri"/>
        <family val="2"/>
        <scheme val="minor"/>
      </rPr>
      <t>- Provisión a cargo del comitente</t>
    </r>
  </si>
  <si>
    <r>
      <t xml:space="preserve">Colocación de solia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</si>
  <si>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REVESTIMIENTOS </t>
    </r>
    <r>
      <rPr>
        <b/>
        <i/>
        <sz val="10"/>
        <color rgb="FFFF0000"/>
        <rFont val="Calibri"/>
        <family val="2"/>
        <scheme val="minor"/>
      </rPr>
      <t>- PROVISION A CARGO DEL COMITENTE</t>
    </r>
  </si>
  <si>
    <r>
      <t>Revestimiento en baños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</si>
  <si>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Revestimiento en cocinas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</si>
  <si>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Provisión y colocación de perfileria de aluminio tipo ATRIM L anod. Natural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</si>
  <si>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CIELORRASOS</t>
  </si>
  <si>
    <t xml:space="preserve">Cielorraso suspendido junta tomada placa STD </t>
  </si>
  <si>
    <t>Cielorraso suspendido junta tomada placa RH</t>
  </si>
  <si>
    <t>Cajon en junta tomada placa STD</t>
  </si>
  <si>
    <t>Buña perimetral / Cantoneras</t>
  </si>
  <si>
    <t>Aplicado de yeso interior</t>
  </si>
  <si>
    <t xml:space="preserve">Buña en yeso </t>
  </si>
  <si>
    <t>H° Visto - Maquillaje para recibir pintura</t>
  </si>
  <si>
    <t>PINTURA</t>
  </si>
  <si>
    <r>
      <t xml:space="preserve">Látex interior para paredes Bco. mate (enduido parcial) </t>
    </r>
    <r>
      <rPr>
        <i/>
        <sz val="10"/>
        <color rgb="FFFF0000"/>
        <rFont val="Calibri"/>
        <family val="2"/>
        <scheme val="minor"/>
      </rPr>
      <t>- Interiores UF</t>
    </r>
  </si>
  <si>
    <r>
      <t>Látex interior para paredes Bco. mate (s/enduido)</t>
    </r>
    <r>
      <rPr>
        <i/>
        <sz val="10"/>
        <color rgb="FFFF0000"/>
        <rFont val="Calibri"/>
        <family val="2"/>
        <scheme val="minor"/>
      </rPr>
      <t xml:space="preserve"> - Espacios comunes y caja escalera</t>
    </r>
  </si>
  <si>
    <r>
      <t xml:space="preserve">Latex interior para paredes Bco. mate (enduido completo) </t>
    </r>
    <r>
      <rPr>
        <i/>
        <sz val="10"/>
        <color rgb="FFFF0000"/>
        <rFont val="Calibri"/>
        <family val="2"/>
        <scheme val="minor"/>
      </rPr>
      <t>- Cocinas/Estar</t>
    </r>
  </si>
  <si>
    <r>
      <t>Látex interior para cielorraso Bco. mate (enduido completo)</t>
    </r>
    <r>
      <rPr>
        <i/>
        <sz val="10"/>
        <color rgb="FFFF0000"/>
        <rFont val="Calibri"/>
        <family val="2"/>
        <scheme val="minor"/>
      </rPr>
      <t xml:space="preserve"> - Baños y cocina</t>
    </r>
  </si>
  <si>
    <r>
      <t>Látex interior para cielorraso Bco. mate (enduido parcial)</t>
    </r>
    <r>
      <rPr>
        <i/>
        <sz val="10"/>
        <color rgb="FFFF0000"/>
        <rFont val="Calibri"/>
        <family val="2"/>
        <scheme val="minor"/>
      </rPr>
      <t xml:space="preserve"> - Interiores UF</t>
    </r>
  </si>
  <si>
    <r>
      <t xml:space="preserve">Látex interior para cielorrasos Bco. mate (s/enduido) </t>
    </r>
    <r>
      <rPr>
        <i/>
        <sz val="10"/>
        <color rgb="FFFF0000"/>
        <rFont val="Calibri"/>
        <family val="2"/>
        <scheme val="minor"/>
      </rPr>
      <t>- En subsuelos, espacios comunes, escalera y balcones</t>
    </r>
  </si>
  <si>
    <r>
      <t xml:space="preserve">Revestimiento plástico a llana tipo Quimtex </t>
    </r>
    <r>
      <rPr>
        <i/>
        <sz val="10"/>
        <color rgb="FFFF0000"/>
        <rFont val="Calibri"/>
        <family val="2"/>
        <scheme val="minor"/>
      </rPr>
      <t>- Fachada frente/contrafrente y balcones</t>
    </r>
  </si>
  <si>
    <r>
      <t xml:space="preserve">Revestimiento plástico a llana tipo Quimtex en altura </t>
    </r>
    <r>
      <rPr>
        <i/>
        <sz val="10"/>
        <color rgb="FFFF0000"/>
        <rFont val="Calibri"/>
        <family val="2"/>
        <scheme val="minor"/>
      </rPr>
      <t>- Aire luz y balcones</t>
    </r>
  </si>
  <si>
    <r>
      <t xml:space="preserve">Preparación de superficie con base coat para recibir revestimiento </t>
    </r>
    <r>
      <rPr>
        <i/>
        <sz val="10"/>
        <color rgb="FFFF0000"/>
        <rFont val="Calibri"/>
        <family val="2"/>
        <scheme val="minor"/>
      </rPr>
      <t>- Vigas y cielorrasos balcones</t>
    </r>
  </si>
  <si>
    <r>
      <t xml:space="preserve">Revestimiento plástico a rodillo tipo Quimtex en altura </t>
    </r>
    <r>
      <rPr>
        <i/>
        <sz val="10"/>
        <color rgb="FFFF0000"/>
        <rFont val="Calibri"/>
        <family val="2"/>
        <scheme val="minor"/>
      </rPr>
      <t>- Medianeras</t>
    </r>
  </si>
  <si>
    <t>Esmalte sintético en puertas placa, chapa y de ascensor</t>
  </si>
  <si>
    <r>
      <t xml:space="preserve">Convertidor y esmalte sintético en barandas y herrerías </t>
    </r>
    <r>
      <rPr>
        <i/>
        <sz val="10"/>
        <color rgb="FFFF0000"/>
        <rFont val="Calibri"/>
        <family val="2"/>
        <scheme val="minor"/>
      </rPr>
      <t>- Escalera, balcones, barandas, portón, medidores, etc.</t>
    </r>
  </si>
  <si>
    <r>
      <t>MARMOLES Y GRANITOS</t>
    </r>
    <r>
      <rPr>
        <b/>
        <i/>
        <sz val="10"/>
        <color rgb="FFFF0000"/>
        <rFont val="Calibri"/>
        <family val="2"/>
        <scheme val="minor"/>
      </rPr>
      <t xml:space="preserve"> - PROVISION Y COLOCACION A CARGO DEL COMITENTE</t>
    </r>
  </si>
  <si>
    <r>
      <t>CARPINTERIA</t>
    </r>
    <r>
      <rPr>
        <b/>
        <i/>
        <sz val="10"/>
        <color rgb="FFFF0000"/>
        <rFont val="Calibri"/>
        <family val="2"/>
        <scheme val="minor"/>
      </rPr>
      <t xml:space="preserve"> - PROVISION A CARGO DEL COMITENTE</t>
    </r>
  </si>
  <si>
    <r>
      <t xml:space="preserve">Amure de puertas placa </t>
    </r>
    <r>
      <rPr>
        <i/>
        <sz val="10"/>
        <color rgb="FFFF0000"/>
        <rFont val="Calibri"/>
        <family val="2"/>
        <scheme val="minor"/>
      </rPr>
      <t xml:space="preserve"> Provisión a cargo del comitente</t>
    </r>
  </si>
  <si>
    <r>
      <t xml:space="preserve">Amure de puertas de chapa e ingresos depto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</si>
  <si>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>Amure de premarcos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</si>
  <si>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Amure Puertas de Ascensor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</si>
  <si>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INSTALACION ELECTRICA</t>
  </si>
  <si>
    <t>M.O Elect</t>
  </si>
  <si>
    <t>Incidencia M.O</t>
  </si>
  <si>
    <t>M.O Elect s/cargas</t>
  </si>
  <si>
    <t>Cuadrilla</t>
  </si>
  <si>
    <t xml:space="preserve">Meses </t>
  </si>
  <si>
    <t>Tendido y cableado boca Iluminación en losa</t>
  </si>
  <si>
    <t>Tendido y cableado boca Iluminación en pared</t>
  </si>
  <si>
    <t xml:space="preserve">Tendido y cableado boca caja mignon para Led </t>
  </si>
  <si>
    <t>Tendido y cableado boca extractor de baño</t>
  </si>
  <si>
    <t>Tendido y cableado boca tomacorriente</t>
  </si>
  <si>
    <t>Tendido y cableado boca tomacorriente especial (AA.CC)</t>
  </si>
  <si>
    <t>Tendido y cableado boca tomacorriente especial (Anafe/Horno)</t>
  </si>
  <si>
    <t>Boca MBT Timbre</t>
  </si>
  <si>
    <t xml:space="preserve">Boca de TV - Cañería c/cable testigo </t>
  </si>
  <si>
    <t xml:space="preserve">Boca de PE - Cañería c/cable testigo </t>
  </si>
  <si>
    <t>Tablero Servicios Generales - TSG</t>
  </si>
  <si>
    <t>Tablero Bombas impulsión - TS BA</t>
  </si>
  <si>
    <t>Tablero Seccional Ascensor - TS ASC</t>
  </si>
  <si>
    <t>Tablero de Bomba presurizadora - TS BOMB</t>
  </si>
  <si>
    <t>Tablero de UF - Monofasico</t>
  </si>
  <si>
    <t>Tablero de UF - Trifasico</t>
  </si>
  <si>
    <t>Montante eléctrica</t>
  </si>
  <si>
    <t xml:space="preserve">Montante TV + Tablero TV - Cañería c/cable testigo </t>
  </si>
  <si>
    <t>Montante PE + Tablero PE- Cañería c/cable testigo</t>
  </si>
  <si>
    <r>
      <t>Colocación de teclas simples y/o combinadas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</si>
  <si>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Colocación de pulsadores, circulación + timbres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</si>
  <si>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tomacorriente simple y doble 10/20 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</si>
  <si>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artefactos en espacios comunes y balcones </t>
    </r>
    <r>
      <rPr>
        <i/>
        <sz val="10"/>
        <color rgb="FFFF0000"/>
        <rFont val="Calibri"/>
        <family val="2"/>
        <scheme val="minor"/>
      </rPr>
      <t>- Provisión a cargo del comitente. NO incluye provisión, ni colocación de artefactos en interior de UF</t>
    </r>
  </si>
  <si>
    <r>
      <t xml:space="preserve">Colocación de luz de emergencia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</si>
  <si>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Provisión y armado de medidores. Provisión y tendido de alim. por bandeja desde CT hasta medidores</t>
  </si>
  <si>
    <t>Puesta a tierra, jabalinas y cableados</t>
  </si>
  <si>
    <t>Certificado DCI para servicios generales</t>
  </si>
  <si>
    <t>INSTALACION SANITARIA, GRIFERIA Y SANITARIOS</t>
  </si>
  <si>
    <t>INSTALACION CLOACAL</t>
  </si>
  <si>
    <t>D&amp;V</t>
  </si>
  <si>
    <t>Act</t>
  </si>
  <si>
    <t>%</t>
  </si>
  <si>
    <t>Incidencia</t>
  </si>
  <si>
    <t>CH 2171</t>
  </si>
  <si>
    <t>Tendido caño cloacal en planta baja</t>
  </si>
  <si>
    <t>Cloaca</t>
  </si>
  <si>
    <t>Por armar CDV en UF</t>
  </si>
  <si>
    <t>AF Y AC</t>
  </si>
  <si>
    <t>Montantes, remate y ventilación a los 4 vientos</t>
  </si>
  <si>
    <t>Incendio</t>
  </si>
  <si>
    <t>INSTALACION PLUVIAL</t>
  </si>
  <si>
    <t>Gas</t>
  </si>
  <si>
    <t>Tendido caño pluvial en planta baja</t>
  </si>
  <si>
    <t>M.O Sanit s/cargas</t>
  </si>
  <si>
    <t>Tendido caño pluvial en balcones de UF y azoteas</t>
  </si>
  <si>
    <t>INSTALACION AGUA FRIA Y CALIENTE</t>
  </si>
  <si>
    <r>
      <t xml:space="preserve">Tendido caño de agua en PB hasta TB. Armado de colector, cuadro de bombas y conexionado de TB </t>
    </r>
    <r>
      <rPr>
        <i/>
        <sz val="10"/>
        <color rgb="FFFF0000"/>
        <rFont val="Calibri"/>
        <family val="2"/>
        <scheme val="minor"/>
      </rPr>
      <t>- Provisión de tanques y bombas a cargo del comitente</t>
    </r>
  </si>
  <si>
    <r>
      <t xml:space="preserve">Conexión y armado de colector de TR. Montantes, subida y bajadas de AF </t>
    </r>
    <r>
      <rPr>
        <i/>
        <sz val="10"/>
        <color rgb="FFFF0000"/>
        <rFont val="Calibri"/>
        <family val="2"/>
        <scheme val="minor"/>
      </rPr>
      <t>- Provisión de tanques a cargo del comitente</t>
    </r>
  </si>
  <si>
    <r>
      <t xml:space="preserve">Armado de colector de TAR. Bajadas y retorno de ACS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</si>
  <si>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bomba presurizadora, armado de colector y montantes presurizadas de AF y AC (ultimos pisos 6° y 7°)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</si>
  <si>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 xml:space="preserve">Distribución agua fria y caliente en planta tipo </t>
  </si>
  <si>
    <r>
      <t xml:space="preserve">Tendido e instalación de cs de agua de lluvia recuperada, con instalación de bomba presurizadora y conexión de tanque de recuperación de agua de lluvia </t>
    </r>
    <r>
      <rPr>
        <i/>
        <sz val="10"/>
        <color rgb="FFFF0000"/>
        <rFont val="Calibri"/>
        <family val="2"/>
        <scheme val="minor"/>
      </rPr>
      <t>- N/A</t>
    </r>
  </si>
  <si>
    <r>
      <t xml:space="preserve">Colocación de artefactos y griferías </t>
    </r>
    <r>
      <rPr>
        <i/>
        <sz val="10"/>
        <color rgb="FFFF0000"/>
        <rFont val="Calibri"/>
        <family val="2"/>
        <scheme val="minor"/>
      </rPr>
      <t>- Provisión de artefactos y griferías a cargo del comitente</t>
    </r>
  </si>
  <si>
    <r>
      <t xml:space="preserve">Colocación y armado de colectores solares </t>
    </r>
    <r>
      <rPr>
        <i/>
        <sz val="10"/>
        <color rgb="FFFF0000"/>
        <rFont val="Calibri"/>
        <family val="2"/>
        <scheme val="minor"/>
      </rPr>
      <t>- Provisión de colectores a cargo del comitente</t>
    </r>
  </si>
  <si>
    <t>INSTALACION DESCARGA SPLIT</t>
  </si>
  <si>
    <r>
      <t xml:space="preserve">Armado y conexionado de desagües </t>
    </r>
    <r>
      <rPr>
        <sz val="10"/>
        <rFont val="Calibri"/>
        <family val="2"/>
        <scheme val="minor"/>
      </rPr>
      <t>AA.CC</t>
    </r>
  </si>
  <si>
    <t>INSTALACION DE INCENDIO</t>
  </si>
  <si>
    <r>
      <t xml:space="preserve">Tendido cañeria de incendio </t>
    </r>
    <r>
      <rPr>
        <i/>
        <sz val="10"/>
        <color rgb="FFFF0000"/>
        <rFont val="Calibri"/>
        <family val="2"/>
        <scheme val="minor"/>
      </rPr>
      <t>- Gabinetes, mangueras, lanzas y valvulas cotizadas en Item 31</t>
    </r>
  </si>
  <si>
    <t>INSTALACION DE GAS</t>
  </si>
  <si>
    <t>Provisión y tendido de cañerías de gas a SG</t>
  </si>
  <si>
    <r>
      <t xml:space="preserve">Colocación de artefactos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</si>
  <si>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Tramites de prefactibilidad, inspección parcial y final.</t>
  </si>
  <si>
    <t xml:space="preserve">Tramites de habilitación municipal </t>
  </si>
  <si>
    <r>
      <t>AIRE ACONDICIONADO</t>
    </r>
    <r>
      <rPr>
        <b/>
        <i/>
        <sz val="10"/>
        <color rgb="FFFF0000"/>
        <rFont val="Calibri"/>
        <family val="2"/>
        <scheme val="minor"/>
      </rPr>
      <t xml:space="preserve"> - PROVISION A CARGO DEL COMITENTE</t>
    </r>
  </si>
  <si>
    <t>Preinstalación AA.CC. Materiales y M.O</t>
  </si>
  <si>
    <r>
      <t>Montaje, colocación y puesta en marcha de equipos</t>
    </r>
    <r>
      <rPr>
        <i/>
        <sz val="10"/>
        <color rgb="FFFF0000"/>
        <rFont val="Calibri"/>
        <family val="2"/>
        <scheme val="minor"/>
      </rPr>
      <t xml:space="preserve"> - No cotiza</t>
    </r>
  </si>
  <si>
    <r>
      <t xml:space="preserve">ASCENSOR </t>
    </r>
    <r>
      <rPr>
        <b/>
        <i/>
        <sz val="10"/>
        <color rgb="FFFF0000"/>
        <rFont val="Calibri"/>
        <family val="2"/>
        <scheme val="minor"/>
      </rPr>
      <t xml:space="preserve"> - PROVISION A CARGO DEL COMITENTE</t>
    </r>
  </si>
  <si>
    <r>
      <t xml:space="preserve">Ascensores </t>
    </r>
    <r>
      <rPr>
        <i/>
        <sz val="10"/>
        <color rgb="FFFF0000"/>
        <rFont val="Calibri"/>
        <family val="2"/>
        <scheme val="minor"/>
      </rPr>
      <t>- Provisión y colocación a cargo del comitente</t>
    </r>
  </si>
  <si>
    <r>
      <t xml:space="preserve">EQUIPAMIENTO </t>
    </r>
    <r>
      <rPr>
        <b/>
        <i/>
        <sz val="10"/>
        <color rgb="FFFF0000"/>
        <rFont val="Calibri"/>
        <family val="2"/>
        <scheme val="minor"/>
      </rPr>
      <t>- PROVISION A CARGO DEL COMITENTE</t>
    </r>
  </si>
  <si>
    <r>
      <t>Artefactos de cocina, instalacion anafes y hornos electricos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</si>
  <si>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>Instalacion de extractores de baños</t>
    </r>
    <r>
      <rPr>
        <i/>
        <sz val="10"/>
        <color rgb="FFFF0000"/>
        <rFont val="Calibri"/>
        <family val="2"/>
        <scheme val="minor"/>
      </rPr>
      <t xml:space="preserve"> - No cotiza</t>
    </r>
  </si>
  <si>
    <t>TRABAJOS COMPLEMENTARIOS</t>
  </si>
  <si>
    <t>Provisión y amure de tapas para pleno electricos en palieres, bastidor hierro angulo + chapa C22, medidas aprox. 40 x 100 cm</t>
  </si>
  <si>
    <r>
      <t xml:space="preserve">Colocación de señaletica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</si>
  <si>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>Ajuste final de puertas placas, colocación de herrajes y cerraduras</t>
    </r>
    <r>
      <rPr>
        <i/>
        <sz val="10"/>
        <color rgb="FFFF0000"/>
        <rFont val="Calibri"/>
        <family val="2"/>
        <scheme val="minor"/>
      </rPr>
      <t xml:space="preserve"> - Provisión de herrajes y cerraduras a cargo del comitente</t>
    </r>
  </si>
  <si>
    <t>AYUDA DE GREMIOS</t>
  </si>
  <si>
    <t>Sereno</t>
  </si>
  <si>
    <t>Tecnico de seguridad &amp; higiene permanente en Obra</t>
  </si>
  <si>
    <t>Higiene y seguridad Res 51</t>
  </si>
  <si>
    <t>Protecciones y defensas</t>
  </si>
  <si>
    <t>x m2</t>
  </si>
  <si>
    <t>Clarin ARQ</t>
  </si>
  <si>
    <t>Ayuda de gremios</t>
  </si>
  <si>
    <t xml:space="preserve">Limpieza periódica </t>
  </si>
  <si>
    <t>Limpieza final de Obra</t>
  </si>
  <si>
    <t>Fletes</t>
  </si>
  <si>
    <t>Volquetes</t>
  </si>
  <si>
    <t>JEFATURA DE OBRA</t>
  </si>
  <si>
    <t>Proyecto Ejecutivo y Supervisión profesional de Obra</t>
  </si>
  <si>
    <t>Movilidad y viaticos</t>
  </si>
  <si>
    <t>SUB TOTAL OBRA GRIS</t>
  </si>
  <si>
    <t>VALOR x m2 (sin IVA)</t>
  </si>
  <si>
    <t>usd/m2</t>
  </si>
  <si>
    <t>PROVISIONES</t>
  </si>
  <si>
    <t>CONDUCTOS Y VENTILACIONES</t>
  </si>
  <si>
    <t>Sombrerete en chapa prepintada C25</t>
  </si>
  <si>
    <t xml:space="preserve">Forzador de aire y termostato de ambiente - Sala de maquinas de Asc. </t>
  </si>
  <si>
    <t>BOMBAS, TANQUES, ACS</t>
  </si>
  <si>
    <t>Electrobomba centrifuga 2,5 Hp Motormech</t>
  </si>
  <si>
    <r>
      <t>Bomba sumergible trituradora Mec V1300 1,8hp Monofásica</t>
    </r>
    <r>
      <rPr>
        <i/>
        <sz val="10"/>
        <color rgb="FFFF0000"/>
        <rFont val="Calibri"/>
        <family val="2"/>
        <scheme val="minor"/>
      </rPr>
      <t xml:space="preserve"> - Pozo de bombeo cloacal</t>
    </r>
  </si>
  <si>
    <r>
      <t xml:space="preserve">Bomba sumergible agua sucia 7mts Llp-250 Lusqtoff C </t>
    </r>
    <r>
      <rPr>
        <i/>
        <sz val="10"/>
        <color rgb="FFFF0000"/>
        <rFont val="Calibri"/>
        <family val="2"/>
        <scheme val="minor"/>
      </rPr>
      <t>- Pozo de bombeo pluvial</t>
    </r>
  </si>
  <si>
    <r>
      <t xml:space="preserve">Bomba presurizadora tipo Rowa Mini RW9 Bronce para un consumo </t>
    </r>
    <r>
      <rPr>
        <i/>
        <sz val="10"/>
        <color rgb="FFFF0000"/>
        <rFont val="Calibri"/>
        <family val="2"/>
        <scheme val="minor"/>
      </rPr>
      <t>- Canilla de servicio agua pluvial recuperada</t>
    </r>
  </si>
  <si>
    <t>Rowa 5/1 Sanitaria Tempo 220 V</t>
  </si>
  <si>
    <t>Termotanque a gas Rheem Performance 120 litros de pie (TGNP120RH)</t>
  </si>
  <si>
    <r>
      <t xml:space="preserve">Rejilla galvanizada 15cm - Modelo Ed-r150g </t>
    </r>
    <r>
      <rPr>
        <i/>
        <sz val="10"/>
        <color rgb="FFFF0000"/>
        <rFont val="Calibri"/>
        <family val="2"/>
        <scheme val="minor"/>
      </rPr>
      <t>- Rampa vehicular</t>
    </r>
  </si>
  <si>
    <t>Válvula tipo teatro de 2" BSP x 1 3/4"INC.</t>
  </si>
  <si>
    <t>Gabinete para manguera de 1 3/4" con puerta hierro angulo . s/vidrio 500 x 550 x 160 mm.</t>
  </si>
  <si>
    <t>Manguera sintética RYL JET sello IRAM de 1 3/4" x 25 mts.</t>
  </si>
  <si>
    <t>Lanza de 1 3/4" con boquilla chorro PLENO Y NIEBLA regulable</t>
  </si>
  <si>
    <t>Válvula de Impulsión para Piso o Pared c/anilla giratoria de 2 1/2"</t>
  </si>
  <si>
    <t>Tapa con inscripción BOMBEROS para pared</t>
  </si>
  <si>
    <t>Extintor nuevo a base de polvo ABC x 5 kg. Inc. Chapas, balizas reglamentarias y ganchos</t>
  </si>
  <si>
    <t>Extintor nuevo a base de gas carbonico BC C02 x 5 kg. Inc. Chapas, balizas reglamentarias y ganchos</t>
  </si>
  <si>
    <t>CALEFFACIÓN</t>
  </si>
  <si>
    <t>Hidroflex colector Luxus cromo 4 sal.16 mm</t>
  </si>
  <si>
    <t>Hidroflex colector Luxus cromo 5 sal.16 mm</t>
  </si>
  <si>
    <t>Hidroflex gabinete p/colector 450 x 450 x 110</t>
  </si>
  <si>
    <t>Hidroflex gabinete p/colector 600 x 450 x 110</t>
  </si>
  <si>
    <t>Hidroflex termostato de ambiente 220 V</t>
  </si>
  <si>
    <t>Caldera Peisa Diva 24 DS TF GN 19800 KC. Inc. Ventilación</t>
  </si>
  <si>
    <t>Tubo Coaxial 1,00 m 60/100 MH</t>
  </si>
  <si>
    <t>ARTEFACTOS ELECTRICOS</t>
  </si>
  <si>
    <t xml:space="preserve">Módulo completo tecla marca Cambre línea SXXII </t>
  </si>
  <si>
    <r>
      <t xml:space="preserve">Modulo completo ciego mignon, marca Cambre línea SXXII </t>
    </r>
    <r>
      <rPr>
        <i/>
        <sz val="10"/>
        <color rgb="FFFF0000"/>
        <rFont val="Calibri"/>
        <family val="2"/>
        <scheme val="minor"/>
      </rPr>
      <t>- Cajas para led</t>
    </r>
  </si>
  <si>
    <t xml:space="preserve">Módulo completo tomacorriente simple 10A marca Cambre línea SXXII </t>
  </si>
  <si>
    <t xml:space="preserve">Módulo completo tomacorriente doble 10A marca Cambre línea SXXII </t>
  </si>
  <si>
    <r>
      <t xml:space="preserve">Módulo completo tomacorriente simple 20A marca Cambre línea SXXII </t>
    </r>
    <r>
      <rPr>
        <i/>
        <sz val="10"/>
        <color rgb="FFFF0000"/>
        <rFont val="Calibri"/>
        <family val="2"/>
        <scheme val="minor"/>
      </rPr>
      <t>- Hornos/Anafe</t>
    </r>
  </si>
  <si>
    <r>
      <t xml:space="preserve">Módulo completo tomacorriente doble 10A encapsulado marca Cambre línea SXXII </t>
    </r>
    <r>
      <rPr>
        <i/>
        <sz val="10"/>
        <color rgb="FFFF0000"/>
        <rFont val="Calibri"/>
        <family val="2"/>
        <scheme val="minor"/>
      </rPr>
      <t>- Balcones</t>
    </r>
  </si>
  <si>
    <r>
      <t xml:space="preserve">Módulo completo TV/RED marca Cambre línea SXXII </t>
    </r>
    <r>
      <rPr>
        <i/>
        <sz val="10"/>
        <color rgb="FFFF0000"/>
        <rFont val="Calibri"/>
        <family val="2"/>
        <scheme val="minor"/>
      </rPr>
      <t>- Con tapitas ciega no incluye Coaxil ni RJ45</t>
    </r>
  </si>
  <si>
    <t>SUB TOTAL PROVISIONES</t>
  </si>
  <si>
    <t>SUBTOTAL OBRA GRIS</t>
  </si>
  <si>
    <t>SUBTOTAL PROVISIONES</t>
  </si>
  <si>
    <t>TOTAL</t>
  </si>
  <si>
    <t>Los valores no contemplan IVA</t>
  </si>
  <si>
    <t>Base May 2025</t>
  </si>
  <si>
    <r>
      <t xml:space="preserve">Limpieza y preparación del terreno </t>
    </r>
    <r>
      <rPr>
        <i/>
        <sz val="10"/>
        <color rgb="FFFF0000"/>
        <rFont val="Calibri"/>
        <family val="2"/>
      </rPr>
      <t>- No cotiza</t>
    </r>
  </si>
  <si>
    <r>
      <t xml:space="preserve">Cartel de Obra </t>
    </r>
    <r>
      <rPr>
        <i/>
        <sz val="10"/>
        <color rgb="FFFF0000"/>
        <rFont val="Calibri"/>
        <family val="2"/>
      </rPr>
      <t>- No cotiza</t>
    </r>
  </si>
  <si>
    <r>
      <t>Cerco de obra perimetral</t>
    </r>
    <r>
      <rPr>
        <i/>
        <sz val="10"/>
        <color rgb="FFFF0000"/>
        <rFont val="Calibri"/>
        <family val="2"/>
      </rPr>
      <t xml:space="preserve"> - En chapa C25 + Concertina + Porton corredizo </t>
    </r>
  </si>
  <si>
    <r>
      <t xml:space="preserve">Demolición y retiro de fundaciones existentes </t>
    </r>
    <r>
      <rPr>
        <i/>
        <sz val="10"/>
        <color rgb="FFFF0000"/>
        <rFont val="Calibri"/>
        <family val="2"/>
      </rPr>
      <t>- No cotiza</t>
    </r>
  </si>
  <si>
    <r>
      <t xml:space="preserve">Picado de medianeras para columnas y vigas </t>
    </r>
    <r>
      <rPr>
        <i/>
        <sz val="10"/>
        <color rgb="FFFF0000"/>
        <rFont val="Calibri"/>
        <family val="2"/>
      </rPr>
      <t xml:space="preserve">- Cotizado solo para PB, 1P, </t>
    </r>
    <r>
      <rPr>
        <b/>
        <i/>
        <sz val="10"/>
        <color rgb="FFFF0000"/>
        <rFont val="Calibri"/>
        <family val="2"/>
      </rPr>
      <t>NO</t>
    </r>
    <r>
      <rPr>
        <i/>
        <sz val="10"/>
        <color rgb="FFFF0000"/>
        <rFont val="Calibri"/>
        <family val="2"/>
      </rPr>
      <t xml:space="preserve"> contempla picado en CT</t>
    </r>
  </si>
  <si>
    <t>A</t>
  </si>
  <si>
    <t>PTO 01 SUBTOTAL SIN IVA</t>
  </si>
  <si>
    <t>PTO 01</t>
  </si>
  <si>
    <r>
      <t xml:space="preserve">Enchape medianeras existentes </t>
    </r>
    <r>
      <rPr>
        <i/>
        <sz val="10"/>
        <color rgb="FFFF0000"/>
        <rFont val="Calibri"/>
        <family val="2"/>
      </rPr>
      <t>- Contemplamos picado zonas sueltas y enchape con ladrillo comun para PB y 1°</t>
    </r>
  </si>
  <si>
    <r>
      <t xml:space="preserve">Vigas de encadenado </t>
    </r>
    <r>
      <rPr>
        <i/>
        <sz val="10"/>
        <color rgb="FFFF0000"/>
        <rFont val="Calibri"/>
        <family val="2"/>
      </rPr>
      <t>- En muros de PB, incl. excavación y armado</t>
    </r>
  </si>
  <si>
    <r>
      <t xml:space="preserve">Aislación hidrófuga horizontal (baños) - </t>
    </r>
    <r>
      <rPr>
        <i/>
        <sz val="10"/>
        <color rgb="FFFF0000"/>
        <rFont val="Calibri"/>
        <family val="2"/>
      </rPr>
      <t>Inc. membrana geotextil</t>
    </r>
    <r>
      <rPr>
        <sz val="10"/>
        <color rgb="FFFF0000"/>
        <rFont val="Calibri"/>
        <family val="2"/>
      </rPr>
      <t xml:space="preserve"> y 35% en concepto de babetas</t>
    </r>
  </si>
  <si>
    <r>
      <t xml:space="preserve">Cajón hidrófugo </t>
    </r>
    <r>
      <rPr>
        <i/>
        <sz val="10"/>
        <color rgb="FFFF0000"/>
        <rFont val="Calibri"/>
        <family val="2"/>
      </rPr>
      <t>- Muros de PB</t>
    </r>
  </si>
  <si>
    <r>
      <t xml:space="preserve">Azotado hidrófugo </t>
    </r>
    <r>
      <rPr>
        <sz val="10"/>
        <color rgb="FFFF0000"/>
        <rFont val="Calibri"/>
        <family val="2"/>
      </rPr>
      <t>- Sobre contrapiso</t>
    </r>
    <r>
      <rPr>
        <i/>
        <sz val="10"/>
        <color rgb="FFFF0000"/>
        <rFont val="Calibri"/>
        <family val="2"/>
      </rPr>
      <t xml:space="preserve"> en vereda y PB</t>
    </r>
  </si>
  <si>
    <r>
      <t xml:space="preserve">Membrana asfaltica geotextil 4mm </t>
    </r>
    <r>
      <rPr>
        <i/>
        <sz val="10"/>
        <color rgb="FFFF0000"/>
        <rFont val="Calibri"/>
        <family val="2"/>
      </rPr>
      <t>- Balcones y azotea - Inc. 20% en concepto de babetas</t>
    </r>
  </si>
  <si>
    <r>
      <t xml:space="preserve">Revoque Grueso Impermeable Exterior a mas de 3m </t>
    </r>
    <r>
      <rPr>
        <i/>
        <sz val="10"/>
        <color rgb="FFFF0000"/>
        <rFont val="Calibri"/>
        <family val="2"/>
      </rPr>
      <t>- Medianero y fachadas</t>
    </r>
  </si>
  <si>
    <r>
      <t xml:space="preserve">Buña en revoque </t>
    </r>
    <r>
      <rPr>
        <i/>
        <sz val="10"/>
        <color rgb="FFFF0000"/>
        <rFont val="Calibri"/>
        <family val="2"/>
      </rPr>
      <t>- Estimados ml en medianeras</t>
    </r>
  </si>
  <si>
    <r>
      <t xml:space="preserve">Banquinas para cocinas </t>
    </r>
    <r>
      <rPr>
        <i/>
        <sz val="10"/>
        <color rgb="FFFF0000"/>
        <rFont val="Calibri"/>
        <family val="2"/>
      </rPr>
      <t>- N/A</t>
    </r>
  </si>
  <si>
    <r>
      <t>Zócalo de concreto en escalera</t>
    </r>
    <r>
      <rPr>
        <i/>
        <sz val="10"/>
        <color rgb="FFFF0000"/>
        <rFont val="Calibri"/>
        <family val="2"/>
      </rPr>
      <t xml:space="preserve"> - No incluye el ojo</t>
    </r>
  </si>
  <si>
    <r>
      <t xml:space="preserve">VENTILACIONES </t>
    </r>
    <r>
      <rPr>
        <b/>
        <i/>
        <sz val="10"/>
        <color rgb="FFFF0000"/>
        <rFont val="Calibri"/>
        <family val="2"/>
      </rPr>
      <t>- PROVISION COTIZADA EN ITEM 26</t>
    </r>
  </si>
  <si>
    <r>
      <t xml:space="preserve">Colocación sombreretes en chapa prepintada C25 </t>
    </r>
    <r>
      <rPr>
        <i/>
        <sz val="10"/>
        <color rgb="FFFF0000"/>
        <rFont val="Calibri"/>
        <family val="2"/>
      </rPr>
      <t>- Provisión en item 26</t>
    </r>
  </si>
  <si>
    <r>
      <t xml:space="preserve">PISOS </t>
    </r>
    <r>
      <rPr>
        <b/>
        <i/>
        <sz val="10"/>
        <color rgb="FFFF0000"/>
        <rFont val="Calibri"/>
        <family val="2"/>
      </rPr>
      <t>- PROVISION A CARGO DEL COMITENTE</t>
    </r>
  </si>
  <si>
    <r>
      <t xml:space="preserve">Colocación de baldosas en palieres  </t>
    </r>
    <r>
      <rPr>
        <i/>
        <sz val="10"/>
        <color rgb="FFFF0000"/>
        <rFont val="Calibri"/>
        <family val="2"/>
      </rPr>
      <t>- Provisión a cargo del comitente</t>
    </r>
  </si>
  <si>
    <r>
      <t xml:space="preserve">Colocación de porcelanato en UF </t>
    </r>
    <r>
      <rPr>
        <i/>
        <sz val="10"/>
        <color rgb="FFFF0000"/>
        <rFont val="Calibri"/>
        <family val="2"/>
      </rPr>
      <t>- Provisión a cargo del comitente</t>
    </r>
  </si>
  <si>
    <r>
      <t xml:space="preserve">Colocación de porcelanato en baños </t>
    </r>
    <r>
      <rPr>
        <i/>
        <sz val="10"/>
        <color rgb="FFFF0000"/>
        <rFont val="Calibri"/>
        <family val="2"/>
      </rPr>
      <t>- Provisión a cargo del comitente</t>
    </r>
  </si>
  <si>
    <r>
      <t xml:space="preserve">Colocación de porcelanato en exterior </t>
    </r>
    <r>
      <rPr>
        <i/>
        <sz val="10"/>
        <color rgb="FFFF0000"/>
        <rFont val="Calibri"/>
        <family val="2"/>
      </rPr>
      <t>- Provisión a cargo del comitente</t>
    </r>
  </si>
  <si>
    <r>
      <t xml:space="preserve">Provisión y colocación de sustrato </t>
    </r>
    <r>
      <rPr>
        <i/>
        <sz val="10"/>
        <color rgb="FFFF0000"/>
        <rFont val="Calibri"/>
        <family val="2"/>
      </rPr>
      <t>- No cotiza</t>
    </r>
  </si>
  <si>
    <r>
      <t>Colocación de baldoson de vereda</t>
    </r>
    <r>
      <rPr>
        <i/>
        <sz val="10"/>
        <color rgb="FFFF0000"/>
        <rFont val="Calibri"/>
        <family val="2"/>
      </rPr>
      <t xml:space="preserve"> - Provisión a cargo del comitente</t>
    </r>
  </si>
  <si>
    <r>
      <t xml:space="preserve">ZOCALOS Y SOLIAS </t>
    </r>
    <r>
      <rPr>
        <b/>
        <i/>
        <sz val="10"/>
        <color rgb="FFFF0000"/>
        <rFont val="Calibri"/>
        <family val="2"/>
      </rPr>
      <t>- PROVISION A CARGO DEL COMITENTE</t>
    </r>
  </si>
  <si>
    <r>
      <t xml:space="preserve">Colocación de zócalo de porcelanato en balcones UF </t>
    </r>
    <r>
      <rPr>
        <i/>
        <sz val="10"/>
        <color rgb="FFEE0000"/>
        <rFont val="Calibri"/>
        <family val="2"/>
      </rPr>
      <t>- Provisión a cargo del comitente</t>
    </r>
  </si>
  <si>
    <r>
      <t xml:space="preserve">Colocación de zócalo de porcelanato en espacios comunes </t>
    </r>
    <r>
      <rPr>
        <i/>
        <sz val="10"/>
        <color rgb="FFEE0000"/>
        <rFont val="Calibri"/>
        <family val="2"/>
      </rPr>
      <t>- Provisión a cargo del comitente</t>
    </r>
  </si>
  <si>
    <r>
      <t xml:space="preserve">Colocación de solia </t>
    </r>
    <r>
      <rPr>
        <i/>
        <sz val="10"/>
        <color rgb="FFFF0000"/>
        <rFont val="Calibri"/>
        <family val="2"/>
      </rPr>
      <t>- Provisión a cargo del comitente</t>
    </r>
  </si>
  <si>
    <r>
      <t xml:space="preserve">REVESTIMIENTOS </t>
    </r>
    <r>
      <rPr>
        <b/>
        <i/>
        <sz val="10"/>
        <color rgb="FFFF0000"/>
        <rFont val="Calibri"/>
        <family val="2"/>
      </rPr>
      <t>- PROVISION A CARGO DEL COMITENTE</t>
    </r>
  </si>
  <si>
    <r>
      <t>Revestimiento en baños</t>
    </r>
    <r>
      <rPr>
        <i/>
        <sz val="10"/>
        <color rgb="FFFF0000"/>
        <rFont val="Calibri"/>
        <family val="2"/>
      </rPr>
      <t xml:space="preserve"> - Provisión a cargo del comitente</t>
    </r>
  </si>
  <si>
    <r>
      <t xml:space="preserve">Revestimiento en cocinas </t>
    </r>
    <r>
      <rPr>
        <i/>
        <sz val="10"/>
        <color rgb="FFFF0000"/>
        <rFont val="Calibri"/>
        <family val="2"/>
      </rPr>
      <t>- Provisión a cargo del comitente</t>
    </r>
  </si>
  <si>
    <r>
      <t xml:space="preserve">Provisión y colocación de perfileria de aluminio tipo ATRIM L anod. Natural </t>
    </r>
    <r>
      <rPr>
        <i/>
        <sz val="10"/>
        <color rgb="FFFF0000"/>
        <rFont val="Calibri"/>
        <family val="2"/>
      </rPr>
      <t>- Provisión a cargo del comitente</t>
    </r>
  </si>
  <si>
    <r>
      <t xml:space="preserve">Látex interior para paredes Bco. mate (enduido parcial) </t>
    </r>
    <r>
      <rPr>
        <i/>
        <sz val="10"/>
        <color rgb="FFFF0000"/>
        <rFont val="Calibri"/>
        <family val="2"/>
      </rPr>
      <t>- Interiores UF</t>
    </r>
  </si>
  <si>
    <r>
      <t>Látex interior para paredes Bco. mate (s/enduido)</t>
    </r>
    <r>
      <rPr>
        <i/>
        <sz val="10"/>
        <color rgb="FFFF0000"/>
        <rFont val="Calibri"/>
        <family val="2"/>
      </rPr>
      <t xml:space="preserve"> - Espacios comunes y caja escalera</t>
    </r>
  </si>
  <si>
    <r>
      <t xml:space="preserve">Latex interior para paredes Bco. mate (enduido completo) </t>
    </r>
    <r>
      <rPr>
        <i/>
        <sz val="10"/>
        <color rgb="FFFF0000"/>
        <rFont val="Calibri"/>
        <family val="2"/>
      </rPr>
      <t>- Cocinas/Estar</t>
    </r>
  </si>
  <si>
    <r>
      <t>Látex interior para cielorraso Bco. mate (enduido completo)</t>
    </r>
    <r>
      <rPr>
        <i/>
        <sz val="10"/>
        <color rgb="FFFF0000"/>
        <rFont val="Calibri"/>
        <family val="2"/>
      </rPr>
      <t xml:space="preserve"> - Baños y cocina</t>
    </r>
  </si>
  <si>
    <r>
      <t>Látex interior para cielorraso Bco. mate (enduido parcial)</t>
    </r>
    <r>
      <rPr>
        <i/>
        <sz val="10"/>
        <color rgb="FFFF0000"/>
        <rFont val="Calibri"/>
        <family val="2"/>
      </rPr>
      <t xml:space="preserve"> - Interiores UF</t>
    </r>
  </si>
  <si>
    <r>
      <t xml:space="preserve">Látex interior para cielorrasos Bco. mate (s/enduido) </t>
    </r>
    <r>
      <rPr>
        <i/>
        <sz val="10"/>
        <color rgb="FFFF0000"/>
        <rFont val="Calibri"/>
        <family val="2"/>
      </rPr>
      <t>- En subsuelos, espacios comunes, escalera y balcones</t>
    </r>
  </si>
  <si>
    <r>
      <t xml:space="preserve">Revestimiento plástico a llana tipo Quimtex </t>
    </r>
    <r>
      <rPr>
        <i/>
        <sz val="10"/>
        <color rgb="FFFF0000"/>
        <rFont val="Calibri"/>
        <family val="2"/>
      </rPr>
      <t>- Fachada frente/contrafrente y balcones</t>
    </r>
  </si>
  <si>
    <r>
      <t xml:space="preserve">Revestimiento plástico a llana tipo Quimtex en altura </t>
    </r>
    <r>
      <rPr>
        <i/>
        <sz val="10"/>
        <color rgb="FFFF0000"/>
        <rFont val="Calibri"/>
        <family val="2"/>
      </rPr>
      <t>- Aire luz y balcones</t>
    </r>
  </si>
  <si>
    <r>
      <t xml:space="preserve">Preparación de superficie con base coat para recibir revestimiento </t>
    </r>
    <r>
      <rPr>
        <i/>
        <sz val="10"/>
        <color rgb="FFFF0000"/>
        <rFont val="Calibri"/>
        <family val="2"/>
      </rPr>
      <t>- Vigas y cielorrasos balcones</t>
    </r>
  </si>
  <si>
    <r>
      <t xml:space="preserve">Revestimiento plástico a rodillo tipo Quimtex en altura </t>
    </r>
    <r>
      <rPr>
        <i/>
        <sz val="10"/>
        <color rgb="FFFF0000"/>
        <rFont val="Calibri"/>
        <family val="2"/>
      </rPr>
      <t>- Medianeras</t>
    </r>
  </si>
  <si>
    <r>
      <t xml:space="preserve">Convertidor y esmalte sintético en barandas y herrerías </t>
    </r>
    <r>
      <rPr>
        <i/>
        <sz val="10"/>
        <color rgb="FFFF0000"/>
        <rFont val="Calibri"/>
        <family val="2"/>
      </rPr>
      <t>- Escalera, balcones, barandas, portón, medidores, etc.</t>
    </r>
  </si>
  <si>
    <r>
      <t>MARMOLES Y GRANITOS</t>
    </r>
    <r>
      <rPr>
        <b/>
        <i/>
        <sz val="10"/>
        <color rgb="FFFF0000"/>
        <rFont val="Calibri"/>
        <family val="2"/>
      </rPr>
      <t xml:space="preserve"> - PROVISION Y COLOCACION A CARGO DEL COMITENTE</t>
    </r>
  </si>
  <si>
    <r>
      <t>CARPINTERIA</t>
    </r>
    <r>
      <rPr>
        <b/>
        <i/>
        <sz val="10"/>
        <color rgb="FFFF0000"/>
        <rFont val="Calibri"/>
        <family val="2"/>
      </rPr>
      <t xml:space="preserve"> - PROVISION A CARGO DEL COMITENTE</t>
    </r>
  </si>
  <si>
    <r>
      <t xml:space="preserve">Amure de puertas placa </t>
    </r>
    <r>
      <rPr>
        <i/>
        <sz val="10"/>
        <color rgb="FFFF0000"/>
        <rFont val="Calibri"/>
        <family val="2"/>
      </rPr>
      <t xml:space="preserve"> Provisión a cargo del comitente</t>
    </r>
  </si>
  <si>
    <r>
      <t xml:space="preserve">Amure de puertas de chapa e ingresos depto </t>
    </r>
    <r>
      <rPr>
        <i/>
        <sz val="10"/>
        <color rgb="FFFF0000"/>
        <rFont val="Calibri"/>
        <family val="2"/>
      </rPr>
      <t>- Provisión a cargo del comitente</t>
    </r>
  </si>
  <si>
    <r>
      <t>Amure de premarcos</t>
    </r>
    <r>
      <rPr>
        <i/>
        <sz val="10"/>
        <color rgb="FFFF0000"/>
        <rFont val="Calibri"/>
        <family val="2"/>
      </rPr>
      <t xml:space="preserve"> - Provisión a cargo del comitente</t>
    </r>
  </si>
  <si>
    <r>
      <t xml:space="preserve">Amure Puertas de Ascensor </t>
    </r>
    <r>
      <rPr>
        <i/>
        <sz val="10"/>
        <color rgb="FFFF0000"/>
        <rFont val="Calibri"/>
        <family val="2"/>
      </rPr>
      <t>- Provisión a cargo del comitente</t>
    </r>
  </si>
  <si>
    <r>
      <t>Colocación de teclas simples y/o combinadas</t>
    </r>
    <r>
      <rPr>
        <i/>
        <sz val="10"/>
        <color rgb="FFFF0000"/>
        <rFont val="Calibri"/>
        <family val="2"/>
      </rPr>
      <t xml:space="preserve"> - Provisión a cargo del comitente</t>
    </r>
  </si>
  <si>
    <r>
      <t xml:space="preserve">Colocación de pulsadores, circulación + timbres </t>
    </r>
    <r>
      <rPr>
        <i/>
        <sz val="10"/>
        <color rgb="FFFF0000"/>
        <rFont val="Calibri"/>
        <family val="2"/>
      </rPr>
      <t>- Provisión a cargo del comitente</t>
    </r>
  </si>
  <si>
    <r>
      <t xml:space="preserve">Colocación de tomacorriente simple y doble 10/20 A </t>
    </r>
    <r>
      <rPr>
        <i/>
        <sz val="10"/>
        <color rgb="FFFF0000"/>
        <rFont val="Calibri"/>
        <family val="2"/>
      </rPr>
      <t>- Provisión a cargo del comitente</t>
    </r>
  </si>
  <si>
    <r>
      <t xml:space="preserve">Colocación artefactos en espacios comunes y balcones </t>
    </r>
    <r>
      <rPr>
        <i/>
        <sz val="10"/>
        <color rgb="FFFF0000"/>
        <rFont val="Calibri"/>
        <family val="2"/>
      </rPr>
      <t>- Provisión a cargo del comitente. NO incluye provisión, ni colocación de artefactos en interior de UF</t>
    </r>
  </si>
  <si>
    <r>
      <t xml:space="preserve">Colocación de luz de emergencia </t>
    </r>
    <r>
      <rPr>
        <i/>
        <sz val="10"/>
        <color rgb="FFFF0000"/>
        <rFont val="Calibri"/>
        <family val="2"/>
      </rPr>
      <t>- Provisión a cargo del comitente</t>
    </r>
  </si>
  <si>
    <r>
      <t xml:space="preserve">Tendido caño de agua en PB hasta TB. Armado de colector, cuadro de bombas y conexionado de TB </t>
    </r>
    <r>
      <rPr>
        <i/>
        <sz val="10"/>
        <color rgb="FFFF0000"/>
        <rFont val="Calibri"/>
        <family val="2"/>
      </rPr>
      <t>- Provisión de tanques y bombas a cargo del comitente</t>
    </r>
  </si>
  <si>
    <r>
      <t xml:space="preserve">Conexión y armado de colector de TR. Montantes, subida y bajadas de AF </t>
    </r>
    <r>
      <rPr>
        <i/>
        <sz val="10"/>
        <color rgb="FFFF0000"/>
        <rFont val="Calibri"/>
        <family val="2"/>
      </rPr>
      <t>- Provisión de tanques a cargo del comitente</t>
    </r>
  </si>
  <si>
    <r>
      <t xml:space="preserve">Armado de colector de TAR. Bajadas y retorno de ACS </t>
    </r>
    <r>
      <rPr>
        <i/>
        <sz val="10"/>
        <color rgb="FFFF0000"/>
        <rFont val="Calibri"/>
        <family val="2"/>
      </rPr>
      <t>- Provisión a cargo del comitente</t>
    </r>
  </si>
  <si>
    <r>
      <t xml:space="preserve">Colocación de bomba presurizadora, armado de colector y montantes presurizadas de AF y AC (ultimos pisos 6° y 7°) </t>
    </r>
    <r>
      <rPr>
        <i/>
        <sz val="10"/>
        <color rgb="FFFF0000"/>
        <rFont val="Calibri"/>
        <family val="2"/>
      </rPr>
      <t>- Provisión a cargo del comitente</t>
    </r>
  </si>
  <si>
    <r>
      <t xml:space="preserve">Tendido e instalación de cs de agua de lluvia recuperada, con instalación de bomba presurizadora y conexión de tanque de recuperación de agua de lluvia </t>
    </r>
    <r>
      <rPr>
        <i/>
        <sz val="10"/>
        <color rgb="FFFF0000"/>
        <rFont val="Calibri"/>
        <family val="2"/>
      </rPr>
      <t>- N/A</t>
    </r>
  </si>
  <si>
    <r>
      <t xml:space="preserve">Colocación de artefactos y griferías </t>
    </r>
    <r>
      <rPr>
        <i/>
        <sz val="10"/>
        <color rgb="FFFF0000"/>
        <rFont val="Calibri"/>
        <family val="2"/>
      </rPr>
      <t>- Provisión de artefactos y griferías a cargo del comitente</t>
    </r>
  </si>
  <si>
    <r>
      <t xml:space="preserve">Colocación y armado de colectores solares </t>
    </r>
    <r>
      <rPr>
        <i/>
        <sz val="10"/>
        <color rgb="FFFF0000"/>
        <rFont val="Calibri"/>
        <family val="2"/>
      </rPr>
      <t>- Provisión de colectores a cargo del comitente</t>
    </r>
  </si>
  <si>
    <r>
      <t xml:space="preserve">Armado y conexionado de desagües </t>
    </r>
    <r>
      <rPr>
        <sz val="10"/>
        <rFont val="Calibri"/>
        <family val="2"/>
      </rPr>
      <t>AA.CC</t>
    </r>
  </si>
  <si>
    <r>
      <t xml:space="preserve">Tendido cañeria de incendio </t>
    </r>
    <r>
      <rPr>
        <i/>
        <sz val="10"/>
        <color rgb="FFFF0000"/>
        <rFont val="Calibri"/>
        <family val="2"/>
      </rPr>
      <t>- Gabinetes, mangueras, lanzas y valvulas cotizadas en Item 31</t>
    </r>
  </si>
  <si>
    <r>
      <t xml:space="preserve">Colocación de artefactos </t>
    </r>
    <r>
      <rPr>
        <i/>
        <sz val="10"/>
        <color rgb="FFFF0000"/>
        <rFont val="Calibri"/>
        <family val="2"/>
      </rPr>
      <t>- Provisión a cargo del comitente</t>
    </r>
  </si>
  <si>
    <r>
      <t>AIRE ACONDICIONADO</t>
    </r>
    <r>
      <rPr>
        <b/>
        <i/>
        <sz val="10"/>
        <color rgb="FFFF0000"/>
        <rFont val="Calibri"/>
        <family val="2"/>
      </rPr>
      <t xml:space="preserve"> - PROVISION A CARGO DEL COMITENTE</t>
    </r>
  </si>
  <si>
    <r>
      <t>Montaje, colocación y puesta en marcha de equipos</t>
    </r>
    <r>
      <rPr>
        <i/>
        <sz val="10"/>
        <color rgb="FFFF0000"/>
        <rFont val="Calibri"/>
        <family val="2"/>
      </rPr>
      <t xml:space="preserve"> - No cotiza</t>
    </r>
  </si>
  <si>
    <r>
      <t xml:space="preserve">ASCENSOR </t>
    </r>
    <r>
      <rPr>
        <b/>
        <i/>
        <sz val="10"/>
        <color rgb="FFFF0000"/>
        <rFont val="Calibri"/>
        <family val="2"/>
      </rPr>
      <t xml:space="preserve"> - PROVISION A CARGO DEL COMITENTE</t>
    </r>
  </si>
  <si>
    <r>
      <t xml:space="preserve">Ascensores </t>
    </r>
    <r>
      <rPr>
        <i/>
        <sz val="10"/>
        <color rgb="FFFF0000"/>
        <rFont val="Calibri"/>
        <family val="2"/>
      </rPr>
      <t>- Provisión y colocación a cargo del comitente</t>
    </r>
  </si>
  <si>
    <r>
      <t xml:space="preserve">EQUIPAMIENTO </t>
    </r>
    <r>
      <rPr>
        <b/>
        <i/>
        <sz val="10"/>
        <color rgb="FFFF0000"/>
        <rFont val="Calibri"/>
        <family val="2"/>
      </rPr>
      <t>- PROVISION A CARGO DEL COMITENTE</t>
    </r>
  </si>
  <si>
    <r>
      <t>Artefactos de cocina, instalacion anafes y hornos electricos</t>
    </r>
    <r>
      <rPr>
        <i/>
        <sz val="10"/>
        <color rgb="FFFF0000"/>
        <rFont val="Calibri"/>
        <family val="2"/>
      </rPr>
      <t xml:space="preserve"> - Provisión a cargo del comitente</t>
    </r>
  </si>
  <si>
    <r>
      <t>Instalacion de extractores de baños</t>
    </r>
    <r>
      <rPr>
        <i/>
        <sz val="10"/>
        <color rgb="FFFF0000"/>
        <rFont val="Calibri"/>
        <family val="2"/>
      </rPr>
      <t xml:space="preserve"> - No cotiza</t>
    </r>
  </si>
  <si>
    <r>
      <t xml:space="preserve">Colocación de señaletica </t>
    </r>
    <r>
      <rPr>
        <i/>
        <sz val="10"/>
        <color rgb="FFFF0000"/>
        <rFont val="Calibri"/>
        <family val="2"/>
      </rPr>
      <t>- Provisión a cargo del comitente</t>
    </r>
  </si>
  <si>
    <r>
      <t>Ajuste final de puertas placas, colocación de herrajes y cerraduras</t>
    </r>
    <r>
      <rPr>
        <i/>
        <sz val="10"/>
        <color rgb="FFFF0000"/>
        <rFont val="Calibri"/>
        <family val="2"/>
      </rPr>
      <t xml:space="preserve"> - Provisión de herrajes y cerraduras a cargo del comitente</t>
    </r>
  </si>
  <si>
    <t>B</t>
  </si>
  <si>
    <t>PTO 02 SUBTOTAL SIN IVA</t>
  </si>
  <si>
    <t>PTO 02</t>
  </si>
  <si>
    <t>CERTIF MENS</t>
  </si>
  <si>
    <t>CERTIF ACUM</t>
  </si>
  <si>
    <t>SUBTOTAL PTO 01 (A) + PTO 02 (B)</t>
  </si>
  <si>
    <t>CASHFLOW</t>
  </si>
  <si>
    <t>Anticipo</t>
  </si>
  <si>
    <t>MENSUAL</t>
  </si>
  <si>
    <t>ACUMULADO</t>
  </si>
  <si>
    <t>Importe</t>
  </si>
  <si>
    <t>O.C.</t>
  </si>
  <si>
    <t>Descripcion</t>
  </si>
  <si>
    <t>IVA</t>
  </si>
  <si>
    <t>a Facturar</t>
  </si>
  <si>
    <t>Presupuesto 1 Preliminar Y Hormigon</t>
  </si>
  <si>
    <t>Facturado</t>
  </si>
  <si>
    <t>Presupuesto 2 -  Albañilería/Inst.</t>
  </si>
  <si>
    <t>Totales</t>
  </si>
  <si>
    <t>Según Banco</t>
  </si>
  <si>
    <t>Factura</t>
  </si>
  <si>
    <t>Retenciones</t>
  </si>
  <si>
    <t>Pto 1</t>
  </si>
  <si>
    <t>Pto 2</t>
  </si>
  <si>
    <t>Por Cobrar</t>
  </si>
  <si>
    <t>Total Presupuestado</t>
  </si>
  <si>
    <t>Total Facturado</t>
  </si>
  <si>
    <t>Total Sin Facturar</t>
  </si>
  <si>
    <t>Pendiente de Facturar</t>
  </si>
  <si>
    <t>Facturación Según O. C. Aprobadas</t>
  </si>
  <si>
    <t>Pendiente</t>
  </si>
  <si>
    <t>CERT. - B</t>
  </si>
  <si>
    <t>COD</t>
  </si>
  <si>
    <t>usd</t>
  </si>
  <si>
    <t>Facturable</t>
  </si>
  <si>
    <t>P1B65</t>
  </si>
  <si>
    <t>P1N35</t>
  </si>
  <si>
    <t>P2B65</t>
  </si>
  <si>
    <t>P2N35</t>
  </si>
  <si>
    <t xml:space="preserve">Obra: </t>
  </si>
  <si>
    <t>Corralon</t>
  </si>
  <si>
    <t xml:space="preserve">Otro </t>
  </si>
  <si>
    <t>Preliminares</t>
  </si>
  <si>
    <t>Agrimensura</t>
  </si>
  <si>
    <t>Gastos Generales Obra</t>
  </si>
  <si>
    <t>Excavación y Mov. de Suelos</t>
  </si>
  <si>
    <t>Hormigón</t>
  </si>
  <si>
    <t>Seguridad e Higiene</t>
  </si>
  <si>
    <t>Albañilería</t>
  </si>
  <si>
    <t>Movilidad</t>
  </si>
  <si>
    <t>Supervisión de Obra</t>
  </si>
  <si>
    <t>Durlock</t>
  </si>
  <si>
    <t>Revestimiento</t>
  </si>
  <si>
    <t>Pintura</t>
  </si>
  <si>
    <t>Eléctrico</t>
  </si>
  <si>
    <t>Sanitaria</t>
  </si>
  <si>
    <t>Termomecánica</t>
  </si>
  <si>
    <t>Actualizado</t>
  </si>
  <si>
    <t>RESUMEN DE OBRA</t>
  </si>
  <si>
    <t>Acum. Descontado</t>
  </si>
  <si>
    <t>Presupuesto #1</t>
  </si>
  <si>
    <t>Presupuesto #2</t>
  </si>
  <si>
    <t>Previsto</t>
  </si>
  <si>
    <t>% Cert. Acum.</t>
  </si>
  <si>
    <t>Saldo Disponible</t>
  </si>
  <si>
    <t>Disponible %</t>
  </si>
  <si>
    <t>Rubro Completado</t>
  </si>
  <si>
    <t>Ingresos de Obra</t>
  </si>
  <si>
    <t>Ingresos por Certificados</t>
  </si>
  <si>
    <t>Total Ingresos de Obra</t>
  </si>
  <si>
    <t>Actualización por CAC</t>
  </si>
  <si>
    <t>Costos de Obra</t>
  </si>
  <si>
    <t xml:space="preserve">    </t>
  </si>
  <si>
    <t>MAT</t>
  </si>
  <si>
    <t>MO</t>
  </si>
  <si>
    <t>Equipos</t>
  </si>
  <si>
    <t>Total Egresos de Obra</t>
  </si>
  <si>
    <t>Gastos Generales</t>
  </si>
  <si>
    <t>Gastos Directos</t>
  </si>
  <si>
    <t>Gastos Indirectos</t>
  </si>
  <si>
    <t>Total Gastos Generales</t>
  </si>
  <si>
    <t>Total Egresos</t>
  </si>
  <si>
    <t>Resultado Operativo</t>
  </si>
  <si>
    <t>Resultado Acumulado</t>
  </si>
  <si>
    <t>Resultado Operativo USD</t>
  </si>
  <si>
    <t>Resultado Acumulado USD</t>
  </si>
  <si>
    <t>OBRA: CHIVILCOY 2171</t>
  </si>
  <si>
    <t>Ingresos por certificados</t>
  </si>
  <si>
    <t>Total Ingresos por CAC</t>
  </si>
  <si>
    <t>CUADRO DE GESTIÓN CONSOLIDADO - Pto. #1</t>
  </si>
  <si>
    <t>Cuenta</t>
  </si>
  <si>
    <t>HormigónMAT</t>
  </si>
  <si>
    <t>HormigónMO</t>
  </si>
  <si>
    <t>Gtos Directos</t>
  </si>
  <si>
    <t>Oficina en obra (6x3 c/AA)</t>
  </si>
  <si>
    <t>Obrador 6x3 s/AA</t>
  </si>
  <si>
    <t>Pañol (6x3)</t>
  </si>
  <si>
    <t>Baños</t>
  </si>
  <si>
    <t>HyS permanente</t>
  </si>
  <si>
    <t>Energía de obra</t>
  </si>
  <si>
    <t>Agua de obra</t>
  </si>
  <si>
    <t>Proyecto (50%)</t>
  </si>
  <si>
    <t>Coordinacion de obra</t>
  </si>
  <si>
    <t>Sobrestante</t>
  </si>
  <si>
    <t>Capataz</t>
  </si>
  <si>
    <t>Logistica</t>
  </si>
  <si>
    <t>Vehiculo obra</t>
  </si>
  <si>
    <t>Gtos Indirectos</t>
  </si>
  <si>
    <t xml:space="preserve">Payroll - Socios </t>
  </si>
  <si>
    <t>Intereses Financiamiento</t>
  </si>
  <si>
    <t>Payroll - Administración</t>
  </si>
  <si>
    <t>CUADRO DE GESTIÓN CONSOLIDADO - Pto. #2</t>
  </si>
  <si>
    <t>AlbañileríaMAT</t>
  </si>
  <si>
    <t>AlbañileríaMO</t>
  </si>
  <si>
    <t>DurlockMAT</t>
  </si>
  <si>
    <t>DurlockMO</t>
  </si>
  <si>
    <t>RevestimientoMAT</t>
  </si>
  <si>
    <t>RevestimientoMO</t>
  </si>
  <si>
    <t>PinturaMAT</t>
  </si>
  <si>
    <t>PinturaMO</t>
  </si>
  <si>
    <t>EléctricoMAT</t>
  </si>
  <si>
    <t>EléctricoMO</t>
  </si>
  <si>
    <t>SanitariaMAT</t>
  </si>
  <si>
    <t>SanitariaMO</t>
  </si>
  <si>
    <t>TermomecánicaMAT</t>
  </si>
  <si>
    <t>TermomecánicaMO</t>
  </si>
  <si>
    <t>Cotización Dólar MEP
Histórico</t>
  </si>
  <si>
    <t>Referencia</t>
  </si>
  <si>
    <t>1.299,32</t>
  </si>
  <si>
    <t>1.286,38</t>
  </si>
  <si>
    <t>1.287,59</t>
  </si>
  <si>
    <t>CAC - Pto. General</t>
  </si>
  <si>
    <t>Escala de tiempo</t>
  </si>
  <si>
    <t>Valores</t>
  </si>
  <si>
    <t>Previsión</t>
  </si>
  <si>
    <t>Indice</t>
  </si>
  <si>
    <t>Total MAT</t>
  </si>
  <si>
    <t>Total MO</t>
  </si>
  <si>
    <t>MESES</t>
  </si>
  <si>
    <t>Descrip</t>
  </si>
  <si>
    <t>Mes</t>
  </si>
  <si>
    <t>Total Dias</t>
  </si>
  <si>
    <t>GASTOS GENERALES y BENEFICIO</t>
  </si>
  <si>
    <t>Prelim</t>
  </si>
  <si>
    <t>Syh permanente</t>
  </si>
  <si>
    <t>Micropilotes</t>
  </si>
  <si>
    <t>Gastos Grales de obra en items</t>
  </si>
  <si>
    <t>Un</t>
  </si>
  <si>
    <t>Precio Unit</t>
  </si>
  <si>
    <t>Subsuelo y VF</t>
  </si>
  <si>
    <t>Losa sobre PB</t>
  </si>
  <si>
    <t>Losa sobre 1</t>
  </si>
  <si>
    <t>Losa sobre 2</t>
  </si>
  <si>
    <t>Losa sobre 3</t>
  </si>
  <si>
    <t>Losa sobre 4</t>
  </si>
  <si>
    <t>Inicio mamposteria</t>
  </si>
  <si>
    <t xml:space="preserve">Meses H° </t>
  </si>
  <si>
    <t>Estacionamiento en contramano</t>
  </si>
  <si>
    <t>Losa sobre 5</t>
  </si>
  <si>
    <t>HyS</t>
  </si>
  <si>
    <t>Losa sobre 6</t>
  </si>
  <si>
    <t>Losa sobre 7</t>
  </si>
  <si>
    <t>Losa Techos</t>
  </si>
  <si>
    <t>Internet</t>
  </si>
  <si>
    <t>Mampostería</t>
  </si>
  <si>
    <t>Alquiler cerco de obra chapa</t>
  </si>
  <si>
    <t>Revoques, contrap y carp</t>
  </si>
  <si>
    <t>Proyecto Ejecutivo</t>
  </si>
  <si>
    <t>Colocación</t>
  </si>
  <si>
    <t>Terminaciones</t>
  </si>
  <si>
    <t>Jefe de obra</t>
  </si>
  <si>
    <t>Administrativo en obra</t>
  </si>
  <si>
    <t>Mov y viaticos</t>
  </si>
  <si>
    <t>UOCRA</t>
  </si>
  <si>
    <t>Pañolero/Sereno</t>
  </si>
  <si>
    <t>Bobcat</t>
  </si>
  <si>
    <t>Camion limpieza</t>
  </si>
  <si>
    <t>Tijera electrica 12</t>
  </si>
  <si>
    <t>JLG</t>
  </si>
  <si>
    <t>Grua 20ton</t>
  </si>
  <si>
    <t>Admin (50%Compras - 50%RRHH)</t>
  </si>
  <si>
    <t>Seguros</t>
  </si>
  <si>
    <t>IIBB (monto venta obra gris)</t>
  </si>
  <si>
    <t>Imp cheque</t>
  </si>
  <si>
    <t>Contrato</t>
  </si>
  <si>
    <t>Monto puesto en Ayuda de gremio que no se eroga</t>
  </si>
  <si>
    <t>Imputados en pres</t>
  </si>
  <si>
    <t>Total GGBB</t>
  </si>
  <si>
    <t>Total de Gastos Generales</t>
  </si>
  <si>
    <t>Subcontratos</t>
  </si>
  <si>
    <t>Mano de obra</t>
  </si>
  <si>
    <t>GG</t>
  </si>
  <si>
    <t>Imprevistos + Negociación</t>
  </si>
  <si>
    <t>Beneficio</t>
  </si>
  <si>
    <t>K</t>
  </si>
  <si>
    <t>A+B</t>
  </si>
  <si>
    <t xml:space="preserve">Certificado </t>
  </si>
  <si>
    <t>Avance</t>
  </si>
  <si>
    <t>Anterior</t>
  </si>
  <si>
    <t>Actual</t>
  </si>
  <si>
    <t>Acumulado</t>
  </si>
  <si>
    <t>RESUMEN CERTIFICADO</t>
  </si>
  <si>
    <t xml:space="preserve">CERT. N° </t>
  </si>
  <si>
    <t>IMPORTE</t>
  </si>
  <si>
    <t>Presupuesto aprobado</t>
  </si>
  <si>
    <t>Certificado actual</t>
  </si>
  <si>
    <t>D</t>
  </si>
  <si>
    <t xml:space="preserve">Desacopio </t>
  </si>
  <si>
    <t>F</t>
  </si>
  <si>
    <t>Subtotal certificacion actual completa (SIN IVA)</t>
  </si>
  <si>
    <t>Cert. #1 - Efectivo</t>
  </si>
  <si>
    <t>Cert. #1 - Fact. 1-1506</t>
  </si>
  <si>
    <t>Carpintero</t>
  </si>
  <si>
    <t>Podria ser pintor</t>
  </si>
  <si>
    <t>Gastos generales</t>
  </si>
  <si>
    <t>Presupuesto Gtos Desarrollo</t>
  </si>
  <si>
    <t>Gdes</t>
  </si>
  <si>
    <t>CERTIFICACION MENSUAL</t>
  </si>
  <si>
    <t>OBRA: EDIFICIO GDR 3760</t>
  </si>
  <si>
    <t>GASTOS DESARROLLO AING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</si>
  <si>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</si>
  <si>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</si>
  <si>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</si>
  <si>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</si>
  <si>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</si>
  <si>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</si>
  <si>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</si>
  <si>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</si>
  <si>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</si>
  <si>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</si>
  <si>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</si>
  <si>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</si>
  <si>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</si>
  <si>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</si>
  <si>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</si>
  <si>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</si>
  <si>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</si>
  <si>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</si>
  <si>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</si>
  <si>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</si>
  <si>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</si>
  <si>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SUBTOTAL SIN IVA</t>
  </si>
  <si>
    <t>PTO AING</t>
  </si>
  <si>
    <t>Gestion de compras provisiones</t>
  </si>
  <si>
    <t>Presupuesto 1 - Anticipo</t>
  </si>
  <si>
    <t>Anticipo Pto. 1</t>
  </si>
  <si>
    <t>Anticipo Pto. 2</t>
  </si>
  <si>
    <t>CAC Base 05-2025</t>
  </si>
  <si>
    <t>Presupuesto Gtos Des. - Cert. #1</t>
  </si>
  <si>
    <t>GDN</t>
  </si>
  <si>
    <t>Presupuesto 1 - Cert. #1</t>
  </si>
  <si>
    <t>Presupuesto Gtos Des. - Cert. #2</t>
  </si>
  <si>
    <t>Por Cobrar - Contab. B</t>
  </si>
  <si>
    <t>0003-00000834</t>
  </si>
  <si>
    <t>0003-00000852</t>
  </si>
  <si>
    <t>Para revisar - considerando que el fideicomiso realizará compras de material grandes</t>
  </si>
  <si>
    <t>Obra: CHIVILCOY 2171</t>
  </si>
  <si>
    <t>0003-00000564</t>
  </si>
  <si>
    <t>Cert. #2 - Fact. 1-1513</t>
  </si>
  <si>
    <t>Cert. #2 - Efectivo</t>
  </si>
  <si>
    <t>Descuento</t>
  </si>
  <si>
    <t>Presupuesto 1 - Cert. #2</t>
  </si>
  <si>
    <t>Presupuesto Gtos Des. - Cert.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</si>
</sst>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&quot;$&quot;\ #,##0.00;[Red]\-&quot;$&quot;\ #,##0.00"/>
    <numFmt numFmtId="165" formatCode="_-* #,##0_-;\-* #,##0_-;_-* &quot;-&quot;_-;_-@_-"/>
    <numFmt numFmtId="166" formatCode="_-* #,##0.00_-;\-* #,##0.00_-;_-* &quot;-&quot;??_-;_-@_-"/>
    <numFmt numFmtId="167" formatCode="[$$-2C0A]\ #,##0.00"/>
    <numFmt numFmtId="168" formatCode="dd\-mm\-yy;@"/>
    <numFmt numFmtId="169" formatCode="_ * #,##0.00_ ;_ * \-#,##0.00_ ;_ * &quot;-&quot;??_ ;_ @_ "/>
    <numFmt numFmtId="170" formatCode="_ * #,##0_ ;_ * \-#,##0_ ;_ * &quot;-&quot;_ ;_ @_ "/>
    <numFmt numFmtId="171" formatCode="_-* #,##0_-;\-* #,##0_-;_-* &quot;-&quot;??_-;_-@_-"/>
    <numFmt numFmtId="172" formatCode="&quot;$&quot;\ #,##0.00"/>
    <numFmt numFmtId="173" formatCode="_(* #,##0_);_(* \(#,##0\);_(* &quot;-&quot;??_);_(@_)"/>
    <numFmt numFmtId="174" formatCode="_-* #,##0.00\ _$_-;\-* #,##0.00\ _$_-;_-* &quot;-&quot;??\ _$_-;_-@_-"/>
    <numFmt numFmtId="175" formatCode="_-[$USD]\ * #,##0_-;\-[$USD]\ * #,##0_-;_-[$USD]\ * &quot;-&quot;_-;_-@_-"/>
    <numFmt numFmtId="176" formatCode="0.0000%"/>
    <numFmt numFmtId="177" formatCode="0.000%"/>
    <numFmt numFmtId="178" formatCode="_(* #,##0.0000_);_(* \(#,##0.0000\);_(* &quot;-&quot;??_);_(@_)"/>
    <numFmt numFmtId="179" formatCode="0.000"/>
    <numFmt numFmtId="180" formatCode="_ * #,##0.0_ ;_ * \-#,##0.0_ ;_ * &quot;-&quot;??_ ;_ @_ "/>
    <numFmt numFmtId="181" formatCode="_-* #,##0.00\ _€_-;\-* #,##0.00\ _€_-;_-* &quot;-&quot;??\ _€_-;_-@_-"/>
    <numFmt numFmtId="182" formatCode="_-* #,##0.0_-;\-* #,##0.0_-;_-* &quot;-&quot;??_-;_-@_-"/>
    <numFmt numFmtId="183" formatCode="0.0%"/>
  </numFmts>
  <fonts count="6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EE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10"/>
      <color theme="7"/>
      <name val="Calibri"/>
      <family val="2"/>
      <scheme val="minor"/>
    </font>
    <font>
      <sz val="10"/>
      <color theme="7"/>
      <name val="Calibri"/>
      <family val="2"/>
      <scheme val="minor"/>
    </font>
    <font>
      <i/>
      <sz val="10"/>
      <color rgb="FFEE0000"/>
      <name val="Calibri"/>
      <family val="2"/>
      <scheme val="minor"/>
    </font>
    <font>
      <sz val="10"/>
      <name val="Arial"/>
      <family val="2"/>
    </font>
    <font>
      <sz val="10"/>
      <color rgb="FF0061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i/>
      <sz val="10"/>
      <color rgb="FFFF0000"/>
      <name val="Calibri"/>
      <family val="2"/>
    </font>
    <font>
      <sz val="9"/>
      <color theme="1"/>
      <name val="Calibri"/>
      <family val="2"/>
    </font>
    <font>
      <b/>
      <i/>
      <sz val="10"/>
      <color rgb="FFFF0000"/>
      <name val="Calibri"/>
      <family val="2"/>
    </font>
    <font>
      <sz val="10"/>
      <color rgb="FFFF0000"/>
      <name val="Calibri"/>
      <family val="2"/>
    </font>
    <font>
      <i/>
      <sz val="10"/>
      <color rgb="FFEE0000"/>
      <name val="Calibri"/>
      <family val="2"/>
    </font>
    <font>
      <b/>
      <sz val="9"/>
      <color theme="1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749992370372631"/>
      <name val="Calibri Light"/>
      <family val="2"/>
      <scheme val="major"/>
    </font>
    <font>
      <sz val="11"/>
      <color theme="2" tint="-0.749992370372631"/>
      <name val="Calibri Light"/>
      <family val="2"/>
      <scheme val="major"/>
    </font>
    <font>
      <b/>
      <sz val="10"/>
      <color theme="1"/>
      <name val="Segoe UI"/>
      <family val="2"/>
    </font>
    <font>
      <sz val="10"/>
      <color theme="2" tint="-0.749992370372631"/>
      <name val="Calibri Light"/>
      <family val="2"/>
      <scheme val="major"/>
    </font>
    <font>
      <sz val="11"/>
      <color rgb="FF0061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9"/>
      <name val="Calibri"/>
      <family val="2"/>
      <scheme val="minor"/>
    </font>
    <font>
      <sz val="11"/>
      <color theme="1"/>
      <name val="Calibri"/>
      <family val="2"/>
    </font>
    <font>
      <b/>
      <sz val="9"/>
      <name val="Calibri"/>
      <family val="2"/>
    </font>
    <font>
      <b/>
      <i/>
      <sz val="8"/>
      <color theme="1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b/>
      <sz val="8"/>
      <color rgb="FFC0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Down"/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CC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6" tint="0.79998168889431442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/>
      <top/>
      <bottom style="dashed">
        <color indexed="64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41">
    <xf numFmtId="0" fontId="0" fillId="0" borderId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0" fontId="7" fillId="0" borderId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20" fillId="0" borderId="31"/>
    <xf numFmtId="0" fontId="1" fillId="0" borderId="0"/>
    <xf numFmtId="0" fontId="1" fillId="0" borderId="0"/>
    <xf numFmtId="0" fontId="1" fillId="0" borderId="0"/>
    <xf numFmtId="17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57" fillId="11" borderId="0" applyNumberFormat="0" applyBorder="0" applyAlignment="0" applyProtection="0"/>
    <xf numFmtId="174" fontId="1" fillId="0" borderId="0" applyFont="0" applyFill="0" applyBorder="0" applyAlignment="0" applyProtection="0"/>
    <xf numFmtId="0" fontId="1" fillId="0" borderId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237">
    <xf numFmtId="0" fontId="0" fillId="0" borderId="0" xfId="0"/>
    <xf numFmtId="0" fontId="2" fillId="0" borderId="0" xfId="0" applyFont="1"/>
    <xf numFmtId="0" fontId="3" fillId="2" borderId="4" xfId="0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0" fillId="2" borderId="5" xfId="0" applyNumberFormat="1" applyFill="1" applyBorder="1" applyAlignment="1">
      <alignment horizontal="center"/>
    </xf>
    <xf numFmtId="17" fontId="0" fillId="0" borderId="4" xfId="0" applyNumberFormat="1" applyBorder="1" applyAlignment="1">
      <alignment horizontal="center"/>
    </xf>
    <xf numFmtId="167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66" fontId="0" fillId="0" borderId="0" xfId="1" applyFont="1" applyAlignment="1">
      <alignment horizontal="center"/>
    </xf>
    <xf numFmtId="14" fontId="0" fillId="0" borderId="5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66" fontId="0" fillId="0" borderId="0" xfId="1" applyFont="1" applyFill="1" applyBorder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Font="1" applyAlignment="1">
      <alignment horizontal="right"/>
    </xf>
    <xf numFmtId="0" fontId="0" fillId="0" borderId="5" xfId="0" applyBorder="1"/>
    <xf numFmtId="0" fontId="0" fillId="0" borderId="6" xfId="0" applyBorder="1" applyAlignment="1">
      <alignment horizontal="right"/>
    </xf>
    <xf numFmtId="167" fontId="0" fillId="0" borderId="7" xfId="0" applyNumberFormat="1" applyBorder="1" applyAlignment="1">
      <alignment horizontal="right"/>
    </xf>
    <xf numFmtId="167" fontId="4" fillId="3" borderId="7" xfId="0" applyNumberFormat="1" applyFont="1" applyFill="1" applyBorder="1" applyAlignment="1">
      <alignment horizontal="right"/>
    </xf>
    <xf numFmtId="167" fontId="5" fillId="3" borderId="8" xfId="0" applyNumberFormat="1" applyFont="1" applyFill="1" applyBorder="1"/>
    <xf numFmtId="0" fontId="2" fillId="4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15" fontId="0" fillId="0" borderId="4" xfId="0" applyNumberForma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center" vertical="center"/>
    </xf>
    <xf numFmtId="167" fontId="4" fillId="2" borderId="7" xfId="0" applyNumberFormat="1" applyFont="1" applyFill="1" applyBorder="1" applyAlignment="1">
      <alignment horizontal="right"/>
    </xf>
    <xf numFmtId="167" fontId="5" fillId="2" borderId="8" xfId="0" applyNumberFormat="1" applyFont="1" applyFill="1" applyBorder="1"/>
    <xf numFmtId="167" fontId="4" fillId="5" borderId="7" xfId="0" applyNumberFormat="1" applyFont="1" applyFill="1" applyBorder="1" applyAlignment="1">
      <alignment horizontal="right"/>
    </xf>
    <xf numFmtId="167" fontId="5" fillId="5" borderId="8" xfId="0" applyNumberFormat="1" applyFont="1" applyFill="1" applyBorder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2" xfId="0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/>
    <xf numFmtId="170" fontId="0" fillId="8" borderId="13" xfId="2" applyNumberFormat="1" applyFont="1" applyFill="1" applyBorder="1"/>
    <xf numFmtId="17" fontId="0" fillId="8" borderId="9" xfId="0" applyNumberForma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2" fillId="9" borderId="12" xfId="0" applyFont="1" applyFill="1" applyBorder="1" applyAlignment="1">
      <alignment horizontal="center" vertical="center"/>
    </xf>
    <xf numFmtId="0" fontId="0" fillId="6" borderId="16" xfId="0" applyFill="1" applyBorder="1"/>
    <xf numFmtId="0" fontId="2" fillId="9" borderId="12" xfId="0" applyFont="1" applyFill="1" applyBorder="1" applyAlignment="1">
      <alignment horizontal="center"/>
    </xf>
    <xf numFmtId="170" fontId="0" fillId="8" borderId="15" xfId="2" applyNumberFormat="1" applyFont="1" applyFill="1" applyBorder="1" applyAlignment="1">
      <alignment vertical="center"/>
    </xf>
    <xf numFmtId="17" fontId="0" fillId="8" borderId="17" xfId="0" applyNumberFormat="1" applyFill="1" applyBorder="1" applyAlignment="1">
      <alignment horizontal="center" vertical="center"/>
    </xf>
    <xf numFmtId="17" fontId="2" fillId="0" borderId="18" xfId="0" applyNumberFormat="1" applyFont="1" applyBorder="1" applyAlignment="1">
      <alignment horizontal="center"/>
    </xf>
    <xf numFmtId="17" fontId="2" fillId="0" borderId="19" xfId="0" applyNumberFormat="1" applyFont="1" applyBorder="1" applyAlignment="1">
      <alignment horizontal="center"/>
    </xf>
    <xf numFmtId="170" fontId="0" fillId="0" borderId="19" xfId="0" applyNumberFormat="1" applyBorder="1" applyAlignment="1">
      <alignment horizontal="center" vertical="center"/>
    </xf>
    <xf numFmtId="171" fontId="0" fillId="0" borderId="19" xfId="0" applyNumberFormat="1" applyBorder="1"/>
    <xf numFmtId="171" fontId="0" fillId="0" borderId="20" xfId="0" applyNumberFormat="1" applyBorder="1"/>
    <xf numFmtId="170" fontId="0" fillId="6" borderId="21" xfId="0" applyNumberFormat="1" applyFill="1" applyBorder="1"/>
    <xf numFmtId="169" fontId="0" fillId="0" borderId="22" xfId="2" applyFont="1" applyFill="1" applyBorder="1" applyAlignment="1">
      <alignment horizontal="center" vertical="center"/>
    </xf>
    <xf numFmtId="0" fontId="0" fillId="6" borderId="23" xfId="0" applyFill="1" applyBorder="1" applyAlignment="1">
      <alignment horizontal="center"/>
    </xf>
    <xf numFmtId="170" fontId="0" fillId="0" borderId="21" xfId="0" applyNumberFormat="1" applyBorder="1"/>
    <xf numFmtId="0" fontId="0" fillId="0" borderId="23" xfId="0" applyBorder="1"/>
    <xf numFmtId="169" fontId="0" fillId="0" borderId="19" xfId="2" applyFont="1" applyBorder="1" applyAlignment="1">
      <alignment horizontal="center" vertical="center"/>
    </xf>
    <xf numFmtId="170" fontId="0" fillId="0" borderId="0" xfId="0" applyNumberFormat="1"/>
    <xf numFmtId="0" fontId="0" fillId="0" borderId="13" xfId="0" applyBorder="1"/>
    <xf numFmtId="0" fontId="0" fillId="0" borderId="13" xfId="0" applyBorder="1" applyAlignment="1">
      <alignment horizontal="center" vertical="center"/>
    </xf>
    <xf numFmtId="170" fontId="0" fillId="0" borderId="9" xfId="0" applyNumberFormat="1" applyBorder="1"/>
    <xf numFmtId="170" fontId="0" fillId="0" borderId="24" xfId="0" applyNumberFormat="1" applyBorder="1"/>
    <xf numFmtId="0" fontId="0" fillId="0" borderId="11" xfId="0" applyBorder="1"/>
    <xf numFmtId="0" fontId="0" fillId="0" borderId="0" xfId="0" applyAlignment="1">
      <alignment horizontal="center" vertical="center"/>
    </xf>
    <xf numFmtId="0" fontId="0" fillId="6" borderId="0" xfId="0" applyFill="1"/>
    <xf numFmtId="170" fontId="0" fillId="6" borderId="0" xfId="0" applyNumberFormat="1" applyFill="1"/>
    <xf numFmtId="0" fontId="0" fillId="7" borderId="0" xfId="0" applyFill="1"/>
    <xf numFmtId="170" fontId="0" fillId="7" borderId="0" xfId="0" applyNumberFormat="1" applyFill="1"/>
    <xf numFmtId="170" fontId="2" fillId="0" borderId="0" xfId="0" applyNumberFormat="1" applyFont="1"/>
    <xf numFmtId="0" fontId="2" fillId="10" borderId="2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0" fontId="2" fillId="10" borderId="3" xfId="0" applyFont="1" applyFill="1" applyBorder="1" applyAlignment="1">
      <alignment horizontal="center" vertical="center"/>
    </xf>
    <xf numFmtId="172" fontId="2" fillId="10" borderId="7" xfId="0" applyNumberFormat="1" applyFont="1" applyFill="1" applyBorder="1" applyAlignment="1">
      <alignment horizontal="center"/>
    </xf>
    <xf numFmtId="172" fontId="6" fillId="10" borderId="8" xfId="0" applyNumberFormat="1" applyFont="1" applyFill="1" applyBorder="1" applyAlignment="1">
      <alignment horizontal="center"/>
    </xf>
    <xf numFmtId="166" fontId="0" fillId="0" borderId="0" xfId="0" applyNumberFormat="1"/>
    <xf numFmtId="43" fontId="8" fillId="0" borderId="0" xfId="5" applyFont="1" applyFill="1" applyAlignment="1">
      <alignment horizontal="center" vertical="center"/>
    </xf>
    <xf numFmtId="0" fontId="8" fillId="0" borderId="0" xfId="5" applyNumberFormat="1" applyFont="1"/>
    <xf numFmtId="0" fontId="8" fillId="0" borderId="0" xfId="6" applyFont="1" applyAlignment="1">
      <alignment horizontal="center" vertical="center"/>
    </xf>
    <xf numFmtId="173" fontId="9" fillId="0" borderId="0" xfId="5" applyNumberFormat="1" applyFont="1" applyBorder="1" applyAlignment="1">
      <alignment horizontal="center" vertical="center"/>
    </xf>
    <xf numFmtId="173" fontId="8" fillId="0" borderId="25" xfId="5" applyNumberFormat="1" applyFont="1" applyFill="1" applyBorder="1" applyAlignment="1">
      <alignment horizontal="center"/>
    </xf>
    <xf numFmtId="173" fontId="9" fillId="0" borderId="0" xfId="5" applyNumberFormat="1" applyFont="1" applyBorder="1" applyAlignment="1">
      <alignment horizontal="left" vertical="center"/>
    </xf>
    <xf numFmtId="173" fontId="8" fillId="0" borderId="0" xfId="5" applyNumberFormat="1" applyFont="1"/>
    <xf numFmtId="173" fontId="9" fillId="0" borderId="0" xfId="5" applyNumberFormat="1" applyFont="1" applyFill="1"/>
    <xf numFmtId="173" fontId="10" fillId="0" borderId="0" xfId="5" applyNumberFormat="1" applyFont="1"/>
    <xf numFmtId="173" fontId="8" fillId="0" borderId="0" xfId="5" applyNumberFormat="1" applyFont="1" applyFill="1"/>
    <xf numFmtId="173" fontId="11" fillId="0" borderId="0" xfId="5" applyNumberFormat="1" applyFont="1" applyFill="1" applyBorder="1" applyAlignment="1">
      <alignment horizontal="center" vertical="center" wrapText="1"/>
    </xf>
    <xf numFmtId="173" fontId="4" fillId="0" borderId="0" xfId="5" applyNumberFormat="1" applyFont="1"/>
    <xf numFmtId="173" fontId="8" fillId="0" borderId="0" xfId="5" applyNumberFormat="1" applyFont="1" applyAlignment="1">
      <alignment horizontal="center" vertical="center"/>
    </xf>
    <xf numFmtId="173" fontId="11" fillId="0" borderId="13" xfId="5" applyNumberFormat="1" applyFont="1" applyBorder="1" applyAlignment="1">
      <alignment horizontal="center" vertical="center" wrapText="1"/>
    </xf>
    <xf numFmtId="0" fontId="8" fillId="0" borderId="0" xfId="6" applyFont="1"/>
    <xf numFmtId="173" fontId="8" fillId="0" borderId="19" xfId="5" applyNumberFormat="1" applyFont="1" applyFill="1" applyBorder="1" applyAlignment="1">
      <alignment horizontal="center"/>
    </xf>
    <xf numFmtId="173" fontId="11" fillId="12" borderId="13" xfId="5" applyNumberFormat="1" applyFont="1" applyFill="1" applyBorder="1" applyAlignment="1">
      <alignment horizontal="center" vertical="center" wrapText="1"/>
    </xf>
    <xf numFmtId="43" fontId="8" fillId="0" borderId="0" xfId="5" applyFont="1"/>
    <xf numFmtId="43" fontId="9" fillId="0" borderId="0" xfId="5" applyFont="1" applyFill="1" applyAlignment="1">
      <alignment horizontal="center" vertical="center" wrapText="1"/>
    </xf>
    <xf numFmtId="0" fontId="9" fillId="0" borderId="0" xfId="5" applyNumberFormat="1" applyFont="1" applyAlignment="1">
      <alignment vertical="center" wrapText="1"/>
    </xf>
    <xf numFmtId="0" fontId="9" fillId="0" borderId="0" xfId="7" applyFont="1" applyAlignment="1">
      <alignment horizontal="center" vertical="center" wrapText="1"/>
    </xf>
    <xf numFmtId="173" fontId="9" fillId="0" borderId="0" xfId="5" applyNumberFormat="1" applyFont="1" applyFill="1" applyBorder="1" applyAlignment="1">
      <alignment horizontal="center" vertical="center" wrapText="1"/>
    </xf>
    <xf numFmtId="173" fontId="9" fillId="0" borderId="19" xfId="5" applyNumberFormat="1" applyFont="1" applyFill="1" applyBorder="1" applyAlignment="1">
      <alignment horizontal="center"/>
    </xf>
    <xf numFmtId="173" fontId="9" fillId="0" borderId="0" xfId="5" applyNumberFormat="1" applyFont="1" applyBorder="1" applyAlignment="1">
      <alignment horizontal="center" vertical="center" wrapText="1"/>
    </xf>
    <xf numFmtId="173" fontId="10" fillId="0" borderId="0" xfId="5" applyNumberFormat="1" applyFont="1" applyFill="1" applyBorder="1" applyAlignment="1">
      <alignment horizontal="center" vertical="center" wrapText="1"/>
    </xf>
    <xf numFmtId="173" fontId="9" fillId="0" borderId="0" xfId="5" applyNumberFormat="1" applyFont="1" applyFill="1" applyAlignment="1">
      <alignment vertical="center" wrapText="1"/>
    </xf>
    <xf numFmtId="173" fontId="11" fillId="0" borderId="0" xfId="5" applyNumberFormat="1" applyFont="1" applyAlignment="1">
      <alignment vertical="center" wrapText="1"/>
    </xf>
    <xf numFmtId="173" fontId="11" fillId="0" borderId="0" xfId="5" applyNumberFormat="1" applyFont="1" applyAlignment="1">
      <alignment horizontal="center" vertical="center" wrapText="1"/>
    </xf>
    <xf numFmtId="0" fontId="9" fillId="0" borderId="0" xfId="7" applyFont="1" applyAlignment="1">
      <alignment vertical="center" wrapText="1"/>
    </xf>
    <xf numFmtId="43" fontId="9" fillId="0" borderId="0" xfId="5" applyFont="1" applyAlignment="1">
      <alignment vertical="center" wrapText="1"/>
    </xf>
    <xf numFmtId="173" fontId="9" fillId="0" borderId="26" xfId="5" applyNumberFormat="1" applyFont="1" applyFill="1" applyBorder="1" applyAlignment="1">
      <alignment horizontal="center"/>
    </xf>
    <xf numFmtId="173" fontId="9" fillId="0" borderId="0" xfId="5" applyNumberFormat="1" applyFont="1" applyFill="1" applyBorder="1" applyAlignment="1">
      <alignment horizontal="left" vertical="center"/>
    </xf>
    <xf numFmtId="173" fontId="9" fillId="0" borderId="0" xfId="5" applyNumberFormat="1" applyFont="1" applyAlignment="1">
      <alignment vertical="center" wrapText="1"/>
    </xf>
    <xf numFmtId="173" fontId="9" fillId="0" borderId="0" xfId="5" applyNumberFormat="1" applyFont="1" applyBorder="1" applyAlignment="1">
      <alignment horizontal="center" wrapText="1"/>
    </xf>
    <xf numFmtId="14" fontId="11" fillId="0" borderId="0" xfId="5" applyNumberFormat="1" applyFont="1" applyFill="1" applyBorder="1" applyAlignment="1">
      <alignment horizontal="right" vertical="center" wrapText="1"/>
    </xf>
    <xf numFmtId="0" fontId="11" fillId="0" borderId="0" xfId="5" applyNumberFormat="1" applyFont="1" applyAlignment="1">
      <alignment vertical="center"/>
    </xf>
    <xf numFmtId="173" fontId="11" fillId="0" borderId="9" xfId="5" applyNumberFormat="1" applyFont="1" applyBorder="1" applyAlignment="1">
      <alignment horizontal="center" wrapText="1"/>
    </xf>
    <xf numFmtId="173" fontId="11" fillId="0" borderId="10" xfId="5" applyNumberFormat="1" applyFont="1" applyBorder="1" applyAlignment="1">
      <alignment horizontal="center" wrapText="1"/>
    </xf>
    <xf numFmtId="173" fontId="11" fillId="0" borderId="11" xfId="5" applyNumberFormat="1" applyFont="1" applyBorder="1" applyAlignment="1">
      <alignment horizontal="center" wrapText="1"/>
    </xf>
    <xf numFmtId="173" fontId="10" fillId="0" borderId="0" xfId="5" applyNumberFormat="1" applyFont="1" applyFill="1" applyBorder="1" applyAlignment="1">
      <alignment horizontal="center" wrapText="1"/>
    </xf>
    <xf numFmtId="173" fontId="11" fillId="0" borderId="0" xfId="5" applyNumberFormat="1" applyFont="1" applyBorder="1" applyAlignment="1">
      <alignment horizontal="center" wrapText="1"/>
    </xf>
    <xf numFmtId="43" fontId="8" fillId="6" borderId="0" xfId="5" applyFont="1" applyFill="1"/>
    <xf numFmtId="0" fontId="9" fillId="0" borderId="27" xfId="7" applyFont="1" applyBorder="1" applyAlignment="1">
      <alignment horizontal="center" vertical="center" wrapText="1"/>
    </xf>
    <xf numFmtId="173" fontId="9" fillId="0" borderId="27" xfId="5" applyNumberFormat="1" applyFont="1" applyFill="1" applyBorder="1" applyAlignment="1">
      <alignment horizontal="center" vertical="center" wrapText="1"/>
    </xf>
    <xf numFmtId="173" fontId="11" fillId="0" borderId="0" xfId="5" applyNumberFormat="1" applyFont="1" applyBorder="1" applyAlignment="1">
      <alignment horizontal="center" vertical="center" wrapText="1"/>
    </xf>
    <xf numFmtId="43" fontId="11" fillId="0" borderId="9" xfId="5" applyFont="1" applyFill="1" applyBorder="1" applyAlignment="1">
      <alignment horizontal="center" vertical="center" wrapText="1"/>
    </xf>
    <xf numFmtId="43" fontId="11" fillId="0" borderId="10" xfId="5" applyFont="1" applyFill="1" applyBorder="1" applyAlignment="1">
      <alignment horizontal="center" vertical="center" wrapText="1"/>
    </xf>
    <xf numFmtId="0" fontId="11" fillId="0" borderId="11" xfId="5" applyNumberFormat="1" applyFont="1" applyBorder="1" applyAlignment="1">
      <alignment horizontal="center" vertical="center" wrapText="1"/>
    </xf>
    <xf numFmtId="0" fontId="11" fillId="0" borderId="11" xfId="7" applyFont="1" applyBorder="1" applyAlignment="1">
      <alignment horizontal="center" vertical="center" wrapText="1"/>
    </xf>
    <xf numFmtId="173" fontId="11" fillId="0" borderId="13" xfId="5" applyNumberFormat="1" applyFont="1" applyFill="1" applyBorder="1" applyAlignment="1">
      <alignment horizontal="center" vertical="center"/>
    </xf>
    <xf numFmtId="173" fontId="11" fillId="0" borderId="11" xfId="5" applyNumberFormat="1" applyFont="1" applyFill="1" applyBorder="1" applyAlignment="1">
      <alignment horizontal="center" vertical="center"/>
    </xf>
    <xf numFmtId="173" fontId="11" fillId="13" borderId="13" xfId="5" applyNumberFormat="1" applyFont="1" applyFill="1" applyBorder="1" applyAlignment="1">
      <alignment horizontal="center" vertical="center"/>
    </xf>
    <xf numFmtId="173" fontId="11" fillId="13" borderId="13" xfId="5" applyNumberFormat="1" applyFont="1" applyFill="1" applyBorder="1" applyAlignment="1">
      <alignment horizontal="center" vertical="center" wrapText="1"/>
    </xf>
    <xf numFmtId="173" fontId="11" fillId="14" borderId="13" xfId="5" applyNumberFormat="1" applyFont="1" applyFill="1" applyBorder="1" applyAlignment="1">
      <alignment horizontal="center" vertical="center"/>
    </xf>
    <xf numFmtId="173" fontId="11" fillId="0" borderId="15" xfId="5" applyNumberFormat="1" applyFont="1" applyFill="1" applyBorder="1" applyAlignment="1">
      <alignment horizontal="center" vertical="center"/>
    </xf>
    <xf numFmtId="173" fontId="4" fillId="0" borderId="0" xfId="5" applyNumberFormat="1" applyFont="1" applyAlignment="1">
      <alignment horizontal="center" vertical="center"/>
    </xf>
    <xf numFmtId="43" fontId="11" fillId="0" borderId="9" xfId="5" applyFont="1" applyFill="1" applyBorder="1" applyAlignment="1">
      <alignment horizontal="center" vertical="center"/>
    </xf>
    <xf numFmtId="43" fontId="11" fillId="0" borderId="10" xfId="5" applyFont="1" applyFill="1" applyBorder="1" applyAlignment="1">
      <alignment horizontal="center" vertical="center"/>
    </xf>
    <xf numFmtId="0" fontId="11" fillId="0" borderId="10" xfId="5" applyNumberFormat="1" applyFont="1" applyBorder="1" applyAlignment="1">
      <alignment vertical="center" wrapText="1"/>
    </xf>
    <xf numFmtId="0" fontId="9" fillId="0" borderId="10" xfId="7" applyFont="1" applyBorder="1" applyAlignment="1">
      <alignment horizontal="center" vertical="center" wrapText="1"/>
    </xf>
    <xf numFmtId="173" fontId="9" fillId="0" borderId="10" xfId="5" applyNumberFormat="1" applyFont="1" applyFill="1" applyBorder="1" applyAlignment="1">
      <alignment horizontal="center" vertical="center" wrapText="1"/>
    </xf>
    <xf numFmtId="173" fontId="9" fillId="0" borderId="10" xfId="5" applyNumberFormat="1" applyFont="1" applyFill="1" applyBorder="1" applyAlignment="1">
      <alignment vertical="center" wrapText="1"/>
    </xf>
    <xf numFmtId="173" fontId="11" fillId="0" borderId="10" xfId="5" applyNumberFormat="1" applyFont="1" applyFill="1" applyBorder="1" applyAlignment="1">
      <alignment horizontal="center" vertical="center" wrapText="1"/>
    </xf>
    <xf numFmtId="173" fontId="11" fillId="0" borderId="11" xfId="5" applyNumberFormat="1" applyFont="1" applyFill="1" applyBorder="1" applyAlignment="1">
      <alignment horizontal="center" vertical="center" wrapText="1"/>
    </xf>
    <xf numFmtId="9" fontId="8" fillId="0" borderId="0" xfId="8" applyFont="1"/>
    <xf numFmtId="43" fontId="8" fillId="0" borderId="25" xfId="5" applyFont="1" applyFill="1" applyBorder="1" applyAlignment="1">
      <alignment horizontal="center" vertical="center"/>
    </xf>
    <xf numFmtId="0" fontId="9" fillId="0" borderId="25" xfId="5" applyNumberFormat="1" applyFont="1" applyBorder="1" applyAlignment="1">
      <alignment vertical="top" wrapText="1"/>
    </xf>
    <xf numFmtId="49" fontId="9" fillId="0" borderId="25" xfId="6" applyNumberFormat="1" applyFont="1" applyBorder="1" applyAlignment="1">
      <alignment horizontal="center" vertical="center"/>
    </xf>
    <xf numFmtId="173" fontId="8" fillId="0" borderId="25" xfId="5" applyNumberFormat="1" applyFont="1" applyFill="1" applyBorder="1" applyAlignment="1">
      <alignment horizontal="center" vertical="center"/>
    </xf>
    <xf numFmtId="173" fontId="9" fillId="0" borderId="25" xfId="5" applyNumberFormat="1" applyFont="1" applyFill="1" applyBorder="1" applyAlignment="1">
      <alignment horizontal="center" vertical="center" wrapText="1"/>
    </xf>
    <xf numFmtId="173" fontId="9" fillId="13" borderId="25" xfId="5" applyNumberFormat="1" applyFont="1" applyFill="1" applyBorder="1" applyAlignment="1">
      <alignment horizontal="center" vertical="center" wrapText="1"/>
    </xf>
    <xf numFmtId="173" fontId="9" fillId="15" borderId="25" xfId="5" applyNumberFormat="1" applyFont="1" applyFill="1" applyBorder="1" applyAlignment="1">
      <alignment horizontal="center" vertical="center" wrapText="1"/>
    </xf>
    <xf numFmtId="173" fontId="9" fillId="14" borderId="25" xfId="5" applyNumberFormat="1" applyFont="1" applyFill="1" applyBorder="1" applyAlignment="1">
      <alignment horizontal="center" vertical="center" wrapText="1"/>
    </xf>
    <xf numFmtId="173" fontId="11" fillId="0" borderId="15" xfId="5" applyNumberFormat="1" applyFont="1" applyFill="1" applyBorder="1" applyAlignment="1">
      <alignment horizontal="center" vertical="center" wrapText="1"/>
    </xf>
    <xf numFmtId="173" fontId="8" fillId="0" borderId="25" xfId="5" applyNumberFormat="1" applyFont="1" applyBorder="1" applyAlignment="1">
      <alignment horizontal="center" vertical="center"/>
    </xf>
    <xf numFmtId="43" fontId="8" fillId="0" borderId="19" xfId="5" applyFont="1" applyFill="1" applyBorder="1" applyAlignment="1">
      <alignment horizontal="center" vertical="center"/>
    </xf>
    <xf numFmtId="43" fontId="9" fillId="0" borderId="19" xfId="5" applyFont="1" applyFill="1" applyBorder="1" applyAlignment="1">
      <alignment horizontal="center" vertical="center" wrapText="1"/>
    </xf>
    <xf numFmtId="0" fontId="9" fillId="0" borderId="19" xfId="5" applyNumberFormat="1" applyFont="1" applyBorder="1" applyAlignment="1">
      <alignment vertical="top" wrapText="1"/>
    </xf>
    <xf numFmtId="49" fontId="9" fillId="0" borderId="19" xfId="6" applyNumberFormat="1" applyFont="1" applyBorder="1" applyAlignment="1">
      <alignment horizontal="center" vertical="center"/>
    </xf>
    <xf numFmtId="173" fontId="8" fillId="0" borderId="19" xfId="5" applyNumberFormat="1" applyFont="1" applyFill="1" applyBorder="1" applyAlignment="1">
      <alignment horizontal="center" vertical="center"/>
    </xf>
    <xf numFmtId="173" fontId="13" fillId="0" borderId="19" xfId="5" applyNumberFormat="1" applyFont="1" applyFill="1" applyBorder="1" applyAlignment="1">
      <alignment horizontal="center" vertical="center" wrapText="1"/>
    </xf>
    <xf numFmtId="173" fontId="9" fillId="13" borderId="19" xfId="5" applyNumberFormat="1" applyFont="1" applyFill="1" applyBorder="1" applyAlignment="1">
      <alignment horizontal="center" vertical="center" wrapText="1"/>
    </xf>
    <xf numFmtId="173" fontId="9" fillId="15" borderId="19" xfId="5" applyNumberFormat="1" applyFont="1" applyFill="1" applyBorder="1" applyAlignment="1">
      <alignment horizontal="center" vertical="center" wrapText="1"/>
    </xf>
    <xf numFmtId="173" fontId="9" fillId="14" borderId="19" xfId="5" applyNumberFormat="1" applyFont="1" applyFill="1" applyBorder="1" applyAlignment="1">
      <alignment horizontal="center" vertical="center" wrapText="1"/>
    </xf>
    <xf numFmtId="173" fontId="11" fillId="0" borderId="12" xfId="5" applyNumberFormat="1" applyFont="1" applyFill="1" applyBorder="1" applyAlignment="1">
      <alignment horizontal="center" vertical="center" wrapText="1"/>
    </xf>
    <xf numFmtId="173" fontId="8" fillId="0" borderId="19" xfId="5" applyNumberFormat="1" applyFont="1" applyBorder="1" applyAlignment="1">
      <alignment horizontal="center" vertical="center"/>
    </xf>
    <xf numFmtId="0" fontId="9" fillId="0" borderId="19" xfId="7" applyFont="1" applyBorder="1" applyAlignment="1">
      <alignment horizontal="center" vertical="center" wrapText="1"/>
    </xf>
    <xf numFmtId="173" fontId="9" fillId="0" borderId="19" xfId="5" applyNumberFormat="1" applyFont="1" applyFill="1" applyBorder="1" applyAlignment="1">
      <alignment horizontal="center" vertical="center" wrapText="1"/>
    </xf>
    <xf numFmtId="173" fontId="8" fillId="0" borderId="19" xfId="9" applyNumberFormat="1" applyFont="1" applyFill="1" applyBorder="1" applyAlignment="1">
      <alignment horizontal="center" vertical="center"/>
    </xf>
    <xf numFmtId="173" fontId="13" fillId="0" borderId="19" xfId="5" applyNumberFormat="1" applyFont="1" applyFill="1" applyBorder="1" applyAlignment="1">
      <alignment vertical="center" wrapText="1"/>
    </xf>
    <xf numFmtId="166" fontId="8" fillId="0" borderId="0" xfId="6" applyNumberFormat="1" applyFont="1"/>
    <xf numFmtId="43" fontId="8" fillId="0" borderId="0" xfId="10" applyFont="1" applyFill="1" applyAlignment="1">
      <alignment horizontal="center" vertical="center"/>
    </xf>
    <xf numFmtId="9" fontId="8" fillId="0" borderId="0" xfId="11" applyFont="1"/>
    <xf numFmtId="43" fontId="9" fillId="0" borderId="19" xfId="5" applyFont="1" applyFill="1" applyBorder="1" applyAlignment="1">
      <alignment horizontal="center" vertical="center"/>
    </xf>
    <xf numFmtId="0" fontId="9" fillId="0" borderId="0" xfId="6" applyFont="1"/>
    <xf numFmtId="0" fontId="9" fillId="0" borderId="20" xfId="5" applyNumberFormat="1" applyFont="1" applyBorder="1" applyAlignment="1">
      <alignment horizontal="left" wrapText="1"/>
    </xf>
    <xf numFmtId="49" fontId="9" fillId="0" borderId="19" xfId="12" applyNumberFormat="1" applyFont="1" applyBorder="1" applyAlignment="1">
      <alignment horizontal="center" vertical="center"/>
    </xf>
    <xf numFmtId="173" fontId="9" fillId="0" borderId="19" xfId="5" applyNumberFormat="1" applyFont="1" applyFill="1" applyBorder="1" applyAlignment="1">
      <alignment horizontal="center" vertical="center"/>
    </xf>
    <xf numFmtId="0" fontId="9" fillId="0" borderId="20" xfId="5" applyNumberFormat="1" applyFont="1" applyBorder="1" applyAlignment="1">
      <alignment horizontal="left"/>
    </xf>
    <xf numFmtId="173" fontId="14" fillId="0" borderId="19" xfId="5" applyNumberFormat="1" applyFont="1" applyFill="1" applyBorder="1" applyAlignment="1">
      <alignment horizontal="center" vertical="center" wrapText="1"/>
    </xf>
    <xf numFmtId="173" fontId="15" fillId="0" borderId="19" xfId="5" applyNumberFormat="1" applyFont="1" applyFill="1" applyBorder="1" applyAlignment="1">
      <alignment horizontal="center" vertical="center" wrapText="1"/>
    </xf>
    <xf numFmtId="0" fontId="9" fillId="0" borderId="20" xfId="5" applyNumberFormat="1" applyFont="1" applyBorder="1" applyAlignment="1">
      <alignment vertical="top" wrapText="1"/>
    </xf>
    <xf numFmtId="173" fontId="10" fillId="0" borderId="19" xfId="5" applyNumberFormat="1" applyFont="1" applyFill="1" applyBorder="1" applyAlignment="1">
      <alignment horizontal="center" vertical="center" wrapText="1"/>
    </xf>
    <xf numFmtId="9" fontId="9" fillId="0" borderId="10" xfId="11" applyFont="1" applyFill="1" applyBorder="1" applyAlignment="1">
      <alignment horizontal="center" vertical="center" wrapText="1"/>
    </xf>
    <xf numFmtId="0" fontId="9" fillId="0" borderId="0" xfId="6" applyFont="1" applyAlignment="1">
      <alignment horizontal="right" vertical="center"/>
    </xf>
    <xf numFmtId="43" fontId="8" fillId="0" borderId="0" xfId="5" applyFont="1" applyAlignment="1">
      <alignment horizontal="center" vertical="center"/>
    </xf>
    <xf numFmtId="173" fontId="8" fillId="0" borderId="25" xfId="9" applyNumberFormat="1" applyFont="1" applyFill="1" applyBorder="1" applyAlignment="1">
      <alignment horizontal="center" vertical="center"/>
    </xf>
    <xf numFmtId="0" fontId="8" fillId="0" borderId="25" xfId="5" applyNumberFormat="1" applyFont="1" applyBorder="1" applyAlignment="1">
      <alignment vertical="center" wrapText="1"/>
    </xf>
    <xf numFmtId="0" fontId="9" fillId="0" borderId="25" xfId="7" applyFont="1" applyBorder="1" applyAlignment="1">
      <alignment horizontal="center" vertical="center" wrapText="1"/>
    </xf>
    <xf numFmtId="173" fontId="13" fillId="0" borderId="25" xfId="5" applyNumberFormat="1" applyFont="1" applyFill="1" applyBorder="1" applyAlignment="1">
      <alignment horizontal="center" vertical="center" wrapText="1"/>
    </xf>
    <xf numFmtId="0" fontId="8" fillId="0" borderId="0" xfId="6" applyFont="1" applyAlignment="1">
      <alignment horizontal="right"/>
    </xf>
    <xf numFmtId="0" fontId="8" fillId="0" borderId="19" xfId="5" applyNumberFormat="1" applyFont="1" applyBorder="1" applyAlignment="1">
      <alignment vertical="center" wrapText="1"/>
    </xf>
    <xf numFmtId="43" fontId="8" fillId="0" borderId="0" xfId="5" applyFont="1" applyAlignment="1">
      <alignment horizontal="right"/>
    </xf>
    <xf numFmtId="173" fontId="15" fillId="0" borderId="19" xfId="5" applyNumberFormat="1" applyFont="1" applyBorder="1"/>
    <xf numFmtId="173" fontId="15" fillId="6" borderId="19" xfId="5" applyNumberFormat="1" applyFont="1" applyFill="1" applyBorder="1" applyAlignment="1">
      <alignment horizontal="center" vertical="center" wrapText="1"/>
    </xf>
    <xf numFmtId="0" fontId="8" fillId="0" borderId="0" xfId="6" applyFont="1" applyAlignment="1">
      <alignment horizontal="right" vertical="center"/>
    </xf>
    <xf numFmtId="0" fontId="8" fillId="0" borderId="19" xfId="5" applyNumberFormat="1" applyFont="1" applyBorder="1"/>
    <xf numFmtId="0" fontId="8" fillId="0" borderId="19" xfId="6" applyFont="1" applyBorder="1" applyAlignment="1">
      <alignment horizontal="center" vertical="center"/>
    </xf>
    <xf numFmtId="173" fontId="8" fillId="0" borderId="19" xfId="5" applyNumberFormat="1" applyFont="1" applyBorder="1"/>
    <xf numFmtId="173" fontId="9" fillId="0" borderId="19" xfId="5" applyNumberFormat="1" applyFont="1" applyBorder="1"/>
    <xf numFmtId="0" fontId="8" fillId="0" borderId="0" xfId="6" applyFont="1" applyAlignment="1">
      <alignment horizontal="center"/>
    </xf>
    <xf numFmtId="0" fontId="9" fillId="0" borderId="19" xfId="5" applyNumberFormat="1" applyFont="1" applyBorder="1" applyAlignment="1">
      <alignment horizontal="left"/>
    </xf>
    <xf numFmtId="0" fontId="8" fillId="0" borderId="19" xfId="6" applyFont="1" applyBorder="1"/>
    <xf numFmtId="43" fontId="9" fillId="0" borderId="26" xfId="5" applyFont="1" applyFill="1" applyBorder="1" applyAlignment="1">
      <alignment horizontal="center" vertical="center"/>
    </xf>
    <xf numFmtId="0" fontId="9" fillId="0" borderId="26" xfId="5" applyNumberFormat="1" applyFont="1" applyBorder="1" applyAlignment="1">
      <alignment vertical="top" wrapText="1"/>
    </xf>
    <xf numFmtId="49" fontId="9" fillId="0" borderId="26" xfId="6" applyNumberFormat="1" applyFont="1" applyBorder="1" applyAlignment="1">
      <alignment horizontal="center" vertical="center"/>
    </xf>
    <xf numFmtId="173" fontId="9" fillId="0" borderId="26" xfId="5" applyNumberFormat="1" applyFont="1" applyFill="1" applyBorder="1" applyAlignment="1">
      <alignment horizontal="center" vertical="center"/>
    </xf>
    <xf numFmtId="173" fontId="13" fillId="0" borderId="26" xfId="5" applyNumberFormat="1" applyFont="1" applyFill="1" applyBorder="1" applyAlignment="1">
      <alignment horizontal="center" vertical="center" wrapText="1"/>
    </xf>
    <xf numFmtId="173" fontId="9" fillId="13" borderId="26" xfId="5" applyNumberFormat="1" applyFont="1" applyFill="1" applyBorder="1" applyAlignment="1">
      <alignment horizontal="center" vertical="center" wrapText="1"/>
    </xf>
    <xf numFmtId="173" fontId="9" fillId="15" borderId="26" xfId="5" applyNumberFormat="1" applyFont="1" applyFill="1" applyBorder="1" applyAlignment="1">
      <alignment horizontal="center" vertical="center" wrapText="1"/>
    </xf>
    <xf numFmtId="173" fontId="9" fillId="14" borderId="26" xfId="5" applyNumberFormat="1" applyFont="1" applyFill="1" applyBorder="1" applyAlignment="1">
      <alignment horizontal="center" vertical="center" wrapText="1"/>
    </xf>
    <xf numFmtId="43" fontId="9" fillId="0" borderId="25" xfId="5" applyFont="1" applyFill="1" applyBorder="1" applyAlignment="1">
      <alignment horizontal="center" vertical="center"/>
    </xf>
    <xf numFmtId="49" fontId="9" fillId="0" borderId="25" xfId="12" applyNumberFormat="1" applyFont="1" applyBorder="1" applyAlignment="1">
      <alignment horizontal="center" vertical="center"/>
    </xf>
    <xf numFmtId="173" fontId="9" fillId="0" borderId="25" xfId="5" applyNumberFormat="1" applyFont="1" applyFill="1" applyBorder="1" applyAlignment="1">
      <alignment horizontal="center" vertical="center"/>
    </xf>
    <xf numFmtId="173" fontId="17" fillId="0" borderId="25" xfId="5" applyNumberFormat="1" applyFont="1" applyFill="1" applyBorder="1" applyAlignment="1">
      <alignment horizontal="center" vertical="center" wrapText="1"/>
    </xf>
    <xf numFmtId="173" fontId="18" fillId="0" borderId="25" xfId="5" applyNumberFormat="1" applyFont="1" applyFill="1" applyBorder="1" applyAlignment="1">
      <alignment horizontal="center" vertical="center" wrapText="1"/>
    </xf>
    <xf numFmtId="173" fontId="11" fillId="0" borderId="0" xfId="5" applyNumberFormat="1" applyFont="1" applyAlignment="1">
      <alignment horizontal="center" vertical="center"/>
    </xf>
    <xf numFmtId="0" fontId="9" fillId="0" borderId="19" xfId="5" applyNumberFormat="1" applyFont="1" applyBorder="1" applyAlignment="1">
      <alignment vertical="center" wrapText="1"/>
    </xf>
    <xf numFmtId="173" fontId="17" fillId="0" borderId="19" xfId="5" applyNumberFormat="1" applyFont="1" applyFill="1" applyBorder="1" applyAlignment="1">
      <alignment horizontal="center" vertical="center" wrapText="1"/>
    </xf>
    <xf numFmtId="173" fontId="18" fillId="0" borderId="19" xfId="5" applyNumberFormat="1" applyFont="1" applyFill="1" applyBorder="1" applyAlignment="1">
      <alignment horizontal="center" vertical="center" wrapText="1"/>
    </xf>
    <xf numFmtId="173" fontId="8" fillId="0" borderId="22" xfId="5" applyNumberFormat="1" applyFont="1" applyBorder="1" applyAlignment="1">
      <alignment horizontal="center" vertical="center"/>
    </xf>
    <xf numFmtId="173" fontId="17" fillId="6" borderId="19" xfId="5" applyNumberFormat="1" applyFont="1" applyFill="1" applyBorder="1" applyAlignment="1">
      <alignment horizontal="center" vertical="center" wrapText="1"/>
    </xf>
    <xf numFmtId="173" fontId="5" fillId="6" borderId="19" xfId="5" applyNumberFormat="1" applyFont="1" applyFill="1" applyBorder="1" applyAlignment="1">
      <alignment horizontal="center" vertical="center" wrapText="1"/>
    </xf>
    <xf numFmtId="173" fontId="15" fillId="6" borderId="25" xfId="5" applyNumberFormat="1" applyFont="1" applyFill="1" applyBorder="1" applyAlignment="1">
      <alignment horizontal="center" vertical="center" wrapText="1"/>
    </xf>
    <xf numFmtId="173" fontId="15" fillId="0" borderId="25" xfId="5" applyNumberFormat="1" applyFont="1" applyFill="1" applyBorder="1" applyAlignment="1">
      <alignment horizontal="center" vertical="center" wrapText="1"/>
    </xf>
    <xf numFmtId="173" fontId="8" fillId="0" borderId="28" xfId="5" applyNumberFormat="1" applyFont="1" applyBorder="1" applyAlignment="1">
      <alignment horizontal="center" vertical="center"/>
    </xf>
    <xf numFmtId="43" fontId="8" fillId="0" borderId="22" xfId="5" applyFont="1" applyFill="1" applyBorder="1" applyAlignment="1">
      <alignment horizontal="center" vertical="center"/>
    </xf>
    <xf numFmtId="43" fontId="9" fillId="0" borderId="22" xfId="5" applyFont="1" applyFill="1" applyBorder="1" applyAlignment="1">
      <alignment horizontal="center" vertical="center"/>
    </xf>
    <xf numFmtId="0" fontId="9" fillId="0" borderId="22" xfId="5" applyNumberFormat="1" applyFont="1" applyBorder="1" applyAlignment="1">
      <alignment vertical="top" wrapText="1"/>
    </xf>
    <xf numFmtId="49" fontId="9" fillId="0" borderId="22" xfId="12" applyNumberFormat="1" applyFont="1" applyBorder="1" applyAlignment="1">
      <alignment horizontal="center" vertical="center"/>
    </xf>
    <xf numFmtId="173" fontId="9" fillId="0" borderId="22" xfId="5" applyNumberFormat="1" applyFont="1" applyFill="1" applyBorder="1" applyAlignment="1">
      <alignment horizontal="center" vertical="center"/>
    </xf>
    <xf numFmtId="173" fontId="5" fillId="0" borderId="19" xfId="5" applyNumberFormat="1" applyFont="1" applyFill="1" applyBorder="1" applyAlignment="1">
      <alignment horizontal="center" vertical="center" wrapText="1"/>
    </xf>
    <xf numFmtId="173" fontId="15" fillId="0" borderId="22" xfId="5" applyNumberFormat="1" applyFont="1" applyFill="1" applyBorder="1" applyAlignment="1">
      <alignment horizontal="center" vertical="center" wrapText="1"/>
    </xf>
    <xf numFmtId="43" fontId="9" fillId="0" borderId="19" xfId="10" applyFont="1" applyFill="1" applyBorder="1" applyAlignment="1">
      <alignment horizontal="center" vertical="center"/>
    </xf>
    <xf numFmtId="173" fontId="11" fillId="0" borderId="29" xfId="5" applyNumberFormat="1" applyFont="1" applyFill="1" applyBorder="1" applyAlignment="1">
      <alignment horizontal="center" vertical="center" wrapText="1"/>
    </xf>
    <xf numFmtId="43" fontId="8" fillId="0" borderId="0" xfId="10" applyFont="1" applyFill="1"/>
    <xf numFmtId="43" fontId="9" fillId="0" borderId="26" xfId="10" applyFont="1" applyFill="1" applyBorder="1" applyAlignment="1">
      <alignment horizontal="center" vertical="center"/>
    </xf>
    <xf numFmtId="173" fontId="8" fillId="0" borderId="26" xfId="5" applyNumberFormat="1" applyFont="1" applyFill="1" applyBorder="1" applyAlignment="1">
      <alignment horizontal="center" vertical="center"/>
    </xf>
    <xf numFmtId="173" fontId="13" fillId="0" borderId="26" xfId="5" applyNumberFormat="1" applyFont="1" applyFill="1" applyBorder="1" applyAlignment="1">
      <alignment vertical="center" wrapText="1"/>
    </xf>
    <xf numFmtId="0" fontId="9" fillId="16" borderId="25" xfId="5" applyNumberFormat="1" applyFont="1" applyFill="1" applyBorder="1" applyAlignment="1">
      <alignment vertical="top" wrapText="1"/>
    </xf>
    <xf numFmtId="173" fontId="11" fillId="0" borderId="17" xfId="5" applyNumberFormat="1" applyFont="1" applyFill="1" applyBorder="1" applyAlignment="1">
      <alignment horizontal="center" vertical="center" wrapText="1"/>
    </xf>
    <xf numFmtId="0" fontId="9" fillId="16" borderId="19" xfId="5" applyNumberFormat="1" applyFont="1" applyFill="1" applyBorder="1" applyAlignment="1">
      <alignment vertical="top"/>
    </xf>
    <xf numFmtId="0" fontId="9" fillId="0" borderId="19" xfId="5" applyNumberFormat="1" applyFont="1" applyBorder="1" applyAlignment="1">
      <alignment horizontal="left" vertical="top" wrapText="1"/>
    </xf>
    <xf numFmtId="173" fontId="11" fillId="0" borderId="30" xfId="5" applyNumberFormat="1" applyFont="1" applyFill="1" applyBorder="1" applyAlignment="1">
      <alignment horizontal="center" vertical="center" wrapText="1"/>
    </xf>
    <xf numFmtId="49" fontId="9" fillId="0" borderId="26" xfId="12" applyNumberFormat="1" applyFont="1" applyBorder="1" applyAlignment="1">
      <alignment horizontal="center" vertical="center"/>
    </xf>
    <xf numFmtId="0" fontId="9" fillId="0" borderId="22" xfId="6" applyFont="1" applyBorder="1" applyAlignment="1">
      <alignment horizontal="center" vertical="center"/>
    </xf>
    <xf numFmtId="173" fontId="13" fillId="0" borderId="22" xfId="5" applyNumberFormat="1" applyFont="1" applyFill="1" applyBorder="1" applyAlignment="1">
      <alignment horizontal="center" vertical="center" wrapText="1"/>
    </xf>
    <xf numFmtId="9" fontId="8" fillId="0" borderId="0" xfId="8" applyFont="1" applyBorder="1"/>
    <xf numFmtId="173" fontId="8" fillId="0" borderId="0" xfId="6" applyNumberFormat="1" applyFont="1"/>
    <xf numFmtId="0" fontId="9" fillId="0" borderId="19" xfId="6" applyFont="1" applyBorder="1" applyAlignment="1">
      <alignment horizontal="center" vertical="center"/>
    </xf>
    <xf numFmtId="43" fontId="9" fillId="0" borderId="25" xfId="5" applyFont="1" applyFill="1" applyBorder="1" applyAlignment="1">
      <alignment horizontal="center" vertical="center" wrapText="1"/>
    </xf>
    <xf numFmtId="0" fontId="8" fillId="0" borderId="25" xfId="6" applyFont="1" applyBorder="1" applyAlignment="1">
      <alignment horizontal="center" vertical="center"/>
    </xf>
    <xf numFmtId="173" fontId="4" fillId="0" borderId="29" xfId="5" applyNumberFormat="1" applyFont="1" applyBorder="1" applyAlignment="1">
      <alignment horizontal="center" vertical="center"/>
    </xf>
    <xf numFmtId="43" fontId="8" fillId="0" borderId="26" xfId="5" applyFont="1" applyFill="1" applyBorder="1" applyAlignment="1">
      <alignment horizontal="center" vertical="center"/>
    </xf>
    <xf numFmtId="0" fontId="9" fillId="0" borderId="25" xfId="6" applyFont="1" applyBorder="1" applyAlignment="1">
      <alignment horizontal="center" vertical="center"/>
    </xf>
    <xf numFmtId="0" fontId="9" fillId="0" borderId="19" xfId="5" applyNumberFormat="1" applyFont="1" applyBorder="1" applyAlignment="1">
      <alignment vertical="top"/>
    </xf>
    <xf numFmtId="0" fontId="9" fillId="0" borderId="22" xfId="5" applyNumberFormat="1" applyFont="1" applyBorder="1" applyAlignment="1">
      <alignment vertical="top"/>
    </xf>
    <xf numFmtId="0" fontId="9" fillId="0" borderId="26" xfId="6" applyFont="1" applyBorder="1" applyAlignment="1">
      <alignment horizontal="center" vertical="center"/>
    </xf>
    <xf numFmtId="0" fontId="8" fillId="0" borderId="26" xfId="6" applyFont="1" applyBorder="1" applyAlignment="1">
      <alignment horizontal="center" vertical="center"/>
    </xf>
    <xf numFmtId="173" fontId="9" fillId="0" borderId="26" xfId="5" applyNumberFormat="1" applyFont="1" applyFill="1" applyBorder="1" applyAlignment="1">
      <alignment horizontal="center" vertical="center" wrapText="1"/>
    </xf>
    <xf numFmtId="173" fontId="8" fillId="0" borderId="26" xfId="5" applyNumberFormat="1" applyFont="1" applyBorder="1" applyAlignment="1">
      <alignment horizontal="center" vertical="center"/>
    </xf>
    <xf numFmtId="0" fontId="8" fillId="0" borderId="18" xfId="6" applyFont="1" applyBorder="1" applyAlignment="1">
      <alignment horizontal="center" vertical="center"/>
    </xf>
    <xf numFmtId="173" fontId="8" fillId="0" borderId="18" xfId="5" applyNumberFormat="1" applyFont="1" applyFill="1" applyBorder="1" applyAlignment="1">
      <alignment horizontal="center" vertical="center"/>
    </xf>
    <xf numFmtId="0" fontId="9" fillId="0" borderId="26" xfId="5" applyNumberFormat="1" applyFont="1" applyBorder="1" applyAlignment="1">
      <alignment vertical="center" wrapText="1"/>
    </xf>
    <xf numFmtId="0" fontId="11" fillId="0" borderId="10" xfId="5" applyNumberFormat="1" applyFont="1" applyBorder="1" applyAlignment="1">
      <alignment vertical="center"/>
    </xf>
    <xf numFmtId="0" fontId="9" fillId="0" borderId="25" xfId="5" applyNumberFormat="1" applyFont="1" applyBorder="1"/>
    <xf numFmtId="0" fontId="9" fillId="0" borderId="25" xfId="13" applyFont="1" applyBorder="1" applyAlignment="1">
      <alignment horizontal="center" vertical="center"/>
    </xf>
    <xf numFmtId="173" fontId="17" fillId="0" borderId="25" xfId="5" applyNumberFormat="1" applyFont="1" applyBorder="1"/>
    <xf numFmtId="0" fontId="9" fillId="0" borderId="19" xfId="5" applyNumberFormat="1" applyFont="1" applyBorder="1"/>
    <xf numFmtId="0" fontId="9" fillId="0" borderId="19" xfId="13" applyFont="1" applyBorder="1" applyAlignment="1">
      <alignment horizontal="center" vertical="center"/>
    </xf>
    <xf numFmtId="173" fontId="17" fillId="0" borderId="19" xfId="5" applyNumberFormat="1" applyFont="1" applyBorder="1"/>
    <xf numFmtId="173" fontId="17" fillId="0" borderId="26" xfId="5" applyNumberFormat="1" applyFont="1" applyFill="1" applyBorder="1" applyAlignment="1">
      <alignment horizontal="center" vertical="center" wrapText="1"/>
    </xf>
    <xf numFmtId="173" fontId="17" fillId="6" borderId="26" xfId="5" applyNumberFormat="1" applyFont="1" applyFill="1" applyBorder="1" applyAlignment="1">
      <alignment horizontal="center" vertical="center" wrapText="1"/>
    </xf>
    <xf numFmtId="0" fontId="9" fillId="0" borderId="0" xfId="6" applyFont="1" applyAlignment="1">
      <alignment horizontal="center" vertical="center"/>
    </xf>
    <xf numFmtId="43" fontId="9" fillId="0" borderId="25" xfId="5" applyFont="1" applyFill="1" applyBorder="1" applyAlignment="1">
      <alignment vertical="center"/>
    </xf>
    <xf numFmtId="0" fontId="9" fillId="0" borderId="25" xfId="5" applyNumberFormat="1" applyFont="1" applyBorder="1" applyAlignment="1">
      <alignment horizontal="left" vertical="center" wrapText="1"/>
    </xf>
    <xf numFmtId="0" fontId="9" fillId="0" borderId="25" xfId="14" applyFont="1" applyBorder="1" applyAlignment="1">
      <alignment horizontal="center" vertical="center"/>
    </xf>
    <xf numFmtId="173" fontId="9" fillId="0" borderId="25" xfId="5" applyNumberFormat="1" applyFont="1" applyBorder="1" applyAlignment="1">
      <alignment horizontal="center" vertical="center"/>
    </xf>
    <xf numFmtId="173" fontId="9" fillId="0" borderId="25" xfId="5" applyNumberFormat="1" applyFont="1" applyFill="1" applyBorder="1" applyAlignment="1">
      <alignment vertical="center" wrapText="1"/>
    </xf>
    <xf numFmtId="43" fontId="9" fillId="0" borderId="19" xfId="5" applyFont="1" applyFill="1" applyBorder="1" applyAlignment="1">
      <alignment vertical="center"/>
    </xf>
    <xf numFmtId="0" fontId="9" fillId="0" borderId="19" xfId="5" applyNumberFormat="1" applyFont="1" applyBorder="1" applyAlignment="1">
      <alignment horizontal="left" vertical="center" wrapText="1"/>
    </xf>
    <xf numFmtId="0" fontId="9" fillId="0" borderId="19" xfId="14" applyFont="1" applyBorder="1" applyAlignment="1">
      <alignment horizontal="center" vertical="center"/>
    </xf>
    <xf numFmtId="173" fontId="9" fillId="0" borderId="19" xfId="5" applyNumberFormat="1" applyFont="1" applyBorder="1" applyAlignment="1">
      <alignment horizontal="center" vertical="center"/>
    </xf>
    <xf numFmtId="173" fontId="9" fillId="0" borderId="19" xfId="5" applyNumberFormat="1" applyFont="1" applyFill="1" applyBorder="1" applyAlignment="1">
      <alignment vertical="center" wrapText="1"/>
    </xf>
    <xf numFmtId="173" fontId="15" fillId="0" borderId="19" xfId="5" applyNumberFormat="1" applyFont="1" applyFill="1" applyBorder="1"/>
    <xf numFmtId="173" fontId="13" fillId="0" borderId="19" xfId="5" applyNumberFormat="1" applyFont="1" applyFill="1" applyBorder="1"/>
    <xf numFmtId="0" fontId="9" fillId="0" borderId="19" xfId="5" applyNumberFormat="1" applyFont="1" applyBorder="1" applyAlignment="1">
      <alignment horizontal="left" vertical="center"/>
    </xf>
    <xf numFmtId="173" fontId="9" fillId="0" borderId="19" xfId="5" applyNumberFormat="1" applyFont="1" applyFill="1" applyBorder="1"/>
    <xf numFmtId="173" fontId="15" fillId="0" borderId="19" xfId="5" applyNumberFormat="1" applyFont="1" applyFill="1" applyBorder="1" applyAlignment="1">
      <alignment horizontal="center" vertical="center"/>
    </xf>
    <xf numFmtId="173" fontId="13" fillId="0" borderId="19" xfId="5" applyNumberFormat="1" applyFont="1" applyFill="1" applyBorder="1" applyAlignment="1">
      <alignment horizontal="center" vertical="center"/>
    </xf>
    <xf numFmtId="17" fontId="8" fillId="0" borderId="0" xfId="6" applyNumberFormat="1" applyFont="1"/>
    <xf numFmtId="0" fontId="9" fillId="0" borderId="26" xfId="5" applyNumberFormat="1" applyFont="1" applyFill="1" applyBorder="1" applyAlignment="1">
      <alignment horizontal="left" vertical="center" wrapText="1"/>
    </xf>
    <xf numFmtId="0" fontId="9" fillId="0" borderId="26" xfId="14" applyFont="1" applyBorder="1" applyAlignment="1">
      <alignment horizontal="center" vertical="center"/>
    </xf>
    <xf numFmtId="173" fontId="9" fillId="0" borderId="26" xfId="5" applyNumberFormat="1" applyFont="1" applyBorder="1" applyAlignment="1">
      <alignment horizontal="center" vertical="center"/>
    </xf>
    <xf numFmtId="173" fontId="9" fillId="0" borderId="26" xfId="5" applyNumberFormat="1" applyFont="1" applyFill="1" applyBorder="1"/>
    <xf numFmtId="173" fontId="9" fillId="0" borderId="26" xfId="5" applyNumberFormat="1" applyFont="1" applyFill="1" applyBorder="1" applyAlignment="1">
      <alignment vertical="center" wrapText="1"/>
    </xf>
    <xf numFmtId="173" fontId="15" fillId="0" borderId="26" xfId="5" applyNumberFormat="1" applyFont="1" applyFill="1" applyBorder="1" applyAlignment="1">
      <alignment horizontal="center" vertical="center" wrapText="1"/>
    </xf>
    <xf numFmtId="173" fontId="11" fillId="0" borderId="32" xfId="5" applyNumberFormat="1" applyFont="1" applyFill="1" applyBorder="1" applyAlignment="1">
      <alignment horizontal="center" vertical="center" wrapText="1"/>
    </xf>
    <xf numFmtId="173" fontId="8" fillId="0" borderId="10" xfId="5" applyNumberFormat="1" applyFont="1" applyBorder="1"/>
    <xf numFmtId="173" fontId="8" fillId="0" borderId="10" xfId="5" applyNumberFormat="1" applyFont="1" applyBorder="1" applyAlignment="1">
      <alignment horizontal="center" vertical="center"/>
    </xf>
    <xf numFmtId="173" fontId="8" fillId="0" borderId="11" xfId="5" applyNumberFormat="1" applyFont="1" applyBorder="1"/>
    <xf numFmtId="43" fontId="9" fillId="0" borderId="10" xfId="5" applyFont="1" applyFill="1" applyBorder="1" applyAlignment="1">
      <alignment horizontal="center" vertical="center" wrapText="1"/>
    </xf>
    <xf numFmtId="0" fontId="4" fillId="0" borderId="0" xfId="6" applyFont="1" applyAlignment="1">
      <alignment horizontal="center" vertical="center"/>
    </xf>
    <xf numFmtId="173" fontId="8" fillId="6" borderId="0" xfId="5" applyNumberFormat="1" applyFont="1" applyFill="1"/>
    <xf numFmtId="0" fontId="8" fillId="0" borderId="26" xfId="5" applyNumberFormat="1" applyFont="1" applyBorder="1" applyAlignment="1">
      <alignment vertical="center" wrapText="1"/>
    </xf>
    <xf numFmtId="0" fontId="9" fillId="0" borderId="26" xfId="7" applyFont="1" applyBorder="1" applyAlignment="1">
      <alignment horizontal="center" vertical="center" wrapText="1"/>
    </xf>
    <xf numFmtId="43" fontId="8" fillId="0" borderId="33" xfId="5" applyFont="1" applyFill="1" applyBorder="1" applyAlignment="1">
      <alignment horizontal="center" vertical="center"/>
    </xf>
    <xf numFmtId="43" fontId="9" fillId="0" borderId="27" xfId="5" applyFont="1" applyFill="1" applyBorder="1" applyAlignment="1">
      <alignment horizontal="center" vertical="center"/>
    </xf>
    <xf numFmtId="0" fontId="4" fillId="0" borderId="27" xfId="5" applyNumberFormat="1" applyFont="1" applyBorder="1" applyAlignment="1">
      <alignment vertical="center" wrapText="1"/>
    </xf>
    <xf numFmtId="173" fontId="10" fillId="0" borderId="27" xfId="5" applyNumberFormat="1" applyFont="1" applyFill="1" applyBorder="1" applyAlignment="1">
      <alignment horizontal="center" vertical="center" wrapText="1"/>
    </xf>
    <xf numFmtId="0" fontId="8" fillId="0" borderId="25" xfId="5" applyNumberFormat="1" applyFont="1" applyBorder="1" applyAlignment="1">
      <alignment wrapText="1"/>
    </xf>
    <xf numFmtId="0" fontId="8" fillId="0" borderId="19" xfId="5" applyNumberFormat="1" applyFont="1" applyBorder="1" applyAlignment="1">
      <alignment wrapText="1"/>
    </xf>
    <xf numFmtId="43" fontId="9" fillId="0" borderId="26" xfId="5" applyFont="1" applyFill="1" applyBorder="1" applyAlignment="1">
      <alignment horizontal="center" vertical="center" wrapText="1"/>
    </xf>
    <xf numFmtId="173" fontId="15" fillId="6" borderId="26" xfId="5" applyNumberFormat="1" applyFont="1" applyFill="1" applyBorder="1" applyAlignment="1">
      <alignment horizontal="center" vertical="center" wrapText="1"/>
    </xf>
    <xf numFmtId="43" fontId="9" fillId="0" borderId="10" xfId="5" applyFont="1" applyFill="1" applyBorder="1" applyAlignment="1">
      <alignment vertical="center" wrapText="1"/>
    </xf>
    <xf numFmtId="2" fontId="8" fillId="0" borderId="25" xfId="5" applyNumberFormat="1" applyFont="1" applyFill="1" applyBorder="1" applyAlignment="1">
      <alignment horizontal="center" vertical="center"/>
    </xf>
    <xf numFmtId="0" fontId="8" fillId="0" borderId="25" xfId="5" applyNumberFormat="1" applyFont="1" applyBorder="1"/>
    <xf numFmtId="2" fontId="8" fillId="0" borderId="19" xfId="5" applyNumberFormat="1" applyFont="1" applyFill="1" applyBorder="1" applyAlignment="1">
      <alignment horizontal="center" vertical="center"/>
    </xf>
    <xf numFmtId="2" fontId="9" fillId="0" borderId="19" xfId="5" applyNumberFormat="1" applyFont="1" applyFill="1" applyBorder="1" applyAlignment="1">
      <alignment horizontal="center" vertical="center" wrapText="1"/>
    </xf>
    <xf numFmtId="2" fontId="9" fillId="0" borderId="26" xfId="5" applyNumberFormat="1" applyFont="1" applyFill="1" applyBorder="1" applyAlignment="1">
      <alignment horizontal="center" vertical="center" wrapText="1"/>
    </xf>
    <xf numFmtId="0" fontId="8" fillId="0" borderId="26" xfId="5" applyNumberFormat="1" applyFont="1" applyBorder="1"/>
    <xf numFmtId="173" fontId="5" fillId="6" borderId="26" xfId="5" applyNumberFormat="1" applyFont="1" applyFill="1" applyBorder="1" applyAlignment="1">
      <alignment horizontal="center" vertical="center" wrapText="1"/>
    </xf>
    <xf numFmtId="173" fontId="10" fillId="0" borderId="26" xfId="5" applyNumberFormat="1" applyFont="1" applyFill="1" applyBorder="1" applyAlignment="1">
      <alignment horizontal="center" vertical="center" wrapText="1"/>
    </xf>
    <xf numFmtId="43" fontId="9" fillId="0" borderId="22" xfId="5" applyFont="1" applyFill="1" applyBorder="1" applyAlignment="1">
      <alignment horizontal="center" vertical="center" wrapText="1"/>
    </xf>
    <xf numFmtId="0" fontId="8" fillId="0" borderId="22" xfId="6" applyFont="1" applyBorder="1" applyAlignment="1">
      <alignment horizontal="center" vertical="center"/>
    </xf>
    <xf numFmtId="173" fontId="8" fillId="0" borderId="22" xfId="5" applyNumberFormat="1" applyFont="1" applyFill="1" applyBorder="1" applyAlignment="1">
      <alignment horizontal="center" vertical="center"/>
    </xf>
    <xf numFmtId="173" fontId="9" fillId="13" borderId="22" xfId="5" applyNumberFormat="1" applyFont="1" applyFill="1" applyBorder="1" applyAlignment="1">
      <alignment horizontal="center" vertical="center" wrapText="1"/>
    </xf>
    <xf numFmtId="173" fontId="10" fillId="0" borderId="22" xfId="5" applyNumberFormat="1" applyFont="1" applyFill="1" applyBorder="1" applyAlignment="1">
      <alignment horizontal="center" vertical="center" wrapText="1"/>
    </xf>
    <xf numFmtId="173" fontId="9" fillId="15" borderId="22" xfId="5" applyNumberFormat="1" applyFont="1" applyFill="1" applyBorder="1" applyAlignment="1">
      <alignment horizontal="center" vertical="center" wrapText="1"/>
    </xf>
    <xf numFmtId="173" fontId="9" fillId="14" borderId="22" xfId="5" applyNumberFormat="1" applyFont="1" applyFill="1" applyBorder="1" applyAlignment="1">
      <alignment horizontal="center" vertical="center" wrapText="1"/>
    </xf>
    <xf numFmtId="43" fontId="9" fillId="0" borderId="13" xfId="5" applyFont="1" applyFill="1" applyBorder="1" applyAlignment="1">
      <alignment horizontal="center" vertical="center"/>
    </xf>
    <xf numFmtId="0" fontId="9" fillId="0" borderId="13" xfId="5" applyNumberFormat="1" applyFont="1" applyBorder="1" applyAlignment="1">
      <alignment vertical="top" wrapText="1"/>
    </xf>
    <xf numFmtId="49" fontId="9" fillId="0" borderId="13" xfId="12" applyNumberFormat="1" applyFont="1" applyBorder="1" applyAlignment="1">
      <alignment horizontal="center" vertical="center"/>
    </xf>
    <xf numFmtId="173" fontId="9" fillId="0" borderId="13" xfId="5" applyNumberFormat="1" applyFont="1" applyFill="1" applyBorder="1" applyAlignment="1">
      <alignment horizontal="center" vertical="center"/>
    </xf>
    <xf numFmtId="173" fontId="17" fillId="0" borderId="13" xfId="5" applyNumberFormat="1" applyFont="1" applyFill="1" applyBorder="1" applyAlignment="1">
      <alignment horizontal="center" vertical="center" wrapText="1"/>
    </xf>
    <xf numFmtId="173" fontId="9" fillId="13" borderId="13" xfId="5" applyNumberFormat="1" applyFont="1" applyFill="1" applyBorder="1" applyAlignment="1">
      <alignment horizontal="center" vertical="center" wrapText="1"/>
    </xf>
    <xf numFmtId="173" fontId="9" fillId="15" borderId="13" xfId="5" applyNumberFormat="1" applyFont="1" applyFill="1" applyBorder="1" applyAlignment="1">
      <alignment horizontal="center" vertical="center" wrapText="1"/>
    </xf>
    <xf numFmtId="173" fontId="9" fillId="14" borderId="13" xfId="5" applyNumberFormat="1" applyFont="1" applyFill="1" applyBorder="1" applyAlignment="1">
      <alignment horizontal="center" vertical="center" wrapText="1"/>
    </xf>
    <xf numFmtId="173" fontId="9" fillId="0" borderId="25" xfId="5" applyNumberFormat="1" applyFont="1" applyBorder="1"/>
    <xf numFmtId="173" fontId="10" fillId="0" borderId="25" xfId="5" applyNumberFormat="1" applyFont="1" applyFill="1" applyBorder="1" applyAlignment="1">
      <alignment horizontal="center" vertical="center" wrapText="1"/>
    </xf>
    <xf numFmtId="43" fontId="9" fillId="0" borderId="18" xfId="5" applyFont="1" applyFill="1" applyBorder="1" applyAlignment="1">
      <alignment horizontal="center" vertical="center" wrapText="1"/>
    </xf>
    <xf numFmtId="43" fontId="9" fillId="0" borderId="18" xfId="5" applyFont="1" applyFill="1" applyBorder="1" applyAlignment="1">
      <alignment horizontal="center" vertical="center"/>
    </xf>
    <xf numFmtId="0" fontId="9" fillId="0" borderId="18" xfId="5" applyNumberFormat="1" applyFont="1" applyBorder="1" applyAlignment="1">
      <alignment vertical="top" wrapText="1"/>
    </xf>
    <xf numFmtId="49" fontId="9" fillId="0" borderId="18" xfId="12" applyNumberFormat="1" applyFont="1" applyBorder="1" applyAlignment="1">
      <alignment horizontal="center" vertical="center"/>
    </xf>
    <xf numFmtId="173" fontId="9" fillId="0" borderId="18" xfId="5" applyNumberFormat="1" applyFont="1" applyFill="1" applyBorder="1" applyAlignment="1">
      <alignment horizontal="center" vertical="center"/>
    </xf>
    <xf numFmtId="9" fontId="8" fillId="0" borderId="0" xfId="8" applyFont="1" applyFill="1"/>
    <xf numFmtId="0" fontId="9" fillId="0" borderId="25" xfId="5" applyNumberFormat="1" applyFont="1" applyFill="1" applyBorder="1" applyAlignment="1">
      <alignment horizontal="left" vertical="center"/>
    </xf>
    <xf numFmtId="0" fontId="9" fillId="0" borderId="22" xfId="5" applyNumberFormat="1" applyFont="1" applyFill="1" applyBorder="1" applyAlignment="1">
      <alignment horizontal="left" vertical="center"/>
    </xf>
    <xf numFmtId="49" fontId="9" fillId="0" borderId="22" xfId="6" applyNumberFormat="1" applyFont="1" applyBorder="1" applyAlignment="1">
      <alignment horizontal="center" vertical="center"/>
    </xf>
    <xf numFmtId="173" fontId="9" fillId="0" borderId="22" xfId="5" applyNumberFormat="1" applyFont="1" applyFill="1" applyBorder="1" applyAlignment="1">
      <alignment horizontal="center" vertical="center" wrapText="1"/>
    </xf>
    <xf numFmtId="173" fontId="9" fillId="0" borderId="22" xfId="5" applyNumberFormat="1" applyFont="1" applyBorder="1"/>
    <xf numFmtId="173" fontId="15" fillId="0" borderId="19" xfId="5" applyNumberFormat="1" applyFont="1" applyFill="1" applyBorder="1" applyAlignment="1">
      <alignment vertical="center" wrapText="1"/>
    </xf>
    <xf numFmtId="43" fontId="8" fillId="0" borderId="19" xfId="10" applyFont="1" applyFill="1" applyBorder="1" applyAlignment="1">
      <alignment horizontal="center" vertical="center"/>
    </xf>
    <xf numFmtId="173" fontId="4" fillId="0" borderId="0" xfId="5" applyNumberFormat="1" applyFont="1" applyFill="1" applyAlignment="1">
      <alignment horizontal="center" vertical="center"/>
    </xf>
    <xf numFmtId="43" fontId="8" fillId="0" borderId="0" xfId="10" applyFont="1" applyFill="1" applyAlignment="1">
      <alignment horizontal="center"/>
    </xf>
    <xf numFmtId="9" fontId="8" fillId="0" borderId="0" xfId="11" applyFont="1" applyFill="1"/>
    <xf numFmtId="173" fontId="5" fillId="6" borderId="19" xfId="5" applyNumberFormat="1" applyFont="1" applyFill="1" applyBorder="1" applyAlignment="1">
      <alignment vertical="center" wrapText="1"/>
    </xf>
    <xf numFmtId="0" fontId="9" fillId="0" borderId="26" xfId="5" applyNumberFormat="1" applyFont="1" applyBorder="1" applyAlignment="1">
      <alignment horizontal="left" vertical="center"/>
    </xf>
    <xf numFmtId="43" fontId="8" fillId="0" borderId="26" xfId="10" applyFont="1" applyFill="1" applyBorder="1" applyAlignment="1">
      <alignment horizontal="center" vertical="center"/>
    </xf>
    <xf numFmtId="43" fontId="8" fillId="0" borderId="0" xfId="10" applyFont="1"/>
    <xf numFmtId="43" fontId="8" fillId="0" borderId="0" xfId="5" applyFont="1" applyFill="1"/>
    <xf numFmtId="43" fontId="11" fillId="0" borderId="34" xfId="5" applyFont="1" applyFill="1" applyBorder="1" applyAlignment="1">
      <alignment horizontal="center" vertical="center" wrapText="1"/>
    </xf>
    <xf numFmtId="0" fontId="4" fillId="0" borderId="34" xfId="5" applyNumberFormat="1" applyFont="1" applyFill="1" applyBorder="1" applyAlignment="1">
      <alignment vertical="center" wrapText="1"/>
    </xf>
    <xf numFmtId="43" fontId="9" fillId="0" borderId="34" xfId="10" applyFont="1" applyFill="1" applyBorder="1" applyAlignment="1">
      <alignment horizontal="center" vertical="center" wrapText="1"/>
    </xf>
    <xf numFmtId="173" fontId="9" fillId="0" borderId="34" xfId="5" applyNumberFormat="1" applyFont="1" applyFill="1" applyBorder="1" applyAlignment="1">
      <alignment horizontal="center" vertical="center" wrapText="1"/>
    </xf>
    <xf numFmtId="173" fontId="10" fillId="0" borderId="34" xfId="5" applyNumberFormat="1" applyFont="1" applyFill="1" applyBorder="1" applyAlignment="1">
      <alignment horizontal="center" vertical="center" wrapText="1"/>
    </xf>
    <xf numFmtId="173" fontId="11" fillId="0" borderId="34" xfId="5" applyNumberFormat="1" applyFont="1" applyFill="1" applyBorder="1" applyAlignment="1">
      <alignment horizontal="center" vertical="center" wrapText="1"/>
    </xf>
    <xf numFmtId="173" fontId="8" fillId="0" borderId="34" xfId="5" applyNumberFormat="1" applyFont="1" applyBorder="1" applyAlignment="1">
      <alignment horizontal="center" vertical="center"/>
    </xf>
    <xf numFmtId="0" fontId="4" fillId="0" borderId="10" xfId="5" applyNumberFormat="1" applyFont="1" applyBorder="1"/>
    <xf numFmtId="0" fontId="8" fillId="0" borderId="10" xfId="6" applyFont="1" applyBorder="1" applyAlignment="1">
      <alignment horizontal="center" vertical="center"/>
    </xf>
    <xf numFmtId="173" fontId="11" fillId="0" borderId="10" xfId="5" applyNumberFormat="1" applyFont="1" applyBorder="1" applyAlignment="1">
      <alignment horizontal="center" vertical="center"/>
    </xf>
    <xf numFmtId="173" fontId="9" fillId="0" borderId="10" xfId="5" applyNumberFormat="1" applyFont="1" applyBorder="1"/>
    <xf numFmtId="173" fontId="10" fillId="0" borderId="10" xfId="5" applyNumberFormat="1" applyFont="1" applyFill="1" applyBorder="1"/>
    <xf numFmtId="173" fontId="21" fillId="11" borderId="10" xfId="5" applyNumberFormat="1" applyFont="1" applyFill="1" applyBorder="1" applyAlignment="1">
      <alignment horizontal="right"/>
    </xf>
    <xf numFmtId="43" fontId="21" fillId="11" borderId="10" xfId="5" applyFont="1" applyFill="1" applyBorder="1"/>
    <xf numFmtId="173" fontId="4" fillId="0" borderId="10" xfId="5" applyNumberFormat="1" applyFont="1" applyBorder="1"/>
    <xf numFmtId="173" fontId="21" fillId="11" borderId="10" xfId="5" applyNumberFormat="1" applyFont="1" applyFill="1" applyBorder="1" applyAlignment="1">
      <alignment horizontal="center" vertical="center"/>
    </xf>
    <xf numFmtId="173" fontId="4" fillId="0" borderId="11" xfId="5" applyNumberFormat="1" applyFont="1" applyBorder="1" applyAlignment="1">
      <alignment horizontal="center" vertical="center"/>
    </xf>
    <xf numFmtId="43" fontId="11" fillId="0" borderId="0" xfId="5" applyFont="1" applyFill="1" applyBorder="1" applyAlignment="1">
      <alignment horizontal="center" vertical="center" wrapText="1"/>
    </xf>
    <xf numFmtId="0" fontId="4" fillId="0" borderId="0" xfId="5" applyNumberFormat="1" applyFont="1" applyBorder="1"/>
    <xf numFmtId="173" fontId="11" fillId="0" borderId="0" xfId="5" applyNumberFormat="1" applyFont="1" applyBorder="1" applyAlignment="1">
      <alignment horizontal="center" vertical="center"/>
    </xf>
    <xf numFmtId="173" fontId="8" fillId="0" borderId="0" xfId="5" applyNumberFormat="1" applyFont="1" applyBorder="1"/>
    <xf numFmtId="173" fontId="9" fillId="0" borderId="0" xfId="5" applyNumberFormat="1" applyFont="1" applyBorder="1"/>
    <xf numFmtId="173" fontId="10" fillId="0" borderId="0" xfId="5" applyNumberFormat="1" applyFont="1" applyFill="1" applyBorder="1"/>
    <xf numFmtId="173" fontId="21" fillId="0" borderId="34" xfId="5" applyNumberFormat="1" applyFont="1" applyFill="1" applyBorder="1" applyAlignment="1">
      <alignment horizontal="right"/>
    </xf>
    <xf numFmtId="173" fontId="21" fillId="0" borderId="34" xfId="5" applyNumberFormat="1" applyFont="1" applyFill="1" applyBorder="1"/>
    <xf numFmtId="173" fontId="4" fillId="0" borderId="34" xfId="5" applyNumberFormat="1" applyFont="1" applyFill="1" applyBorder="1"/>
    <xf numFmtId="173" fontId="21" fillId="0" borderId="34" xfId="5" applyNumberFormat="1" applyFont="1" applyFill="1" applyBorder="1" applyAlignment="1">
      <alignment horizontal="center" vertical="center"/>
    </xf>
    <xf numFmtId="173" fontId="4" fillId="0" borderId="34" xfId="5" applyNumberFormat="1" applyFont="1" applyFill="1" applyBorder="1" applyAlignment="1">
      <alignment horizontal="center" vertical="center"/>
    </xf>
    <xf numFmtId="43" fontId="9" fillId="0" borderId="0" xfId="5" applyFont="1" applyFill="1" applyBorder="1" applyAlignment="1">
      <alignment horizontal="center" vertical="center"/>
    </xf>
    <xf numFmtId="0" fontId="22" fillId="0" borderId="0" xfId="5" applyNumberFormat="1" applyFont="1" applyAlignment="1">
      <alignment horizontal="left" vertical="top" wrapText="1"/>
    </xf>
    <xf numFmtId="173" fontId="8" fillId="0" borderId="0" xfId="5" applyNumberFormat="1" applyFont="1" applyFill="1" applyBorder="1" applyAlignment="1">
      <alignment horizontal="center" vertical="center"/>
    </xf>
    <xf numFmtId="43" fontId="9" fillId="0" borderId="0" xfId="5" applyFont="1" applyFill="1" applyBorder="1" applyAlignment="1">
      <alignment horizontal="center" vertical="center" wrapText="1"/>
    </xf>
    <xf numFmtId="173" fontId="21" fillId="0" borderId="0" xfId="5" applyNumberFormat="1" applyFont="1" applyFill="1" applyBorder="1" applyAlignment="1">
      <alignment horizontal="right"/>
    </xf>
    <xf numFmtId="173" fontId="21" fillId="0" borderId="0" xfId="5" applyNumberFormat="1" applyFont="1" applyFill="1" applyBorder="1"/>
    <xf numFmtId="173" fontId="4" fillId="0" borderId="0" xfId="5" applyNumberFormat="1" applyFont="1" applyFill="1" applyBorder="1"/>
    <xf numFmtId="173" fontId="4" fillId="0" borderId="0" xfId="5" applyNumberFormat="1" applyFont="1" applyFill="1" applyBorder="1" applyAlignment="1">
      <alignment horizontal="center" vertical="center"/>
    </xf>
    <xf numFmtId="173" fontId="22" fillId="0" borderId="0" xfId="5" applyNumberFormat="1" applyFont="1" applyAlignment="1">
      <alignment horizontal="left" vertical="top" wrapText="1"/>
    </xf>
    <xf numFmtId="173" fontId="4" fillId="0" borderId="10" xfId="5" applyNumberFormat="1" applyFont="1" applyBorder="1" applyAlignment="1">
      <alignment horizontal="center" vertical="center"/>
    </xf>
    <xf numFmtId="0" fontId="9" fillId="0" borderId="25" xfId="5" applyNumberFormat="1" applyFont="1" applyBorder="1" applyAlignment="1">
      <alignment vertical="center" wrapText="1"/>
    </xf>
    <xf numFmtId="173" fontId="15" fillId="0" borderId="25" xfId="5" applyNumberFormat="1" applyFont="1" applyFill="1" applyBorder="1" applyAlignment="1">
      <alignment horizontal="center" vertical="center"/>
    </xf>
    <xf numFmtId="173" fontId="4" fillId="0" borderId="0" xfId="5" applyNumberFormat="1" applyFont="1" applyBorder="1" applyAlignment="1">
      <alignment horizontal="center" vertical="center"/>
    </xf>
    <xf numFmtId="173" fontId="15" fillId="0" borderId="26" xfId="5" applyNumberFormat="1" applyFont="1" applyFill="1" applyBorder="1" applyAlignment="1">
      <alignment horizontal="center" vertical="center"/>
    </xf>
    <xf numFmtId="173" fontId="8" fillId="0" borderId="26" xfId="5" applyNumberFormat="1" applyFont="1" applyBorder="1"/>
    <xf numFmtId="173" fontId="9" fillId="0" borderId="26" xfId="5" applyNumberFormat="1" applyFont="1" applyBorder="1"/>
    <xf numFmtId="43" fontId="4" fillId="0" borderId="9" xfId="5" applyFont="1" applyFill="1" applyBorder="1" applyAlignment="1">
      <alignment horizontal="center" vertical="center"/>
    </xf>
    <xf numFmtId="173" fontId="8" fillId="0" borderId="25" xfId="5" applyNumberFormat="1" applyFont="1" applyBorder="1"/>
    <xf numFmtId="0" fontId="8" fillId="0" borderId="19" xfId="5" applyNumberFormat="1" applyFont="1" applyBorder="1" applyAlignment="1"/>
    <xf numFmtId="0" fontId="8" fillId="0" borderId="26" xfId="5" applyNumberFormat="1" applyFont="1" applyBorder="1" applyAlignment="1">
      <alignment wrapText="1"/>
    </xf>
    <xf numFmtId="43" fontId="8" fillId="0" borderId="18" xfId="5" applyFont="1" applyFill="1" applyBorder="1" applyAlignment="1">
      <alignment horizontal="center" vertical="center"/>
    </xf>
    <xf numFmtId="0" fontId="8" fillId="0" borderId="18" xfId="5" applyNumberFormat="1" applyFont="1" applyBorder="1"/>
    <xf numFmtId="173" fontId="15" fillId="0" borderId="10" xfId="5" applyNumberFormat="1" applyFont="1" applyFill="1" applyBorder="1"/>
    <xf numFmtId="173" fontId="8" fillId="0" borderId="10" xfId="5" applyNumberFormat="1" applyFont="1" applyFill="1" applyBorder="1"/>
    <xf numFmtId="173" fontId="9" fillId="0" borderId="10" xfId="5" applyNumberFormat="1" applyFont="1" applyFill="1" applyBorder="1"/>
    <xf numFmtId="173" fontId="10" fillId="0" borderId="10" xfId="5" applyNumberFormat="1" applyFont="1" applyFill="1" applyBorder="1" applyAlignment="1">
      <alignment horizontal="center" vertical="center" wrapText="1"/>
    </xf>
    <xf numFmtId="173" fontId="8" fillId="0" borderId="10" xfId="5" applyNumberFormat="1" applyFont="1" applyFill="1" applyBorder="1" applyAlignment="1">
      <alignment horizontal="center" vertical="center"/>
    </xf>
    <xf numFmtId="173" fontId="8" fillId="0" borderId="25" xfId="5" applyNumberFormat="1" applyFont="1" applyFill="1" applyBorder="1"/>
    <xf numFmtId="173" fontId="9" fillId="0" borderId="25" xfId="5" applyNumberFormat="1" applyFont="1" applyFill="1" applyBorder="1"/>
    <xf numFmtId="173" fontId="8" fillId="0" borderId="19" xfId="5" applyNumberFormat="1" applyFont="1" applyFill="1" applyBorder="1"/>
    <xf numFmtId="0" fontId="9" fillId="0" borderId="18" xfId="7" applyFont="1" applyBorder="1" applyAlignment="1">
      <alignment horizontal="center" vertical="center" wrapText="1"/>
    </xf>
    <xf numFmtId="173" fontId="9" fillId="0" borderId="18" xfId="5" applyNumberFormat="1" applyFont="1" applyFill="1" applyBorder="1" applyAlignment="1">
      <alignment horizontal="center" vertical="center" wrapText="1"/>
    </xf>
    <xf numFmtId="173" fontId="15" fillId="0" borderId="18" xfId="5" applyNumberFormat="1" applyFont="1" applyFill="1" applyBorder="1" applyAlignment="1">
      <alignment horizontal="center" vertical="center"/>
    </xf>
    <xf numFmtId="173" fontId="8" fillId="0" borderId="18" xfId="5" applyNumberFormat="1" applyFont="1" applyFill="1" applyBorder="1"/>
    <xf numFmtId="173" fontId="15" fillId="6" borderId="18" xfId="5" applyNumberFormat="1" applyFont="1" applyFill="1" applyBorder="1" applyAlignment="1">
      <alignment horizontal="center" vertical="center"/>
    </xf>
    <xf numFmtId="173" fontId="8" fillId="0" borderId="26" xfId="5" applyNumberFormat="1" applyFont="1" applyFill="1" applyBorder="1"/>
    <xf numFmtId="173" fontId="21" fillId="11" borderId="10" xfId="5" applyNumberFormat="1" applyFont="1" applyFill="1" applyBorder="1"/>
    <xf numFmtId="0" fontId="4" fillId="0" borderId="0" xfId="5" applyNumberFormat="1" applyFont="1"/>
    <xf numFmtId="173" fontId="11" fillId="0" borderId="0" xfId="5" applyNumberFormat="1" applyFont="1" applyFill="1" applyBorder="1" applyAlignment="1">
      <alignment horizontal="center" vertical="center"/>
    </xf>
    <xf numFmtId="173" fontId="8" fillId="0" borderId="0" xfId="5" applyNumberFormat="1" applyFont="1" applyFill="1" applyBorder="1"/>
    <xf numFmtId="173" fontId="9" fillId="0" borderId="0" xfId="5" applyNumberFormat="1" applyFont="1" applyFill="1" applyBorder="1"/>
    <xf numFmtId="173" fontId="21" fillId="0" borderId="0" xfId="5" applyNumberFormat="1" applyFont="1" applyFill="1" applyBorder="1" applyAlignment="1">
      <alignment horizontal="center" vertical="center"/>
    </xf>
    <xf numFmtId="43" fontId="8" fillId="0" borderId="9" xfId="5" applyFont="1" applyFill="1" applyBorder="1" applyAlignment="1">
      <alignment horizontal="center" vertical="center"/>
    </xf>
    <xf numFmtId="43" fontId="8" fillId="0" borderId="10" xfId="5" applyFont="1" applyFill="1" applyBorder="1" applyAlignment="1">
      <alignment horizontal="center" vertical="center"/>
    </xf>
    <xf numFmtId="173" fontId="9" fillId="0" borderId="10" xfId="5" applyNumberFormat="1" applyFont="1" applyBorder="1" applyAlignment="1">
      <alignment horizontal="center" vertical="center"/>
    </xf>
    <xf numFmtId="173" fontId="10" fillId="0" borderId="10" xfId="5" applyNumberFormat="1" applyFont="1" applyBorder="1"/>
    <xf numFmtId="0" fontId="8" fillId="0" borderId="10" xfId="6" applyFont="1" applyBorder="1"/>
    <xf numFmtId="43" fontId="4" fillId="0" borderId="0" xfId="5" applyFont="1" applyFill="1"/>
    <xf numFmtId="43" fontId="8" fillId="0" borderId="0" xfId="5" applyFont="1" applyFill="1" applyBorder="1" applyAlignment="1">
      <alignment horizontal="center" vertical="center"/>
    </xf>
    <xf numFmtId="173" fontId="21" fillId="0" borderId="10" xfId="5" applyNumberFormat="1" applyFont="1" applyFill="1" applyBorder="1" applyAlignment="1">
      <alignment horizontal="right"/>
    </xf>
    <xf numFmtId="173" fontId="21" fillId="0" borderId="10" xfId="5" applyNumberFormat="1" applyFont="1" applyFill="1" applyBorder="1"/>
    <xf numFmtId="173" fontId="4" fillId="0" borderId="10" xfId="5" applyNumberFormat="1" applyFont="1" applyFill="1" applyBorder="1"/>
    <xf numFmtId="173" fontId="9" fillId="0" borderId="0" xfId="5" applyNumberFormat="1" applyFont="1"/>
    <xf numFmtId="43" fontId="23" fillId="0" borderId="0" xfId="9" applyFont="1" applyFill="1" applyAlignment="1">
      <alignment horizontal="center" vertical="center"/>
    </xf>
    <xf numFmtId="0" fontId="23" fillId="0" borderId="0" xfId="9" applyNumberFormat="1" applyFont="1"/>
    <xf numFmtId="0" fontId="23" fillId="0" borderId="0" xfId="15" applyFont="1" applyAlignment="1">
      <alignment horizontal="center" vertical="center"/>
    </xf>
    <xf numFmtId="173" fontId="24" fillId="0" borderId="0" xfId="9" applyNumberFormat="1" applyFont="1" applyBorder="1" applyAlignment="1">
      <alignment horizontal="center" vertical="center"/>
    </xf>
    <xf numFmtId="173" fontId="23" fillId="0" borderId="0" xfId="9" applyNumberFormat="1" applyFont="1" applyAlignment="1">
      <alignment horizontal="center" vertical="center"/>
    </xf>
    <xf numFmtId="173" fontId="25" fillId="0" borderId="13" xfId="9" applyNumberFormat="1" applyFont="1" applyBorder="1" applyAlignment="1">
      <alignment horizontal="center" vertical="center" wrapText="1"/>
    </xf>
    <xf numFmtId="0" fontId="23" fillId="0" borderId="0" xfId="15" applyFont="1"/>
    <xf numFmtId="0" fontId="23" fillId="0" borderId="0" xfId="16" applyFont="1"/>
    <xf numFmtId="166" fontId="23" fillId="0" borderId="0" xfId="16" applyNumberFormat="1" applyFont="1"/>
    <xf numFmtId="173" fontId="25" fillId="12" borderId="13" xfId="9" applyNumberFormat="1" applyFont="1" applyFill="1" applyBorder="1" applyAlignment="1">
      <alignment horizontal="center" vertical="center" wrapText="1"/>
    </xf>
    <xf numFmtId="43" fontId="24" fillId="0" borderId="0" xfId="9" applyFont="1" applyFill="1" applyAlignment="1">
      <alignment horizontal="center" vertical="center" wrapText="1"/>
    </xf>
    <xf numFmtId="0" fontId="24" fillId="0" borderId="0" xfId="9" applyNumberFormat="1" applyFont="1" applyAlignment="1">
      <alignment vertical="center" wrapText="1"/>
    </xf>
    <xf numFmtId="0" fontId="24" fillId="0" borderId="0" xfId="7" applyFont="1" applyAlignment="1">
      <alignment horizontal="center" vertical="center" wrapText="1"/>
    </xf>
    <xf numFmtId="173" fontId="24" fillId="0" borderId="0" xfId="9" applyNumberFormat="1" applyFont="1" applyFill="1" applyBorder="1" applyAlignment="1">
      <alignment horizontal="center" vertical="center" wrapText="1"/>
    </xf>
    <xf numFmtId="173" fontId="25" fillId="0" borderId="0" xfId="9" applyNumberFormat="1" applyFont="1" applyAlignment="1">
      <alignment horizontal="center" vertical="center" wrapText="1"/>
    </xf>
    <xf numFmtId="0" fontId="24" fillId="0" borderId="0" xfId="7" applyFont="1" applyAlignment="1">
      <alignment vertical="center" wrapText="1"/>
    </xf>
    <xf numFmtId="166" fontId="24" fillId="0" borderId="0" xfId="7" applyNumberFormat="1" applyFont="1" applyAlignment="1">
      <alignment vertical="center" wrapText="1"/>
    </xf>
    <xf numFmtId="14" fontId="25" fillId="0" borderId="0" xfId="9" applyNumberFormat="1" applyFont="1" applyFill="1" applyBorder="1" applyAlignment="1">
      <alignment horizontal="right" vertical="center" wrapText="1"/>
    </xf>
    <xf numFmtId="0" fontId="25" fillId="0" borderId="0" xfId="7" applyFont="1" applyAlignment="1">
      <alignment vertical="center"/>
    </xf>
    <xf numFmtId="0" fontId="25" fillId="0" borderId="0" xfId="9" applyNumberFormat="1" applyFont="1" applyAlignment="1">
      <alignment vertical="center"/>
    </xf>
    <xf numFmtId="173" fontId="24" fillId="0" borderId="0" xfId="9" applyNumberFormat="1" applyFont="1" applyBorder="1" applyAlignment="1">
      <alignment horizontal="center" vertical="center" wrapText="1"/>
    </xf>
    <xf numFmtId="0" fontId="24" fillId="0" borderId="27" xfId="7" applyFont="1" applyBorder="1" applyAlignment="1">
      <alignment horizontal="center" vertical="center" wrapText="1"/>
    </xf>
    <xf numFmtId="173" fontId="24" fillId="0" borderId="27" xfId="9" applyNumberFormat="1" applyFont="1" applyFill="1" applyBorder="1" applyAlignment="1">
      <alignment horizontal="center" vertical="center" wrapText="1"/>
    </xf>
    <xf numFmtId="173" fontId="25" fillId="0" borderId="0" xfId="9" applyNumberFormat="1" applyFont="1" applyBorder="1" applyAlignment="1">
      <alignment horizontal="center" vertical="center" wrapText="1"/>
    </xf>
    <xf numFmtId="43" fontId="25" fillId="0" borderId="9" xfId="9" applyFont="1" applyFill="1" applyBorder="1" applyAlignment="1">
      <alignment horizontal="center" vertical="center" wrapText="1"/>
    </xf>
    <xf numFmtId="0" fontId="25" fillId="0" borderId="11" xfId="9" applyNumberFormat="1" applyFont="1" applyBorder="1" applyAlignment="1">
      <alignment horizontal="center" vertical="center" wrapText="1"/>
    </xf>
    <xf numFmtId="0" fontId="25" fillId="0" borderId="11" xfId="7" applyFont="1" applyBorder="1" applyAlignment="1">
      <alignment horizontal="center" vertical="center" wrapText="1"/>
    </xf>
    <xf numFmtId="173" fontId="25" fillId="0" borderId="13" xfId="9" applyNumberFormat="1" applyFont="1" applyFill="1" applyBorder="1" applyAlignment="1">
      <alignment horizontal="center" vertical="center"/>
    </xf>
    <xf numFmtId="173" fontId="25" fillId="0" borderId="15" xfId="9" applyNumberFormat="1" applyFont="1" applyFill="1" applyBorder="1" applyAlignment="1">
      <alignment horizontal="center" vertical="center"/>
    </xf>
    <xf numFmtId="173" fontId="26" fillId="0" borderId="0" xfId="9" applyNumberFormat="1" applyFont="1" applyAlignment="1">
      <alignment horizontal="center" vertical="center"/>
    </xf>
    <xf numFmtId="43" fontId="25" fillId="0" borderId="9" xfId="9" applyFont="1" applyFill="1" applyBorder="1" applyAlignment="1">
      <alignment horizontal="center" vertical="center"/>
    </xf>
    <xf numFmtId="0" fontId="25" fillId="0" borderId="10" xfId="9" applyNumberFormat="1" applyFont="1" applyBorder="1" applyAlignment="1">
      <alignment vertical="center" wrapText="1"/>
    </xf>
    <xf numFmtId="0" fontId="24" fillId="0" borderId="10" xfId="7" applyFont="1" applyBorder="1" applyAlignment="1">
      <alignment horizontal="center" vertical="center" wrapText="1"/>
    </xf>
    <xf numFmtId="173" fontId="24" fillId="0" borderId="10" xfId="9" applyNumberFormat="1" applyFont="1" applyFill="1" applyBorder="1" applyAlignment="1">
      <alignment horizontal="center" vertical="center" wrapText="1"/>
    </xf>
    <xf numFmtId="173" fontId="25" fillId="0" borderId="11" xfId="9" applyNumberFormat="1" applyFont="1" applyFill="1" applyBorder="1" applyAlignment="1">
      <alignment horizontal="center" vertical="center" wrapText="1"/>
    </xf>
    <xf numFmtId="9" fontId="23" fillId="0" borderId="0" xfId="19" applyFont="1"/>
    <xf numFmtId="0" fontId="24" fillId="0" borderId="0" xfId="16" applyFont="1"/>
    <xf numFmtId="166" fontId="24" fillId="0" borderId="0" xfId="16" applyNumberFormat="1" applyFont="1"/>
    <xf numFmtId="43" fontId="23" fillId="0" borderId="25" xfId="9" applyFont="1" applyFill="1" applyBorder="1" applyAlignment="1">
      <alignment horizontal="center" vertical="center"/>
    </xf>
    <xf numFmtId="0" fontId="24" fillId="0" borderId="25" xfId="9" applyNumberFormat="1" applyFont="1" applyBorder="1" applyAlignment="1">
      <alignment vertical="top" wrapText="1"/>
    </xf>
    <xf numFmtId="49" fontId="24" fillId="0" borderId="25" xfId="15" applyNumberFormat="1" applyFont="1" applyBorder="1" applyAlignment="1">
      <alignment horizontal="center" vertical="center"/>
    </xf>
    <xf numFmtId="173" fontId="23" fillId="0" borderId="25" xfId="9" applyNumberFormat="1" applyFont="1" applyFill="1" applyBorder="1" applyAlignment="1">
      <alignment horizontal="center" vertical="center"/>
    </xf>
    <xf numFmtId="173" fontId="23" fillId="0" borderId="25" xfId="9" applyNumberFormat="1" applyFont="1" applyBorder="1" applyAlignment="1">
      <alignment horizontal="center" vertical="center"/>
    </xf>
    <xf numFmtId="43" fontId="23" fillId="0" borderId="19" xfId="9" applyFont="1" applyFill="1" applyBorder="1" applyAlignment="1">
      <alignment horizontal="center" vertical="center"/>
    </xf>
    <xf numFmtId="0" fontId="24" fillId="0" borderId="19" xfId="9" applyNumberFormat="1" applyFont="1" applyBorder="1" applyAlignment="1">
      <alignment vertical="top" wrapText="1"/>
    </xf>
    <xf numFmtId="49" fontId="24" fillId="0" borderId="19" xfId="15" applyNumberFormat="1" applyFont="1" applyBorder="1" applyAlignment="1">
      <alignment horizontal="center" vertical="center"/>
    </xf>
    <xf numFmtId="173" fontId="23" fillId="0" borderId="19" xfId="9" applyNumberFormat="1" applyFont="1" applyFill="1" applyBorder="1" applyAlignment="1">
      <alignment horizontal="center" vertical="center"/>
    </xf>
    <xf numFmtId="173" fontId="23" fillId="0" borderId="19" xfId="9" applyNumberFormat="1" applyFont="1" applyBorder="1" applyAlignment="1">
      <alignment horizontal="center" vertical="center"/>
    </xf>
    <xf numFmtId="0" fontId="24" fillId="0" borderId="19" xfId="7" applyFont="1" applyBorder="1" applyAlignment="1">
      <alignment horizontal="center" vertical="center" wrapText="1"/>
    </xf>
    <xf numFmtId="173" fontId="24" fillId="0" borderId="19" xfId="9" applyNumberFormat="1" applyFont="1" applyFill="1" applyBorder="1" applyAlignment="1">
      <alignment horizontal="center" vertical="center" wrapText="1"/>
    </xf>
    <xf numFmtId="0" fontId="24" fillId="0" borderId="20" xfId="9" applyNumberFormat="1" applyFont="1" applyBorder="1" applyAlignment="1">
      <alignment horizontal="left"/>
    </xf>
    <xf numFmtId="49" fontId="24" fillId="0" borderId="19" xfId="12" applyNumberFormat="1" applyFont="1" applyBorder="1" applyAlignment="1">
      <alignment horizontal="center" vertical="center"/>
    </xf>
    <xf numFmtId="173" fontId="24" fillId="0" borderId="19" xfId="9" applyNumberFormat="1" applyFont="1" applyFill="1" applyBorder="1" applyAlignment="1">
      <alignment horizontal="center" vertical="center"/>
    </xf>
    <xf numFmtId="0" fontId="24" fillId="0" borderId="20" xfId="9" applyNumberFormat="1" applyFont="1" applyBorder="1" applyAlignment="1">
      <alignment vertical="top" wrapText="1"/>
    </xf>
    <xf numFmtId="43" fontId="24" fillId="0" borderId="19" xfId="9" applyFont="1" applyFill="1" applyBorder="1" applyAlignment="1">
      <alignment horizontal="center" vertical="center"/>
    </xf>
    <xf numFmtId="0" fontId="23" fillId="0" borderId="25" xfId="9" applyNumberFormat="1" applyFont="1" applyBorder="1" applyAlignment="1">
      <alignment vertical="center" wrapText="1"/>
    </xf>
    <xf numFmtId="0" fontId="24" fillId="0" borderId="25" xfId="7" applyFont="1" applyBorder="1" applyAlignment="1">
      <alignment horizontal="center" vertical="center" wrapText="1"/>
    </xf>
    <xf numFmtId="173" fontId="24" fillId="0" borderId="25" xfId="9" applyNumberFormat="1" applyFont="1" applyFill="1" applyBorder="1" applyAlignment="1">
      <alignment horizontal="center" vertical="center" wrapText="1"/>
    </xf>
    <xf numFmtId="0" fontId="23" fillId="0" borderId="19" xfId="9" applyNumberFormat="1" applyFont="1" applyBorder="1" applyAlignment="1">
      <alignment vertical="center" wrapText="1"/>
    </xf>
    <xf numFmtId="0" fontId="24" fillId="0" borderId="19" xfId="9" applyNumberFormat="1" applyFont="1" applyBorder="1" applyAlignment="1">
      <alignment horizontal="left"/>
    </xf>
    <xf numFmtId="0" fontId="24" fillId="0" borderId="26" xfId="9" applyNumberFormat="1" applyFont="1" applyBorder="1" applyAlignment="1">
      <alignment vertical="top" wrapText="1"/>
    </xf>
    <xf numFmtId="49" fontId="24" fillId="0" borderId="26" xfId="15" applyNumberFormat="1" applyFont="1" applyBorder="1" applyAlignment="1">
      <alignment horizontal="center" vertical="center"/>
    </xf>
    <xf numFmtId="173" fontId="24" fillId="0" borderId="26" xfId="9" applyNumberFormat="1" applyFont="1" applyFill="1" applyBorder="1" applyAlignment="1">
      <alignment horizontal="center" vertical="center"/>
    </xf>
    <xf numFmtId="9" fontId="23" fillId="0" borderId="0" xfId="19" applyFont="1" applyFill="1"/>
    <xf numFmtId="0" fontId="24" fillId="0" borderId="25" xfId="9" applyNumberFormat="1" applyFont="1" applyFill="1" applyBorder="1" applyAlignment="1">
      <alignment horizontal="left" vertical="center"/>
    </xf>
    <xf numFmtId="43" fontId="23" fillId="0" borderId="22" xfId="9" applyFont="1" applyFill="1" applyBorder="1" applyAlignment="1">
      <alignment horizontal="center" vertical="center"/>
    </xf>
    <xf numFmtId="0" fontId="24" fillId="0" borderId="22" xfId="9" applyNumberFormat="1" applyFont="1" applyFill="1" applyBorder="1" applyAlignment="1">
      <alignment horizontal="left" vertical="center"/>
    </xf>
    <xf numFmtId="49" fontId="24" fillId="0" borderId="22" xfId="15" applyNumberFormat="1" applyFont="1" applyBorder="1" applyAlignment="1">
      <alignment horizontal="center" vertical="center"/>
    </xf>
    <xf numFmtId="173" fontId="23" fillId="0" borderId="22" xfId="9" applyNumberFormat="1" applyFont="1" applyFill="1" applyBorder="1" applyAlignment="1">
      <alignment horizontal="center" vertical="center"/>
    </xf>
    <xf numFmtId="0" fontId="24" fillId="0" borderId="19" xfId="9" applyNumberFormat="1" applyFont="1" applyBorder="1" applyAlignment="1">
      <alignment horizontal="left" vertical="center"/>
    </xf>
    <xf numFmtId="43" fontId="23" fillId="0" borderId="19" xfId="21" applyFont="1" applyFill="1" applyBorder="1" applyAlignment="1">
      <alignment horizontal="center" vertical="center"/>
    </xf>
    <xf numFmtId="173" fontId="26" fillId="0" borderId="0" xfId="9" applyNumberFormat="1" applyFont="1" applyFill="1" applyAlignment="1">
      <alignment horizontal="center" vertical="center"/>
    </xf>
    <xf numFmtId="43" fontId="23" fillId="0" borderId="0" xfId="21" applyFont="1" applyFill="1"/>
    <xf numFmtId="0" fontId="24" fillId="0" borderId="26" xfId="9" applyNumberFormat="1" applyFont="1" applyBorder="1" applyAlignment="1">
      <alignment horizontal="left" vertical="center"/>
    </xf>
    <xf numFmtId="43" fontId="23" fillId="0" borderId="26" xfId="21" applyFont="1" applyFill="1" applyBorder="1" applyAlignment="1">
      <alignment horizontal="center" vertical="center"/>
    </xf>
    <xf numFmtId="173" fontId="23" fillId="0" borderId="26" xfId="9" applyNumberFormat="1" applyFont="1" applyBorder="1" applyAlignment="1">
      <alignment horizontal="center" vertical="center"/>
    </xf>
    <xf numFmtId="43" fontId="23" fillId="0" borderId="0" xfId="21" applyFont="1"/>
    <xf numFmtId="49" fontId="24" fillId="0" borderId="25" xfId="12" applyNumberFormat="1" applyFont="1" applyBorder="1" applyAlignment="1">
      <alignment horizontal="center" vertical="center"/>
    </xf>
    <xf numFmtId="173" fontId="23" fillId="0" borderId="28" xfId="9" applyNumberFormat="1" applyFont="1" applyBorder="1" applyAlignment="1">
      <alignment horizontal="center" vertical="center"/>
    </xf>
    <xf numFmtId="173" fontId="23" fillId="0" borderId="22" xfId="9" applyNumberFormat="1" applyFont="1" applyBorder="1" applyAlignment="1">
      <alignment horizontal="center" vertical="center"/>
    </xf>
    <xf numFmtId="173" fontId="25" fillId="0" borderId="17" xfId="9" applyNumberFormat="1" applyFont="1" applyFill="1" applyBorder="1" applyAlignment="1">
      <alignment horizontal="center" vertical="center" wrapText="1"/>
    </xf>
    <xf numFmtId="0" fontId="24" fillId="0" borderId="0" xfId="15" applyFont="1"/>
    <xf numFmtId="43" fontId="23" fillId="0" borderId="26" xfId="9" applyFont="1" applyFill="1" applyBorder="1" applyAlignment="1">
      <alignment horizontal="center" vertical="center"/>
    </xf>
    <xf numFmtId="49" fontId="24" fillId="0" borderId="26" xfId="12" applyNumberFormat="1" applyFont="1" applyBorder="1" applyAlignment="1">
      <alignment horizontal="center" vertical="center"/>
    </xf>
    <xf numFmtId="173" fontId="25" fillId="0" borderId="29" xfId="9" applyNumberFormat="1" applyFont="1" applyFill="1" applyBorder="1" applyAlignment="1">
      <alignment horizontal="center" vertical="center" wrapText="1"/>
    </xf>
    <xf numFmtId="171" fontId="28" fillId="0" borderId="36" xfId="17" applyNumberFormat="1" applyFont="1" applyBorder="1"/>
    <xf numFmtId="166" fontId="28" fillId="0" borderId="0" xfId="16" applyNumberFormat="1" applyFont="1"/>
    <xf numFmtId="43" fontId="23" fillId="0" borderId="33" xfId="9" applyFont="1" applyFill="1" applyBorder="1" applyAlignment="1">
      <alignment horizontal="center" vertical="center"/>
    </xf>
    <xf numFmtId="0" fontId="24" fillId="0" borderId="27" xfId="9" applyNumberFormat="1" applyFont="1" applyBorder="1" applyAlignment="1">
      <alignment vertical="top" wrapText="1"/>
    </xf>
    <xf numFmtId="49" fontId="24" fillId="0" borderId="27" xfId="12" applyNumberFormat="1" applyFont="1" applyBorder="1" applyAlignment="1">
      <alignment horizontal="center" vertical="center"/>
    </xf>
    <xf numFmtId="173" fontId="23" fillId="0" borderId="0" xfId="9" applyNumberFormat="1" applyFont="1" applyFill="1" applyBorder="1" applyAlignment="1">
      <alignment horizontal="center" vertical="center"/>
    </xf>
    <xf numFmtId="173" fontId="23" fillId="0" borderId="0" xfId="9" applyNumberFormat="1" applyFont="1" applyBorder="1" applyAlignment="1">
      <alignment horizontal="center" vertical="center"/>
    </xf>
    <xf numFmtId="173" fontId="25" fillId="0" borderId="0" xfId="9" applyNumberFormat="1" applyFont="1" applyFill="1" applyBorder="1" applyAlignment="1">
      <alignment horizontal="center" vertical="center" wrapText="1"/>
    </xf>
    <xf numFmtId="173" fontId="24" fillId="0" borderId="25" xfId="9" applyNumberFormat="1" applyFont="1" applyFill="1" applyBorder="1" applyAlignment="1">
      <alignment horizontal="center" vertical="center"/>
    </xf>
    <xf numFmtId="173" fontId="25" fillId="0" borderId="0" xfId="9" applyNumberFormat="1" applyFont="1" applyAlignment="1">
      <alignment horizontal="center" vertical="center"/>
    </xf>
    <xf numFmtId="0" fontId="24" fillId="0" borderId="19" xfId="9" applyNumberFormat="1" applyFont="1" applyBorder="1" applyAlignment="1">
      <alignment vertical="center" wrapText="1"/>
    </xf>
    <xf numFmtId="43" fontId="23" fillId="0" borderId="0" xfId="22" applyFont="1" applyFill="1"/>
    <xf numFmtId="166" fontId="23" fillId="0" borderId="0" xfId="22" applyNumberFormat="1" applyFont="1" applyFill="1"/>
    <xf numFmtId="0" fontId="24" fillId="0" borderId="22" xfId="9" applyNumberFormat="1" applyFont="1" applyBorder="1" applyAlignment="1">
      <alignment vertical="top" wrapText="1"/>
    </xf>
    <xf numFmtId="49" fontId="24" fillId="0" borderId="22" xfId="12" applyNumberFormat="1" applyFont="1" applyBorder="1" applyAlignment="1">
      <alignment horizontal="center" vertical="center"/>
    </xf>
    <xf numFmtId="173" fontId="24" fillId="0" borderId="22" xfId="9" applyNumberFormat="1" applyFont="1" applyFill="1" applyBorder="1" applyAlignment="1">
      <alignment horizontal="center" vertical="center"/>
    </xf>
    <xf numFmtId="43" fontId="24" fillId="0" borderId="19" xfId="21" applyFont="1" applyFill="1" applyBorder="1" applyAlignment="1">
      <alignment horizontal="center" vertical="center"/>
    </xf>
    <xf numFmtId="43" fontId="24" fillId="0" borderId="26" xfId="21" applyFont="1" applyFill="1" applyBorder="1" applyAlignment="1">
      <alignment horizontal="center" vertical="center"/>
    </xf>
    <xf numFmtId="173" fontId="23" fillId="0" borderId="26" xfId="9" applyNumberFormat="1" applyFont="1" applyFill="1" applyBorder="1" applyAlignment="1">
      <alignment horizontal="center" vertical="center"/>
    </xf>
    <xf numFmtId="0" fontId="24" fillId="16" borderId="25" xfId="9" applyNumberFormat="1" applyFont="1" applyFill="1" applyBorder="1" applyAlignment="1">
      <alignment vertical="top" wrapText="1"/>
    </xf>
    <xf numFmtId="0" fontId="24" fillId="16" borderId="19" xfId="9" applyNumberFormat="1" applyFont="1" applyFill="1" applyBorder="1" applyAlignment="1">
      <alignment vertical="top"/>
    </xf>
    <xf numFmtId="0" fontId="24" fillId="0" borderId="19" xfId="9" applyNumberFormat="1" applyFont="1" applyBorder="1" applyAlignment="1">
      <alignment horizontal="left" vertical="top" wrapText="1"/>
    </xf>
    <xf numFmtId="0" fontId="24" fillId="0" borderId="22" xfId="15" applyFont="1" applyBorder="1" applyAlignment="1">
      <alignment horizontal="center" vertical="center"/>
    </xf>
    <xf numFmtId="9" fontId="23" fillId="0" borderId="0" xfId="19" applyFont="1" applyBorder="1"/>
    <xf numFmtId="0" fontId="24" fillId="0" borderId="19" xfId="15" applyFont="1" applyBorder="1" applyAlignment="1">
      <alignment horizontal="center" vertical="center"/>
    </xf>
    <xf numFmtId="0" fontId="23" fillId="0" borderId="25" xfId="15" applyFont="1" applyBorder="1" applyAlignment="1">
      <alignment horizontal="center" vertical="center"/>
    </xf>
    <xf numFmtId="0" fontId="23" fillId="0" borderId="19" xfId="15" applyFont="1" applyBorder="1" applyAlignment="1">
      <alignment horizontal="center" vertical="center"/>
    </xf>
    <xf numFmtId="173" fontId="26" fillId="0" borderId="29" xfId="9" applyNumberFormat="1" applyFont="1" applyBorder="1" applyAlignment="1">
      <alignment horizontal="center" vertical="center"/>
    </xf>
    <xf numFmtId="0" fontId="24" fillId="0" borderId="25" xfId="15" applyFont="1" applyBorder="1" applyAlignment="1">
      <alignment horizontal="center" vertical="center"/>
    </xf>
    <xf numFmtId="0" fontId="24" fillId="0" borderId="19" xfId="9" applyNumberFormat="1" applyFont="1" applyBorder="1" applyAlignment="1">
      <alignment vertical="top"/>
    </xf>
    <xf numFmtId="0" fontId="24" fillId="0" borderId="22" xfId="9" applyNumberFormat="1" applyFont="1" applyBorder="1" applyAlignment="1">
      <alignment vertical="top"/>
    </xf>
    <xf numFmtId="0" fontId="24" fillId="0" borderId="26" xfId="15" applyFont="1" applyBorder="1" applyAlignment="1">
      <alignment horizontal="center" vertical="center"/>
    </xf>
    <xf numFmtId="0" fontId="23" fillId="0" borderId="26" xfId="15" applyFont="1" applyBorder="1" applyAlignment="1">
      <alignment horizontal="center" vertical="center"/>
    </xf>
    <xf numFmtId="0" fontId="23" fillId="0" borderId="18" xfId="15" applyFont="1" applyBorder="1" applyAlignment="1">
      <alignment horizontal="center" vertical="center"/>
    </xf>
    <xf numFmtId="173" fontId="23" fillId="0" borderId="18" xfId="9" applyNumberFormat="1" applyFont="1" applyFill="1" applyBorder="1" applyAlignment="1">
      <alignment horizontal="center" vertical="center"/>
    </xf>
    <xf numFmtId="0" fontId="24" fillId="0" borderId="26" xfId="9" applyNumberFormat="1" applyFont="1" applyBorder="1" applyAlignment="1">
      <alignment vertical="center" wrapText="1"/>
    </xf>
    <xf numFmtId="0" fontId="25" fillId="0" borderId="10" xfId="9" applyNumberFormat="1" applyFont="1" applyBorder="1" applyAlignment="1">
      <alignment vertical="center"/>
    </xf>
    <xf numFmtId="0" fontId="24" fillId="0" borderId="25" xfId="9" applyNumberFormat="1" applyFont="1" applyBorder="1"/>
    <xf numFmtId="0" fontId="24" fillId="0" borderId="25" xfId="13" applyFont="1" applyBorder="1" applyAlignment="1">
      <alignment horizontal="center" vertical="center"/>
    </xf>
    <xf numFmtId="0" fontId="24" fillId="0" borderId="19" xfId="9" applyNumberFormat="1" applyFont="1" applyBorder="1"/>
    <xf numFmtId="0" fontId="24" fillId="0" borderId="19" xfId="13" applyFont="1" applyBorder="1" applyAlignment="1">
      <alignment horizontal="center" vertical="center"/>
    </xf>
    <xf numFmtId="43" fontId="24" fillId="0" borderId="25" xfId="9" applyFont="1" applyFill="1" applyBorder="1" applyAlignment="1">
      <alignment vertical="center"/>
    </xf>
    <xf numFmtId="0" fontId="24" fillId="0" borderId="25" xfId="9" applyNumberFormat="1" applyFont="1" applyBorder="1" applyAlignment="1">
      <alignment horizontal="left" vertical="center" wrapText="1"/>
    </xf>
    <xf numFmtId="0" fontId="24" fillId="0" borderId="25" xfId="23" applyFont="1" applyBorder="1" applyAlignment="1">
      <alignment horizontal="center" vertical="center"/>
    </xf>
    <xf numFmtId="173" fontId="24" fillId="0" borderId="25" xfId="9" applyNumberFormat="1" applyFont="1" applyBorder="1" applyAlignment="1">
      <alignment horizontal="center" vertical="center"/>
    </xf>
    <xf numFmtId="43" fontId="24" fillId="0" borderId="19" xfId="9" applyFont="1" applyFill="1" applyBorder="1" applyAlignment="1">
      <alignment vertical="center"/>
    </xf>
    <xf numFmtId="0" fontId="24" fillId="0" borderId="19" xfId="9" applyNumberFormat="1" applyFont="1" applyBorder="1" applyAlignment="1">
      <alignment horizontal="left" vertical="center" wrapText="1"/>
    </xf>
    <xf numFmtId="0" fontId="24" fillId="0" borderId="19" xfId="23" applyFont="1" applyBorder="1" applyAlignment="1">
      <alignment horizontal="center" vertical="center"/>
    </xf>
    <xf numFmtId="173" fontId="24" fillId="0" borderId="19" xfId="9" applyNumberFormat="1" applyFont="1" applyBorder="1" applyAlignment="1">
      <alignment horizontal="center" vertical="center"/>
    </xf>
    <xf numFmtId="0" fontId="24" fillId="0" borderId="26" xfId="9" applyNumberFormat="1" applyFont="1" applyFill="1" applyBorder="1" applyAlignment="1">
      <alignment horizontal="left" vertical="center" wrapText="1"/>
    </xf>
    <xf numFmtId="0" fontId="24" fillId="0" borderId="26" xfId="23" applyFont="1" applyBorder="1" applyAlignment="1">
      <alignment horizontal="center" vertical="center"/>
    </xf>
    <xf numFmtId="173" fontId="24" fillId="0" borderId="26" xfId="9" applyNumberFormat="1" applyFont="1" applyBorder="1" applyAlignment="1">
      <alignment horizontal="center" vertical="center"/>
    </xf>
    <xf numFmtId="173" fontId="23" fillId="0" borderId="10" xfId="9" applyNumberFormat="1" applyFont="1" applyBorder="1" applyAlignment="1">
      <alignment horizontal="center" vertical="center"/>
    </xf>
    <xf numFmtId="173" fontId="23" fillId="0" borderId="11" xfId="9" applyNumberFormat="1" applyFont="1" applyBorder="1"/>
    <xf numFmtId="0" fontId="23" fillId="0" borderId="26" xfId="9" applyNumberFormat="1" applyFont="1" applyBorder="1" applyAlignment="1">
      <alignment vertical="center" wrapText="1"/>
    </xf>
    <xf numFmtId="0" fontId="24" fillId="0" borderId="26" xfId="7" applyFont="1" applyBorder="1" applyAlignment="1">
      <alignment horizontal="center" vertical="center" wrapText="1"/>
    </xf>
    <xf numFmtId="173" fontId="24" fillId="0" borderId="26" xfId="9" applyNumberFormat="1" applyFont="1" applyFill="1" applyBorder="1" applyAlignment="1">
      <alignment horizontal="center" vertical="center" wrapText="1"/>
    </xf>
    <xf numFmtId="0" fontId="26" fillId="0" borderId="27" xfId="9" applyNumberFormat="1" applyFont="1" applyBorder="1" applyAlignment="1">
      <alignment vertical="center" wrapText="1"/>
    </xf>
    <xf numFmtId="43" fontId="24" fillId="0" borderId="25" xfId="9" applyFont="1" applyFill="1" applyBorder="1" applyAlignment="1">
      <alignment horizontal="center" vertical="center" wrapText="1"/>
    </xf>
    <xf numFmtId="0" fontId="23" fillId="0" borderId="25" xfId="9" applyNumberFormat="1" applyFont="1" applyBorder="1" applyAlignment="1">
      <alignment wrapText="1"/>
    </xf>
    <xf numFmtId="9" fontId="23" fillId="0" borderId="0" xfId="20" applyFont="1"/>
    <xf numFmtId="43" fontId="24" fillId="0" borderId="19" xfId="9" applyFont="1" applyFill="1" applyBorder="1" applyAlignment="1">
      <alignment horizontal="center" vertical="center" wrapText="1"/>
    </xf>
    <xf numFmtId="0" fontId="23" fillId="0" borderId="19" xfId="9" applyNumberFormat="1" applyFont="1" applyBorder="1" applyAlignment="1">
      <alignment wrapText="1"/>
    </xf>
    <xf numFmtId="0" fontId="23" fillId="0" borderId="19" xfId="9" applyNumberFormat="1" applyFont="1" applyBorder="1"/>
    <xf numFmtId="43" fontId="24" fillId="0" borderId="26" xfId="9" applyFont="1" applyFill="1" applyBorder="1" applyAlignment="1">
      <alignment horizontal="center" vertical="center" wrapText="1"/>
    </xf>
    <xf numFmtId="2" fontId="23" fillId="0" borderId="25" xfId="9" applyNumberFormat="1" applyFont="1" applyFill="1" applyBorder="1" applyAlignment="1">
      <alignment horizontal="center" vertical="center"/>
    </xf>
    <xf numFmtId="0" fontId="23" fillId="0" borderId="25" xfId="9" applyNumberFormat="1" applyFont="1" applyBorder="1"/>
    <xf numFmtId="2" fontId="23" fillId="0" borderId="19" xfId="9" applyNumberFormat="1" applyFont="1" applyFill="1" applyBorder="1" applyAlignment="1">
      <alignment horizontal="center" vertical="center"/>
    </xf>
    <xf numFmtId="2" fontId="24" fillId="0" borderId="19" xfId="9" applyNumberFormat="1" applyFont="1" applyFill="1" applyBorder="1" applyAlignment="1">
      <alignment horizontal="center" vertical="center" wrapText="1"/>
    </xf>
    <xf numFmtId="2" fontId="24" fillId="0" borderId="26" xfId="9" applyNumberFormat="1" applyFont="1" applyFill="1" applyBorder="1" applyAlignment="1">
      <alignment horizontal="center" vertical="center" wrapText="1"/>
    </xf>
    <xf numFmtId="0" fontId="23" fillId="0" borderId="26" xfId="9" applyNumberFormat="1" applyFont="1" applyBorder="1"/>
    <xf numFmtId="0" fontId="23" fillId="0" borderId="22" xfId="15" applyFont="1" applyBorder="1" applyAlignment="1">
      <alignment horizontal="center" vertical="center"/>
    </xf>
    <xf numFmtId="43" fontId="24" fillId="0" borderId="13" xfId="9" applyFont="1" applyFill="1" applyBorder="1" applyAlignment="1">
      <alignment horizontal="center" vertical="center"/>
    </xf>
    <xf numFmtId="0" fontId="24" fillId="0" borderId="13" xfId="9" applyNumberFormat="1" applyFont="1" applyBorder="1" applyAlignment="1">
      <alignment vertical="top" wrapText="1"/>
    </xf>
    <xf numFmtId="49" fontId="24" fillId="0" borderId="13" xfId="12" applyNumberFormat="1" applyFont="1" applyBorder="1" applyAlignment="1">
      <alignment horizontal="center" vertical="center"/>
    </xf>
    <xf numFmtId="173" fontId="24" fillId="0" borderId="13" xfId="9" applyNumberFormat="1" applyFont="1" applyFill="1" applyBorder="1" applyAlignment="1">
      <alignment horizontal="center" vertical="center"/>
    </xf>
    <xf numFmtId="43" fontId="24" fillId="0" borderId="25" xfId="9" applyFont="1" applyFill="1" applyBorder="1" applyAlignment="1">
      <alignment horizontal="center" vertical="center"/>
    </xf>
    <xf numFmtId="43" fontId="24" fillId="0" borderId="18" xfId="9" applyFont="1" applyFill="1" applyBorder="1" applyAlignment="1">
      <alignment horizontal="center" vertical="center" wrapText="1"/>
    </xf>
    <xf numFmtId="0" fontId="24" fillId="0" borderId="18" xfId="9" applyNumberFormat="1" applyFont="1" applyBorder="1" applyAlignment="1">
      <alignment vertical="top" wrapText="1"/>
    </xf>
    <xf numFmtId="49" fontId="24" fillId="0" borderId="18" xfId="12" applyNumberFormat="1" applyFont="1" applyBorder="1" applyAlignment="1">
      <alignment horizontal="center" vertical="center"/>
    </xf>
    <xf numFmtId="173" fontId="24" fillId="0" borderId="18" xfId="9" applyNumberFormat="1" applyFont="1" applyFill="1" applyBorder="1" applyAlignment="1">
      <alignment horizontal="center" vertical="center"/>
    </xf>
    <xf numFmtId="166" fontId="32" fillId="0" borderId="0" xfId="16" applyNumberFormat="1" applyFont="1"/>
    <xf numFmtId="171" fontId="28" fillId="0" borderId="35" xfId="17" applyNumberFormat="1" applyFont="1" applyBorder="1"/>
    <xf numFmtId="0" fontId="23" fillId="0" borderId="37" xfId="16" applyFont="1" applyBorder="1"/>
    <xf numFmtId="175" fontId="26" fillId="0" borderId="0" xfId="9" applyNumberFormat="1" applyFont="1" applyAlignment="1">
      <alignment horizontal="center" vertical="center"/>
    </xf>
    <xf numFmtId="0" fontId="25" fillId="0" borderId="38" xfId="7" applyFont="1" applyBorder="1" applyAlignment="1">
      <alignment vertical="center"/>
    </xf>
    <xf numFmtId="0" fontId="28" fillId="6" borderId="0" xfId="16" applyFont="1" applyFill="1" applyAlignment="1">
      <alignment horizontal="center"/>
    </xf>
    <xf numFmtId="0" fontId="28" fillId="0" borderId="0" xfId="16" applyFont="1" applyAlignment="1">
      <alignment horizontal="center"/>
    </xf>
    <xf numFmtId="173" fontId="28" fillId="0" borderId="0" xfId="9" applyNumberFormat="1" applyFont="1" applyBorder="1"/>
    <xf numFmtId="9" fontId="28" fillId="0" borderId="0" xfId="25" applyFont="1" applyFill="1"/>
    <xf numFmtId="0" fontId="26" fillId="0" borderId="0" xfId="16" applyFont="1"/>
    <xf numFmtId="173" fontId="23" fillId="0" borderId="0" xfId="9" applyNumberFormat="1" applyFont="1"/>
    <xf numFmtId="0" fontId="33" fillId="0" borderId="0" xfId="27" applyFont="1" applyAlignment="1">
      <alignment vertical="center"/>
    </xf>
    <xf numFmtId="0" fontId="1" fillId="0" borderId="0" xfId="27" applyAlignment="1">
      <alignment vertical="center"/>
    </xf>
    <xf numFmtId="0" fontId="35" fillId="0" borderId="0" xfId="27" applyFont="1" applyAlignment="1">
      <alignment vertical="center"/>
    </xf>
    <xf numFmtId="9" fontId="1" fillId="0" borderId="0" xfId="27" applyNumberFormat="1" applyAlignment="1">
      <alignment horizontal="center" vertical="center"/>
    </xf>
    <xf numFmtId="0" fontId="2" fillId="8" borderId="0" xfId="27" applyFont="1" applyFill="1" applyAlignment="1">
      <alignment horizontal="center" vertical="center"/>
    </xf>
    <xf numFmtId="166" fontId="34" fillId="17" borderId="0" xfId="1" applyFont="1" applyFill="1" applyAlignment="1">
      <alignment vertical="center"/>
    </xf>
    <xf numFmtId="166" fontId="6" fillId="18" borderId="0" xfId="1" applyFont="1" applyFill="1" applyAlignment="1">
      <alignment vertical="center"/>
    </xf>
    <xf numFmtId="0" fontId="6" fillId="18" borderId="0" xfId="27" applyFont="1" applyFill="1" applyAlignment="1">
      <alignment vertical="center"/>
    </xf>
    <xf numFmtId="0" fontId="0" fillId="0" borderId="39" xfId="27" applyFont="1" applyBorder="1" applyAlignment="1">
      <alignment horizontal="center" vertical="center"/>
    </xf>
    <xf numFmtId="0" fontId="4" fillId="0" borderId="25" xfId="27" applyFont="1" applyBorder="1" applyAlignment="1">
      <alignment vertical="center"/>
    </xf>
    <xf numFmtId="171" fontId="2" fillId="0" borderId="39" xfId="28" applyNumberFormat="1" applyFont="1" applyFill="1" applyBorder="1" applyAlignment="1">
      <alignment vertical="center"/>
    </xf>
    <xf numFmtId="171" fontId="2" fillId="0" borderId="39" xfId="27" applyNumberFormat="1" applyFont="1" applyBorder="1" applyAlignment="1">
      <alignment vertical="center"/>
    </xf>
    <xf numFmtId="166" fontId="1" fillId="0" borderId="0" xfId="1" applyAlignment="1">
      <alignment vertical="center"/>
    </xf>
    <xf numFmtId="0" fontId="36" fillId="0" borderId="0" xfId="27" applyFont="1" applyAlignment="1">
      <alignment horizontal="center" vertical="center"/>
    </xf>
    <xf numFmtId="166" fontId="34" fillId="0" borderId="0" xfId="27" applyNumberFormat="1" applyFont="1" applyAlignment="1">
      <alignment vertical="center"/>
    </xf>
    <xf numFmtId="166" fontId="1" fillId="0" borderId="0" xfId="27" applyNumberFormat="1" applyAlignment="1">
      <alignment vertical="center"/>
    </xf>
    <xf numFmtId="0" fontId="0" fillId="0" borderId="40" xfId="27" applyFont="1" applyBorder="1" applyAlignment="1">
      <alignment horizontal="center" vertical="center"/>
    </xf>
    <xf numFmtId="0" fontId="4" fillId="0" borderId="19" xfId="27" applyFont="1" applyBorder="1" applyAlignment="1">
      <alignment vertical="center"/>
    </xf>
    <xf numFmtId="171" fontId="2" fillId="0" borderId="40" xfId="28" applyNumberFormat="1" applyFont="1" applyFill="1" applyBorder="1" applyAlignment="1">
      <alignment vertical="center"/>
    </xf>
    <xf numFmtId="171" fontId="37" fillId="0" borderId="40" xfId="27" applyNumberFormat="1" applyFont="1" applyBorder="1" applyAlignment="1">
      <alignment vertical="center"/>
    </xf>
    <xf numFmtId="171" fontId="37" fillId="0" borderId="40" xfId="28" applyNumberFormat="1" applyFont="1" applyFill="1" applyBorder="1" applyAlignment="1">
      <alignment vertical="center"/>
    </xf>
    <xf numFmtId="0" fontId="0" fillId="8" borderId="34" xfId="27" applyFont="1" applyFill="1" applyBorder="1" applyAlignment="1">
      <alignment horizontal="center" vertical="center"/>
    </xf>
    <xf numFmtId="0" fontId="2" fillId="8" borderId="34" xfId="27" applyFont="1" applyFill="1" applyBorder="1" applyAlignment="1">
      <alignment vertical="center"/>
    </xf>
    <xf numFmtId="171" fontId="2" fillId="8" borderId="34" xfId="28" applyNumberFormat="1" applyFont="1" applyFill="1" applyBorder="1" applyAlignment="1">
      <alignment vertical="center"/>
    </xf>
    <xf numFmtId="0" fontId="2" fillId="0" borderId="0" xfId="27" applyFont="1" applyAlignment="1">
      <alignment horizontal="center" vertical="center"/>
    </xf>
    <xf numFmtId="0" fontId="0" fillId="0" borderId="0" xfId="27" applyFont="1" applyAlignment="1">
      <alignment horizontal="center" vertical="center"/>
    </xf>
    <xf numFmtId="0" fontId="2" fillId="0" borderId="0" xfId="27" applyFont="1" applyAlignment="1">
      <alignment vertical="center"/>
    </xf>
    <xf numFmtId="166" fontId="2" fillId="0" borderId="0" xfId="28" applyFont="1" applyBorder="1" applyAlignment="1">
      <alignment vertical="center"/>
    </xf>
    <xf numFmtId="176" fontId="2" fillId="0" borderId="0" xfId="4" applyNumberFormat="1" applyFont="1" applyBorder="1" applyAlignment="1">
      <alignment vertical="center"/>
    </xf>
    <xf numFmtId="166" fontId="2" fillId="0" borderId="0" xfId="27" applyNumberFormat="1" applyFont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168" fontId="1" fillId="0" borderId="0" xfId="27" applyNumberFormat="1" applyAlignment="1">
      <alignment horizontal="center" vertical="center"/>
    </xf>
    <xf numFmtId="0" fontId="0" fillId="0" borderId="0" xfId="27" applyFont="1" applyAlignment="1">
      <alignment horizontal="left" vertical="center"/>
    </xf>
    <xf numFmtId="166" fontId="1" fillId="0" borderId="0" xfId="27" applyNumberFormat="1" applyAlignment="1">
      <alignment horizontal="center" vertical="center"/>
    </xf>
    <xf numFmtId="0" fontId="34" fillId="0" borderId="0" xfId="27" applyFont="1" applyAlignment="1">
      <alignment horizontal="center" vertical="center"/>
    </xf>
    <xf numFmtId="168" fontId="1" fillId="6" borderId="0" xfId="27" applyNumberFormat="1" applyFill="1" applyAlignment="1">
      <alignment horizontal="center" vertical="center"/>
    </xf>
    <xf numFmtId="169" fontId="1" fillId="6" borderId="0" xfId="29" applyFont="1" applyFill="1" applyAlignment="1">
      <alignment horizontal="center" vertical="center"/>
    </xf>
    <xf numFmtId="166" fontId="1" fillId="6" borderId="0" xfId="1" applyFill="1" applyAlignment="1">
      <alignment horizontal="center" vertical="center"/>
    </xf>
    <xf numFmtId="168" fontId="0" fillId="6" borderId="0" xfId="27" applyNumberFormat="1" applyFont="1" applyFill="1" applyAlignment="1">
      <alignment horizontal="center" vertical="center"/>
    </xf>
    <xf numFmtId="169" fontId="7" fillId="0" borderId="0" xfId="30" applyFont="1" applyBorder="1" applyAlignment="1">
      <alignment vertical="center"/>
    </xf>
    <xf numFmtId="0" fontId="1" fillId="0" borderId="0" xfId="27" applyAlignment="1">
      <alignment horizontal="center" vertical="center"/>
    </xf>
    <xf numFmtId="166" fontId="0" fillId="6" borderId="0" xfId="1" applyFont="1" applyFill="1" applyAlignment="1">
      <alignment horizontal="center" vertical="center"/>
    </xf>
    <xf numFmtId="171" fontId="1" fillId="0" borderId="0" xfId="27" applyNumberFormat="1" applyAlignment="1">
      <alignment vertical="center"/>
    </xf>
    <xf numFmtId="164" fontId="1" fillId="0" borderId="0" xfId="27" applyNumberFormat="1" applyAlignment="1">
      <alignment vertical="center"/>
    </xf>
    <xf numFmtId="0" fontId="1" fillId="8" borderId="0" xfId="27" applyFill="1" applyAlignment="1">
      <alignment vertical="center"/>
    </xf>
    <xf numFmtId="0" fontId="2" fillId="8" borderId="0" xfId="27" applyFont="1" applyFill="1" applyAlignment="1">
      <alignment vertical="center"/>
    </xf>
    <xf numFmtId="166" fontId="2" fillId="8" borderId="0" xfId="27" applyNumberFormat="1" applyFont="1" applyFill="1" applyAlignment="1">
      <alignment vertical="center"/>
    </xf>
    <xf numFmtId="169" fontId="2" fillId="8" borderId="0" xfId="27" applyNumberFormat="1" applyFont="1" applyFill="1" applyAlignment="1">
      <alignment vertical="center"/>
    </xf>
    <xf numFmtId="2" fontId="1" fillId="0" borderId="0" xfId="27" applyNumberFormat="1" applyAlignment="1">
      <alignment vertical="center"/>
    </xf>
    <xf numFmtId="0" fontId="2" fillId="7" borderId="0" xfId="27" applyFont="1" applyFill="1" applyAlignment="1">
      <alignment horizontal="center" vertical="center"/>
    </xf>
    <xf numFmtId="166" fontId="2" fillId="7" borderId="0" xfId="1" applyFont="1" applyFill="1" applyAlignment="1">
      <alignment horizontal="center" vertical="center"/>
    </xf>
    <xf numFmtId="0" fontId="2" fillId="0" borderId="13" xfId="27" applyFont="1" applyBorder="1" applyAlignment="1">
      <alignment vertical="center"/>
    </xf>
    <xf numFmtId="171" fontId="2" fillId="0" borderId="13" xfId="27" applyNumberFormat="1" applyFont="1" applyBorder="1" applyAlignment="1">
      <alignment vertical="center"/>
    </xf>
    <xf numFmtId="10" fontId="1" fillId="0" borderId="0" xfId="4" applyNumberFormat="1" applyAlignment="1">
      <alignment vertical="center"/>
    </xf>
    <xf numFmtId="0" fontId="2" fillId="19" borderId="0" xfId="27" applyFont="1" applyFill="1" applyAlignment="1">
      <alignment vertical="center"/>
    </xf>
    <xf numFmtId="171" fontId="2" fillId="19" borderId="0" xfId="27" applyNumberFormat="1" applyFont="1" applyFill="1" applyAlignment="1">
      <alignment vertical="center"/>
    </xf>
    <xf numFmtId="177" fontId="1" fillId="0" borderId="0" xfId="4" applyNumberFormat="1" applyAlignment="1">
      <alignment vertical="center"/>
    </xf>
    <xf numFmtId="0" fontId="2" fillId="8" borderId="15" xfId="27" applyFont="1" applyFill="1" applyBorder="1" applyAlignment="1">
      <alignment horizontal="center" vertical="center"/>
    </xf>
    <xf numFmtId="0" fontId="2" fillId="8" borderId="13" xfId="27" applyFont="1" applyFill="1" applyBorder="1" applyAlignment="1">
      <alignment horizontal="center" vertical="center"/>
    </xf>
    <xf numFmtId="0" fontId="0" fillId="0" borderId="25" xfId="27" applyFont="1" applyBorder="1" applyAlignment="1">
      <alignment horizontal="center" vertical="center"/>
    </xf>
    <xf numFmtId="171" fontId="1" fillId="0" borderId="22" xfId="28" applyNumberFormat="1" applyFont="1" applyBorder="1" applyAlignment="1">
      <alignment vertical="center"/>
    </xf>
    <xf numFmtId="171" fontId="1" fillId="0" borderId="22" xfId="28" applyNumberFormat="1" applyFont="1" applyFill="1" applyBorder="1" applyAlignment="1">
      <alignment vertical="center"/>
    </xf>
    <xf numFmtId="0" fontId="0" fillId="0" borderId="19" xfId="27" applyFont="1" applyBorder="1" applyAlignment="1">
      <alignment horizontal="center" vertical="center"/>
    </xf>
    <xf numFmtId="0" fontId="0" fillId="0" borderId="20" xfId="27" applyFont="1" applyBorder="1" applyAlignment="1">
      <alignment horizontal="center" vertical="center"/>
    </xf>
    <xf numFmtId="0" fontId="4" fillId="0" borderId="26" xfId="27" applyFont="1" applyBorder="1" applyAlignment="1">
      <alignment horizontal="center" vertical="center"/>
    </xf>
    <xf numFmtId="0" fontId="38" fillId="0" borderId="32" xfId="27" applyFont="1" applyBorder="1" applyAlignment="1">
      <alignment vertical="center"/>
    </xf>
    <xf numFmtId="171" fontId="1" fillId="0" borderId="26" xfId="28" applyNumberFormat="1" applyFont="1" applyBorder="1" applyAlignment="1">
      <alignment vertical="center"/>
    </xf>
    <xf numFmtId="17" fontId="1" fillId="0" borderId="0" xfId="27" applyNumberFormat="1" applyAlignment="1">
      <alignment vertical="center"/>
    </xf>
    <xf numFmtId="9" fontId="1" fillId="0" borderId="0" xfId="4" applyAlignment="1">
      <alignment vertical="center"/>
    </xf>
    <xf numFmtId="0" fontId="4" fillId="0" borderId="39" xfId="27" applyFont="1" applyBorder="1" applyAlignment="1">
      <alignment vertical="center"/>
    </xf>
    <xf numFmtId="0" fontId="1" fillId="0" borderId="40" xfId="27" applyBorder="1" applyAlignment="1">
      <alignment horizontal="center" vertical="center"/>
    </xf>
    <xf numFmtId="0" fontId="4" fillId="0" borderId="40" xfId="27" applyFont="1" applyBorder="1" applyAlignment="1">
      <alignment vertical="center"/>
    </xf>
    <xf numFmtId="0" fontId="2" fillId="3" borderId="0" xfId="27" applyFont="1" applyFill="1" applyAlignment="1">
      <alignment horizontal="center" vertical="center"/>
    </xf>
    <xf numFmtId="168" fontId="2" fillId="20" borderId="0" xfId="1" applyNumberFormat="1" applyFont="1" applyFill="1" applyAlignment="1">
      <alignment vertical="center"/>
    </xf>
    <xf numFmtId="166" fontId="2" fillId="20" borderId="0" xfId="1" applyFont="1" applyFill="1" applyAlignment="1">
      <alignment vertical="center"/>
    </xf>
    <xf numFmtId="0" fontId="3" fillId="0" borderId="0" xfId="27" applyFont="1" applyAlignment="1">
      <alignment horizontal="center" vertical="center"/>
    </xf>
    <xf numFmtId="166" fontId="1" fillId="0" borderId="0" xfId="1" applyFill="1" applyAlignment="1">
      <alignment vertical="center"/>
    </xf>
    <xf numFmtId="0" fontId="36" fillId="3" borderId="0" xfId="27" applyFont="1" applyFill="1" applyAlignment="1">
      <alignment horizontal="center" vertical="center"/>
    </xf>
    <xf numFmtId="168" fontId="1" fillId="20" borderId="0" xfId="27" applyNumberFormat="1" applyFill="1" applyAlignment="1">
      <alignment vertical="center"/>
    </xf>
    <xf numFmtId="166" fontId="1" fillId="20" borderId="0" xfId="1" applyFill="1" applyAlignment="1">
      <alignment vertical="center"/>
    </xf>
    <xf numFmtId="0" fontId="6" fillId="8" borderId="13" xfId="27" applyFont="1" applyFill="1" applyBorder="1" applyAlignment="1">
      <alignment horizontal="center" vertical="center"/>
    </xf>
    <xf numFmtId="0" fontId="4" fillId="0" borderId="19" xfId="27" applyFont="1" applyBorder="1" applyAlignment="1">
      <alignment horizontal="center" vertical="center"/>
    </xf>
    <xf numFmtId="0" fontId="38" fillId="0" borderId="22" xfId="27" applyFont="1" applyBorder="1" applyAlignment="1">
      <alignment vertical="center"/>
    </xf>
    <xf numFmtId="171" fontId="6" fillId="0" borderId="13" xfId="27" applyNumberFormat="1" applyFont="1" applyBorder="1" applyAlignment="1">
      <alignment vertical="center"/>
    </xf>
    <xf numFmtId="173" fontId="24" fillId="0" borderId="22" xfId="9" applyNumberFormat="1" applyFont="1" applyFill="1" applyBorder="1" applyAlignment="1">
      <alignment horizontal="center" vertical="center" wrapText="1"/>
    </xf>
    <xf numFmtId="173" fontId="23" fillId="0" borderId="28" xfId="9" applyNumberFormat="1" applyFont="1" applyFill="1" applyBorder="1" applyAlignment="1">
      <alignment horizontal="center" vertical="center"/>
    </xf>
    <xf numFmtId="173" fontId="24" fillId="0" borderId="28" xfId="9" applyNumberFormat="1" applyFont="1" applyFill="1" applyBorder="1" applyAlignment="1">
      <alignment horizontal="center" vertical="center"/>
    </xf>
    <xf numFmtId="173" fontId="24" fillId="0" borderId="18" xfId="9" applyNumberFormat="1" applyFont="1" applyFill="1" applyBorder="1" applyAlignment="1">
      <alignment horizontal="center" vertical="center" wrapText="1"/>
    </xf>
    <xf numFmtId="173" fontId="24" fillId="0" borderId="30" xfId="9" applyNumberFormat="1" applyFont="1" applyFill="1" applyBorder="1" applyAlignment="1">
      <alignment horizontal="center" vertical="center"/>
    </xf>
    <xf numFmtId="173" fontId="24" fillId="0" borderId="28" xfId="9" applyNumberFormat="1" applyFont="1" applyFill="1" applyBorder="1" applyAlignment="1">
      <alignment horizontal="center" vertical="center" wrapText="1"/>
    </xf>
    <xf numFmtId="173" fontId="11" fillId="0" borderId="9" xfId="31" applyNumberFormat="1" applyFont="1" applyBorder="1" applyAlignment="1">
      <alignment horizontal="center" wrapText="1"/>
    </xf>
    <xf numFmtId="173" fontId="11" fillId="0" borderId="13" xfId="31" applyNumberFormat="1" applyFont="1" applyFill="1" applyBorder="1" applyAlignment="1">
      <alignment horizontal="center" vertical="center"/>
    </xf>
    <xf numFmtId="173" fontId="11" fillId="14" borderId="13" xfId="31" applyNumberFormat="1" applyFont="1" applyFill="1" applyBorder="1" applyAlignment="1">
      <alignment horizontal="center" vertical="center"/>
    </xf>
    <xf numFmtId="178" fontId="9" fillId="0" borderId="0" xfId="5" applyNumberFormat="1" applyFont="1" applyBorder="1" applyAlignment="1">
      <alignment horizontal="center" vertical="center" wrapText="1"/>
    </xf>
    <xf numFmtId="43" fontId="23" fillId="0" borderId="41" xfId="9" applyFont="1" applyFill="1" applyBorder="1" applyAlignment="1">
      <alignment horizontal="center" vertical="center"/>
    </xf>
    <xf numFmtId="0" fontId="39" fillId="0" borderId="42" xfId="15" applyFont="1" applyBorder="1"/>
    <xf numFmtId="0" fontId="40" fillId="16" borderId="0" xfId="0" applyFont="1" applyFill="1"/>
    <xf numFmtId="0" fontId="0" fillId="16" borderId="0" xfId="0" applyFill="1"/>
    <xf numFmtId="166" fontId="0" fillId="16" borderId="0" xfId="1" applyFont="1" applyFill="1"/>
    <xf numFmtId="0" fontId="41" fillId="16" borderId="43" xfId="0" applyFont="1" applyFill="1" applyBorder="1" applyAlignment="1">
      <alignment horizontal="center" vertical="center"/>
    </xf>
    <xf numFmtId="168" fontId="3" fillId="16" borderId="44" xfId="0" applyNumberFormat="1" applyFont="1" applyFill="1" applyBorder="1" applyAlignment="1">
      <alignment horizontal="center" vertical="center"/>
    </xf>
    <xf numFmtId="0" fontId="41" fillId="16" borderId="0" xfId="0" applyFont="1" applyFill="1" applyAlignment="1">
      <alignment horizontal="center" vertical="center"/>
    </xf>
    <xf numFmtId="0" fontId="35" fillId="16" borderId="0" xfId="0" applyFont="1" applyFill="1"/>
    <xf numFmtId="0" fontId="42" fillId="16" borderId="0" xfId="32" applyFont="1" applyFill="1"/>
    <xf numFmtId="166" fontId="1" fillId="16" borderId="0" xfId="1" applyFill="1" applyBorder="1" applyAlignment="1">
      <alignment vertical="center"/>
    </xf>
    <xf numFmtId="0" fontId="43" fillId="16" borderId="0" xfId="0" applyFont="1" applyFill="1"/>
    <xf numFmtId="17" fontId="11" fillId="21" borderId="45" xfId="32" applyNumberFormat="1" applyFont="1" applyFill="1" applyBorder="1" applyAlignment="1">
      <alignment horizontal="center" vertical="center" wrapText="1"/>
    </xf>
    <xf numFmtId="0" fontId="11" fillId="21" borderId="45" xfId="32" applyFont="1" applyFill="1" applyBorder="1" applyAlignment="1">
      <alignment horizontal="center" vertical="center" wrapText="1"/>
    </xf>
    <xf numFmtId="0" fontId="11" fillId="21" borderId="45" xfId="32" applyFont="1" applyFill="1" applyBorder="1" applyAlignment="1">
      <alignment horizontal="center" vertical="center"/>
    </xf>
    <xf numFmtId="0" fontId="36" fillId="21" borderId="45" xfId="32" applyFont="1" applyFill="1" applyBorder="1" applyAlignment="1">
      <alignment horizontal="center" vertical="center" wrapText="1"/>
    </xf>
    <xf numFmtId="166" fontId="11" fillId="21" borderId="46" xfId="32" applyNumberFormat="1" applyFont="1" applyFill="1" applyBorder="1" applyAlignment="1">
      <alignment vertical="center" wrapText="1"/>
    </xf>
    <xf numFmtId="166" fontId="9" fillId="16" borderId="47" xfId="32" applyNumberFormat="1" applyFont="1" applyFill="1" applyBorder="1" applyAlignment="1">
      <alignment horizontal="left" vertical="center"/>
    </xf>
    <xf numFmtId="166" fontId="9" fillId="16" borderId="48" xfId="32" applyNumberFormat="1" applyFont="1" applyFill="1" applyBorder="1" applyAlignment="1">
      <alignment horizontal="left" vertical="center"/>
    </xf>
    <xf numFmtId="171" fontId="24" fillId="16" borderId="45" xfId="1" applyNumberFormat="1" applyFont="1" applyFill="1" applyBorder="1" applyAlignment="1" applyProtection="1">
      <alignment vertical="center"/>
      <protection locked="0"/>
    </xf>
    <xf numFmtId="171" fontId="24" fillId="16" borderId="45" xfId="1" applyNumberFormat="1" applyFont="1" applyFill="1" applyBorder="1" applyAlignment="1" applyProtection="1">
      <alignment vertical="center"/>
    </xf>
    <xf numFmtId="171" fontId="24" fillId="16" borderId="45" xfId="1" applyNumberFormat="1" applyFont="1" applyFill="1" applyBorder="1" applyProtection="1">
      <protection locked="0"/>
    </xf>
    <xf numFmtId="9" fontId="24" fillId="16" borderId="45" xfId="4" applyFont="1" applyFill="1" applyBorder="1" applyProtection="1">
      <protection locked="0"/>
    </xf>
    <xf numFmtId="173" fontId="24" fillId="16" borderId="45" xfId="1" applyNumberFormat="1" applyFont="1" applyFill="1" applyBorder="1" applyAlignment="1" applyProtection="1">
      <alignment vertical="center"/>
    </xf>
    <xf numFmtId="9" fontId="24" fillId="16" borderId="49" xfId="4" applyFont="1" applyFill="1" applyBorder="1" applyAlignment="1" applyProtection="1">
      <alignment vertical="center"/>
    </xf>
    <xf numFmtId="166" fontId="11" fillId="21" borderId="50" xfId="32" applyNumberFormat="1" applyFont="1" applyFill="1" applyBorder="1" applyAlignment="1">
      <alignment horizontal="center" wrapText="1"/>
    </xf>
    <xf numFmtId="171" fontId="11" fillId="21" borderId="51" xfId="1" applyNumberFormat="1" applyFont="1" applyFill="1" applyBorder="1" applyAlignment="1">
      <alignment horizontal="center" vertical="center"/>
    </xf>
    <xf numFmtId="171" fontId="11" fillId="21" borderId="52" xfId="1" applyNumberFormat="1" applyFont="1" applyFill="1" applyBorder="1" applyAlignment="1" applyProtection="1">
      <alignment horizontal="center" vertical="center"/>
    </xf>
    <xf numFmtId="171" fontId="11" fillId="21" borderId="45" xfId="1" applyNumberFormat="1" applyFont="1" applyFill="1" applyBorder="1" applyAlignment="1">
      <alignment horizontal="center" vertical="center"/>
    </xf>
    <xf numFmtId="171" fontId="42" fillId="16" borderId="0" xfId="32" applyNumberFormat="1" applyFont="1" applyFill="1"/>
    <xf numFmtId="171" fontId="24" fillId="16" borderId="53" xfId="1" applyNumberFormat="1" applyFont="1" applyFill="1" applyBorder="1" applyProtection="1">
      <protection locked="0"/>
    </xf>
    <xf numFmtId="171" fontId="0" fillId="16" borderId="0" xfId="1" applyNumberFormat="1" applyFont="1" applyFill="1"/>
    <xf numFmtId="9" fontId="24" fillId="16" borderId="45" xfId="4" applyFont="1" applyFill="1" applyBorder="1" applyAlignment="1" applyProtection="1">
      <alignment vertical="center"/>
    </xf>
    <xf numFmtId="171" fontId="0" fillId="16" borderId="0" xfId="0" applyNumberFormat="1" applyFill="1"/>
    <xf numFmtId="166" fontId="44" fillId="16" borderId="48" xfId="32" applyNumberFormat="1" applyFont="1" applyFill="1" applyBorder="1" applyAlignment="1">
      <alignment horizontal="left" vertical="center"/>
    </xf>
    <xf numFmtId="166" fontId="11" fillId="21" borderId="54" xfId="32" applyNumberFormat="1" applyFont="1" applyFill="1" applyBorder="1" applyAlignment="1">
      <alignment horizontal="center" wrapText="1"/>
    </xf>
    <xf numFmtId="166" fontId="11" fillId="21" borderId="55" xfId="32" applyNumberFormat="1" applyFont="1" applyFill="1" applyBorder="1" applyAlignment="1">
      <alignment horizontal="center" wrapText="1"/>
    </xf>
    <xf numFmtId="171" fontId="11" fillId="21" borderId="56" xfId="1" applyNumberFormat="1" applyFont="1" applyFill="1" applyBorder="1" applyAlignment="1">
      <alignment horizontal="center" vertical="center"/>
    </xf>
    <xf numFmtId="171" fontId="11" fillId="16" borderId="0" xfId="1" applyNumberFormat="1" applyFont="1" applyFill="1" applyBorder="1" applyAlignment="1">
      <alignment horizontal="center" vertical="center"/>
    </xf>
    <xf numFmtId="9" fontId="24" fillId="16" borderId="0" xfId="4" applyFont="1" applyFill="1" applyBorder="1" applyAlignment="1" applyProtection="1">
      <alignment horizontal="center"/>
    </xf>
    <xf numFmtId="166" fontId="11" fillId="16" borderId="0" xfId="32" applyNumberFormat="1" applyFont="1" applyFill="1" applyAlignment="1">
      <alignment horizontal="center" wrapText="1"/>
    </xf>
    <xf numFmtId="166" fontId="27" fillId="16" borderId="0" xfId="1" applyFont="1" applyFill="1" applyBorder="1" applyProtection="1">
      <protection locked="0"/>
    </xf>
    <xf numFmtId="166" fontId="24" fillId="16" borderId="0" xfId="1" applyFont="1" applyFill="1" applyBorder="1" applyAlignment="1" applyProtection="1">
      <alignment horizontal="center"/>
    </xf>
    <xf numFmtId="173" fontId="11" fillId="21" borderId="52" xfId="1" applyNumberFormat="1" applyFont="1" applyFill="1" applyBorder="1" applyAlignment="1">
      <alignment horizontal="center" vertical="center"/>
    </xf>
    <xf numFmtId="173" fontId="11" fillId="21" borderId="45" xfId="1" applyNumberFormat="1" applyFont="1" applyFill="1" applyBorder="1" applyAlignment="1">
      <alignment horizontal="center" vertical="center"/>
    </xf>
    <xf numFmtId="173" fontId="11" fillId="21" borderId="57" xfId="1" applyNumberFormat="1" applyFont="1" applyFill="1" applyBorder="1" applyAlignment="1">
      <alignment horizontal="center" vertical="center"/>
    </xf>
    <xf numFmtId="171" fontId="34" fillId="16" borderId="0" xfId="0" applyNumberFormat="1" applyFont="1" applyFill="1"/>
    <xf numFmtId="0" fontId="40" fillId="16" borderId="0" xfId="0" applyFont="1" applyFill="1" applyAlignment="1">
      <alignment vertical="center"/>
    </xf>
    <xf numFmtId="0" fontId="0" fillId="16" borderId="0" xfId="0" applyFill="1" applyAlignment="1">
      <alignment vertical="center"/>
    </xf>
    <xf numFmtId="0" fontId="0" fillId="16" borderId="0" xfId="0" applyFill="1" applyAlignment="1" applyProtection="1">
      <alignment vertical="center"/>
      <protection locked="0"/>
    </xf>
    <xf numFmtId="168" fontId="3" fillId="16" borderId="0" xfId="0" applyNumberFormat="1" applyFont="1" applyFill="1" applyAlignment="1">
      <alignment horizontal="center" vertical="center"/>
    </xf>
    <xf numFmtId="0" fontId="35" fillId="16" borderId="0" xfId="0" applyFont="1" applyFill="1" applyAlignment="1">
      <alignment vertical="center"/>
    </xf>
    <xf numFmtId="0" fontId="42" fillId="16" borderId="0" xfId="32" applyFont="1" applyFill="1" applyAlignment="1">
      <alignment vertical="center"/>
    </xf>
    <xf numFmtId="0" fontId="42" fillId="16" borderId="0" xfId="32" applyFont="1" applyFill="1" applyAlignment="1" applyProtection="1">
      <alignment vertical="center"/>
      <protection locked="0"/>
    </xf>
    <xf numFmtId="166" fontId="1" fillId="16" borderId="0" xfId="1" applyFill="1" applyBorder="1" applyAlignment="1" applyProtection="1">
      <alignment vertical="center"/>
      <protection locked="0"/>
    </xf>
    <xf numFmtId="0" fontId="43" fillId="16" borderId="0" xfId="0" applyFont="1" applyFill="1" applyAlignment="1">
      <alignment vertical="center"/>
    </xf>
    <xf numFmtId="17" fontId="11" fillId="21" borderId="45" xfId="32" applyNumberFormat="1" applyFont="1" applyFill="1" applyBorder="1" applyAlignment="1">
      <alignment horizontal="center" vertical="center"/>
    </xf>
    <xf numFmtId="0" fontId="45" fillId="21" borderId="45" xfId="32" applyFont="1" applyFill="1" applyBorder="1" applyAlignment="1">
      <alignment horizontal="center" vertical="center" wrapText="1"/>
    </xf>
    <xf numFmtId="166" fontId="11" fillId="21" borderId="50" xfId="32" applyNumberFormat="1" applyFont="1" applyFill="1" applyBorder="1" applyAlignment="1">
      <alignment horizontal="center" vertical="center" wrapText="1"/>
    </xf>
    <xf numFmtId="171" fontId="11" fillId="0" borderId="58" xfId="1" applyNumberFormat="1" applyFont="1" applyFill="1" applyBorder="1" applyAlignment="1" applyProtection="1">
      <alignment horizontal="center" vertical="center"/>
    </xf>
    <xf numFmtId="171" fontId="24" fillId="16" borderId="53" xfId="1" applyNumberFormat="1" applyFont="1" applyFill="1" applyBorder="1" applyAlignment="1" applyProtection="1">
      <alignment vertical="center"/>
    </xf>
    <xf numFmtId="171" fontId="0" fillId="16" borderId="0" xfId="1" applyNumberFormat="1" applyFont="1" applyFill="1" applyAlignment="1" applyProtection="1">
      <alignment vertical="center"/>
    </xf>
    <xf numFmtId="166" fontId="11" fillId="21" borderId="59" xfId="32" applyNumberFormat="1" applyFont="1" applyFill="1" applyBorder="1" applyAlignment="1">
      <alignment horizontal="center" vertical="center" wrapText="1"/>
    </xf>
    <xf numFmtId="166" fontId="11" fillId="21" borderId="60" xfId="32" applyNumberFormat="1" applyFont="1" applyFill="1" applyBorder="1" applyAlignment="1">
      <alignment horizontal="center" vertical="center" wrapText="1"/>
    </xf>
    <xf numFmtId="171" fontId="11" fillId="21" borderId="56" xfId="1" applyNumberFormat="1" applyFont="1" applyFill="1" applyBorder="1" applyAlignment="1" applyProtection="1">
      <alignment horizontal="center" vertical="center"/>
    </xf>
    <xf numFmtId="171" fontId="11" fillId="16" borderId="0" xfId="1" applyNumberFormat="1" applyFont="1" applyFill="1" applyBorder="1" applyAlignment="1" applyProtection="1">
      <alignment horizontal="center" vertical="center"/>
    </xf>
    <xf numFmtId="171" fontId="11" fillId="21" borderId="45" xfId="1" applyNumberFormat="1" applyFont="1" applyFill="1" applyBorder="1" applyAlignment="1" applyProtection="1">
      <alignment horizontal="center" vertical="center"/>
    </xf>
    <xf numFmtId="166" fontId="11" fillId="16" borderId="0" xfId="32" applyNumberFormat="1" applyFont="1" applyFill="1" applyAlignment="1">
      <alignment horizontal="center" vertical="center" wrapText="1"/>
    </xf>
    <xf numFmtId="166" fontId="27" fillId="16" borderId="0" xfId="1" applyFont="1" applyFill="1" applyBorder="1" applyAlignment="1" applyProtection="1">
      <alignment vertical="center"/>
    </xf>
    <xf numFmtId="166" fontId="24" fillId="16" borderId="0" xfId="1" applyFont="1" applyFill="1" applyBorder="1" applyAlignment="1" applyProtection="1">
      <alignment horizontal="center" vertical="center"/>
    </xf>
    <xf numFmtId="166" fontId="0" fillId="16" borderId="0" xfId="1" applyFont="1" applyFill="1" applyAlignment="1" applyProtection="1">
      <alignment vertical="center"/>
    </xf>
    <xf numFmtId="171" fontId="11" fillId="21" borderId="61" xfId="1" applyNumberFormat="1" applyFont="1" applyFill="1" applyBorder="1" applyAlignment="1" applyProtection="1">
      <alignment horizontal="center" vertical="center"/>
    </xf>
    <xf numFmtId="166" fontId="0" fillId="16" borderId="0" xfId="1" applyFont="1" applyFill="1" applyAlignment="1" applyProtection="1">
      <alignment vertical="center"/>
      <protection locked="0"/>
    </xf>
    <xf numFmtId="49" fontId="2" fillId="0" borderId="0" xfId="0" applyNumberFormat="1" applyFont="1"/>
    <xf numFmtId="0" fontId="0" fillId="0" borderId="0" xfId="0" applyProtection="1">
      <protection locked="0"/>
    </xf>
    <xf numFmtId="168" fontId="45" fillId="16" borderId="44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49" fontId="46" fillId="22" borderId="62" xfId="0" applyNumberFormat="1" applyFont="1" applyFill="1" applyBorder="1" applyAlignment="1">
      <alignment vertical="center"/>
    </xf>
    <xf numFmtId="17" fontId="47" fillId="22" borderId="6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49" fontId="48" fillId="23" borderId="0" xfId="0" applyNumberFormat="1" applyFont="1" applyFill="1" applyAlignment="1">
      <alignment vertical="center"/>
    </xf>
    <xf numFmtId="171" fontId="9" fillId="23" borderId="0" xfId="1" applyNumberFormat="1" applyFont="1" applyFill="1" applyAlignment="1" applyProtection="1">
      <alignment vertical="center"/>
    </xf>
    <xf numFmtId="171" fontId="9" fillId="22" borderId="0" xfId="1" applyNumberFormat="1" applyFont="1" applyFill="1" applyBorder="1" applyAlignment="1" applyProtection="1">
      <alignment vertical="center"/>
    </xf>
    <xf numFmtId="171" fontId="49" fillId="22" borderId="0" xfId="1" applyNumberFormat="1" applyFont="1" applyFill="1" applyBorder="1" applyAlignment="1" applyProtection="1">
      <alignment vertical="center"/>
    </xf>
    <xf numFmtId="49" fontId="48" fillId="22" borderId="0" xfId="0" applyNumberFormat="1" applyFont="1" applyFill="1" applyAlignment="1">
      <alignment vertical="center"/>
    </xf>
    <xf numFmtId="171" fontId="9" fillId="22" borderId="0" xfId="1" applyNumberFormat="1" applyFont="1" applyFill="1" applyAlignment="1" applyProtection="1">
      <alignment vertical="center"/>
    </xf>
    <xf numFmtId="49" fontId="4" fillId="17" borderId="62" xfId="0" applyNumberFormat="1" applyFont="1" applyFill="1" applyBorder="1" applyAlignment="1">
      <alignment horizontal="center" vertical="center"/>
    </xf>
    <xf numFmtId="171" fontId="4" fillId="17" borderId="62" xfId="0" applyNumberFormat="1" applyFont="1" applyFill="1" applyBorder="1" applyAlignment="1">
      <alignment vertical="center"/>
    </xf>
    <xf numFmtId="49" fontId="0" fillId="0" borderId="0" xfId="0" applyNumberFormat="1"/>
    <xf numFmtId="49" fontId="46" fillId="22" borderId="62" xfId="0" applyNumberFormat="1" applyFont="1" applyFill="1" applyBorder="1"/>
    <xf numFmtId="49" fontId="48" fillId="23" borderId="0" xfId="0" applyNumberFormat="1" applyFont="1" applyFill="1"/>
    <xf numFmtId="171" fontId="48" fillId="23" borderId="0" xfId="1" applyNumberFormat="1" applyFont="1" applyFill="1" applyAlignment="1" applyProtection="1">
      <alignment vertical="center"/>
    </xf>
    <xf numFmtId="171" fontId="48" fillId="22" borderId="0" xfId="1" applyNumberFormat="1" applyFont="1" applyFill="1" applyAlignment="1" applyProtection="1">
      <alignment vertical="center"/>
    </xf>
    <xf numFmtId="49" fontId="9" fillId="23" borderId="0" xfId="0" applyNumberFormat="1" applyFont="1" applyFill="1"/>
    <xf numFmtId="49" fontId="4" fillId="17" borderId="62" xfId="0" applyNumberFormat="1" applyFont="1" applyFill="1" applyBorder="1" applyAlignment="1">
      <alignment horizontal="center"/>
    </xf>
    <xf numFmtId="171" fontId="4" fillId="17" borderId="62" xfId="0" applyNumberFormat="1" applyFont="1" applyFill="1" applyBorder="1"/>
    <xf numFmtId="49" fontId="50" fillId="16" borderId="0" xfId="0" applyNumberFormat="1" applyFont="1" applyFill="1" applyAlignment="1">
      <alignment horizontal="center" vertical="center"/>
    </xf>
    <xf numFmtId="171" fontId="48" fillId="23" borderId="63" xfId="1" applyNumberFormat="1" applyFont="1" applyFill="1" applyBorder="1" applyAlignment="1" applyProtection="1">
      <alignment vertical="center"/>
    </xf>
    <xf numFmtId="171" fontId="48" fillId="23" borderId="0" xfId="1" applyNumberFormat="1" applyFont="1" applyFill="1" applyBorder="1" applyAlignment="1" applyProtection="1">
      <alignment vertical="center"/>
    </xf>
    <xf numFmtId="49" fontId="4" fillId="0" borderId="0" xfId="0" applyNumberFormat="1" applyFont="1" applyAlignment="1">
      <alignment vertical="center"/>
    </xf>
    <xf numFmtId="49" fontId="9" fillId="22" borderId="0" xfId="0" applyNumberFormat="1" applyFont="1" applyFill="1" applyAlignment="1">
      <alignment vertical="center"/>
    </xf>
    <xf numFmtId="165" fontId="24" fillId="16" borderId="45" xfId="1" applyNumberFormat="1" applyFont="1" applyFill="1" applyBorder="1" applyAlignment="1" applyProtection="1">
      <alignment horizontal="center" vertical="center"/>
    </xf>
    <xf numFmtId="0" fontId="54" fillId="0" borderId="0" xfId="0" applyFont="1"/>
    <xf numFmtId="0" fontId="55" fillId="0" borderId="0" xfId="0" applyFont="1" applyAlignment="1">
      <alignment horizontal="left" vertical="center" wrapText="1"/>
    </xf>
    <xf numFmtId="0" fontId="55" fillId="0" borderId="0" xfId="0" applyFont="1" applyAlignment="1">
      <alignment horizontal="right" vertical="center" wrapText="1"/>
    </xf>
    <xf numFmtId="14" fontId="0" fillId="0" borderId="0" xfId="0" applyNumberFormat="1" applyAlignment="1">
      <alignment horizontal="left" vertical="center" wrapText="1"/>
    </xf>
    <xf numFmtId="166" fontId="0" fillId="0" borderId="0" xfId="1" applyFont="1" applyAlignment="1">
      <alignment horizontal="right" vertical="center" wrapText="1"/>
    </xf>
    <xf numFmtId="166" fontId="54" fillId="0" borderId="0" xfId="1" applyFont="1"/>
    <xf numFmtId="0" fontId="56" fillId="0" borderId="0" xfId="0" applyFont="1"/>
    <xf numFmtId="0" fontId="35" fillId="0" borderId="0" xfId="0" applyFont="1"/>
    <xf numFmtId="0" fontId="58" fillId="0" borderId="0" xfId="0" applyFont="1" applyAlignment="1">
      <alignment horizontal="center" vertical="center"/>
    </xf>
    <xf numFmtId="17" fontId="2" fillId="0" borderId="0" xfId="0" applyNumberFormat="1" applyFont="1"/>
    <xf numFmtId="166" fontId="2" fillId="0" borderId="0" xfId="1" applyFont="1"/>
    <xf numFmtId="179" fontId="2" fillId="0" borderId="0" xfId="4" applyNumberFormat="1" applyFont="1" applyAlignment="1">
      <alignment horizontal="center"/>
    </xf>
    <xf numFmtId="179" fontId="0" fillId="0" borderId="0" xfId="4" applyNumberFormat="1" applyFont="1" applyAlignment="1">
      <alignment horizontal="center"/>
    </xf>
    <xf numFmtId="17" fontId="59" fillId="0" borderId="0" xfId="0" applyNumberFormat="1" applyFont="1"/>
    <xf numFmtId="166" fontId="59" fillId="0" borderId="0" xfId="1" applyFont="1"/>
    <xf numFmtId="166" fontId="60" fillId="0" borderId="0" xfId="1" applyFont="1"/>
    <xf numFmtId="17" fontId="60" fillId="0" borderId="0" xfId="0" applyNumberFormat="1" applyFont="1"/>
    <xf numFmtId="173" fontId="11" fillId="0" borderId="10" xfId="31" applyNumberFormat="1" applyFont="1" applyBorder="1" applyAlignment="1">
      <alignment horizontal="center" wrapText="1"/>
    </xf>
    <xf numFmtId="173" fontId="11" fillId="0" borderId="0" xfId="31" applyNumberFormat="1" applyFont="1" applyBorder="1" applyAlignment="1">
      <alignment horizontal="center" wrapText="1"/>
    </xf>
    <xf numFmtId="173" fontId="24" fillId="0" borderId="0" xfId="16" applyNumberFormat="1" applyFont="1"/>
    <xf numFmtId="3" fontId="9" fillId="0" borderId="0" xfId="7" applyNumberFormat="1" applyFont="1" applyAlignment="1">
      <alignment horizontal="center" vertical="center" wrapText="1"/>
    </xf>
    <xf numFmtId="0" fontId="9" fillId="0" borderId="0" xfId="7" applyFont="1" applyAlignment="1">
      <alignment horizontal="left" vertical="center" wrapText="1"/>
    </xf>
    <xf numFmtId="174" fontId="9" fillId="0" borderId="0" xfId="34" applyFont="1" applyFill="1" applyBorder="1" applyAlignment="1">
      <alignment horizontal="right" vertical="center" wrapText="1"/>
    </xf>
    <xf numFmtId="173" fontId="9" fillId="0" borderId="0" xfId="9" applyNumberFormat="1" applyFont="1" applyBorder="1" applyAlignment="1">
      <alignment horizontal="center" vertical="center" wrapText="1"/>
    </xf>
    <xf numFmtId="169" fontId="9" fillId="0" borderId="0" xfId="29" applyFont="1" applyBorder="1" applyAlignment="1">
      <alignment horizontal="center" vertical="center" wrapText="1"/>
    </xf>
    <xf numFmtId="14" fontId="11" fillId="0" borderId="0" xfId="29" applyNumberFormat="1" applyFont="1" applyBorder="1" applyAlignment="1">
      <alignment horizontal="center" wrapText="1"/>
    </xf>
    <xf numFmtId="180" fontId="9" fillId="0" borderId="0" xfId="29" applyNumberFormat="1" applyFont="1" applyBorder="1" applyAlignment="1">
      <alignment horizontal="center" vertical="center" wrapText="1"/>
    </xf>
    <xf numFmtId="180" fontId="11" fillId="0" borderId="0" xfId="29" applyNumberFormat="1" applyFont="1" applyBorder="1" applyAlignment="1">
      <alignment wrapText="1"/>
    </xf>
    <xf numFmtId="169" fontId="11" fillId="0" borderId="0" xfId="29" applyFont="1" applyBorder="1" applyAlignment="1">
      <alignment horizontal="center" vertical="center" wrapText="1"/>
    </xf>
    <xf numFmtId="169" fontId="9" fillId="0" borderId="0" xfId="29" applyFont="1" applyBorder="1" applyAlignment="1">
      <alignment vertical="center" wrapText="1"/>
    </xf>
    <xf numFmtId="0" fontId="61" fillId="0" borderId="0" xfId="7" applyFont="1" applyAlignment="1">
      <alignment horizontal="left" vertical="center"/>
    </xf>
    <xf numFmtId="173" fontId="11" fillId="0" borderId="13" xfId="9" applyNumberFormat="1" applyFont="1" applyBorder="1" applyAlignment="1">
      <alignment horizontal="center" vertical="center" wrapText="1"/>
    </xf>
    <xf numFmtId="180" fontId="11" fillId="0" borderId="13" xfId="29" applyNumberFormat="1" applyFont="1" applyBorder="1" applyAlignment="1">
      <alignment horizontal="center" vertical="center" wrapText="1"/>
    </xf>
    <xf numFmtId="180" fontId="11" fillId="0" borderId="13" xfId="29" applyNumberFormat="1" applyFont="1" applyBorder="1" applyAlignment="1">
      <alignment horizontal="center" wrapText="1"/>
    </xf>
    <xf numFmtId="169" fontId="11" fillId="0" borderId="0" xfId="29" applyFont="1" applyBorder="1" applyAlignment="1">
      <alignment vertical="center" wrapText="1"/>
    </xf>
    <xf numFmtId="173" fontId="11" fillId="25" borderId="13" xfId="9" applyNumberFormat="1" applyFont="1" applyFill="1" applyBorder="1" applyAlignment="1">
      <alignment horizontal="center" wrapText="1"/>
    </xf>
    <xf numFmtId="43" fontId="11" fillId="12" borderId="13" xfId="9" applyFont="1" applyFill="1" applyBorder="1" applyAlignment="1">
      <alignment horizontal="center" wrapText="1"/>
    </xf>
    <xf numFmtId="169" fontId="11" fillId="0" borderId="0" xfId="29" applyFont="1" applyBorder="1" applyAlignment="1">
      <alignment horizontal="center" wrapText="1"/>
    </xf>
    <xf numFmtId="180" fontId="11" fillId="0" borderId="0" xfId="29" applyNumberFormat="1" applyFont="1" applyBorder="1" applyAlignment="1">
      <alignment horizontal="center" wrapText="1"/>
    </xf>
    <xf numFmtId="43" fontId="8" fillId="0" borderId="25" xfId="9" applyFont="1" applyBorder="1" applyAlignment="1">
      <alignment horizontal="left" vertical="center"/>
    </xf>
    <xf numFmtId="43" fontId="8" fillId="0" borderId="25" xfId="9" applyFont="1" applyBorder="1"/>
    <xf numFmtId="0" fontId="1" fillId="0" borderId="0" xfId="35"/>
    <xf numFmtId="180" fontId="11" fillId="0" borderId="0" xfId="29" applyNumberFormat="1" applyFont="1" applyBorder="1" applyAlignment="1">
      <alignment horizontal="center" vertical="center" wrapText="1"/>
    </xf>
    <xf numFmtId="169" fontId="11" fillId="0" borderId="0" xfId="29" applyFont="1" applyFill="1" applyBorder="1" applyAlignment="1">
      <alignment wrapText="1"/>
    </xf>
    <xf numFmtId="0" fontId="1" fillId="0" borderId="0" xfId="35" applyAlignment="1">
      <alignment horizontal="left"/>
    </xf>
    <xf numFmtId="181" fontId="9" fillId="0" borderId="0" xfId="36" applyFont="1"/>
    <xf numFmtId="173" fontId="9" fillId="0" borderId="0" xfId="9" applyNumberFormat="1" applyFont="1"/>
    <xf numFmtId="0" fontId="8" fillId="0" borderId="0" xfId="35" applyFont="1"/>
    <xf numFmtId="43" fontId="8" fillId="0" borderId="19" xfId="9" applyFont="1" applyBorder="1" applyAlignment="1">
      <alignment horizontal="left" vertical="center"/>
    </xf>
    <xf numFmtId="43" fontId="8" fillId="0" borderId="19" xfId="9" applyFont="1" applyBorder="1"/>
    <xf numFmtId="43" fontId="1" fillId="0" borderId="0" xfId="35" applyNumberFormat="1" applyAlignment="1">
      <alignment horizontal="center" vertical="center"/>
    </xf>
    <xf numFmtId="0" fontId="2" fillId="0" borderId="9" xfId="35" applyFont="1" applyBorder="1" applyAlignment="1">
      <alignment horizontal="left"/>
    </xf>
    <xf numFmtId="0" fontId="2" fillId="0" borderId="10" xfId="35" applyFont="1" applyBorder="1" applyAlignment="1">
      <alignment horizontal="center" vertical="center"/>
    </xf>
    <xf numFmtId="39" fontId="11" fillId="0" borderId="10" xfId="37" applyNumberFormat="1" applyFont="1" applyBorder="1" applyAlignment="1">
      <alignment horizontal="center" vertical="center"/>
    </xf>
    <xf numFmtId="173" fontId="11" fillId="0" borderId="10" xfId="9" applyNumberFormat="1" applyFont="1" applyBorder="1" applyAlignment="1">
      <alignment horizontal="center" vertical="center"/>
    </xf>
    <xf numFmtId="43" fontId="4" fillId="0" borderId="11" xfId="10" applyFont="1" applyBorder="1"/>
    <xf numFmtId="43" fontId="9" fillId="0" borderId="0" xfId="10" applyFont="1"/>
    <xf numFmtId="181" fontId="9" fillId="0" borderId="19" xfId="36" applyFont="1" applyBorder="1" applyAlignment="1">
      <alignment horizontal="left" vertical="center"/>
    </xf>
    <xf numFmtId="181" fontId="9" fillId="0" borderId="0" xfId="36" applyFont="1" applyAlignment="1">
      <alignment horizontal="center" vertical="center"/>
    </xf>
    <xf numFmtId="0" fontId="1" fillId="0" borderId="22" xfId="35" applyBorder="1" applyAlignment="1">
      <alignment horizontal="left"/>
    </xf>
    <xf numFmtId="0" fontId="1" fillId="0" borderId="22" xfId="35" applyBorder="1"/>
    <xf numFmtId="39" fontId="9" fillId="0" borderId="22" xfId="36" applyNumberFormat="1" applyFont="1" applyBorder="1"/>
    <xf numFmtId="173" fontId="9" fillId="0" borderId="19" xfId="9" applyNumberFormat="1" applyFont="1" applyBorder="1"/>
    <xf numFmtId="173" fontId="9" fillId="0" borderId="22" xfId="9" applyNumberFormat="1" applyFont="1" applyBorder="1"/>
    <xf numFmtId="43" fontId="13" fillId="0" borderId="0" xfId="10" applyFont="1"/>
    <xf numFmtId="43" fontId="9" fillId="0" borderId="19" xfId="9" applyFont="1" applyBorder="1" applyAlignment="1">
      <alignment horizontal="left" vertical="center"/>
    </xf>
    <xf numFmtId="0" fontId="1" fillId="0" borderId="19" xfId="35" applyBorder="1" applyAlignment="1">
      <alignment horizontal="left"/>
    </xf>
    <xf numFmtId="0" fontId="1" fillId="0" borderId="19" xfId="35" applyBorder="1"/>
    <xf numFmtId="39" fontId="9" fillId="0" borderId="19" xfId="36" applyNumberFormat="1" applyFont="1" applyBorder="1"/>
    <xf numFmtId="39" fontId="9" fillId="6" borderId="19" xfId="36" applyNumberFormat="1" applyFont="1" applyFill="1" applyBorder="1"/>
    <xf numFmtId="0" fontId="1" fillId="0" borderId="10" xfId="35" applyBorder="1"/>
    <xf numFmtId="39" fontId="9" fillId="0" borderId="10" xfId="37" applyNumberFormat="1" applyFont="1" applyBorder="1"/>
    <xf numFmtId="173" fontId="9" fillId="0" borderId="10" xfId="9" applyNumberFormat="1" applyFont="1" applyBorder="1"/>
    <xf numFmtId="0" fontId="1" fillId="0" borderId="25" xfId="35" applyBorder="1" applyAlignment="1">
      <alignment horizontal="left"/>
    </xf>
    <xf numFmtId="0" fontId="1" fillId="0" borderId="25" xfId="35" applyBorder="1"/>
    <xf numFmtId="39" fontId="9" fillId="0" borderId="25" xfId="36" applyNumberFormat="1" applyFont="1" applyBorder="1"/>
    <xf numFmtId="173" fontId="9" fillId="0" borderId="25" xfId="9" applyNumberFormat="1" applyFont="1" applyBorder="1"/>
    <xf numFmtId="39" fontId="11" fillId="6" borderId="19" xfId="36" applyNumberFormat="1" applyFont="1" applyFill="1" applyBorder="1"/>
    <xf numFmtId="173" fontId="11" fillId="6" borderId="19" xfId="9" applyNumberFormat="1" applyFont="1" applyFill="1" applyBorder="1"/>
    <xf numFmtId="181" fontId="9" fillId="0" borderId="19" xfId="36" applyFont="1" applyBorder="1"/>
    <xf numFmtId="39" fontId="9" fillId="0" borderId="19" xfId="36" applyNumberFormat="1" applyFont="1" applyFill="1" applyBorder="1"/>
    <xf numFmtId="173" fontId="9" fillId="0" borderId="19" xfId="9" applyNumberFormat="1" applyFont="1" applyFill="1" applyBorder="1"/>
    <xf numFmtId="43" fontId="1" fillId="0" borderId="0" xfId="9" applyFont="1" applyBorder="1"/>
    <xf numFmtId="43" fontId="9" fillId="0" borderId="19" xfId="9" applyFont="1" applyBorder="1"/>
    <xf numFmtId="43" fontId="8" fillId="0" borderId="26" xfId="9" applyFont="1" applyBorder="1" applyAlignment="1">
      <alignment horizontal="left" vertical="center"/>
    </xf>
    <xf numFmtId="43" fontId="9" fillId="0" borderId="26" xfId="9" applyFont="1" applyBorder="1"/>
    <xf numFmtId="43" fontId="8" fillId="0" borderId="26" xfId="9" applyFont="1" applyBorder="1"/>
    <xf numFmtId="39" fontId="9" fillId="0" borderId="25" xfId="36" applyNumberFormat="1" applyFont="1" applyFill="1" applyBorder="1"/>
    <xf numFmtId="43" fontId="4" fillId="0" borderId="13" xfId="9" applyFont="1" applyBorder="1"/>
    <xf numFmtId="43" fontId="9" fillId="0" borderId="0" xfId="10" applyFont="1" applyFill="1"/>
    <xf numFmtId="181" fontId="11" fillId="0" borderId="0" xfId="36" applyFont="1"/>
    <xf numFmtId="0" fontId="1" fillId="0" borderId="18" xfId="35" applyBorder="1" applyAlignment="1">
      <alignment horizontal="left"/>
    </xf>
    <xf numFmtId="0" fontId="1" fillId="0" borderId="18" xfId="35" applyBorder="1"/>
    <xf numFmtId="39" fontId="9" fillId="0" borderId="18" xfId="36" applyNumberFormat="1" applyFont="1" applyBorder="1"/>
    <xf numFmtId="173" fontId="9" fillId="0" borderId="18" xfId="9" applyNumberFormat="1" applyFont="1" applyBorder="1"/>
    <xf numFmtId="0" fontId="1" fillId="0" borderId="22" xfId="35" applyBorder="1" applyAlignment="1">
      <alignment horizontal="center" vertical="center"/>
    </xf>
    <xf numFmtId="39" fontId="9" fillId="0" borderId="22" xfId="37" applyNumberFormat="1" applyFont="1" applyBorder="1"/>
    <xf numFmtId="39" fontId="9" fillId="0" borderId="22" xfId="37" applyNumberFormat="1" applyFont="1" applyFill="1" applyBorder="1"/>
    <xf numFmtId="0" fontId="1" fillId="0" borderId="19" xfId="35" applyBorder="1" applyAlignment="1">
      <alignment horizontal="center" vertical="center"/>
    </xf>
    <xf numFmtId="39" fontId="9" fillId="0" borderId="19" xfId="37" applyNumberFormat="1" applyFont="1" applyBorder="1"/>
    <xf numFmtId="0" fontId="0" fillId="6" borderId="19" xfId="35" applyFont="1" applyFill="1" applyBorder="1" applyAlignment="1">
      <alignment horizontal="left"/>
    </xf>
    <xf numFmtId="173" fontId="13" fillId="6" borderId="19" xfId="9" applyNumberFormat="1" applyFont="1" applyFill="1" applyBorder="1"/>
    <xf numFmtId="43" fontId="4" fillId="0" borderId="0" xfId="10" applyFont="1"/>
    <xf numFmtId="0" fontId="1" fillId="0" borderId="18" xfId="35" applyBorder="1" applyAlignment="1">
      <alignment horizontal="center" vertical="center"/>
    </xf>
    <xf numFmtId="39" fontId="9" fillId="0" borderId="18" xfId="37" applyNumberFormat="1" applyFont="1" applyBorder="1"/>
    <xf numFmtId="0" fontId="2" fillId="0" borderId="10" xfId="35" applyFont="1" applyBorder="1"/>
    <xf numFmtId="39" fontId="11" fillId="0" borderId="10" xfId="37" applyNumberFormat="1" applyFont="1" applyBorder="1"/>
    <xf numFmtId="173" fontId="11" fillId="0" borderId="10" xfId="9" applyNumberFormat="1" applyFont="1" applyBorder="1"/>
    <xf numFmtId="43" fontId="11" fillId="0" borderId="11" xfId="10" applyFont="1" applyBorder="1"/>
    <xf numFmtId="43" fontId="11" fillId="0" borderId="0" xfId="10" applyFont="1"/>
    <xf numFmtId="166" fontId="4" fillId="0" borderId="0" xfId="24" applyNumberFormat="1" applyFont="1"/>
    <xf numFmtId="0" fontId="8" fillId="0" borderId="0" xfId="24" applyFont="1"/>
    <xf numFmtId="0" fontId="0" fillId="0" borderId="0" xfId="35" applyFont="1" applyAlignment="1">
      <alignment horizontal="left"/>
    </xf>
    <xf numFmtId="39" fontId="9" fillId="0" borderId="0" xfId="37" applyNumberFormat="1" applyFont="1"/>
    <xf numFmtId="39" fontId="9" fillId="0" borderId="0" xfId="37" applyNumberFormat="1" applyFont="1" applyFill="1"/>
    <xf numFmtId="0" fontId="8" fillId="0" borderId="0" xfId="24" applyFont="1" applyAlignment="1">
      <alignment horizontal="center" vertical="center"/>
    </xf>
    <xf numFmtId="9" fontId="4" fillId="6" borderId="0" xfId="11" applyFont="1" applyFill="1" applyAlignment="1">
      <alignment horizontal="center" vertical="center"/>
    </xf>
    <xf numFmtId="181" fontId="8" fillId="0" borderId="0" xfId="38" applyFont="1"/>
    <xf numFmtId="0" fontId="8" fillId="0" borderId="0" xfId="24" applyFont="1" applyAlignment="1">
      <alignment horizontal="left"/>
    </xf>
    <xf numFmtId="39" fontId="8" fillId="0" borderId="0" xfId="37" applyNumberFormat="1" applyFont="1"/>
    <xf numFmtId="173" fontId="8" fillId="0" borderId="0" xfId="9" applyNumberFormat="1" applyFont="1"/>
    <xf numFmtId="43" fontId="21" fillId="0" borderId="0" xfId="33" applyNumberFormat="1" applyFont="1" applyFill="1"/>
    <xf numFmtId="0" fontId="4" fillId="0" borderId="0" xfId="24" applyFont="1"/>
    <xf numFmtId="43" fontId="8" fillId="0" borderId="0" xfId="24" applyNumberFormat="1" applyFont="1"/>
    <xf numFmtId="166" fontId="8" fillId="0" borderId="0" xfId="24" applyNumberFormat="1" applyFont="1"/>
    <xf numFmtId="0" fontId="5" fillId="0" borderId="9" xfId="24" applyFont="1" applyBorder="1" applyAlignment="1">
      <alignment horizontal="right"/>
    </xf>
    <xf numFmtId="0" fontId="8" fillId="0" borderId="10" xfId="24" applyFont="1" applyBorder="1" applyAlignment="1">
      <alignment horizontal="left"/>
    </xf>
    <xf numFmtId="0" fontId="8" fillId="0" borderId="10" xfId="24" applyFont="1" applyBorder="1"/>
    <xf numFmtId="173" fontId="8" fillId="0" borderId="10" xfId="9" applyNumberFormat="1" applyFont="1" applyBorder="1"/>
    <xf numFmtId="43" fontId="4" fillId="0" borderId="10" xfId="39" applyFont="1" applyBorder="1"/>
    <xf numFmtId="43" fontId="21" fillId="0" borderId="11" xfId="33" applyNumberFormat="1" applyFont="1" applyFill="1" applyBorder="1"/>
    <xf numFmtId="0" fontId="5" fillId="0" borderId="0" xfId="24" applyFont="1" applyAlignment="1">
      <alignment horizontal="right"/>
    </xf>
    <xf numFmtId="43" fontId="8" fillId="0" borderId="0" xfId="39" applyFont="1"/>
    <xf numFmtId="43" fontId="8" fillId="0" borderId="0" xfId="39" applyFont="1" applyFill="1"/>
    <xf numFmtId="43" fontId="8" fillId="0" borderId="0" xfId="9" applyFont="1"/>
    <xf numFmtId="9" fontId="4" fillId="0" borderId="0" xfId="24" applyNumberFormat="1" applyFont="1"/>
    <xf numFmtId="10" fontId="8" fillId="0" borderId="0" xfId="11" applyNumberFormat="1" applyFont="1"/>
    <xf numFmtId="10" fontId="8" fillId="0" borderId="0" xfId="11" applyNumberFormat="1" applyFont="1" applyFill="1"/>
    <xf numFmtId="43" fontId="4" fillId="0" borderId="0" xfId="9" applyFont="1"/>
    <xf numFmtId="0" fontId="8" fillId="0" borderId="0" xfId="24" applyFont="1" applyAlignment="1">
      <alignment horizontal="right"/>
    </xf>
    <xf numFmtId="43" fontId="8" fillId="0" borderId="10" xfId="9" applyFont="1" applyBorder="1"/>
    <xf numFmtId="43" fontId="4" fillId="0" borderId="10" xfId="9" applyFont="1" applyBorder="1"/>
    <xf numFmtId="43" fontId="8" fillId="0" borderId="11" xfId="39" applyFont="1" applyFill="1" applyBorder="1"/>
    <xf numFmtId="181" fontId="8" fillId="0" borderId="0" xfId="24" applyNumberFormat="1" applyFont="1"/>
    <xf numFmtId="43" fontId="13" fillId="0" borderId="0" xfId="9" applyFont="1"/>
    <xf numFmtId="43" fontId="62" fillId="0" borderId="0" xfId="39" applyFont="1" applyFill="1"/>
    <xf numFmtId="171" fontId="8" fillId="0" borderId="0" xfId="10" applyNumberFormat="1" applyFont="1" applyAlignment="1">
      <alignment horizontal="right"/>
    </xf>
    <xf numFmtId="173" fontId="9" fillId="0" borderId="0" xfId="9" applyNumberFormat="1" applyFont="1" applyFill="1"/>
    <xf numFmtId="43" fontId="9" fillId="0" borderId="0" xfId="39" applyFont="1" applyFill="1"/>
    <xf numFmtId="178" fontId="9" fillId="0" borderId="0" xfId="9" applyNumberFormat="1" applyFont="1" applyFill="1"/>
    <xf numFmtId="43" fontId="9" fillId="0" borderId="0" xfId="33" applyNumberFormat="1" applyFont="1" applyFill="1"/>
    <xf numFmtId="181" fontId="9" fillId="0" borderId="0" xfId="36" applyFont="1" applyFill="1"/>
    <xf numFmtId="181" fontId="9" fillId="0" borderId="0" xfId="36" applyFont="1" applyFill="1" applyAlignment="1">
      <alignment horizontal="right"/>
    </xf>
    <xf numFmtId="171" fontId="8" fillId="0" borderId="0" xfId="10" applyNumberFormat="1" applyFont="1" applyFill="1" applyAlignment="1">
      <alignment horizontal="right"/>
    </xf>
    <xf numFmtId="171" fontId="9" fillId="0" borderId="0" xfId="10" applyNumberFormat="1" applyFont="1" applyFill="1" applyAlignment="1">
      <alignment horizontal="right"/>
    </xf>
    <xf numFmtId="171" fontId="9" fillId="0" borderId="0" xfId="10" applyNumberFormat="1" applyFont="1" applyAlignment="1">
      <alignment horizontal="right"/>
    </xf>
    <xf numFmtId="43" fontId="9" fillId="0" borderId="0" xfId="10" applyFont="1" applyFill="1" applyAlignment="1">
      <alignment horizontal="right"/>
    </xf>
    <xf numFmtId="181" fontId="9" fillId="0" borderId="0" xfId="36" applyFont="1" applyFill="1" applyAlignment="1">
      <alignment horizontal="left"/>
    </xf>
    <xf numFmtId="43" fontId="11" fillId="0" borderId="0" xfId="10" applyFont="1" applyFill="1"/>
    <xf numFmtId="181" fontId="11" fillId="0" borderId="0" xfId="36" applyFont="1" applyFill="1"/>
    <xf numFmtId="43" fontId="9" fillId="0" borderId="0" xfId="36" applyNumberFormat="1" applyFont="1"/>
    <xf numFmtId="43" fontId="8" fillId="0" borderId="0" xfId="35" applyNumberFormat="1" applyFont="1"/>
    <xf numFmtId="166" fontId="9" fillId="16" borderId="64" xfId="32" applyNumberFormat="1" applyFont="1" applyFill="1" applyBorder="1" applyAlignment="1">
      <alignment horizontal="left" vertical="center"/>
    </xf>
    <xf numFmtId="166" fontId="44" fillId="16" borderId="64" xfId="32" applyNumberFormat="1" applyFont="1" applyFill="1" applyBorder="1" applyAlignment="1">
      <alignment horizontal="left" vertical="center"/>
    </xf>
    <xf numFmtId="171" fontId="24" fillId="16" borderId="0" xfId="1" applyNumberFormat="1" applyFont="1" applyFill="1" applyBorder="1" applyAlignment="1" applyProtection="1">
      <alignment vertical="center"/>
    </xf>
    <xf numFmtId="9" fontId="24" fillId="16" borderId="58" xfId="4" applyFont="1" applyFill="1" applyBorder="1" applyAlignment="1" applyProtection="1">
      <alignment vertical="center"/>
    </xf>
    <xf numFmtId="166" fontId="24" fillId="16" borderId="45" xfId="1" applyFont="1" applyFill="1" applyBorder="1" applyAlignment="1" applyProtection="1">
      <alignment horizontal="center" vertical="center"/>
    </xf>
    <xf numFmtId="171" fontId="0" fillId="16" borderId="0" xfId="0" applyNumberFormat="1" applyFill="1" applyAlignment="1">
      <alignment vertical="center"/>
    </xf>
    <xf numFmtId="171" fontId="0" fillId="16" borderId="0" xfId="0" applyNumberFormat="1" applyFill="1" applyAlignment="1" applyProtection="1">
      <alignment vertical="center"/>
      <protection locked="0"/>
    </xf>
    <xf numFmtId="166" fontId="0" fillId="16" borderId="0" xfId="0" applyNumberFormat="1" applyFill="1"/>
    <xf numFmtId="182" fontId="26" fillId="0" borderId="27" xfId="9" applyNumberFormat="1" applyFont="1" applyBorder="1" applyAlignment="1">
      <alignment horizontal="left"/>
    </xf>
    <xf numFmtId="171" fontId="26" fillId="0" borderId="27" xfId="9" applyNumberFormat="1" applyFont="1" applyFill="1" applyBorder="1" applyAlignment="1">
      <alignment horizontal="center"/>
    </xf>
    <xf numFmtId="182" fontId="23" fillId="0" borderId="0" xfId="9" applyNumberFormat="1" applyFont="1"/>
    <xf numFmtId="43" fontId="23" fillId="0" borderId="0" xfId="9" applyFont="1"/>
    <xf numFmtId="43" fontId="26" fillId="0" borderId="0" xfId="9" applyFont="1" applyAlignment="1">
      <alignment horizontal="right"/>
    </xf>
    <xf numFmtId="14" fontId="26" fillId="0" borderId="0" xfId="9" applyNumberFormat="1" applyFont="1" applyFill="1" applyAlignment="1">
      <alignment horizontal="right"/>
    </xf>
    <xf numFmtId="182" fontId="24" fillId="0" borderId="0" xfId="9" applyNumberFormat="1" applyFont="1" applyAlignment="1">
      <alignment vertical="center" wrapText="1"/>
    </xf>
    <xf numFmtId="182" fontId="24" fillId="0" borderId="0" xfId="9" applyNumberFormat="1" applyFont="1" applyAlignment="1">
      <alignment horizontal="center" vertical="center" wrapText="1"/>
    </xf>
    <xf numFmtId="43" fontId="24" fillId="0" borderId="0" xfId="9" applyFont="1" applyAlignment="1">
      <alignment vertical="center" wrapText="1"/>
    </xf>
    <xf numFmtId="182" fontId="26" fillId="0" borderId="13" xfId="9" applyNumberFormat="1" applyFont="1" applyBorder="1" applyAlignment="1">
      <alignment horizontal="center" vertical="center"/>
    </xf>
    <xf numFmtId="43" fontId="26" fillId="0" borderId="13" xfId="9" applyFont="1" applyBorder="1" applyAlignment="1">
      <alignment horizontal="center" vertical="center"/>
    </xf>
    <xf numFmtId="0" fontId="23" fillId="0" borderId="9" xfId="23" applyFont="1" applyBorder="1" applyAlignment="1">
      <alignment horizontal="center" vertical="center"/>
    </xf>
    <xf numFmtId="0" fontId="23" fillId="0" borderId="10" xfId="23" applyFont="1" applyBorder="1" applyAlignment="1">
      <alignment horizontal="center" vertical="center"/>
    </xf>
    <xf numFmtId="0" fontId="23" fillId="0" borderId="10" xfId="23" applyFont="1" applyBorder="1"/>
    <xf numFmtId="0" fontId="23" fillId="0" borderId="11" xfId="23" applyFont="1" applyBorder="1"/>
    <xf numFmtId="9" fontId="23" fillId="0" borderId="65" xfId="20" applyFont="1" applyBorder="1" applyAlignment="1">
      <alignment horizontal="center" vertical="center"/>
    </xf>
    <xf numFmtId="9" fontId="23" fillId="0" borderId="25" xfId="20" applyFont="1" applyFill="1" applyBorder="1" applyAlignment="1">
      <alignment horizontal="center" vertical="center"/>
    </xf>
    <xf numFmtId="9" fontId="24" fillId="0" borderId="25" xfId="40" applyFont="1" applyFill="1" applyBorder="1" applyAlignment="1">
      <alignment horizontal="center" vertical="center" wrapText="1"/>
    </xf>
    <xf numFmtId="173" fontId="23" fillId="0" borderId="25" xfId="9" applyNumberFormat="1" applyFont="1" applyBorder="1" applyAlignment="1">
      <alignment vertical="center"/>
    </xf>
    <xf numFmtId="9" fontId="23" fillId="0" borderId="66" xfId="20" applyFont="1" applyBorder="1" applyAlignment="1">
      <alignment horizontal="center" vertical="center"/>
    </xf>
    <xf numFmtId="9" fontId="23" fillId="0" borderId="19" xfId="20" applyFont="1" applyFill="1" applyBorder="1" applyAlignment="1">
      <alignment horizontal="center" vertical="center"/>
    </xf>
    <xf numFmtId="9" fontId="24" fillId="0" borderId="19" xfId="40" applyFont="1" applyFill="1" applyBorder="1" applyAlignment="1">
      <alignment horizontal="center" vertical="center" wrapText="1"/>
    </xf>
    <xf numFmtId="173" fontId="23" fillId="0" borderId="22" xfId="9" applyNumberFormat="1" applyFont="1" applyBorder="1" applyAlignment="1">
      <alignment vertical="center"/>
    </xf>
    <xf numFmtId="9" fontId="23" fillId="0" borderId="19" xfId="20" applyFont="1" applyBorder="1" applyAlignment="1">
      <alignment horizontal="center" vertical="center"/>
    </xf>
    <xf numFmtId="9" fontId="23" fillId="0" borderId="67" xfId="20" applyFont="1" applyBorder="1" applyAlignment="1">
      <alignment horizontal="center" vertical="center"/>
    </xf>
    <xf numFmtId="9" fontId="23" fillId="0" borderId="68" xfId="20" applyFont="1" applyBorder="1" applyAlignment="1">
      <alignment horizontal="center" vertical="center"/>
    </xf>
    <xf numFmtId="9" fontId="24" fillId="0" borderId="68" xfId="40" applyFont="1" applyFill="1" applyBorder="1" applyAlignment="1">
      <alignment horizontal="center" vertical="center" wrapText="1"/>
    </xf>
    <xf numFmtId="173" fontId="23" fillId="0" borderId="69" xfId="9" applyNumberFormat="1" applyFont="1" applyBorder="1" applyAlignment="1">
      <alignment vertical="center"/>
    </xf>
    <xf numFmtId="0" fontId="24" fillId="0" borderId="20" xfId="9" applyNumberFormat="1" applyFont="1" applyBorder="1" applyAlignment="1">
      <alignment horizontal="left" wrapText="1"/>
    </xf>
    <xf numFmtId="9" fontId="23" fillId="0" borderId="9" xfId="20" applyFont="1" applyFill="1" applyBorder="1" applyAlignment="1">
      <alignment horizontal="center" vertical="center"/>
    </xf>
    <xf numFmtId="9" fontId="23" fillId="0" borderId="10" xfId="20" applyFont="1" applyFill="1" applyBorder="1" applyAlignment="1">
      <alignment horizontal="center" vertical="center"/>
    </xf>
    <xf numFmtId="173" fontId="26" fillId="0" borderId="10" xfId="20" applyNumberFormat="1" applyFont="1" applyFill="1" applyBorder="1" applyAlignment="1">
      <alignment horizontal="center" vertical="center"/>
    </xf>
    <xf numFmtId="173" fontId="26" fillId="0" borderId="11" xfId="20" applyNumberFormat="1" applyFont="1" applyFill="1" applyBorder="1" applyAlignment="1">
      <alignment horizontal="center" vertical="center"/>
    </xf>
    <xf numFmtId="43" fontId="25" fillId="0" borderId="0" xfId="9" applyFont="1" applyFill="1" applyBorder="1" applyAlignment="1">
      <alignment horizontal="center" vertical="center"/>
    </xf>
    <xf numFmtId="0" fontId="25" fillId="0" borderId="0" xfId="9" applyNumberFormat="1" applyFont="1" applyBorder="1" applyAlignment="1">
      <alignment vertical="center" wrapText="1"/>
    </xf>
    <xf numFmtId="0" fontId="23" fillId="0" borderId="0" xfId="23" applyFont="1" applyAlignment="1">
      <alignment horizontal="center" vertical="center"/>
    </xf>
    <xf numFmtId="0" fontId="23" fillId="0" borderId="0" xfId="23" applyFont="1"/>
    <xf numFmtId="9" fontId="23" fillId="0" borderId="0" xfId="26" applyFont="1" applyFill="1"/>
    <xf numFmtId="9" fontId="23" fillId="0" borderId="0" xfId="20" applyFont="1" applyFill="1"/>
    <xf numFmtId="43" fontId="23" fillId="0" borderId="9" xfId="9" applyFont="1" applyFill="1" applyBorder="1" applyAlignment="1">
      <alignment horizontal="center"/>
    </xf>
    <xf numFmtId="43" fontId="26" fillId="0" borderId="10" xfId="9" applyFont="1" applyBorder="1"/>
    <xf numFmtId="43" fontId="23" fillId="0" borderId="10" xfId="9" applyFont="1" applyBorder="1" applyAlignment="1">
      <alignment horizontal="center" vertical="center"/>
    </xf>
    <xf numFmtId="43" fontId="24" fillId="0" borderId="10" xfId="9" applyFont="1" applyBorder="1"/>
    <xf numFmtId="171" fontId="24" fillId="0" borderId="10" xfId="9" applyNumberFormat="1" applyFont="1" applyBorder="1"/>
    <xf numFmtId="171" fontId="23" fillId="0" borderId="10" xfId="9" applyNumberFormat="1" applyFont="1" applyBorder="1"/>
    <xf numFmtId="171" fontId="26" fillId="0" borderId="10" xfId="9" applyNumberFormat="1" applyFont="1" applyBorder="1"/>
    <xf numFmtId="182" fontId="23" fillId="0" borderId="10" xfId="9" applyNumberFormat="1" applyFont="1" applyBorder="1"/>
    <xf numFmtId="182" fontId="23" fillId="0" borderId="10" xfId="9" applyNumberFormat="1" applyFont="1" applyBorder="1" applyAlignment="1">
      <alignment horizontal="center" vertical="center"/>
    </xf>
    <xf numFmtId="182" fontId="26" fillId="0" borderId="10" xfId="9" applyNumberFormat="1" applyFont="1" applyBorder="1" applyAlignment="1">
      <alignment horizontal="right" vertical="center"/>
    </xf>
    <xf numFmtId="171" fontId="26" fillId="0" borderId="10" xfId="9" applyNumberFormat="1" applyFont="1" applyBorder="1" applyAlignment="1">
      <alignment horizontal="left" vertical="center"/>
    </xf>
    <xf numFmtId="43" fontId="26" fillId="0" borderId="10" xfId="9" applyFont="1" applyBorder="1" applyAlignment="1">
      <alignment horizontal="center" vertical="center"/>
    </xf>
    <xf numFmtId="14" fontId="26" fillId="0" borderId="11" xfId="9" applyNumberFormat="1" applyFont="1" applyBorder="1" applyAlignment="1">
      <alignment horizontal="center" vertical="center"/>
    </xf>
    <xf numFmtId="43" fontId="26" fillId="0" borderId="9" xfId="9" applyFont="1" applyFill="1" applyBorder="1" applyAlignment="1">
      <alignment horizontal="center"/>
    </xf>
    <xf numFmtId="43" fontId="25" fillId="0" borderId="10" xfId="9" applyFont="1" applyBorder="1"/>
    <xf numFmtId="171" fontId="25" fillId="0" borderId="10" xfId="9" applyNumberFormat="1" applyFont="1" applyBorder="1"/>
    <xf numFmtId="182" fontId="26" fillId="0" borderId="10" xfId="9" applyNumberFormat="1" applyFont="1" applyBorder="1"/>
    <xf numFmtId="182" fontId="26" fillId="0" borderId="10" xfId="9" applyNumberFormat="1" applyFont="1" applyBorder="1" applyAlignment="1">
      <alignment horizontal="center" vertical="center"/>
    </xf>
    <xf numFmtId="43" fontId="26" fillId="0" borderId="11" xfId="9" applyFont="1" applyBorder="1" applyAlignment="1">
      <alignment horizontal="center" vertical="center"/>
    </xf>
    <xf numFmtId="43" fontId="23" fillId="2" borderId="70" xfId="9" applyFont="1" applyFill="1" applyBorder="1" applyAlignment="1">
      <alignment horizontal="center" vertical="center"/>
    </xf>
    <xf numFmtId="43" fontId="23" fillId="2" borderId="70" xfId="9" applyFont="1" applyFill="1" applyBorder="1"/>
    <xf numFmtId="43" fontId="23" fillId="2" borderId="39" xfId="9" applyFont="1" applyFill="1" applyBorder="1" applyAlignment="1">
      <alignment horizontal="center" vertical="center"/>
    </xf>
    <xf numFmtId="43" fontId="24" fillId="2" borderId="39" xfId="9" applyFont="1" applyFill="1" applyBorder="1"/>
    <xf numFmtId="171" fontId="24" fillId="2" borderId="39" xfId="9" applyNumberFormat="1" applyFont="1" applyFill="1" applyBorder="1"/>
    <xf numFmtId="171" fontId="23" fillId="2" borderId="39" xfId="9" applyNumberFormat="1" applyFont="1" applyFill="1" applyBorder="1"/>
    <xf numFmtId="171" fontId="26" fillId="2" borderId="39" xfId="9" applyNumberFormat="1" applyFont="1" applyFill="1" applyBorder="1"/>
    <xf numFmtId="182" fontId="23" fillId="2" borderId="39" xfId="9" applyNumberFormat="1" applyFont="1" applyFill="1" applyBorder="1"/>
    <xf numFmtId="182" fontId="23" fillId="2" borderId="39" xfId="9" applyNumberFormat="1" applyFont="1" applyFill="1" applyBorder="1" applyAlignment="1">
      <alignment horizontal="center" vertical="center"/>
    </xf>
    <xf numFmtId="43" fontId="23" fillId="2" borderId="39" xfId="9" applyFont="1" applyFill="1" applyBorder="1"/>
    <xf numFmtId="173" fontId="23" fillId="2" borderId="41" xfId="9" applyNumberFormat="1" applyFont="1" applyFill="1" applyBorder="1"/>
    <xf numFmtId="0" fontId="30" fillId="0" borderId="0" xfId="23" applyFont="1"/>
    <xf numFmtId="173" fontId="30" fillId="0" borderId="0" xfId="9" applyNumberFormat="1" applyFont="1" applyBorder="1"/>
    <xf numFmtId="43" fontId="23" fillId="0" borderId="19" xfId="9" applyFont="1" applyFill="1" applyBorder="1" applyAlignment="1">
      <alignment horizontal="center"/>
    </xf>
    <xf numFmtId="43" fontId="23" fillId="0" borderId="20" xfId="9" applyFont="1" applyBorder="1"/>
    <xf numFmtId="43" fontId="23" fillId="0" borderId="40" xfId="9" applyFont="1" applyBorder="1" applyAlignment="1">
      <alignment horizontal="center" vertical="center"/>
    </xf>
    <xf numFmtId="43" fontId="24" fillId="0" borderId="40" xfId="9" applyFont="1" applyBorder="1"/>
    <xf numFmtId="171" fontId="24" fillId="0" borderId="40" xfId="9" applyNumberFormat="1" applyFont="1" applyBorder="1"/>
    <xf numFmtId="171" fontId="23" fillId="0" borderId="40" xfId="9" applyNumberFormat="1" applyFont="1" applyBorder="1"/>
    <xf numFmtId="171" fontId="26" fillId="0" borderId="40" xfId="9" applyNumberFormat="1" applyFont="1" applyBorder="1"/>
    <xf numFmtId="182" fontId="23" fillId="0" borderId="40" xfId="9" applyNumberFormat="1" applyFont="1" applyBorder="1" applyAlignment="1">
      <alignment horizontal="center" vertical="center"/>
    </xf>
    <xf numFmtId="182" fontId="23" fillId="0" borderId="40" xfId="9" applyNumberFormat="1" applyFont="1" applyBorder="1"/>
    <xf numFmtId="43" fontId="23" fillId="0" borderId="40" xfId="9" applyFont="1" applyBorder="1"/>
    <xf numFmtId="171" fontId="23" fillId="0" borderId="23" xfId="9" applyNumberFormat="1" applyFont="1" applyBorder="1"/>
    <xf numFmtId="9" fontId="30" fillId="0" borderId="0" xfId="23" applyNumberFormat="1" applyFont="1"/>
    <xf numFmtId="171" fontId="23" fillId="2" borderId="20" xfId="9" applyNumberFormat="1" applyFont="1" applyFill="1" applyBorder="1" applyAlignment="1">
      <alignment horizontal="center" vertical="center"/>
    </xf>
    <xf numFmtId="43" fontId="23" fillId="2" borderId="20" xfId="9" applyFont="1" applyFill="1" applyBorder="1"/>
    <xf numFmtId="43" fontId="23" fillId="2" borderId="40" xfId="9" applyFont="1" applyFill="1" applyBorder="1" applyAlignment="1">
      <alignment horizontal="center" vertical="center"/>
    </xf>
    <xf numFmtId="43" fontId="24" fillId="2" borderId="40" xfId="9" applyFont="1" applyFill="1" applyBorder="1"/>
    <xf numFmtId="171" fontId="24" fillId="2" borderId="40" xfId="9" applyNumberFormat="1" applyFont="1" applyFill="1" applyBorder="1"/>
    <xf numFmtId="171" fontId="23" fillId="2" borderId="40" xfId="9" applyNumberFormat="1" applyFont="1" applyFill="1" applyBorder="1"/>
    <xf numFmtId="171" fontId="26" fillId="2" borderId="40" xfId="9" applyNumberFormat="1" applyFont="1" applyFill="1" applyBorder="1"/>
    <xf numFmtId="182" fontId="23" fillId="2" borderId="40" xfId="9" applyNumberFormat="1" applyFont="1" applyFill="1" applyBorder="1"/>
    <xf numFmtId="182" fontId="23" fillId="2" borderId="40" xfId="9" applyNumberFormat="1" applyFont="1" applyFill="1" applyBorder="1" applyAlignment="1">
      <alignment horizontal="center" vertical="center"/>
    </xf>
    <xf numFmtId="43" fontId="23" fillId="2" borderId="40" xfId="9" applyFont="1" applyFill="1" applyBorder="1"/>
    <xf numFmtId="171" fontId="23" fillId="2" borderId="23" xfId="9" applyNumberFormat="1" applyFont="1" applyFill="1" applyBorder="1"/>
    <xf numFmtId="173" fontId="30" fillId="0" borderId="0" xfId="23" applyNumberFormat="1" applyFont="1"/>
    <xf numFmtId="43" fontId="23" fillId="0" borderId="18" xfId="9" applyFont="1" applyFill="1" applyBorder="1" applyAlignment="1">
      <alignment horizontal="center"/>
    </xf>
    <xf numFmtId="43" fontId="23" fillId="0" borderId="71" xfId="9" applyFont="1" applyBorder="1"/>
    <xf numFmtId="43" fontId="23" fillId="0" borderId="72" xfId="9" applyFont="1" applyBorder="1" applyAlignment="1">
      <alignment horizontal="center" vertical="center"/>
    </xf>
    <xf numFmtId="43" fontId="24" fillId="0" borderId="72" xfId="9" applyFont="1" applyBorder="1"/>
    <xf numFmtId="171" fontId="24" fillId="0" borderId="72" xfId="9" applyNumberFormat="1" applyFont="1" applyBorder="1"/>
    <xf numFmtId="171" fontId="23" fillId="0" borderId="72" xfId="9" applyNumberFormat="1" applyFont="1" applyBorder="1"/>
    <xf numFmtId="171" fontId="26" fillId="0" borderId="72" xfId="9" applyNumberFormat="1" applyFont="1" applyBorder="1"/>
    <xf numFmtId="182" fontId="23" fillId="0" borderId="72" xfId="9" applyNumberFormat="1" applyFont="1" applyBorder="1"/>
    <xf numFmtId="182" fontId="23" fillId="0" borderId="72" xfId="9" applyNumberFormat="1" applyFont="1" applyBorder="1" applyAlignment="1">
      <alignment horizontal="center" vertical="center"/>
    </xf>
    <xf numFmtId="43" fontId="23" fillId="0" borderId="72" xfId="9" applyFont="1" applyBorder="1"/>
    <xf numFmtId="10" fontId="23" fillId="0" borderId="72" xfId="9" applyNumberFormat="1" applyFont="1" applyBorder="1"/>
    <xf numFmtId="171" fontId="23" fillId="0" borderId="73" xfId="9" applyNumberFormat="1" applyFont="1" applyBorder="1"/>
    <xf numFmtId="171" fontId="30" fillId="0" borderId="0" xfId="9" applyNumberFormat="1" applyFont="1" applyBorder="1"/>
    <xf numFmtId="171" fontId="26" fillId="2" borderId="9" xfId="9" applyNumberFormat="1" applyFont="1" applyFill="1" applyBorder="1" applyAlignment="1">
      <alignment horizontal="center" vertical="center"/>
    </xf>
    <xf numFmtId="43" fontId="26" fillId="2" borderId="9" xfId="9" applyFont="1" applyFill="1" applyBorder="1"/>
    <xf numFmtId="43" fontId="26" fillId="2" borderId="10" xfId="9" applyFont="1" applyFill="1" applyBorder="1" applyAlignment="1">
      <alignment horizontal="center" vertical="center"/>
    </xf>
    <xf numFmtId="43" fontId="25" fillId="2" borderId="10" xfId="9" applyFont="1" applyFill="1" applyBorder="1"/>
    <xf numFmtId="171" fontId="25" fillId="2" borderId="10" xfId="9" applyNumberFormat="1" applyFont="1" applyFill="1" applyBorder="1"/>
    <xf numFmtId="171" fontId="26" fillId="2" borderId="10" xfId="9" applyNumberFormat="1" applyFont="1" applyFill="1" applyBorder="1"/>
    <xf numFmtId="182" fontId="26" fillId="2" borderId="10" xfId="9" applyNumberFormat="1" applyFont="1" applyFill="1" applyBorder="1"/>
    <xf numFmtId="182" fontId="26" fillId="2" borderId="10" xfId="9" applyNumberFormat="1" applyFont="1" applyFill="1" applyBorder="1" applyAlignment="1">
      <alignment horizontal="center" vertical="center"/>
    </xf>
    <xf numFmtId="43" fontId="26" fillId="2" borderId="10" xfId="9" applyFont="1" applyFill="1" applyBorder="1"/>
    <xf numFmtId="171" fontId="26" fillId="2" borderId="11" xfId="9" applyNumberFormat="1" applyFont="1" applyFill="1" applyBorder="1"/>
    <xf numFmtId="171" fontId="30" fillId="0" borderId="0" xfId="23" applyNumberFormat="1" applyFont="1"/>
    <xf numFmtId="9" fontId="0" fillId="0" borderId="0" xfId="4" applyFont="1"/>
    <xf numFmtId="0" fontId="39" fillId="6" borderId="42" xfId="15" applyFont="1" applyFill="1" applyBorder="1"/>
    <xf numFmtId="0" fontId="4" fillId="0" borderId="0" xfId="27" applyFont="1" applyAlignment="1">
      <alignment vertical="center"/>
    </xf>
    <xf numFmtId="17" fontId="2" fillId="0" borderId="25" xfId="0" applyNumberFormat="1" applyFont="1" applyBorder="1" applyAlignment="1">
      <alignment horizontal="center"/>
    </xf>
    <xf numFmtId="170" fontId="0" fillId="0" borderId="25" xfId="0" applyNumberFormat="1" applyBorder="1" applyAlignment="1">
      <alignment horizontal="center" vertical="center"/>
    </xf>
    <xf numFmtId="171" fontId="0" fillId="0" borderId="25" xfId="0" applyNumberFormat="1" applyBorder="1"/>
    <xf numFmtId="171" fontId="0" fillId="0" borderId="70" xfId="0" applyNumberFormat="1" applyBorder="1"/>
    <xf numFmtId="170" fontId="0" fillId="6" borderId="74" xfId="0" applyNumberFormat="1" applyFill="1" applyBorder="1"/>
    <xf numFmtId="169" fontId="0" fillId="0" borderId="25" xfId="2" applyFont="1" applyFill="1" applyBorder="1" applyAlignment="1">
      <alignment horizontal="center" vertical="center"/>
    </xf>
    <xf numFmtId="170" fontId="0" fillId="0" borderId="13" xfId="0" applyNumberFormat="1" applyBorder="1" applyAlignment="1">
      <alignment horizontal="center" vertical="center"/>
    </xf>
    <xf numFmtId="0" fontId="2" fillId="8" borderId="27" xfId="27" applyFont="1" applyFill="1" applyBorder="1" applyAlignment="1">
      <alignment horizontal="center" vertical="center"/>
    </xf>
    <xf numFmtId="0" fontId="36" fillId="0" borderId="39" xfId="27" applyFont="1" applyBorder="1" applyAlignment="1">
      <alignment horizontal="center" vertical="center"/>
    </xf>
    <xf numFmtId="0" fontId="36" fillId="0" borderId="40" xfId="27" applyFont="1" applyBorder="1" applyAlignment="1">
      <alignment horizontal="center" vertical="center"/>
    </xf>
    <xf numFmtId="0" fontId="36" fillId="0" borderId="75" xfId="27" applyFont="1" applyBorder="1" applyAlignment="1">
      <alignment horizontal="center" vertical="center"/>
    </xf>
    <xf numFmtId="0" fontId="1" fillId="0" borderId="75" xfId="27" applyBorder="1" applyAlignment="1">
      <alignment horizontal="center" vertical="center"/>
    </xf>
    <xf numFmtId="43" fontId="8" fillId="0" borderId="0" xfId="9" applyFont="1" applyFill="1" applyAlignment="1">
      <alignment horizontal="center" vertical="center"/>
    </xf>
    <xf numFmtId="0" fontId="8" fillId="0" borderId="0" xfId="9" applyNumberFormat="1" applyFont="1"/>
    <xf numFmtId="0" fontId="8" fillId="0" borderId="0" xfId="16" applyFont="1" applyAlignment="1">
      <alignment horizontal="center" vertical="center"/>
    </xf>
    <xf numFmtId="173" fontId="9" fillId="0" borderId="0" xfId="9" applyNumberFormat="1" applyFont="1" applyBorder="1" applyAlignment="1">
      <alignment horizontal="center" vertical="center"/>
    </xf>
    <xf numFmtId="43" fontId="8" fillId="0" borderId="0" xfId="9" applyFont="1" applyAlignment="1">
      <alignment horizontal="center" vertical="center"/>
    </xf>
    <xf numFmtId="43" fontId="11" fillId="0" borderId="13" xfId="9" applyFont="1" applyBorder="1" applyAlignment="1">
      <alignment horizontal="center" vertical="center" wrapText="1"/>
    </xf>
    <xf numFmtId="0" fontId="8" fillId="0" borderId="0" xfId="16" applyFont="1"/>
    <xf numFmtId="174" fontId="24" fillId="0" borderId="0" xfId="17" applyFont="1" applyBorder="1"/>
    <xf numFmtId="10" fontId="24" fillId="0" borderId="0" xfId="17" applyNumberFormat="1" applyFont="1" applyBorder="1"/>
    <xf numFmtId="166" fontId="8" fillId="0" borderId="0" xfId="16" applyNumberFormat="1" applyFont="1"/>
    <xf numFmtId="43" fontId="11" fillId="12" borderId="13" xfId="9" applyFont="1" applyFill="1" applyBorder="1" applyAlignment="1">
      <alignment horizontal="center" vertical="center" wrapText="1"/>
    </xf>
    <xf numFmtId="43" fontId="9" fillId="0" borderId="0" xfId="9" applyFont="1" applyFill="1" applyAlignment="1">
      <alignment horizontal="center" vertical="center"/>
    </xf>
    <xf numFmtId="0" fontId="9" fillId="0" borderId="0" xfId="9" applyNumberFormat="1" applyFont="1" applyAlignment="1">
      <alignment vertical="center" wrapText="1"/>
    </xf>
    <xf numFmtId="173" fontId="9" fillId="0" borderId="0" xfId="9" applyNumberFormat="1" applyFont="1" applyFill="1" applyBorder="1" applyAlignment="1">
      <alignment horizontal="center" vertical="center" wrapText="1"/>
    </xf>
    <xf numFmtId="43" fontId="9" fillId="0" borderId="0" xfId="9" applyFont="1" applyFill="1" applyBorder="1" applyAlignment="1">
      <alignment horizontal="center" vertical="center" wrapText="1"/>
    </xf>
    <xf numFmtId="43" fontId="11" fillId="0" borderId="0" xfId="9" applyFont="1" applyAlignment="1">
      <alignment horizontal="center" vertical="center" wrapText="1"/>
    </xf>
    <xf numFmtId="166" fontId="9" fillId="0" borderId="0" xfId="7" applyNumberFormat="1" applyFont="1" applyAlignment="1">
      <alignment vertical="center" wrapText="1"/>
    </xf>
    <xf numFmtId="14" fontId="11" fillId="0" borderId="0" xfId="9" applyNumberFormat="1" applyFont="1" applyFill="1" applyBorder="1" applyAlignment="1">
      <alignment horizontal="center" vertical="center" wrapText="1"/>
    </xf>
    <xf numFmtId="0" fontId="11" fillId="0" borderId="0" xfId="7" applyFont="1" applyAlignment="1">
      <alignment vertical="center"/>
    </xf>
    <xf numFmtId="0" fontId="11" fillId="0" borderId="0" xfId="9" applyNumberFormat="1" applyFont="1" applyAlignment="1">
      <alignment vertical="center"/>
    </xf>
    <xf numFmtId="43" fontId="9" fillId="0" borderId="0" xfId="9" applyFont="1" applyBorder="1" applyAlignment="1">
      <alignment horizontal="center" vertical="center" wrapText="1"/>
    </xf>
    <xf numFmtId="17" fontId="9" fillId="0" borderId="0" xfId="7" applyNumberFormat="1" applyFont="1" applyAlignment="1">
      <alignment vertical="center" wrapText="1"/>
    </xf>
    <xf numFmtId="10" fontId="9" fillId="0" borderId="0" xfId="7" applyNumberFormat="1" applyFont="1" applyAlignment="1">
      <alignment vertical="center" wrapText="1"/>
    </xf>
    <xf numFmtId="173" fontId="9" fillId="0" borderId="27" xfId="9" applyNumberFormat="1" applyFont="1" applyFill="1" applyBorder="1" applyAlignment="1">
      <alignment horizontal="center" vertical="center" wrapText="1"/>
    </xf>
    <xf numFmtId="43" fontId="11" fillId="0" borderId="0" xfId="9" applyFont="1" applyBorder="1" applyAlignment="1">
      <alignment horizontal="center" vertical="center" wrapText="1"/>
    </xf>
    <xf numFmtId="0" fontId="64" fillId="0" borderId="13" xfId="7" applyFont="1" applyBorder="1" applyAlignment="1">
      <alignment horizontal="center" vertical="center" wrapText="1"/>
    </xf>
    <xf numFmtId="10" fontId="64" fillId="0" borderId="9" xfId="7" applyNumberFormat="1" applyFont="1" applyBorder="1" applyAlignment="1">
      <alignment horizontal="center" vertical="center" wrapText="1"/>
    </xf>
    <xf numFmtId="43" fontId="11" fillId="0" borderId="9" xfId="9" applyFont="1" applyFill="1" applyBorder="1" applyAlignment="1">
      <alignment horizontal="center" vertical="center"/>
    </xf>
    <xf numFmtId="0" fontId="11" fillId="0" borderId="11" xfId="9" applyNumberFormat="1" applyFont="1" applyBorder="1" applyAlignment="1">
      <alignment horizontal="center" vertical="center" wrapText="1"/>
    </xf>
    <xf numFmtId="173" fontId="11" fillId="0" borderId="13" xfId="9" applyNumberFormat="1" applyFont="1" applyFill="1" applyBorder="1" applyAlignment="1">
      <alignment horizontal="center" vertical="center"/>
    </xf>
    <xf numFmtId="43" fontId="11" fillId="0" borderId="15" xfId="9" applyFont="1" applyFill="1" applyBorder="1" applyAlignment="1">
      <alignment horizontal="center" vertical="center"/>
    </xf>
    <xf numFmtId="43" fontId="4" fillId="0" borderId="0" xfId="9" applyFont="1" applyAlignment="1">
      <alignment horizontal="center" vertical="center"/>
    </xf>
    <xf numFmtId="171" fontId="24" fillId="0" borderId="10" xfId="18" applyNumberFormat="1" applyFont="1" applyFill="1" applyBorder="1" applyAlignment="1">
      <alignment horizontal="center" vertical="center" wrapText="1"/>
    </xf>
    <xf numFmtId="43" fontId="24" fillId="0" borderId="10" xfId="18" applyFont="1" applyFill="1" applyBorder="1" applyAlignment="1">
      <alignment horizontal="center" vertical="center" wrapText="1"/>
    </xf>
    <xf numFmtId="10" fontId="24" fillId="0" borderId="10" xfId="18" applyNumberFormat="1" applyFont="1" applyFill="1" applyBorder="1" applyAlignment="1">
      <alignment horizontal="center" vertical="center" wrapText="1"/>
    </xf>
    <xf numFmtId="0" fontId="11" fillId="0" borderId="10" xfId="9" applyNumberFormat="1" applyFont="1" applyFill="1" applyBorder="1" applyAlignment="1">
      <alignment vertical="center" wrapText="1"/>
    </xf>
    <xf numFmtId="173" fontId="9" fillId="0" borderId="10" xfId="9" applyNumberFormat="1" applyFont="1" applyFill="1" applyBorder="1" applyAlignment="1">
      <alignment horizontal="center" vertical="center" wrapText="1"/>
    </xf>
    <xf numFmtId="175" fontId="9" fillId="0" borderId="10" xfId="9" applyNumberFormat="1" applyFont="1" applyFill="1" applyBorder="1" applyAlignment="1">
      <alignment horizontal="center" vertical="center" wrapText="1"/>
    </xf>
    <xf numFmtId="175" fontId="11" fillId="0" borderId="11" xfId="9" applyNumberFormat="1" applyFont="1" applyFill="1" applyBorder="1" applyAlignment="1">
      <alignment horizontal="center" vertical="center"/>
    </xf>
    <xf numFmtId="9" fontId="8" fillId="0" borderId="0" xfId="25" applyFont="1" applyFill="1"/>
    <xf numFmtId="0" fontId="9" fillId="0" borderId="0" xfId="16" applyFont="1"/>
    <xf numFmtId="9" fontId="24" fillId="0" borderId="34" xfId="18" applyNumberFormat="1" applyFont="1" applyFill="1" applyBorder="1" applyAlignment="1">
      <alignment horizontal="center" vertical="center" wrapText="1"/>
    </xf>
    <xf numFmtId="9" fontId="24" fillId="0" borderId="0" xfId="18" applyNumberFormat="1" applyFont="1" applyFill="1" applyBorder="1" applyAlignment="1">
      <alignment horizontal="center" vertical="center" wrapText="1"/>
    </xf>
    <xf numFmtId="9" fontId="24" fillId="0" borderId="76" xfId="18" applyNumberFormat="1" applyFont="1" applyFill="1" applyBorder="1" applyAlignment="1">
      <alignment horizontal="center" vertical="center" wrapText="1"/>
    </xf>
    <xf numFmtId="166" fontId="9" fillId="0" borderId="0" xfId="16" applyNumberFormat="1" applyFont="1"/>
    <xf numFmtId="43" fontId="8" fillId="0" borderId="25" xfId="9" applyFont="1" applyFill="1" applyBorder="1" applyAlignment="1">
      <alignment horizontal="center" vertical="center"/>
    </xf>
    <xf numFmtId="0" fontId="9" fillId="0" borderId="25" xfId="9" applyNumberFormat="1" applyFont="1" applyBorder="1" applyAlignment="1">
      <alignment vertical="top" wrapText="1"/>
    </xf>
    <xf numFmtId="49" fontId="9" fillId="0" borderId="25" xfId="16" applyNumberFormat="1" applyFont="1" applyBorder="1" applyAlignment="1">
      <alignment horizontal="center" vertical="center"/>
    </xf>
    <xf numFmtId="175" fontId="8" fillId="0" borderId="25" xfId="9" applyNumberFormat="1" applyFont="1" applyBorder="1" applyAlignment="1">
      <alignment horizontal="center" vertical="center"/>
    </xf>
    <xf numFmtId="175" fontId="4" fillId="0" borderId="0" xfId="9" applyNumberFormat="1" applyFont="1" applyAlignment="1">
      <alignment horizontal="center" vertical="center"/>
    </xf>
    <xf numFmtId="9" fontId="8" fillId="0" borderId="0" xfId="25" applyFont="1"/>
    <xf numFmtId="9" fontId="28" fillId="0" borderId="35" xfId="20" applyFont="1" applyBorder="1"/>
    <xf numFmtId="183" fontId="28" fillId="0" borderId="35" xfId="20" applyNumberFormat="1" applyFont="1" applyBorder="1"/>
    <xf numFmtId="43" fontId="8" fillId="0" borderId="19" xfId="9" applyFont="1" applyFill="1" applyBorder="1" applyAlignment="1">
      <alignment horizontal="center" vertical="center"/>
    </xf>
    <xf numFmtId="49" fontId="9" fillId="0" borderId="19" xfId="16" applyNumberFormat="1" applyFont="1" applyBorder="1" applyAlignment="1">
      <alignment horizontal="center" vertical="center"/>
    </xf>
    <xf numFmtId="175" fontId="8" fillId="0" borderId="19" xfId="9" applyNumberFormat="1" applyFont="1" applyBorder="1" applyAlignment="1">
      <alignment horizontal="center" vertical="center"/>
    </xf>
    <xf numFmtId="173" fontId="9" fillId="0" borderId="19" xfId="9" applyNumberFormat="1" applyFont="1" applyFill="1" applyBorder="1" applyAlignment="1">
      <alignment horizontal="center" vertical="center" wrapText="1"/>
    </xf>
    <xf numFmtId="9" fontId="28" fillId="0" borderId="35" xfId="20" applyFont="1" applyFill="1" applyBorder="1"/>
    <xf numFmtId="9" fontId="28" fillId="0" borderId="36" xfId="20" applyFont="1" applyBorder="1"/>
    <xf numFmtId="0" fontId="11" fillId="0" borderId="10" xfId="9" applyNumberFormat="1" applyFont="1" applyBorder="1" applyAlignment="1">
      <alignment vertical="center" wrapText="1"/>
    </xf>
    <xf numFmtId="175" fontId="11" fillId="0" borderId="10" xfId="9" applyNumberFormat="1" applyFont="1" applyFill="1" applyBorder="1" applyAlignment="1">
      <alignment horizontal="center" vertical="center" wrapText="1"/>
    </xf>
    <xf numFmtId="175" fontId="11" fillId="0" borderId="11" xfId="9" applyNumberFormat="1" applyFont="1" applyFill="1" applyBorder="1" applyAlignment="1">
      <alignment horizontal="center" vertical="center" wrapText="1"/>
    </xf>
    <xf numFmtId="43" fontId="8" fillId="0" borderId="0" xfId="22" applyFont="1" applyFill="1"/>
    <xf numFmtId="10" fontId="28" fillId="0" borderId="35" xfId="20" applyNumberFormat="1" applyFont="1" applyBorder="1"/>
    <xf numFmtId="166" fontId="8" fillId="0" borderId="0" xfId="22" applyNumberFormat="1" applyFont="1" applyFill="1"/>
    <xf numFmtId="43" fontId="11" fillId="0" borderId="34" xfId="9" applyFont="1" applyFill="1" applyBorder="1" applyAlignment="1">
      <alignment horizontal="center" vertical="center"/>
    </xf>
    <xf numFmtId="0" fontId="4" fillId="0" borderId="34" xfId="9" applyNumberFormat="1" applyFont="1" applyFill="1" applyBorder="1" applyAlignment="1">
      <alignment vertical="center" wrapText="1"/>
    </xf>
    <xf numFmtId="43" fontId="9" fillId="0" borderId="34" xfId="22" applyFont="1" applyFill="1" applyBorder="1" applyAlignment="1">
      <alignment horizontal="center" vertical="center" wrapText="1"/>
    </xf>
    <xf numFmtId="173" fontId="9" fillId="0" borderId="34" xfId="9" applyNumberFormat="1" applyFont="1" applyFill="1" applyBorder="1" applyAlignment="1">
      <alignment horizontal="center" vertical="center" wrapText="1"/>
    </xf>
    <xf numFmtId="175" fontId="8" fillId="0" borderId="34" xfId="9" applyNumberFormat="1" applyFont="1" applyBorder="1" applyAlignment="1">
      <alignment horizontal="center" vertical="center"/>
    </xf>
    <xf numFmtId="175" fontId="11" fillId="0" borderId="34" xfId="9" applyNumberFormat="1" applyFont="1" applyFill="1" applyBorder="1" applyAlignment="1">
      <alignment horizontal="center" vertical="center" wrapText="1"/>
    </xf>
    <xf numFmtId="171" fontId="28" fillId="0" borderId="35" xfId="24" applyNumberFormat="1" applyFont="1" applyBorder="1"/>
    <xf numFmtId="43" fontId="9" fillId="0" borderId="27" xfId="9" applyFont="1" applyFill="1" applyBorder="1" applyAlignment="1">
      <alignment horizontal="center" vertical="center"/>
    </xf>
    <xf numFmtId="0" fontId="9" fillId="0" borderId="27" xfId="9" applyNumberFormat="1" applyFont="1" applyBorder="1" applyAlignment="1">
      <alignment horizontal="left" vertical="top" wrapText="1"/>
    </xf>
    <xf numFmtId="0" fontId="8" fillId="0" borderId="27" xfId="16" applyFont="1" applyBorder="1" applyAlignment="1">
      <alignment horizontal="center" vertical="center"/>
    </xf>
    <xf numFmtId="9" fontId="8" fillId="0" borderId="27" xfId="11" applyFont="1" applyFill="1" applyBorder="1" applyAlignment="1">
      <alignment horizontal="center" vertical="center"/>
    </xf>
    <xf numFmtId="175" fontId="9" fillId="0" borderId="27" xfId="9" applyNumberFormat="1" applyFont="1" applyFill="1" applyBorder="1" applyAlignment="1">
      <alignment horizontal="center" vertical="center" wrapText="1"/>
    </xf>
    <xf numFmtId="175" fontId="4" fillId="0" borderId="27" xfId="9" applyNumberFormat="1" applyFont="1" applyBorder="1" applyAlignment="1">
      <alignment horizontal="center" vertical="center"/>
    </xf>
    <xf numFmtId="10" fontId="28" fillId="0" borderId="35" xfId="24" applyNumberFormat="1" applyFont="1" applyBorder="1"/>
    <xf numFmtId="0" fontId="8" fillId="0" borderId="37" xfId="16" applyFont="1" applyBorder="1"/>
    <xf numFmtId="9" fontId="28" fillId="0" borderId="38" xfId="20" applyFont="1" applyBorder="1"/>
    <xf numFmtId="174" fontId="63" fillId="0" borderId="0" xfId="17" applyFont="1" applyBorder="1"/>
    <xf numFmtId="10" fontId="63" fillId="0" borderId="0" xfId="17" applyNumberFormat="1" applyFont="1" applyBorder="1"/>
    <xf numFmtId="9" fontId="65" fillId="17" borderId="0" xfId="27" applyNumberFormat="1" applyFont="1" applyFill="1" applyAlignment="1">
      <alignment horizontal="center" vertical="center"/>
    </xf>
    <xf numFmtId="9" fontId="1" fillId="17" borderId="0" xfId="27" applyNumberFormat="1" applyFill="1" applyAlignment="1">
      <alignment horizontal="center" vertical="center"/>
    </xf>
    <xf numFmtId="179" fontId="59" fillId="0" borderId="0" xfId="4" applyNumberFormat="1" applyFont="1" applyAlignment="1">
      <alignment horizontal="center"/>
    </xf>
    <xf numFmtId="171" fontId="2" fillId="3" borderId="0" xfId="1" applyNumberFormat="1" applyFont="1" applyFill="1" applyAlignment="1">
      <alignment vertical="center"/>
    </xf>
    <xf numFmtId="171" fontId="1" fillId="3" borderId="0" xfId="27" applyNumberFormat="1" applyFill="1" applyAlignment="1">
      <alignment vertical="center"/>
    </xf>
    <xf numFmtId="171" fontId="1" fillId="3" borderId="0" xfId="1" applyNumberFormat="1" applyFill="1" applyAlignment="1">
      <alignment vertical="center"/>
    </xf>
    <xf numFmtId="171" fontId="2" fillId="8" borderId="0" xfId="27" applyNumberFormat="1" applyFont="1" applyFill="1" applyAlignment="1">
      <alignment vertical="center"/>
    </xf>
    <xf numFmtId="173" fontId="2" fillId="7" borderId="0" xfId="1" applyNumberFormat="1" applyFont="1" applyFill="1" applyAlignment="1">
      <alignment horizontal="center" vertical="center"/>
    </xf>
    <xf numFmtId="175" fontId="37" fillId="0" borderId="0" xfId="28" applyNumberFormat="1" applyFont="1" applyFill="1" applyBorder="1" applyAlignment="1">
      <alignment vertical="center"/>
    </xf>
    <xf numFmtId="175" fontId="1" fillId="0" borderId="22" xfId="28" applyNumberFormat="1" applyFont="1" applyBorder="1" applyAlignment="1">
      <alignment vertical="center"/>
    </xf>
    <xf numFmtId="0" fontId="0" fillId="0" borderId="26" xfId="27" applyFont="1" applyBorder="1" applyAlignment="1">
      <alignment horizontal="center" vertical="center"/>
    </xf>
    <xf numFmtId="0" fontId="4" fillId="0" borderId="26" xfId="27" applyFont="1" applyBorder="1" applyAlignment="1">
      <alignment vertical="center"/>
    </xf>
    <xf numFmtId="9" fontId="66" fillId="17" borderId="0" xfId="27" applyNumberFormat="1" applyFont="1" applyFill="1" applyAlignment="1">
      <alignment horizontal="center" vertical="center"/>
    </xf>
    <xf numFmtId="0" fontId="2" fillId="7" borderId="0" xfId="27" applyFont="1" applyFill="1" applyAlignment="1">
      <alignment horizontal="left" vertical="center"/>
    </xf>
    <xf numFmtId="10" fontId="67" fillId="0" borderId="40" xfId="9" applyNumberFormat="1" applyFont="1" applyFill="1" applyBorder="1"/>
    <xf numFmtId="0" fontId="5" fillId="0" borderId="0" xfId="27" applyFont="1" applyAlignment="1">
      <alignment vertical="center"/>
    </xf>
    <xf numFmtId="9" fontId="68" fillId="17" borderId="0" xfId="27" applyNumberFormat="1" applyFont="1" applyFill="1" applyAlignment="1">
      <alignment horizontal="center" vertical="center"/>
    </xf>
    <xf numFmtId="173" fontId="1" fillId="0" borderId="0" xfId="27" applyNumberFormat="1" applyAlignment="1">
      <alignment vertical="center"/>
    </xf>
    <xf numFmtId="43" fontId="28" fillId="0" borderId="0" xfId="22" applyFont="1" applyFill="1"/>
    <xf numFmtId="164" fontId="0" fillId="0" borderId="0" xfId="0" applyNumberFormat="1"/>
    <xf numFmtId="166" fontId="65" fillId="17" borderId="0" xfId="27" applyNumberFormat="1" applyFont="1" applyFill="1" applyAlignment="1">
      <alignment horizontal="left" vertical="center"/>
    </xf>
    <xf numFmtId="0" fontId="2" fillId="8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73" fontId="11" fillId="0" borderId="9" xfId="31" applyNumberFormat="1" applyFont="1" applyBorder="1" applyAlignment="1">
      <alignment horizontal="center" wrapText="1"/>
    </xf>
    <xf numFmtId="173" fontId="11" fillId="0" borderId="11" xfId="31" applyNumberFormat="1" applyFont="1" applyBorder="1" applyAlignment="1">
      <alignment horizontal="center" wrapText="1"/>
    </xf>
    <xf numFmtId="173" fontId="11" fillId="0" borderId="9" xfId="5" applyNumberFormat="1" applyFont="1" applyBorder="1" applyAlignment="1">
      <alignment horizontal="center" wrapText="1"/>
    </xf>
    <xf numFmtId="173" fontId="11" fillId="0" borderId="10" xfId="5" applyNumberFormat="1" applyFont="1" applyBorder="1" applyAlignment="1">
      <alignment horizontal="center" wrapText="1"/>
    </xf>
    <xf numFmtId="173" fontId="11" fillId="0" borderId="11" xfId="5" applyNumberFormat="1" applyFont="1" applyBorder="1" applyAlignment="1">
      <alignment horizontal="center" wrapText="1"/>
    </xf>
    <xf numFmtId="182" fontId="26" fillId="0" borderId="13" xfId="9" applyNumberFormat="1" applyFont="1" applyBorder="1" applyAlignment="1">
      <alignment horizontal="center" vertical="center"/>
    </xf>
    <xf numFmtId="43" fontId="26" fillId="0" borderId="13" xfId="9" applyFont="1" applyBorder="1" applyAlignment="1">
      <alignment horizontal="center" vertical="center"/>
    </xf>
    <xf numFmtId="14" fontId="53" fillId="24" borderId="0" xfId="0" applyNumberFormat="1" applyFont="1" applyFill="1" applyAlignment="1">
      <alignment horizontal="center" vertical="center" wrapText="1"/>
    </xf>
  </cellXfs>
  <cellStyles count="41">
    <cellStyle name="Comma" xfId="1" builtinId="3"/>
    <cellStyle name="Good" xfId="33" builtinId="26"/>
    <cellStyle name="Millares 10" xfId="10" xr:uid="{AA4FA068-1027-4E02-A966-8682FB03E700}"/>
    <cellStyle name="Millares 10 2" xfId="22" xr:uid="{86A100AD-1C34-4989-B4BD-A62A0CAA0064}"/>
    <cellStyle name="Millares 10 3" xfId="21" xr:uid="{6E2B135F-62B0-485F-BEEA-245CECBAD11B}"/>
    <cellStyle name="Millares 11 2" xfId="37" xr:uid="{A62A61DA-DD6F-4FF7-A413-011D106321BC}"/>
    <cellStyle name="Millares 12 2" xfId="9" xr:uid="{9A1E8879-E7B9-4FA0-86F9-4AF4B1D0A112}"/>
    <cellStyle name="Millares 12 2 2" xfId="31" xr:uid="{D8ADB6AD-DB2D-47D9-8296-866CAB0B1E36}"/>
    <cellStyle name="Millares 14" xfId="30" xr:uid="{D6ADE604-630E-40F5-B4DA-BC514FDD4E40}"/>
    <cellStyle name="Millares 2" xfId="5" xr:uid="{0BFB9591-1C46-4750-8923-5CB3BAEF4930}"/>
    <cellStyle name="Millares 2 2" xfId="29" xr:uid="{FFC0F759-E408-4752-8B3D-24DD880974BA}"/>
    <cellStyle name="Millares 23" xfId="28" xr:uid="{44B33950-9F17-4B39-81DF-3FC07342EC9A}"/>
    <cellStyle name="Millares 3 2" xfId="2" xr:uid="{041FCA7B-9915-459F-913B-19853455C300}"/>
    <cellStyle name="Millares 3 2 2" xfId="17" xr:uid="{CC56A24E-A791-4176-B878-952E05CCFEB0}"/>
    <cellStyle name="Millares 3 5 2 2" xfId="38" xr:uid="{18250AE1-7A58-41E6-97BB-2B4336C98995}"/>
    <cellStyle name="Millares 3 5 4 2" xfId="36" xr:uid="{C8ED6B9E-3582-466E-A3AA-51C251D0C37D}"/>
    <cellStyle name="Millares 5 3" xfId="39" xr:uid="{1E9CFF2F-2AD7-4022-88E4-6E75FED130C4}"/>
    <cellStyle name="Millares 6 2" xfId="34" xr:uid="{8B5828F5-7DA4-48FF-BCBA-C54787912FB2}"/>
    <cellStyle name="Millares 7" xfId="18" xr:uid="{4110D10C-13AF-4744-967D-E7F5C89C3D62}"/>
    <cellStyle name="Normal" xfId="0" builtinId="0"/>
    <cellStyle name="Normal 12" xfId="12" xr:uid="{5B2BCC77-EA37-413F-9C80-45BF462D80DE}"/>
    <cellStyle name="Normal 2" xfId="6" xr:uid="{582AD4AE-20B4-4A6F-8E43-8CC850649F8A}"/>
    <cellStyle name="Normal 2 2" xfId="7" xr:uid="{AFA59E9F-54AB-4E62-A77F-EB694AE66DB7}"/>
    <cellStyle name="Normal 2 3" xfId="16" xr:uid="{A0F8FFAC-6E03-485E-A62F-75C07DAB7F60}"/>
    <cellStyle name="Normal 2 4" xfId="15" xr:uid="{26FCCAD3-08A2-4529-A748-CDBA973660EA}"/>
    <cellStyle name="Normal 2 5" xfId="14" xr:uid="{16357AEF-6A7B-4031-AC28-B3F5951D507C}"/>
    <cellStyle name="Normal 2 5 3" xfId="23" xr:uid="{C416777C-245E-42E9-AE29-07B0455E083E}"/>
    <cellStyle name="Normal 25" xfId="27" xr:uid="{3F4BF4D3-DD12-4205-9C4E-EF5F6DEDDA94}"/>
    <cellStyle name="Normal 3" xfId="13" xr:uid="{9792EBD9-D777-4A96-BCA6-F9132CAF305C}"/>
    <cellStyle name="Normal 4" xfId="3" xr:uid="{1116910E-8EB9-4DC7-9F6B-304F1641A14E}"/>
    <cellStyle name="Normal 4 2" xfId="24" xr:uid="{D9E9D024-2B4C-4A34-B33C-6827087C3137}"/>
    <cellStyle name="Normal 5 2 2" xfId="35" xr:uid="{9F1D9892-944F-489D-AD6D-91E753A257AE}"/>
    <cellStyle name="Normal 7 2" xfId="32" xr:uid="{558FC7BC-6765-489D-AB14-DA4BCE971754}"/>
    <cellStyle name="Percent" xfId="4" builtinId="5"/>
    <cellStyle name="Porcentaje 2" xfId="11" xr:uid="{01DCB404-A42B-4355-9269-CE86C831125D}"/>
    <cellStyle name="Porcentaje 2 2 2" xfId="20" xr:uid="{1631CD9B-C532-43E7-98CB-57B080A89062}"/>
    <cellStyle name="Porcentaje 3" xfId="26" xr:uid="{E154FD18-772A-4CAD-954E-934A759E79FF}"/>
    <cellStyle name="Porcentaje 5" xfId="8" xr:uid="{729568BD-1D47-4884-BCA5-8EE5BFD721DB}"/>
    <cellStyle name="Porcentaje 5 2" xfId="25" xr:uid="{7E284004-D7A1-4349-BE9F-B397B8E0B57A}"/>
    <cellStyle name="Porcentaje 5 3" xfId="19" xr:uid="{CDFA7FFA-A918-416A-ABEB-5441D34A5AFD}"/>
    <cellStyle name="Porcentual 2" xfId="40" xr:uid="{D689CA61-867B-4AC3-B4C1-53687BF3647F}"/>
  </cellStyles>
  <dxfs count="9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Inherit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0_-;\-* #,##0.00_-;_-* &quot;-&quot;??_-;_-@_-"/>
      <alignment horizontal="right" vertical="center" textRotation="0" wrapText="1" indent="0" justifyLastLine="0" shrinkToFit="0" readingOrder="0"/>
    </dxf>
    <dxf>
      <numFmt numFmtId="184" formatCode="dd/mm/yyyy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84" formatCode="dd/mm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</font>
    </dxf>
    <dxf>
      <numFmt numFmtId="179" formatCode="0.000"/>
    </dxf>
    <dxf>
      <numFmt numFmtId="22" formatCode="mmm\-yy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28576</xdr:rowOff>
    </xdr:from>
    <xdr:to>
      <xdr:col>1</xdr:col>
      <xdr:colOff>1621155</xdr:colOff>
      <xdr:row>1</xdr:row>
      <xdr:rowOff>59579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434922BB-1467-4792-8E7C-5E39D708E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28576"/>
          <a:ext cx="1621155" cy="307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38100</xdr:rowOff>
    </xdr:from>
    <xdr:to>
      <xdr:col>1</xdr:col>
      <xdr:colOff>1655524</xdr:colOff>
      <xdr:row>2</xdr:row>
      <xdr:rowOff>1905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F7646562-C8CD-4F4A-BEFB-B4285531C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1" y="38100"/>
          <a:ext cx="1665048" cy="3257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38100</xdr:rowOff>
    </xdr:from>
    <xdr:to>
      <xdr:col>1</xdr:col>
      <xdr:colOff>1655524</xdr:colOff>
      <xdr:row>2</xdr:row>
      <xdr:rowOff>1905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74CFA660-D606-4F25-A3A6-65CDEAD41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1" y="38100"/>
          <a:ext cx="1665048" cy="3257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</xdr:colOff>
      <xdr:row>0</xdr:row>
      <xdr:rowOff>83820</xdr:rowOff>
    </xdr:from>
    <xdr:to>
      <xdr:col>1</xdr:col>
      <xdr:colOff>2473642</xdr:colOff>
      <xdr:row>2</xdr:row>
      <xdr:rowOff>173381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802F4E12-843C-4254-A9CB-59089E4BD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0990" y="83820"/>
          <a:ext cx="2448877" cy="4419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</xdr:colOff>
      <xdr:row>0</xdr:row>
      <xdr:rowOff>131445</xdr:rowOff>
    </xdr:from>
    <xdr:to>
      <xdr:col>1</xdr:col>
      <xdr:colOff>2457144</xdr:colOff>
      <xdr:row>3</xdr:row>
      <xdr:rowOff>92337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FE5ED79B-123F-4A8F-AE2C-EAB72ED84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0540" y="135255"/>
          <a:ext cx="2398089" cy="5038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</xdr:colOff>
      <xdr:row>0</xdr:row>
      <xdr:rowOff>131445</xdr:rowOff>
    </xdr:from>
    <xdr:to>
      <xdr:col>2</xdr:col>
      <xdr:colOff>2457144</xdr:colOff>
      <xdr:row>3</xdr:row>
      <xdr:rowOff>92337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8738F5E9-E8A7-41C1-80E6-F376EA6D6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92374" cy="5038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</xdr:colOff>
      <xdr:row>0</xdr:row>
      <xdr:rowOff>131445</xdr:rowOff>
    </xdr:from>
    <xdr:to>
      <xdr:col>2</xdr:col>
      <xdr:colOff>2457144</xdr:colOff>
      <xdr:row>3</xdr:row>
      <xdr:rowOff>129540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20820A7D-8E4D-4EFF-BAD8-C083566DC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5815" y="135255"/>
          <a:ext cx="2398089" cy="5029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3</xdr:col>
      <xdr:colOff>289254</xdr:colOff>
      <xdr:row>3</xdr:row>
      <xdr:rowOff>91440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CC6F65F5-2173-4FD4-A0D0-14F6AC582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2915" y="87630"/>
          <a:ext cx="2401899" cy="5124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</xdr:colOff>
      <xdr:row>0</xdr:row>
      <xdr:rowOff>47625</xdr:rowOff>
    </xdr:from>
    <xdr:to>
      <xdr:col>3</xdr:col>
      <xdr:colOff>169623</xdr:colOff>
      <xdr:row>1</xdr:row>
      <xdr:rowOff>169545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9B65B720-66CA-40BF-97C5-A02E2F6C3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08220" y="47625"/>
          <a:ext cx="1708863" cy="312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</xdr:colOff>
      <xdr:row>0</xdr:row>
      <xdr:rowOff>131445</xdr:rowOff>
    </xdr:from>
    <xdr:to>
      <xdr:col>1</xdr:col>
      <xdr:colOff>2460954</xdr:colOff>
      <xdr:row>3</xdr:row>
      <xdr:rowOff>96147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39BCD491-F576-40D8-A18B-2D8EC6C95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" y="131445"/>
          <a:ext cx="2392374" cy="50381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RQUINERING%20SRL\Oficina%20Tecnica%20-%20Documentos\1.%20Obras%20en%20Curso\11.%20GDR%203760\00.%20Administracion\3.%20Resumen%20de%20Obra\GDR%203760%20-%20Resumen%20de%20Obra.xlsx" TargetMode="External"/><Relationship Id="rId1" Type="http://schemas.openxmlformats.org/officeDocument/2006/relationships/externalLinkPath" Target="file:///Z:\ARQUINERING%20SRL\Oficina%20Tecnica%20-%20Documentos\1.%20Obras%20en%20Curso\11.%20GDR%203760\00.%20Administracion\3.%20Resumen%20de%20Obra\GDR%203760%20-%20Resumen%20de%20Obr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genma15gepcge\data\BATTAGLI\TOPO\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i%20unidad\Particular\EIWA\Campa&#241;a%2018-19\Performance%20EIWA%2018-19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quineringms.sharepoint.com/sites/Administracion/Documentos%20compartidos/Gesti&#243;n/1.%20Arquinering/Presupuesto/Ejercicio%202023%20-%202024/Papeles%20de%20Trabajo/AING%20-%20Personal%202023-2024%20-%20Con%20Nuevos%20Ingresos.xlsm" TargetMode="External"/><Relationship Id="rId1" Type="http://schemas.openxmlformats.org/officeDocument/2006/relationships/externalLinkPath" Target="https://arquineringms.sharepoint.com/sites/Administracion/Documentos%20compartidos/Gesti&#243;n/1.%20Arquinering/Presupuesto/Ejercicio%202023%20-%202024/AING%20-%20Personal%202023-2024%20-%20Con%20Nuevos%20Ingresos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houfs1\dept\DOCUME~1\220010~1.GEL\LOCALS~1\Temp\GES%20Mfg%20Plant%20July%202006%20-%20TEMPLATE\Total%20Belgium%204%20Pager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houfs1\dept\Departments\S510\Variable%20Cost%20Productivity%20GEPC%20Belgium\MFG%20Monthly%20Pulsing%20Packages\2002\05%202002\4-Pager%20Belgium%20May%202002%20LOG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eandro.casalla/AppData/Local/Microsoft/Windows/INetCache/Content.Outlook/U3I9D2G8/CH%202171_Pres%2002.xlsx" TargetMode="External"/><Relationship Id="rId2" Type="http://schemas.openxmlformats.org/officeDocument/2006/relationships/externalLinkPath" Target="file:///C:\Users\leandro.casalla\AppData\Local\Microsoft\Windows\INetCache\Content.Outlook\U3I9D2G8\CH%202171_Pres%2002.xlsx" TargetMode="External"/><Relationship Id="rId1" Type="http://schemas.openxmlformats.org/officeDocument/2006/relationships/externalLinkPath" Target="/Users/leandro.casalla/AppData/Local/Microsoft/Windows/INetCache/Content.Outlook/U3I9D2G8/CH%202171_Pres%2002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\Downloads\CH%202171_Pres%2002.xlsx" TargetMode="External"/><Relationship Id="rId1" Type="http://schemas.openxmlformats.org/officeDocument/2006/relationships/externalLinkPath" Target="file:///Z:\ARQUINERING%20SRL\Chivilcoy%202171%20-%20Documentos\CH%202171_Pres%2002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bec/AppData/Local/Microsoft/Olk/Attachments/ooa-7cc265ea-294c-4eef-a212-54ec286de155/fd965f7c09375b59d69986f9132c9f61e3dcaad4c6e88095d32e2266c6c80714/CH%202171_Pres%2002.xlsx" TargetMode="External"/><Relationship Id="rId2" Type="http://schemas.openxmlformats.org/officeDocument/2006/relationships/externalLinkPath" Target="file:///C:\Users\rebec\AppData\Local\Microsoft\Olk\Attachments\ooa-7cc265ea-294c-4eef-a212-54ec286de155\fd965f7c09375b59d69986f9132c9f61e3dcaad4c6e88095d32e2266c6c80714\CH%202171_Pres%2002.xlsx" TargetMode="External"/><Relationship Id="rId1" Type="http://schemas.openxmlformats.org/officeDocument/2006/relationships/externalLinkPath" Target="/Users/rebec/AppData/Local/Microsoft/Olk/Attachments/ooa-7cc265ea-294c-4eef-a212-54ec286de155/fd965f7c09375b59d69986f9132c9f61e3dcaad4c6e88095d32e2266c6c80714/CH%202171_Pres%2002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RQUINERING%20SRL\Oficina%20Tecnica%20-%20Documentos\1.%20Obras%20en%20Curso\Chivilcoy%202171%20local\00-Admin\1.%20Resumen%20de%20Obra\0.%20Presupuesto%20Aprobado\AING%20-%20CH2171%20GASTOS%20DESARROLLO.xlsx" TargetMode="External"/><Relationship Id="rId1" Type="http://schemas.openxmlformats.org/officeDocument/2006/relationships/externalLinkPath" Target="file:///Z:\ARQUINERING%20SRL\Oficina%20Tecnica%20-%20Documentos\1.%20Obras%20en%20Curso\Chivilcoy%202171%20local\00-Admin\1.%20Resumen%20de%20Obra\0.%20Presupuesto%20Aprobado\AING%20-%20CH2171%20GASTOS%20DESARROLL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DE OBRA"/>
      <sheetName val="Resumen General"/>
      <sheetName val="Resumen Pto #1"/>
      <sheetName val="Resumen Pto #2"/>
      <sheetName val="Facturacion"/>
      <sheetName val="Cash Flow"/>
      <sheetName val="Certificados"/>
      <sheetName val="M.O. HOR"/>
      <sheetName val="M.O. ALB "/>
      <sheetName val="M.O. ELE"/>
      <sheetName val="M.O. PLOME"/>
      <sheetName val="Contratistas"/>
      <sheetName val="Preventivo Vta"/>
      <sheetName val="P. Costo"/>
      <sheetName val="01"/>
      <sheetName val="GGBB"/>
      <sheetName val="C. Gestión Pto #1"/>
      <sheetName val="C. Gestión Pto #2"/>
      <sheetName val="Cert. Pto. 01"/>
      <sheetName val="Cert. Pto. 02"/>
      <sheetName val="Indice CAC"/>
      <sheetName val="01 (2)"/>
      <sheetName val="Cta Cte GDR"/>
      <sheetName val="TC USD MEP"/>
      <sheetName val="Lista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"/>
      <sheetName val="ACLSHL96"/>
      <sheetName val="#REF"/>
      <sheetName val="HEADCOUNT WORKSHEET"/>
      <sheetName val="Mat'l Pareto"/>
      <sheetName val="Lists"/>
      <sheetName val="Control"/>
      <sheetName val="1."/>
      <sheetName val="Macro. Ass."/>
      <sheetName val="Forecast"/>
      <sheetName val="1"/>
      <sheetName val="Budget"/>
      <sheetName val="Graphs"/>
      <sheetName val="Graphs WC"/>
      <sheetName val="EBITDA Bridge Viejo"/>
      <sheetName val="EBITDA Bridge 123"/>
      <sheetName val="PEX bridge Viejo"/>
      <sheetName val="EBITDA Bridge"/>
      <sheetName val="PEX bridge 123"/>
      <sheetName val="PEX bridge"/>
      <sheetName val="Headcount Bridge"/>
      <sheetName val="Cost Savings Projects"/>
      <sheetName val="Capex-Overview"/>
      <sheetName val="Capex-Spec.Proj."/>
      <sheetName val="DropDown_Menue"/>
      <sheetName val="DropDown"/>
      <sheetName val="Sheet3"/>
      <sheetName val="Sheet6"/>
      <sheetName val="2019 KA Summary (w_floor)"/>
      <sheetName val="YTD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>
        <row r="8">
          <cell r="N8">
            <v>25408987.870112773</v>
          </cell>
        </row>
      </sheetData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LA_WC"/>
      <sheetName val="LA_SR"/>
      <sheetName val="CS"/>
      <sheetName val="CS_PE"/>
      <sheetName val="CS_OE"/>
      <sheetName val="CS_IBU"/>
      <sheetName val="CS_PR"/>
      <sheetName val="CS_Cus"/>
      <sheetName val="CS_Trend"/>
      <sheetName val="CS_FC"/>
      <sheetName val="CS_Qs"/>
      <sheetName val="CS_ex_GF"/>
      <sheetName val="CS_ex_GF_PE"/>
      <sheetName val="CS_ex_GF_OE"/>
      <sheetName val="CS_ex_GF_IBU"/>
      <sheetName val="CS_ex_GF_PR"/>
      <sheetName val="CS_ex_GF_Cus"/>
      <sheetName val="CS_ex_GF_Trend"/>
      <sheetName val="CS_ex_GF_FC"/>
      <sheetName val="CS_ex_GF_Qs"/>
      <sheetName val="RDPG_PE"/>
      <sheetName val="RDPG_OE"/>
      <sheetName val="RDPG_IBU"/>
      <sheetName val="RDPG_PR"/>
      <sheetName val="RDPG_Cus"/>
      <sheetName val="RDPG_Trend"/>
      <sheetName val="RDPG_FC"/>
      <sheetName val="RDPG_Qs"/>
      <sheetName val="UR"/>
      <sheetName val="UR_PE"/>
      <sheetName val="UR_OE"/>
      <sheetName val="UR_IBU"/>
      <sheetName val="UR_PR"/>
      <sheetName val="UR_Cus"/>
      <sheetName val="UR_Trend"/>
      <sheetName val="UR_FC"/>
      <sheetName val="UR_Qs"/>
      <sheetName val="GA"/>
      <sheetName val="GA_PE"/>
      <sheetName val="GA_OE"/>
      <sheetName val="GA_IBU"/>
      <sheetName val="GA_PR"/>
      <sheetName val="GA_Cus"/>
      <sheetName val="GA_Trend"/>
      <sheetName val="GA_FC"/>
      <sheetName val="GA_Qs"/>
      <sheetName val="AR"/>
      <sheetName val="AR_PE"/>
      <sheetName val="AR_OE"/>
      <sheetName val="AR_IBU"/>
      <sheetName val="AR_PR"/>
      <sheetName val="AR_Cus"/>
      <sheetName val="AR_Trend"/>
      <sheetName val="AR_FC"/>
      <sheetName val="AR_Qs"/>
      <sheetName val="CH"/>
      <sheetName val="CH_PE"/>
      <sheetName val="CH_OE"/>
      <sheetName val="CH_IBU"/>
      <sheetName val="CH_PR"/>
      <sheetName val="CH_Cus"/>
      <sheetName val="CH_Trend"/>
      <sheetName val="CH_FC"/>
      <sheetName val="CH_Qs"/>
      <sheetName val="BO"/>
      <sheetName val="BO_PE"/>
      <sheetName val="BO_OE"/>
      <sheetName val="BO_IBU"/>
      <sheetName val="BO_PR"/>
      <sheetName val="BO_Cus"/>
      <sheetName val="BO_Trend"/>
      <sheetName val="BO_FC"/>
      <sheetName val="BO_Qs"/>
      <sheetName val="PE"/>
      <sheetName val="PE_PE"/>
      <sheetName val="PE_OE"/>
      <sheetName val="PE_IBU"/>
      <sheetName val="PE_PR"/>
      <sheetName val="PE_Cus"/>
      <sheetName val="PE_Trend"/>
      <sheetName val="PE_FC"/>
      <sheetName val="PE_Qs"/>
      <sheetName val="LA_CF"/>
      <sheetName val="LA_BS"/>
    </sheetNames>
    <sheetDataSet>
      <sheetData sheetId="0">
        <row r="3">
          <cell r="C3">
            <v>7</v>
          </cell>
        </row>
        <row r="5">
          <cell r="C5" t="str">
            <v>ist16</v>
          </cell>
        </row>
        <row r="6">
          <cell r="D6" t="str">
            <v>Budget16</v>
          </cell>
        </row>
        <row r="7">
          <cell r="C7" t="str">
            <v>a15_a16</v>
          </cell>
        </row>
        <row r="9">
          <cell r="C9" t="str">
            <v>fcm216_A16</v>
          </cell>
          <cell r="D9" t="str">
            <v>fcm216_A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9-2023"/>
      <sheetName val="10-2023"/>
      <sheetName val="11-2023"/>
      <sheetName val="12-2023"/>
      <sheetName val="2SAC 2023"/>
      <sheetName val="01-2024"/>
      <sheetName val="Categorias"/>
      <sheetName val="Recibo 10-23"/>
      <sheetName val="Hoja2"/>
    </sheetNames>
    <sheetDataSet>
      <sheetData sheetId="0">
        <row r="11">
          <cell r="C11" t="str">
            <v>GRONBERGER GABRIEL A.</v>
          </cell>
        </row>
        <row r="12">
          <cell r="C12" t="str">
            <v>PAGLIARICCI JUAN A.</v>
          </cell>
        </row>
        <row r="13">
          <cell r="C13" t="str">
            <v>CASTARATARO MATIAS MARTIN</v>
          </cell>
        </row>
        <row r="14">
          <cell r="C14" t="str">
            <v>GOMEZ ALEJANDRO MATIAS</v>
          </cell>
        </row>
        <row r="15">
          <cell r="C15" t="str">
            <v>PAULA MARLENE DOLCINI</v>
          </cell>
        </row>
        <row r="16">
          <cell r="C16" t="str">
            <v>NICOLAS IVAN GONZALEZ BARDON</v>
          </cell>
        </row>
        <row r="17">
          <cell r="C17" t="str">
            <v>SIGDREY HISMAIRY OROPEZA</v>
          </cell>
        </row>
        <row r="18">
          <cell r="C18" t="str">
            <v>VALLEGA MARIA JESUS</v>
          </cell>
        </row>
        <row r="19">
          <cell r="C19" t="str">
            <v>GENNMARIE JOSE SERRANO</v>
          </cell>
        </row>
        <row r="20">
          <cell r="C20" t="str">
            <v>MOREL KARINA BEATRIZ</v>
          </cell>
        </row>
        <row r="21">
          <cell r="C21" t="str">
            <v>CAMPOS AURA REBECA</v>
          </cell>
        </row>
        <row r="22">
          <cell r="C22" t="str">
            <v xml:space="preserve">SOSA IGLESIAS VICTORIA </v>
          </cell>
        </row>
        <row r="23">
          <cell r="C23" t="str">
            <v>KLOSTER BARBARA</v>
          </cell>
        </row>
        <row r="24">
          <cell r="C24" t="str">
            <v>CAPONE CRISTIAN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wnload"/>
      <sheetName val="Page 1"/>
      <sheetName val="Other Base"/>
      <sheetName val="Productivity Analysis"/>
      <sheetName val="Unusual "/>
      <sheetName val="Mix Total detailed USD"/>
      <sheetName val="New projects"/>
      <sheetName val="Carryover projects"/>
      <sheetName val="Inven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wnload"/>
      <sheetName val="Page 1"/>
      <sheetName val="Resale Calculated VCP"/>
      <sheetName val="Other Base"/>
      <sheetName val="Productivity Analysis"/>
      <sheetName val="Unusual "/>
      <sheetName val="Mix Resale detailed US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."/>
      <sheetName val="01"/>
      <sheetName val="Tareas"/>
      <sheetName val="GGBB"/>
      <sheetName val="Locales"/>
      <sheetName val="Computo"/>
      <sheetName val="INCEND"/>
      <sheetName val="GAS"/>
      <sheetName val="CALEFA"/>
      <sheetName val="CLOACAL"/>
      <sheetName val="PLU"/>
      <sheetName val="AA.CC"/>
      <sheetName val="AF Y AC"/>
      <sheetName val="ELECT"/>
      <sheetName val="Cotizaciones"/>
      <sheetName val="SUBCONTRATOS"/>
      <sheetName val="APU 06.25"/>
      <sheetName val="P.MO 06.25"/>
      <sheetName val="H°A° "/>
      <sheetName val="Exc."/>
      <sheetName val="MO HA AING"/>
      <sheetName val="ENCOFRADO "/>
      <sheetName val="MAMP."/>
      <sheetName val="Rev."/>
    </sheetNames>
    <sheetDataSet>
      <sheetData sheetId="0"/>
      <sheetData sheetId="1">
        <row r="213">
          <cell r="N213">
            <v>288798727.90028393</v>
          </cell>
          <cell r="O213">
            <v>92831284.446023241</v>
          </cell>
          <cell r="P213">
            <v>508757512.39327759</v>
          </cell>
          <cell r="Q213">
            <v>219547445.33957821</v>
          </cell>
          <cell r="R213">
            <v>25816868.586182464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7">
          <cell r="C7">
            <v>1613771.9726464229</v>
          </cell>
        </row>
        <row r="9">
          <cell r="C9">
            <v>3246508.9202830633</v>
          </cell>
        </row>
        <row r="10">
          <cell r="C10">
            <v>4716669.3590301629</v>
          </cell>
        </row>
        <row r="11">
          <cell r="C11">
            <v>5688802.4480278417</v>
          </cell>
        </row>
        <row r="12">
          <cell r="C12">
            <v>3874330.0824234933</v>
          </cell>
        </row>
      </sheetData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."/>
      <sheetName val="01"/>
      <sheetName val="Tareas"/>
      <sheetName val="GGBB"/>
      <sheetName val="Locales"/>
      <sheetName val="Computo"/>
      <sheetName val="INCEND"/>
      <sheetName val="GAS"/>
      <sheetName val="CALEFA"/>
      <sheetName val="CLOACAL"/>
      <sheetName val="PLU"/>
      <sheetName val="AA.CC"/>
      <sheetName val="AF Y AC"/>
      <sheetName val="ELECT"/>
      <sheetName val="Cotizaciones"/>
      <sheetName val="SUBCONTRATOS"/>
      <sheetName val="APU 06.25"/>
      <sheetName val="P.MO 06.25"/>
      <sheetName val="H°A° "/>
      <sheetName val="Exc."/>
      <sheetName val="MO HA AING"/>
      <sheetName val="ENCOFRADO "/>
      <sheetName val="MAMP."/>
      <sheetName val="Rev."/>
      <sheetName val="AING CH 2171 02"/>
    </sheetNames>
    <sheetDataSet>
      <sheetData sheetId="0"/>
      <sheetData sheetId="1"/>
      <sheetData sheetId="2"/>
      <sheetData sheetId="3">
        <row r="4">
          <cell r="G4">
            <v>1280</v>
          </cell>
          <cell r="H4">
            <v>1276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."/>
      <sheetName val="01"/>
      <sheetName val="Tareas"/>
      <sheetName val="GGBB"/>
      <sheetName val="Locales"/>
      <sheetName val="Computo"/>
      <sheetName val="INCEND"/>
      <sheetName val="GAS"/>
      <sheetName val="CALEFA"/>
      <sheetName val="CLOACAL"/>
      <sheetName val="PLU"/>
      <sheetName val="AA.CC"/>
      <sheetName val="AF Y AC"/>
      <sheetName val="ELECT"/>
      <sheetName val="Cotizaciones"/>
      <sheetName val="SUBCONTRATOS"/>
      <sheetName val="APU 06.25"/>
      <sheetName val="P.MO 06.25"/>
      <sheetName val="H°A° "/>
      <sheetName val="Exc."/>
      <sheetName val="MO HA AING"/>
      <sheetName val="ENCOFRADO "/>
      <sheetName val="MAMP."/>
      <sheetName val="Rev."/>
    </sheetNames>
    <sheetDataSet>
      <sheetData sheetId="0">
        <row r="6">
          <cell r="C6">
            <v>1452</v>
          </cell>
        </row>
      </sheetData>
      <sheetData sheetId="1"/>
      <sheetData sheetId="2">
        <row r="8">
          <cell r="H8">
            <v>0</v>
          </cell>
          <cell r="I8">
            <v>25000</v>
          </cell>
          <cell r="Q8">
            <v>214394.06177409831</v>
          </cell>
          <cell r="R8">
            <v>67240.498860267617</v>
          </cell>
        </row>
        <row r="12">
          <cell r="H12">
            <v>98815.568159228656</v>
          </cell>
          <cell r="I12">
            <v>0</v>
          </cell>
          <cell r="Q12">
            <v>0</v>
          </cell>
          <cell r="R12">
            <v>111992.57496771208</v>
          </cell>
        </row>
        <row r="23">
          <cell r="H23">
            <v>2270625.1745922863</v>
          </cell>
          <cell r="I23">
            <v>300000</v>
          </cell>
          <cell r="Q23">
            <v>1000000</v>
          </cell>
          <cell r="R23">
            <v>5023936.3544306941</v>
          </cell>
        </row>
        <row r="47">
          <cell r="H47">
            <v>0</v>
          </cell>
          <cell r="I47">
            <v>0</v>
          </cell>
          <cell r="Q47">
            <v>260000</v>
          </cell>
          <cell r="R47">
            <v>0</v>
          </cell>
        </row>
        <row r="52">
          <cell r="H52">
            <v>1290000</v>
          </cell>
          <cell r="I52">
            <v>100000</v>
          </cell>
          <cell r="Q52">
            <v>0</v>
          </cell>
          <cell r="R52">
            <v>661285.32432587864</v>
          </cell>
        </row>
        <row r="59">
          <cell r="H59">
            <v>936000</v>
          </cell>
          <cell r="I59">
            <v>0</v>
          </cell>
          <cell r="Q59">
            <v>0</v>
          </cell>
          <cell r="R59">
            <v>536368.95177931583</v>
          </cell>
        </row>
        <row r="69">
          <cell r="H69">
            <v>0</v>
          </cell>
          <cell r="I69">
            <v>0</v>
          </cell>
          <cell r="Q69">
            <v>482995.30539154005</v>
          </cell>
          <cell r="R69">
            <v>0</v>
          </cell>
        </row>
        <row r="74">
          <cell r="H74">
            <v>0</v>
          </cell>
          <cell r="I74">
            <v>0</v>
          </cell>
          <cell r="Q74">
            <v>25907.444444444449</v>
          </cell>
          <cell r="R74">
            <v>3070.34241371085</v>
          </cell>
        </row>
        <row r="77">
          <cell r="H77">
            <v>0</v>
          </cell>
          <cell r="I77">
            <v>0</v>
          </cell>
          <cell r="Q77">
            <v>24440</v>
          </cell>
          <cell r="R77">
            <v>6724.0498860267617</v>
          </cell>
        </row>
        <row r="83">
          <cell r="H83">
            <v>120430</v>
          </cell>
          <cell r="I83">
            <v>0</v>
          </cell>
          <cell r="Q83">
            <v>0</v>
          </cell>
          <cell r="R83">
            <v>155041.21996115817</v>
          </cell>
        </row>
        <row r="88">
          <cell r="H88">
            <v>11090041.199999999</v>
          </cell>
          <cell r="I88">
            <v>0</v>
          </cell>
          <cell r="Q88">
            <v>34350000</v>
          </cell>
          <cell r="R88">
            <v>2460301.4945337288</v>
          </cell>
        </row>
        <row r="96">
          <cell r="H96">
            <v>4615.3846153846152</v>
          </cell>
          <cell r="I96">
            <v>4615.3846153846152</v>
          </cell>
          <cell r="Q96">
            <v>0</v>
          </cell>
          <cell r="R96">
            <v>20224.016347393997</v>
          </cell>
        </row>
        <row r="101">
          <cell r="H101">
            <v>23405.011666666669</v>
          </cell>
          <cell r="I101">
            <v>0</v>
          </cell>
          <cell r="Q101">
            <v>0</v>
          </cell>
          <cell r="R101">
            <v>36357.143586693906</v>
          </cell>
        </row>
        <row r="117">
          <cell r="H117">
            <v>16294.997685950413</v>
          </cell>
          <cell r="I117">
            <v>0</v>
          </cell>
          <cell r="Q117">
            <v>0</v>
          </cell>
          <cell r="R117">
            <v>8126.802299686603</v>
          </cell>
        </row>
        <row r="123">
          <cell r="H123">
            <v>0</v>
          </cell>
          <cell r="I123">
            <v>5780.8668990825699</v>
          </cell>
          <cell r="Q123">
            <v>12252.548573720227</v>
          </cell>
          <cell r="R123">
            <v>0</v>
          </cell>
        </row>
        <row r="128">
          <cell r="H128">
            <v>0</v>
          </cell>
          <cell r="I128">
            <v>0</v>
          </cell>
          <cell r="Q128">
            <v>13144.582643730666</v>
          </cell>
          <cell r="R128">
            <v>0</v>
          </cell>
        </row>
        <row r="130">
          <cell r="H130">
            <v>0</v>
          </cell>
          <cell r="I130">
            <v>1658.1176470588234</v>
          </cell>
          <cell r="Q130">
            <v>13917.793387479527</v>
          </cell>
          <cell r="R130">
            <v>0</v>
          </cell>
        </row>
        <row r="133">
          <cell r="H133">
            <v>28415.373134328358</v>
          </cell>
          <cell r="I133">
            <v>2539.3791691542287</v>
          </cell>
          <cell r="Q133">
            <v>0</v>
          </cell>
          <cell r="R133">
            <v>8768.7308756746588</v>
          </cell>
        </row>
        <row r="142">
          <cell r="H142">
            <v>0</v>
          </cell>
          <cell r="I142">
            <v>93485.023591276869</v>
          </cell>
          <cell r="Q142">
            <v>0</v>
          </cell>
          <cell r="R142">
            <v>303706.02313966805</v>
          </cell>
        </row>
        <row r="147">
          <cell r="H147">
            <v>427508.24284309684</v>
          </cell>
          <cell r="I147">
            <v>0</v>
          </cell>
          <cell r="Q147">
            <v>0</v>
          </cell>
          <cell r="R147">
            <v>2044758.1970187626</v>
          </cell>
        </row>
        <row r="151">
          <cell r="H151">
            <v>463902.76859504136</v>
          </cell>
          <cell r="I151">
            <v>0</v>
          </cell>
          <cell r="Q151">
            <v>0</v>
          </cell>
          <cell r="R151">
            <v>1775796.2015776923</v>
          </cell>
        </row>
        <row r="157">
          <cell r="H157">
            <v>250000</v>
          </cell>
          <cell r="I157">
            <v>0</v>
          </cell>
          <cell r="Q157">
            <v>0</v>
          </cell>
          <cell r="R157">
            <v>1663092.7624912898</v>
          </cell>
        </row>
        <row r="160">
          <cell r="H160">
            <v>250000</v>
          </cell>
          <cell r="I160">
            <v>0</v>
          </cell>
          <cell r="Q160">
            <v>0</v>
          </cell>
          <cell r="R160">
            <v>1663092.7624912898</v>
          </cell>
        </row>
        <row r="163">
          <cell r="H163">
            <v>31772.280991735541</v>
          </cell>
          <cell r="I163">
            <v>0</v>
          </cell>
          <cell r="Q163">
            <v>0</v>
          </cell>
          <cell r="R163">
            <v>95033.872142359411</v>
          </cell>
        </row>
        <row r="169">
          <cell r="H169">
            <v>4349.9864345938731</v>
          </cell>
          <cell r="I169">
            <v>0</v>
          </cell>
          <cell r="Q169">
            <v>0</v>
          </cell>
          <cell r="R169">
            <v>5122.3554254865312</v>
          </cell>
        </row>
        <row r="174">
          <cell r="H174">
            <v>0</v>
          </cell>
          <cell r="I174">
            <v>6515.4063473053884</v>
          </cell>
          <cell r="Q174">
            <v>12252.548573720227</v>
          </cell>
          <cell r="R174">
            <v>0</v>
          </cell>
        </row>
        <row r="178">
          <cell r="H178">
            <v>0</v>
          </cell>
          <cell r="I178">
            <v>1351.3513513513512</v>
          </cell>
          <cell r="Q178">
            <v>0</v>
          </cell>
          <cell r="R178">
            <v>4362.6388309136892</v>
          </cell>
        </row>
        <row r="182">
          <cell r="H182">
            <v>11872.146118721461</v>
          </cell>
          <cell r="I182">
            <v>0</v>
          </cell>
          <cell r="Q182">
            <v>0</v>
          </cell>
          <cell r="R182">
            <v>9112.837054746793</v>
          </cell>
        </row>
        <row r="187">
          <cell r="H187">
            <v>3455.5245198260718</v>
          </cell>
          <cell r="I187">
            <v>0</v>
          </cell>
          <cell r="Q187">
            <v>9286.8099362944613</v>
          </cell>
          <cell r="R187">
            <v>0</v>
          </cell>
        </row>
        <row r="193">
          <cell r="H193">
            <v>25797.295320790283</v>
          </cell>
          <cell r="I193">
            <v>0</v>
          </cell>
          <cell r="Q193">
            <v>67446.39491606447</v>
          </cell>
          <cell r="R193">
            <v>13753.738403236557</v>
          </cell>
        </row>
        <row r="197">
          <cell r="H197">
            <v>1266522.9190993388</v>
          </cell>
          <cell r="I197">
            <v>0</v>
          </cell>
          <cell r="Q197">
            <v>5694407.7131105876</v>
          </cell>
          <cell r="R197">
            <v>0</v>
          </cell>
        </row>
        <row r="205">
          <cell r="H205">
            <v>6941648.2775356993</v>
          </cell>
          <cell r="I205">
            <v>0</v>
          </cell>
          <cell r="Q205">
            <v>0</v>
          </cell>
          <cell r="R205">
            <v>3269696.8515315522</v>
          </cell>
        </row>
        <row r="210">
          <cell r="H210">
            <v>896755.5936702406</v>
          </cell>
          <cell r="I210">
            <v>0</v>
          </cell>
          <cell r="Q210">
            <v>0</v>
          </cell>
          <cell r="R210">
            <v>1634848.4257657761</v>
          </cell>
        </row>
        <row r="215">
          <cell r="H215">
            <v>6991302.4321481157</v>
          </cell>
          <cell r="I215">
            <v>0</v>
          </cell>
          <cell r="Q215">
            <v>3242733.2</v>
          </cell>
          <cell r="R215">
            <v>0</v>
          </cell>
        </row>
        <row r="222">
          <cell r="H222">
            <v>1057994.9839655068</v>
          </cell>
          <cell r="I222">
            <v>0</v>
          </cell>
          <cell r="Q222">
            <v>401985.49999999994</v>
          </cell>
          <cell r="R222">
            <v>0</v>
          </cell>
        </row>
        <row r="226">
          <cell r="H226">
            <v>25000</v>
          </cell>
          <cell r="I226">
            <v>0</v>
          </cell>
          <cell r="Q226">
            <v>20000</v>
          </cell>
          <cell r="R226">
            <v>150902.36265989585</v>
          </cell>
        </row>
        <row r="233">
          <cell r="H233">
            <v>60000</v>
          </cell>
          <cell r="I233">
            <v>0</v>
          </cell>
          <cell r="Q233">
            <v>0</v>
          </cell>
          <cell r="R233">
            <v>383392.16194101796</v>
          </cell>
        </row>
        <row r="235">
          <cell r="H235">
            <v>0</v>
          </cell>
          <cell r="I235">
            <v>0</v>
          </cell>
          <cell r="Q235">
            <v>2357500</v>
          </cell>
          <cell r="R235">
            <v>0</v>
          </cell>
        </row>
        <row r="240">
          <cell r="H240">
            <v>4076935.9416666673</v>
          </cell>
          <cell r="I240">
            <v>0</v>
          </cell>
          <cell r="Q240">
            <v>600000</v>
          </cell>
          <cell r="R240">
            <v>4999453.4722428042</v>
          </cell>
        </row>
        <row r="248">
          <cell r="H248">
            <v>0</v>
          </cell>
          <cell r="I248">
            <v>50000</v>
          </cell>
          <cell r="Q248">
            <v>0</v>
          </cell>
          <cell r="R248">
            <v>657280.53129030496</v>
          </cell>
        </row>
        <row r="252">
          <cell r="H252">
            <v>0</v>
          </cell>
          <cell r="I252">
            <v>50000</v>
          </cell>
          <cell r="Q252">
            <v>0</v>
          </cell>
          <cell r="R252">
            <v>591716.38997035509</v>
          </cell>
        </row>
        <row r="255">
          <cell r="H255">
            <v>500000</v>
          </cell>
          <cell r="I255">
            <v>0</v>
          </cell>
          <cell r="Q255">
            <v>0</v>
          </cell>
          <cell r="R255">
            <v>4034429.9316160567</v>
          </cell>
        </row>
        <row r="258">
          <cell r="H258">
            <v>200000</v>
          </cell>
          <cell r="I258">
            <v>0</v>
          </cell>
          <cell r="Q258">
            <v>0</v>
          </cell>
          <cell r="R258">
            <v>67240.498860267617</v>
          </cell>
        </row>
      </sheetData>
      <sheetData sheetId="3">
        <row r="4">
          <cell r="F4">
            <v>19</v>
          </cell>
          <cell r="G4">
            <v>1280</v>
          </cell>
          <cell r="H4">
            <v>1276</v>
          </cell>
        </row>
        <row r="5">
          <cell r="Q5">
            <v>1</v>
          </cell>
        </row>
        <row r="12">
          <cell r="J12">
            <v>1623254.4601415317</v>
          </cell>
          <cell r="R12">
            <v>3</v>
          </cell>
        </row>
        <row r="13">
          <cell r="J13">
            <v>300000</v>
          </cell>
        </row>
        <row r="23">
          <cell r="J23">
            <v>3246508.9202830633</v>
          </cell>
        </row>
        <row r="28">
          <cell r="J28">
            <v>500000</v>
          </cell>
        </row>
        <row r="30">
          <cell r="J30">
            <v>806885.98632321146</v>
          </cell>
        </row>
        <row r="61">
          <cell r="F61">
            <v>1.3564671245448743</v>
          </cell>
        </row>
      </sheetData>
      <sheetData sheetId="4">
        <row r="100">
          <cell r="N100">
            <v>107</v>
          </cell>
          <cell r="O100">
            <v>21</v>
          </cell>
          <cell r="P100">
            <v>201</v>
          </cell>
          <cell r="Q100">
            <v>850</v>
          </cell>
          <cell r="R100">
            <v>365</v>
          </cell>
          <cell r="S100">
            <v>357</v>
          </cell>
          <cell r="U100">
            <v>521</v>
          </cell>
          <cell r="X100">
            <v>715</v>
          </cell>
          <cell r="Z100">
            <v>2180</v>
          </cell>
          <cell r="AA100">
            <v>255</v>
          </cell>
          <cell r="AB100">
            <v>102</v>
          </cell>
          <cell r="AD100">
            <v>79</v>
          </cell>
          <cell r="AF100">
            <v>207</v>
          </cell>
          <cell r="AG100">
            <v>165</v>
          </cell>
          <cell r="AH100">
            <v>165</v>
          </cell>
          <cell r="AI100">
            <v>274</v>
          </cell>
          <cell r="AL100">
            <v>146</v>
          </cell>
          <cell r="AM100">
            <v>89</v>
          </cell>
          <cell r="AP100">
            <v>62</v>
          </cell>
          <cell r="AR100">
            <v>668</v>
          </cell>
          <cell r="AS100">
            <v>446</v>
          </cell>
          <cell r="AT100">
            <v>2</v>
          </cell>
          <cell r="AU100">
            <v>370</v>
          </cell>
          <cell r="AY100">
            <v>43</v>
          </cell>
          <cell r="BA100">
            <v>8</v>
          </cell>
          <cell r="BB100">
            <v>72</v>
          </cell>
          <cell r="BD100">
            <v>63</v>
          </cell>
          <cell r="BE100">
            <v>101</v>
          </cell>
          <cell r="BF100">
            <v>898</v>
          </cell>
          <cell r="BG100">
            <v>88</v>
          </cell>
          <cell r="BH100">
            <v>27</v>
          </cell>
          <cell r="BI100">
            <v>25</v>
          </cell>
          <cell r="BJ100">
            <v>180</v>
          </cell>
          <cell r="BK100">
            <v>25</v>
          </cell>
          <cell r="BL100">
            <v>792</v>
          </cell>
          <cell r="BN100">
            <v>282</v>
          </cell>
          <cell r="BO100">
            <v>263</v>
          </cell>
          <cell r="BQ100">
            <v>82</v>
          </cell>
          <cell r="BR100">
            <v>493</v>
          </cell>
          <cell r="BT100">
            <v>136</v>
          </cell>
          <cell r="BU100">
            <v>2180</v>
          </cell>
          <cell r="BV100">
            <v>525</v>
          </cell>
          <cell r="BW100">
            <v>296</v>
          </cell>
          <cell r="BX100">
            <v>668</v>
          </cell>
          <cell r="BZ100">
            <v>281</v>
          </cell>
          <cell r="CB100">
            <v>11</v>
          </cell>
          <cell r="CC100">
            <v>119</v>
          </cell>
          <cell r="CD100">
            <v>25</v>
          </cell>
          <cell r="CE100">
            <v>222</v>
          </cell>
          <cell r="CF100">
            <v>67</v>
          </cell>
          <cell r="CG100">
            <v>23</v>
          </cell>
          <cell r="CH100">
            <v>16</v>
          </cell>
          <cell r="CO100">
            <v>50</v>
          </cell>
          <cell r="CP100">
            <v>40</v>
          </cell>
          <cell r="CQ100">
            <v>11</v>
          </cell>
          <cell r="CR100">
            <v>14</v>
          </cell>
          <cell r="CX100">
            <v>40</v>
          </cell>
        </row>
        <row r="102">
          <cell r="AO102">
            <v>689</v>
          </cell>
          <cell r="AZ102">
            <v>38</v>
          </cell>
          <cell r="CK102">
            <v>119</v>
          </cell>
          <cell r="CM102">
            <v>313</v>
          </cell>
        </row>
        <row r="103">
          <cell r="CM103">
            <v>363</v>
          </cell>
        </row>
      </sheetData>
      <sheetData sheetId="5">
        <row r="13">
          <cell r="C13">
            <v>24</v>
          </cell>
        </row>
        <row r="49">
          <cell r="H49">
            <v>65</v>
          </cell>
        </row>
        <row r="60">
          <cell r="C60">
            <v>88</v>
          </cell>
        </row>
        <row r="132">
          <cell r="F132">
            <v>152</v>
          </cell>
        </row>
        <row r="201">
          <cell r="G201">
            <v>114</v>
          </cell>
        </row>
      </sheetData>
      <sheetData sheetId="6">
        <row r="4">
          <cell r="G4">
            <v>3702330.1060249032</v>
          </cell>
        </row>
        <row r="9">
          <cell r="O9">
            <v>3490533.2546783453</v>
          </cell>
        </row>
      </sheetData>
      <sheetData sheetId="7">
        <row r="6">
          <cell r="G6">
            <v>1540056.2655049204</v>
          </cell>
        </row>
        <row r="13">
          <cell r="O13">
            <v>4970416.6359473262</v>
          </cell>
        </row>
        <row r="19">
          <cell r="O19">
            <v>498927.82874738693</v>
          </cell>
        </row>
        <row r="44">
          <cell r="G44">
            <v>43707.030007852358</v>
          </cell>
        </row>
      </sheetData>
      <sheetData sheetId="8">
        <row r="20">
          <cell r="D20">
            <v>1</v>
          </cell>
        </row>
        <row r="21">
          <cell r="D21">
            <v>3</v>
          </cell>
        </row>
        <row r="22">
          <cell r="D22">
            <v>1</v>
          </cell>
        </row>
        <row r="23">
          <cell r="D23">
            <v>3</v>
          </cell>
        </row>
      </sheetData>
      <sheetData sheetId="9">
        <row r="149">
          <cell r="G149">
            <v>4309627.8633777518</v>
          </cell>
          <cell r="P149">
            <v>7439542.8720526136</v>
          </cell>
        </row>
        <row r="169">
          <cell r="G169">
            <v>1446561.6458157445</v>
          </cell>
          <cell r="P169">
            <v>2179040.2308093952</v>
          </cell>
        </row>
        <row r="195">
          <cell r="G195">
            <v>559930.45499047067</v>
          </cell>
          <cell r="P195">
            <v>931720.65894092771</v>
          </cell>
        </row>
      </sheetData>
      <sheetData sheetId="10">
        <row r="20">
          <cell r="G20">
            <v>460664.73864557059</v>
          </cell>
          <cell r="P20">
            <v>931720.65894092771</v>
          </cell>
        </row>
        <row r="69">
          <cell r="G69">
            <v>2104760.5606523557</v>
          </cell>
          <cell r="P69">
            <v>3537598.1952882847</v>
          </cell>
        </row>
      </sheetData>
      <sheetData sheetId="11">
        <row r="38">
          <cell r="P38">
            <v>1746247.4006158544</v>
          </cell>
        </row>
        <row r="41">
          <cell r="G41">
            <v>638103.51348571631</v>
          </cell>
        </row>
      </sheetData>
      <sheetData sheetId="12">
        <row r="99">
          <cell r="G99">
            <v>2840582.8064988283</v>
          </cell>
          <cell r="P99">
            <v>9188039.2000978701</v>
          </cell>
        </row>
        <row r="114">
          <cell r="G114">
            <v>2501139.9349345583</v>
          </cell>
          <cell r="P114">
            <v>5079485.0755870221</v>
          </cell>
        </row>
        <row r="161">
          <cell r="G161">
            <v>1906561.7747600852</v>
          </cell>
          <cell r="P161">
            <v>3598731.4622267308</v>
          </cell>
        </row>
        <row r="206">
          <cell r="G206">
            <v>809170.17674968636</v>
          </cell>
          <cell r="P206">
            <v>1746247.4006158544</v>
          </cell>
        </row>
        <row r="253">
          <cell r="G253">
            <v>1435578.064712029</v>
          </cell>
          <cell r="P253">
            <v>2500015.0564415548</v>
          </cell>
        </row>
        <row r="294">
          <cell r="G294">
            <v>609036.01399088616</v>
          </cell>
          <cell r="P294">
            <v>1199577.1540755767</v>
          </cell>
        </row>
      </sheetData>
      <sheetData sheetId="13">
        <row r="5">
          <cell r="H5">
            <v>1409151.0752583144</v>
          </cell>
        </row>
        <row r="35">
          <cell r="H35">
            <v>610540.33970065822</v>
          </cell>
        </row>
        <row r="45">
          <cell r="H45">
            <v>290879.99749432731</v>
          </cell>
        </row>
        <row r="52">
          <cell r="H52">
            <v>502957.66935239022</v>
          </cell>
        </row>
        <row r="62">
          <cell r="H62">
            <v>136527.37438721894</v>
          </cell>
        </row>
        <row r="70">
          <cell r="H70">
            <v>210979.27800770043</v>
          </cell>
        </row>
        <row r="138">
          <cell r="H138">
            <v>5892.0807877668249</v>
          </cell>
        </row>
        <row r="143">
          <cell r="H143">
            <v>1885.5105394124798</v>
          </cell>
        </row>
        <row r="148">
          <cell r="H148">
            <v>3839.5345202802223</v>
          </cell>
        </row>
        <row r="153">
          <cell r="H153">
            <v>6314.6459338307413</v>
          </cell>
        </row>
        <row r="159">
          <cell r="H159">
            <v>4996.5593136686521</v>
          </cell>
        </row>
        <row r="165">
          <cell r="H165">
            <v>2203.1708839165858</v>
          </cell>
        </row>
      </sheetData>
      <sheetData sheetId="14">
        <row r="2">
          <cell r="B2" t="str">
            <v>Descripcion</v>
          </cell>
          <cell r="C2" t="str">
            <v>Un</v>
          </cell>
          <cell r="D2" t="str">
            <v>P unit</v>
          </cell>
        </row>
        <row r="3">
          <cell r="B3" t="str">
            <v>PRELIMINARES</v>
          </cell>
        </row>
        <row r="4">
          <cell r="B4" t="str">
            <v>C. CIN. T101 ESP 0,50 MM (C25)</v>
          </cell>
          <cell r="C4" t="str">
            <v>m2</v>
          </cell>
          <cell r="D4">
            <v>10861.768595041323</v>
          </cell>
        </row>
        <row r="5">
          <cell r="B5" t="str">
            <v>Peril UPN 100 x 12 m</v>
          </cell>
          <cell r="C5" t="str">
            <v>bar</v>
          </cell>
          <cell r="D5">
            <v>271144.89256198349</v>
          </cell>
        </row>
        <row r="6">
          <cell r="B6" t="str">
            <v>Tubo estructural 40 x 40 x 2, Largo 6 metros</v>
          </cell>
          <cell r="C6" t="str">
            <v>bar</v>
          </cell>
          <cell r="D6">
            <v>23523.752066115703</v>
          </cell>
        </row>
        <row r="7">
          <cell r="B7" t="str">
            <v>Riel Roma 174 e: 2,1 mm. 53 x 60 x 6000</v>
          </cell>
          <cell r="C7" t="str">
            <v>bar</v>
          </cell>
          <cell r="D7">
            <v>85391.380165289258</v>
          </cell>
        </row>
        <row r="8">
          <cell r="B8" t="str">
            <v>Carro acero 174 4 ruedas puertas portones Ø45mm</v>
          </cell>
          <cell r="C8" t="str">
            <v>u</v>
          </cell>
          <cell r="D8">
            <v>11534.743801652894</v>
          </cell>
        </row>
        <row r="9">
          <cell r="B9" t="str">
            <v>PLACA CEMENTICIA CONSTRUCCION SECO SUPERBOARD ESTRUCTURAL BORDE RECTO 10MM X 1200MM X 2400MM</v>
          </cell>
          <cell r="C9" t="str">
            <v>u</v>
          </cell>
          <cell r="D9">
            <v>47371.991735537194</v>
          </cell>
        </row>
        <row r="10">
          <cell r="B10" t="str">
            <v>CHAPA LISA GALVANIZADA C27 - 1,22 x 2,00 m</v>
          </cell>
          <cell r="C10" t="str">
            <v>u</v>
          </cell>
          <cell r="D10">
            <v>17073.991735537191</v>
          </cell>
        </row>
        <row r="11">
          <cell r="B11" t="str">
            <v>CHAPA LISA GALVANIZADA C27 - 1,22 x 2,44 m</v>
          </cell>
          <cell r="C11" t="str">
            <v>u</v>
          </cell>
          <cell r="D11">
            <v>20795.256198347106</v>
          </cell>
        </row>
        <row r="12">
          <cell r="B12" t="str">
            <v>CHAPA LISA GALVANIZADA C25 - 1,22 x 2,00 m</v>
          </cell>
          <cell r="C12" t="str">
            <v>u</v>
          </cell>
          <cell r="D12">
            <v>19918.008264462813</v>
          </cell>
        </row>
        <row r="13">
          <cell r="B13" t="str">
            <v>CHAPA LISA GALVANIZADA C25 - 1,22 x 2,44 m</v>
          </cell>
          <cell r="C13" t="str">
            <v>u</v>
          </cell>
          <cell r="D13">
            <v>24290.223140495866</v>
          </cell>
        </row>
        <row r="14">
          <cell r="B14" t="str">
            <v>CHAPA LISA GALVANIZADA C22 - 1,22 x 2,44 m</v>
          </cell>
          <cell r="C14" t="str">
            <v>u</v>
          </cell>
          <cell r="D14">
            <v>34470.67768595041</v>
          </cell>
        </row>
        <row r="15">
          <cell r="B15" t="str">
            <v>CHAPA LISA PREP C25 - 1,22 x 2,44 m</v>
          </cell>
          <cell r="C15" t="str">
            <v>u</v>
          </cell>
          <cell r="D15">
            <v>38427.10743801653</v>
          </cell>
        </row>
        <row r="16">
          <cell r="B16" t="str">
            <v>PERFIL ANGULO ALAS IGUALES ESTRUCTURAL ACERO 6M X 5/8" X 1/8</v>
          </cell>
          <cell r="C16" t="str">
            <v>u</v>
          </cell>
          <cell r="D16">
            <v>10308.950413223141</v>
          </cell>
        </row>
        <row r="17">
          <cell r="B17" t="str">
            <v>Zócalo Contramarco Curvo Atenneas 7.5cm x 15mm MDF Prepintado Blanco 2.75m</v>
          </cell>
          <cell r="C17" t="str">
            <v>tira</v>
          </cell>
          <cell r="D17">
            <v>4640.4958677685954</v>
          </cell>
        </row>
        <row r="18">
          <cell r="B18" t="str">
            <v>Sikaflex®-1A  Sellador Poliuretano Color Gris 300ml</v>
          </cell>
          <cell r="C18" t="str">
            <v>u</v>
          </cell>
          <cell r="D18">
            <v>24676.900826446283</v>
          </cell>
        </row>
        <row r="19">
          <cell r="B19" t="str">
            <v>Babeta amure gris C25 Des. 200mm x 2.44m</v>
          </cell>
          <cell r="C19" t="str">
            <v>tira</v>
          </cell>
          <cell r="D19">
            <v>21485.39</v>
          </cell>
        </row>
        <row r="20">
          <cell r="B20" t="str">
            <v>MADERA</v>
          </cell>
        </row>
        <row r="21">
          <cell r="B21" t="str">
            <v>Precio fenolico comun e: 18 mm</v>
          </cell>
          <cell r="C21" t="str">
            <v>placa</v>
          </cell>
          <cell r="D21">
            <v>26393.8</v>
          </cell>
        </row>
        <row r="22">
          <cell r="B22" t="str">
            <v>Precio fenolico visto e: 18 mm</v>
          </cell>
          <cell r="C22" t="str">
            <v>placa</v>
          </cell>
          <cell r="D22">
            <v>51029.752066115703</v>
          </cell>
        </row>
        <row r="23">
          <cell r="B23" t="str">
            <v>Tabla 4 x 1 x 3,6 Saligna bruto</v>
          </cell>
          <cell r="C23" t="str">
            <v>u</v>
          </cell>
          <cell r="D23">
            <v>2218.7379999999998</v>
          </cell>
        </row>
        <row r="24">
          <cell r="B24" t="str">
            <v>Tirante 3 x 3 x 3,6 Saligna bruto</v>
          </cell>
          <cell r="C24" t="str">
            <v>u</v>
          </cell>
          <cell r="D24">
            <v>4992.1646666666666</v>
          </cell>
        </row>
        <row r="25">
          <cell r="B25" t="str">
            <v>HORMIGON</v>
          </cell>
        </row>
        <row r="26">
          <cell r="B26" t="str">
            <v>H30 6.12 Gunitado</v>
          </cell>
          <cell r="C26" t="str">
            <v>m3</v>
          </cell>
          <cell r="D26">
            <v>148900</v>
          </cell>
        </row>
        <row r="27">
          <cell r="B27" t="str">
            <v>H30 6.20</v>
          </cell>
          <cell r="C27" t="str">
            <v>m3</v>
          </cell>
          <cell r="D27">
            <v>125000</v>
          </cell>
        </row>
        <row r="28">
          <cell r="B28" t="str">
            <v>H13 6.20</v>
          </cell>
          <cell r="C28" t="str">
            <v>m3</v>
          </cell>
          <cell r="D28">
            <v>115100</v>
          </cell>
        </row>
        <row r="29">
          <cell r="B29" t="str">
            <v xml:space="preserve">Acarreo </v>
          </cell>
          <cell r="C29" t="str">
            <v>gl</v>
          </cell>
          <cell r="D29">
            <v>533000</v>
          </cell>
        </row>
        <row r="30">
          <cell r="B30" t="str">
            <v>Bombeo</v>
          </cell>
          <cell r="C30" t="str">
            <v>m3</v>
          </cell>
          <cell r="D30">
            <v>5330</v>
          </cell>
        </row>
        <row r="31">
          <cell r="B31" t="str">
            <v>Super</v>
          </cell>
          <cell r="C31" t="str">
            <v>m3</v>
          </cell>
          <cell r="D31">
            <v>1500</v>
          </cell>
        </row>
        <row r="32">
          <cell r="B32" t="str">
            <v>Hidrofugo</v>
          </cell>
        </row>
        <row r="33">
          <cell r="B33" t="str">
            <v>HIERRO CONSTRUCCION</v>
          </cell>
        </row>
        <row r="34">
          <cell r="B34" t="str">
            <v>Hierro del 6</v>
          </cell>
          <cell r="C34" t="str">
            <v>kg</v>
          </cell>
          <cell r="D34">
            <v>1769.41</v>
          </cell>
        </row>
        <row r="35">
          <cell r="B35" t="str">
            <v>Hierro del 8</v>
          </cell>
          <cell r="C35" t="str">
            <v>kg</v>
          </cell>
          <cell r="D35">
            <v>1641.01</v>
          </cell>
        </row>
        <row r="36">
          <cell r="B36" t="str">
            <v>Hierro del 10</v>
          </cell>
          <cell r="C36" t="str">
            <v>kg</v>
          </cell>
          <cell r="D36">
            <v>1610.19</v>
          </cell>
        </row>
        <row r="37">
          <cell r="B37" t="str">
            <v>Hierro del 12</v>
          </cell>
          <cell r="C37" t="str">
            <v>kg</v>
          </cell>
          <cell r="D37">
            <v>1569.1</v>
          </cell>
        </row>
        <row r="38">
          <cell r="B38" t="str">
            <v>Hierro del 16</v>
          </cell>
          <cell r="C38" t="str">
            <v>kg</v>
          </cell>
          <cell r="D38">
            <v>1537</v>
          </cell>
        </row>
        <row r="39">
          <cell r="B39" t="str">
            <v>Hierro del 20</v>
          </cell>
          <cell r="C39" t="str">
            <v>kg</v>
          </cell>
          <cell r="D39">
            <v>1526.73</v>
          </cell>
        </row>
        <row r="40">
          <cell r="B40" t="str">
            <v>Hierro del 25</v>
          </cell>
          <cell r="C40" t="str">
            <v>kg</v>
          </cell>
          <cell r="D40">
            <v>1526.73</v>
          </cell>
        </row>
        <row r="41">
          <cell r="B41" t="str">
            <v>Hierro del 6</v>
          </cell>
          <cell r="C41" t="str">
            <v>kg</v>
          </cell>
          <cell r="D41">
            <v>1338.79</v>
          </cell>
        </row>
        <row r="42">
          <cell r="B42" t="str">
            <v>Hierro del 8</v>
          </cell>
          <cell r="C42" t="str">
            <v>kg</v>
          </cell>
          <cell r="D42">
            <v>1301.79</v>
          </cell>
        </row>
        <row r="43">
          <cell r="B43" t="str">
            <v>Hierro del 10</v>
          </cell>
          <cell r="C43" t="str">
            <v>kg</v>
          </cell>
          <cell r="D43">
            <v>1301.79</v>
          </cell>
        </row>
        <row r="44">
          <cell r="B44" t="str">
            <v>Hierro del 12</v>
          </cell>
          <cell r="C44" t="str">
            <v>kg</v>
          </cell>
          <cell r="D44">
            <v>1292.8499999999999</v>
          </cell>
        </row>
        <row r="45">
          <cell r="B45" t="str">
            <v>Hierro del 16</v>
          </cell>
          <cell r="C45" t="str">
            <v>kg</v>
          </cell>
          <cell r="D45">
            <v>1276.9100000000001</v>
          </cell>
        </row>
        <row r="46">
          <cell r="B46" t="str">
            <v>Hierro del 20</v>
          </cell>
          <cell r="C46" t="str">
            <v>kg</v>
          </cell>
          <cell r="D46">
            <v>1276.9100000000001</v>
          </cell>
        </row>
        <row r="47">
          <cell r="B47" t="str">
            <v>Hierro del 25</v>
          </cell>
          <cell r="C47" t="str">
            <v>kg</v>
          </cell>
          <cell r="D47">
            <v>1276.9100000000001</v>
          </cell>
        </row>
        <row r="48">
          <cell r="B48" t="str">
            <v xml:space="preserve">BAÑOS </v>
          </cell>
        </row>
        <row r="49">
          <cell r="B49" t="str">
            <v xml:space="preserve">Baño portatil / Ducha </v>
          </cell>
          <cell r="C49" t="str">
            <v>u</v>
          </cell>
          <cell r="D49">
            <v>80000</v>
          </cell>
        </row>
        <row r="50">
          <cell r="B50" t="str">
            <v xml:space="preserve">Traslado flete entrega/ retiro </v>
          </cell>
          <cell r="C50" t="str">
            <v>u</v>
          </cell>
          <cell r="D50">
            <v>20000</v>
          </cell>
        </row>
        <row r="51">
          <cell r="B51" t="str">
            <v>CORRALON</v>
          </cell>
        </row>
        <row r="52">
          <cell r="B52" t="str">
            <v>Telgopor 1 x 1 x 20 mm densidad 20 kg</v>
          </cell>
          <cell r="C52" t="str">
            <v>u</v>
          </cell>
          <cell r="D52">
            <v>3538.08</v>
          </cell>
        </row>
        <row r="53">
          <cell r="B53" t="str">
            <v>Malla de fibra 5 x 5 90 gr, rollo 1 x 50 mts</v>
          </cell>
          <cell r="C53" t="str">
            <v>rol</v>
          </cell>
          <cell r="D53">
            <v>42850.080000000002</v>
          </cell>
        </row>
        <row r="54">
          <cell r="B54" t="str">
            <v xml:space="preserve">Liston refractario 230 x 65 x 19 </v>
          </cell>
          <cell r="C54" t="str">
            <v>u</v>
          </cell>
          <cell r="D54">
            <v>735.53719008264466</v>
          </cell>
        </row>
        <row r="55">
          <cell r="B55" t="str">
            <v>Yeso Knauf MP 40/75 Proyectable x 25 kg</v>
          </cell>
          <cell r="C55" t="str">
            <v>bol</v>
          </cell>
          <cell r="D55">
            <v>7524.72</v>
          </cell>
        </row>
        <row r="56">
          <cell r="B56" t="str">
            <v>Guardacanto yesero 2,60 mts</v>
          </cell>
          <cell r="C56" t="str">
            <v>u</v>
          </cell>
          <cell r="D56">
            <v>1566</v>
          </cell>
        </row>
        <row r="57">
          <cell r="B57" t="str">
            <v>PA-MAX PUENTE DE ADHERENCIA 20LT</v>
          </cell>
          <cell r="C57" t="str">
            <v>tac</v>
          </cell>
          <cell r="D57">
            <v>152600</v>
          </cell>
        </row>
        <row r="58">
          <cell r="B58" t="str">
            <v>BUÑA Z PERIMETRAL - Largo 2,60 mt</v>
          </cell>
          <cell r="C58" t="str">
            <v>un</v>
          </cell>
          <cell r="D58">
            <v>2212.06</v>
          </cell>
        </row>
        <row r="59">
          <cell r="B59" t="str">
            <v>Malla N° 4 Liv 15 x 15 3 x 2 mt</v>
          </cell>
          <cell r="C59" t="str">
            <v>un</v>
          </cell>
          <cell r="D59">
            <v>10716.59</v>
          </cell>
        </row>
        <row r="60">
          <cell r="B60" t="str">
            <v>Rollo Polietileno negro 2x50 mt x 200mic</v>
          </cell>
          <cell r="C60" t="str">
            <v>rol</v>
          </cell>
          <cell r="D60">
            <v>27000</v>
          </cell>
        </row>
        <row r="61">
          <cell r="B61" t="str">
            <v>MEMBRANA C/GEOTEXTIL W450</v>
          </cell>
          <cell r="C61" t="str">
            <v>rol</v>
          </cell>
          <cell r="D61">
            <v>57227.91</v>
          </cell>
        </row>
        <row r="62">
          <cell r="B62" t="str">
            <v>BOLSON DE PIEDRA PARTIDA 6/20</v>
          </cell>
          <cell r="C62" t="str">
            <v>bol</v>
          </cell>
          <cell r="D62">
            <v>57141</v>
          </cell>
        </row>
        <row r="63">
          <cell r="B63" t="str">
            <v>Malla Q188 15 x 15 6 mm 6x2,40</v>
          </cell>
          <cell r="C63" t="str">
            <v>u</v>
          </cell>
          <cell r="D63">
            <v>74988.34</v>
          </cell>
        </row>
        <row r="64">
          <cell r="B64" t="str">
            <v>WEBER REFRACTARIO X 10KG (rend. 0,5 m2)</v>
          </cell>
          <cell r="C64" t="str">
            <v>bol</v>
          </cell>
          <cell r="D64">
            <v>18900</v>
          </cell>
        </row>
        <row r="65">
          <cell r="B65" t="str">
            <v>CEMENTO AVELLANEDA x 50 KG</v>
          </cell>
          <cell r="C65" t="str">
            <v>bol</v>
          </cell>
          <cell r="D65">
            <v>7809.92</v>
          </cell>
        </row>
        <row r="66">
          <cell r="B66" t="str">
            <v>Cal comun hidrat x 25 kg</v>
          </cell>
          <cell r="C66" t="str">
            <v>bol</v>
          </cell>
          <cell r="D66">
            <v>3897.52</v>
          </cell>
        </row>
        <row r="67">
          <cell r="B67" t="str">
            <v>Weber climamur termoaislante x 7 kg (rinde 1 m2)</v>
          </cell>
          <cell r="C67" t="str">
            <v>bol</v>
          </cell>
          <cell r="D67">
            <v>19412.396694214876</v>
          </cell>
        </row>
        <row r="68">
          <cell r="B68" t="str">
            <v>Weberprim celublock x 30 kg (3 kg/m2)</v>
          </cell>
          <cell r="C68" t="str">
            <v>bol</v>
          </cell>
          <cell r="D68">
            <v>7081.2</v>
          </cell>
        </row>
        <row r="69">
          <cell r="B69" t="str">
            <v>MERCADO LIBRE</v>
          </cell>
        </row>
        <row r="70">
          <cell r="B70" t="str">
            <v>Sika WaterBars V-15, largo 15 mts</v>
          </cell>
          <cell r="C70" t="str">
            <v>rol</v>
          </cell>
        </row>
        <row r="71">
          <cell r="B71" t="str">
            <v>Sika WaterBars V-20, largo 15 mts</v>
          </cell>
          <cell r="C71" t="str">
            <v>rol</v>
          </cell>
        </row>
        <row r="72">
          <cell r="B72" t="str">
            <v>Tapa Y Marco Para Tanque De Hormigón Poliéster 52 X 52 Cm</v>
          </cell>
          <cell r="C72" t="str">
            <v>u</v>
          </cell>
        </row>
        <row r="73">
          <cell r="B73" t="str">
            <v>Varilla Guardacanto L Aluminio Cromo Mate 1663 12 Mm Atrim</v>
          </cell>
          <cell r="C73" t="str">
            <v>u</v>
          </cell>
          <cell r="D73">
            <v>18479.96694214876</v>
          </cell>
        </row>
        <row r="74">
          <cell r="B74" t="str">
            <v>REJILLAS</v>
          </cell>
        </row>
        <row r="75">
          <cell r="B75" t="str">
            <v>Rejilla De Ventilacion 20 X 20 Fija - Retorno / Extraccion</v>
          </cell>
          <cell r="C75" t="str">
            <v>u</v>
          </cell>
          <cell r="D75">
            <v>18181.818181818184</v>
          </cell>
        </row>
        <row r="76">
          <cell r="B76" t="str">
            <v>Caño Ventilación Corrugado Aluminio 4 Pulgadas X 1 Metro</v>
          </cell>
          <cell r="C76" t="str">
            <v>ml</v>
          </cell>
          <cell r="D76">
            <v>6972.0826446280989</v>
          </cell>
        </row>
        <row r="77">
          <cell r="B77" t="str">
            <v>Rejilla de ventilación fija 60 x 25 cm - Sala de maquinas de Asc.</v>
          </cell>
          <cell r="C77" t="str">
            <v>u</v>
          </cell>
          <cell r="D77">
            <v>42166.198347107435</v>
          </cell>
        </row>
        <row r="78">
          <cell r="B78" t="str">
            <v>Termostato ambiente 0-55°C</v>
          </cell>
          <cell r="C78" t="str">
            <v>u</v>
          </cell>
          <cell r="D78">
            <v>65000</v>
          </cell>
        </row>
        <row r="79">
          <cell r="B79" t="str">
            <v xml:space="preserve">Forzador de aire 22 m3/m - Sala de maquinas de Asc. </v>
          </cell>
          <cell r="C79" t="str">
            <v>u</v>
          </cell>
          <cell r="D79">
            <v>163642</v>
          </cell>
        </row>
        <row r="80">
          <cell r="B80" t="str">
            <v>ELECTRICIDAD</v>
          </cell>
        </row>
        <row r="81">
          <cell r="B81" t="str">
            <v>Cable Subterraneo 1x50mm² Violeta PVC IMSA</v>
          </cell>
          <cell r="C81" t="str">
            <v>ml</v>
          </cell>
          <cell r="D81">
            <v>10647.353896961737</v>
          </cell>
        </row>
        <row r="82">
          <cell r="B82" t="str">
            <v>M SUBTERRANEO N IRAM 5X16 MM2</v>
          </cell>
          <cell r="C82" t="str">
            <v>ml</v>
          </cell>
          <cell r="D82">
            <v>18677.339406182196</v>
          </cell>
        </row>
        <row r="83">
          <cell r="B83" t="str">
            <v>M SUBTERRANEO N.IRAM 5X10 MM2</v>
          </cell>
          <cell r="C83" t="str">
            <v>ml</v>
          </cell>
          <cell r="D83">
            <v>12168.03522989002</v>
          </cell>
        </row>
        <row r="84">
          <cell r="B84" t="str">
            <v>M SUBTERRANEO N IRAM 5X 6 MM2</v>
          </cell>
          <cell r="C84" t="str">
            <v>ml</v>
          </cell>
          <cell r="D84">
            <v>6493.4771079150769</v>
          </cell>
        </row>
        <row r="85">
          <cell r="B85" t="str">
            <v>Cable Subterraneo 3x10mm² Violeta PVC IMSA</v>
          </cell>
          <cell r="C85" t="str">
            <v>ml</v>
          </cell>
          <cell r="D85">
            <v>7374.1862257811654</v>
          </cell>
        </row>
        <row r="86">
          <cell r="B86" t="str">
            <v>M SUBTERRANEO N IRAM 3X 6.00 MM2</v>
          </cell>
          <cell r="C86" t="str">
            <v>ml</v>
          </cell>
          <cell r="D86">
            <v>3978.963723821199</v>
          </cell>
        </row>
        <row r="87">
          <cell r="B87" t="str">
            <v>M SUBTERRANEO N IRAM 3X 4.00 MM2</v>
          </cell>
          <cell r="C87" t="str">
            <v>ml</v>
          </cell>
          <cell r="D87">
            <v>2895.6433930143821</v>
          </cell>
        </row>
        <row r="88">
          <cell r="B88" t="str">
            <v>M SUBTERRANEO N IRAM 3X 2.50 MM2</v>
          </cell>
          <cell r="C88" t="str">
            <v>ml</v>
          </cell>
          <cell r="D88">
            <v>1908.8133063991668</v>
          </cell>
        </row>
        <row r="89">
          <cell r="B89" t="str">
            <v>M SUBTERRANEO N IRAM 1X 120MM2</v>
          </cell>
          <cell r="C89" t="str">
            <v>ml</v>
          </cell>
          <cell r="D89">
            <v>22097.051355628839</v>
          </cell>
        </row>
        <row r="90">
          <cell r="B90" t="str">
            <v>Cable Cobre desnudo 1x25mm²</v>
          </cell>
          <cell r="C90" t="str">
            <v>ml</v>
          </cell>
          <cell r="D90">
            <v>4801.7129650570714</v>
          </cell>
        </row>
        <row r="91">
          <cell r="B91" t="str">
            <v>RLLOX100M 1X16 MM VD/ AM N.IRAM</v>
          </cell>
          <cell r="C91" t="str">
            <v>rol</v>
          </cell>
          <cell r="D91">
            <v>288766.91758444265</v>
          </cell>
        </row>
        <row r="92">
          <cell r="B92" t="str">
            <v>RLLOX100M 1X 2,5MM NEGRO N.IRAM</v>
          </cell>
          <cell r="C92" t="str">
            <v>rol</v>
          </cell>
          <cell r="D92">
            <v>45833.877374033858</v>
          </cell>
        </row>
        <row r="93">
          <cell r="B93" t="str">
            <v>RLLOX100M 1X 1,5MM NEGRO N.IRAM</v>
          </cell>
          <cell r="C93" t="str">
            <v>rol</v>
          </cell>
          <cell r="D93">
            <v>28477.232046133395</v>
          </cell>
        </row>
        <row r="94">
          <cell r="B94" t="str">
            <v>RLLOX100M 1X 4,0MM NEGRO N.IRAM</v>
          </cell>
          <cell r="C94" t="str">
            <v>rol</v>
          </cell>
          <cell r="D94">
            <v>71572.004448511434</v>
          </cell>
        </row>
        <row r="95">
          <cell r="B95" t="str">
            <v>RLLOX100M 1X 6,0MM NEGRO N.IRAM</v>
          </cell>
          <cell r="C95" t="str">
            <v>rol</v>
          </cell>
          <cell r="D95">
            <v>103147.90813826302</v>
          </cell>
        </row>
        <row r="96">
          <cell r="B96" t="str">
            <v>Cable unipolar 10 mm N.IRAM</v>
          </cell>
          <cell r="C96" t="str">
            <v>ml</v>
          </cell>
          <cell r="D96">
            <v>1780.1906214896771</v>
          </cell>
        </row>
        <row r="97">
          <cell r="B97" t="str">
            <v>CONDUWELD JAB ST 3/4 1.5M</v>
          </cell>
          <cell r="C97" t="str">
            <v>u</v>
          </cell>
          <cell r="D97">
            <v>29030.942732666888</v>
          </cell>
        </row>
        <row r="98">
          <cell r="B98" t="str">
            <v>CONDUWELD TOMACABLE 3</v>
          </cell>
          <cell r="C98" t="str">
            <v>u</v>
          </cell>
          <cell r="D98">
            <v>18112.395912452448</v>
          </cell>
        </row>
        <row r="99">
          <cell r="B99" t="str">
            <v>CAJA INSPECCION 15 x 15 PVC</v>
          </cell>
          <cell r="C99" t="str">
            <v>u</v>
          </cell>
          <cell r="D99">
            <v>1167.9967605333886</v>
          </cell>
        </row>
        <row r="100">
          <cell r="B100" t="str">
            <v>INT. TERMOMAGNETICO E9 2X10A 4,5KA</v>
          </cell>
          <cell r="C100" t="str">
            <v>u</v>
          </cell>
          <cell r="D100">
            <v>16986.629772843684</v>
          </cell>
        </row>
        <row r="101">
          <cell r="B101" t="str">
            <v>INT. TERMOMAGNETICO E9 2X16A 4,5KA</v>
          </cell>
          <cell r="C101" t="str">
            <v>u</v>
          </cell>
          <cell r="D101">
            <v>16986.629772843684</v>
          </cell>
        </row>
        <row r="102">
          <cell r="B102" t="str">
            <v>INT. TERMOMAGNETICO E9 2X20A 4,5KA</v>
          </cell>
          <cell r="C102" t="str">
            <v>u</v>
          </cell>
          <cell r="D102">
            <v>16986.629772843684</v>
          </cell>
        </row>
        <row r="103">
          <cell r="B103" t="str">
            <v>INT. TERMOMAGNETICO E9 2X32A 4,5KA</v>
          </cell>
          <cell r="C103" t="str">
            <v>u</v>
          </cell>
          <cell r="D103">
            <v>21831.089898651564</v>
          </cell>
        </row>
        <row r="104">
          <cell r="B104" t="str">
            <v>INT. DIFERENCIAL E9 2X25A 30MA</v>
          </cell>
          <cell r="C104" t="str">
            <v>u</v>
          </cell>
          <cell r="D104">
            <v>69764.544632331366</v>
          </cell>
        </row>
        <row r="105">
          <cell r="B105" t="str">
            <v>INT. DIFERENCIAL E9 2X40A 30MA</v>
          </cell>
          <cell r="C105" t="str">
            <v>u</v>
          </cell>
          <cell r="D105">
            <v>76240.914303999263</v>
          </cell>
        </row>
        <row r="106">
          <cell r="B106" t="str">
            <v>CAJA EMB P/ TM 24 POLOS BC T/FUME</v>
          </cell>
          <cell r="C106" t="str">
            <v>u</v>
          </cell>
          <cell r="D106">
            <v>23515.946421726898</v>
          </cell>
        </row>
        <row r="107">
          <cell r="B107" t="str">
            <v>INTERRUPTOR COMPACTO 4X125A S250</v>
          </cell>
          <cell r="C107" t="str">
            <v>u</v>
          </cell>
          <cell r="D107">
            <v>130403.91821405757</v>
          </cell>
        </row>
        <row r="108">
          <cell r="B108" t="str">
            <v>DISTRIBUIDOR TETRAP.160A 15 STD</v>
          </cell>
          <cell r="C108" t="str">
            <v>u</v>
          </cell>
          <cell r="D108">
            <v>122237.77497631751</v>
          </cell>
        </row>
        <row r="109">
          <cell r="B109" t="str">
            <v>STECK TM TETRAPOLAR 16A 6KA</v>
          </cell>
          <cell r="C109" t="str">
            <v>u</v>
          </cell>
          <cell r="D109">
            <v>12011.346177017329</v>
          </cell>
        </row>
        <row r="110">
          <cell r="B110" t="str">
            <v>STECK TM TETRAPOLAR 32A 6KA</v>
          </cell>
          <cell r="C110" t="str">
            <v>u</v>
          </cell>
          <cell r="D110">
            <v>12011.346177017329</v>
          </cell>
        </row>
        <row r="111">
          <cell r="B111" t="str">
            <v>STECK TM TETRAPOLAR 50A 6KA</v>
          </cell>
          <cell r="C111" t="str">
            <v>u</v>
          </cell>
          <cell r="D111">
            <v>12869.106574814252</v>
          </cell>
        </row>
        <row r="112">
          <cell r="B112" t="str">
            <v>STECK TM BIPOLAR 16A 6KA</v>
          </cell>
          <cell r="C112" t="str">
            <v>u</v>
          </cell>
          <cell r="D112">
            <v>5688.7390030905226</v>
          </cell>
        </row>
        <row r="113">
          <cell r="B113" t="str">
            <v>STECK TM BIPOLAR 10A 6KA</v>
          </cell>
          <cell r="C113" t="str">
            <v>u</v>
          </cell>
          <cell r="D113">
            <v>5688.7390030905226</v>
          </cell>
        </row>
        <row r="114">
          <cell r="B114" t="str">
            <v>STECK DIFERENCIAL 4X40A 30MA</v>
          </cell>
          <cell r="C114" t="str">
            <v>u</v>
          </cell>
          <cell r="D114">
            <v>38605.985559603359</v>
          </cell>
        </row>
        <row r="115">
          <cell r="B115" t="str">
            <v>STECK DIFERENCIAL 4X63A 30MA</v>
          </cell>
          <cell r="C115" t="str">
            <v>u</v>
          </cell>
          <cell r="D115">
            <v>46757.409946534535</v>
          </cell>
        </row>
        <row r="116">
          <cell r="B116" t="str">
            <v>STECK DIFERENCIAL 4X25A 30MA</v>
          </cell>
          <cell r="C116" t="str">
            <v>u</v>
          </cell>
          <cell r="D116">
            <v>36890.464764009514</v>
          </cell>
        </row>
        <row r="117">
          <cell r="B117" t="str">
            <v>STECK DIFERENCIAL 2X25A 30MA</v>
          </cell>
          <cell r="C117" t="str">
            <v>u</v>
          </cell>
          <cell r="D117">
            <v>20196.092406751959</v>
          </cell>
        </row>
        <row r="118">
          <cell r="B118" t="str">
            <v>GAB. IP65 SERIE 9000 600X900X225</v>
          </cell>
          <cell r="C118" t="str">
            <v>u</v>
          </cell>
          <cell r="D118">
            <v>287817.56246666325</v>
          </cell>
        </row>
        <row r="119">
          <cell r="B119" t="str">
            <v>CONTRAF ABISAG CALADO 60BIP S9000 600X900</v>
          </cell>
          <cell r="C119" t="str">
            <v>u</v>
          </cell>
          <cell r="D119">
            <v>103423.56532076406</v>
          </cell>
        </row>
        <row r="120">
          <cell r="B120" t="str">
            <v>SOP REG P/CONTRAFRENTE PROF 225 X1</v>
          </cell>
          <cell r="C120" t="str">
            <v>u</v>
          </cell>
          <cell r="D120">
            <v>10003.040755537908</v>
          </cell>
        </row>
        <row r="121">
          <cell r="B121" t="str">
            <v>RIEL DIN 35MM 1 METRO PERFOR.</v>
          </cell>
          <cell r="C121" t="str">
            <v>u</v>
          </cell>
          <cell r="D121">
            <v>5486.8604959800186</v>
          </cell>
        </row>
        <row r="122">
          <cell r="B122" t="str">
            <v>RIEL PORTA ELEMENTOS X 1 METRO</v>
          </cell>
          <cell r="C122" t="str">
            <v>u</v>
          </cell>
          <cell r="D122">
            <v>15819.526042001187</v>
          </cell>
        </row>
        <row r="123">
          <cell r="B123" t="str">
            <v>SOP FIJACION RIEL PORTAEL - REG 100 A 130</v>
          </cell>
          <cell r="C123" t="str">
            <v>u</v>
          </cell>
          <cell r="D123">
            <v>7792.2112633160104</v>
          </cell>
        </row>
        <row r="124">
          <cell r="B124" t="str">
            <v>GAB. IP65 SERIE 9000 450X600X225</v>
          </cell>
          <cell r="C124" t="str">
            <v>u</v>
          </cell>
          <cell r="D124">
            <v>150904.88880540064</v>
          </cell>
        </row>
        <row r="125">
          <cell r="B125" t="str">
            <v>CONTRAF ABISAG.CALADO 27BIP S9000 450X600</v>
          </cell>
          <cell r="C125" t="str">
            <v>u</v>
          </cell>
          <cell r="D125">
            <v>72848.638808911288</v>
          </cell>
        </row>
        <row r="126">
          <cell r="B126" t="str">
            <v>GAB. IP65 SERIE 9000 450X450X225</v>
          </cell>
          <cell r="C126" t="str">
            <v>u</v>
          </cell>
          <cell r="D126">
            <v>127056.05749684907</v>
          </cell>
        </row>
        <row r="127">
          <cell r="B127" t="str">
            <v>CONTRAF ABISAG.CALADO 18BIP S9000 450X450</v>
          </cell>
          <cell r="C127" t="str">
            <v>u</v>
          </cell>
          <cell r="D127">
            <v>62950.082527207538</v>
          </cell>
        </row>
        <row r="128">
          <cell r="B128" t="str">
            <v>GAB. IP65 SERIE 9000 300X300X150</v>
          </cell>
          <cell r="C128" t="str">
            <v>u</v>
          </cell>
          <cell r="D128">
            <v>55782.00218327895</v>
          </cell>
        </row>
        <row r="129">
          <cell r="B129" t="str">
            <v>CONTRAF ABISAG.CALADO 10BIP S9000 300X300</v>
          </cell>
          <cell r="C129" t="str">
            <v>u</v>
          </cell>
          <cell r="D129">
            <v>36421.71025144311</v>
          </cell>
        </row>
        <row r="130">
          <cell r="B130" t="str">
            <v>CAJA EMB P/ TM 36 POLOS BC T/FUME</v>
          </cell>
          <cell r="C130" t="str">
            <v>u</v>
          </cell>
          <cell r="D130">
            <v>29395.083658672746</v>
          </cell>
        </row>
        <row r="131">
          <cell r="B131" t="str">
            <v>BANDEJA PERF. TRP300 X3M L7</v>
          </cell>
          <cell r="C131" t="str">
            <v>u</v>
          </cell>
          <cell r="D131">
            <v>21627.048753373965</v>
          </cell>
        </row>
        <row r="132">
          <cell r="B132" t="str">
            <v>PACK (50U) CUPLA UNION PERFORADA</v>
          </cell>
          <cell r="C132" t="str">
            <v>u</v>
          </cell>
          <cell r="D132">
            <v>34605.728995321057</v>
          </cell>
        </row>
        <row r="133">
          <cell r="B133" t="str">
            <v>CP-300-90* CURVA PLANA 90*</v>
          </cell>
          <cell r="C133" t="str">
            <v>u</v>
          </cell>
          <cell r="D133">
            <v>4823.6299392830224</v>
          </cell>
        </row>
        <row r="134">
          <cell r="B134" t="str">
            <v>CUP-300 CURVA VERTICAL</v>
          </cell>
          <cell r="C134" t="str">
            <v>u</v>
          </cell>
          <cell r="D134">
            <v>5703.5762072319394</v>
          </cell>
        </row>
        <row r="135">
          <cell r="B135" t="str">
            <v>TP-300 UNION TEE</v>
          </cell>
          <cell r="C135" t="str">
            <v>u</v>
          </cell>
          <cell r="D135">
            <v>5788.5538999867631</v>
          </cell>
        </row>
        <row r="136">
          <cell r="B136" t="str">
            <v>CP-150-90* CURVA PLANA 90*</v>
          </cell>
          <cell r="C136" t="str">
            <v>u</v>
          </cell>
          <cell r="D136">
            <v>3151.0821627905639</v>
          </cell>
        </row>
        <row r="137">
          <cell r="B137" t="str">
            <v>CUP-150 CURVA VERTICAL</v>
          </cell>
          <cell r="C137" t="str">
            <v>u</v>
          </cell>
          <cell r="D137">
            <v>4613.5635334403796</v>
          </cell>
        </row>
        <row r="138">
          <cell r="B138" t="str">
            <v>*ST-300 SOPORTE TRAPECIO</v>
          </cell>
          <cell r="C138" t="str">
            <v>u</v>
          </cell>
          <cell r="D138">
            <v>1666.4149219887545</v>
          </cell>
        </row>
        <row r="139">
          <cell r="B139" t="str">
            <v>VARILLA ROSCADA 1/4"X1MTC/BUL.</v>
          </cell>
          <cell r="C139" t="str">
            <v>u</v>
          </cell>
          <cell r="D139">
            <v>1026.7581972524849</v>
          </cell>
        </row>
        <row r="140">
          <cell r="B140" t="str">
            <v>AVV-1/4 -ENVX100 TUERCA/ARANDELA</v>
          </cell>
          <cell r="C140" t="str">
            <v>u</v>
          </cell>
          <cell r="D140">
            <v>34.31170703914087</v>
          </cell>
        </row>
        <row r="141">
          <cell r="B141" t="str">
            <v>BROCA METALICA 1/4 CJA X 100</v>
          </cell>
          <cell r="C141" t="str">
            <v>u</v>
          </cell>
          <cell r="D141">
            <v>76135.192499870522</v>
          </cell>
        </row>
        <row r="142">
          <cell r="B142" t="str">
            <v>*TTRP-150-Z TAPA CIEGA</v>
          </cell>
          <cell r="C142" t="str">
            <v>u</v>
          </cell>
          <cell r="D142">
            <v>9330.5033231466932</v>
          </cell>
        </row>
        <row r="143">
          <cell r="B143" t="str">
            <v>BANDEJA PERF. TRP150 X3M L7</v>
          </cell>
          <cell r="C143" t="str">
            <v>u</v>
          </cell>
          <cell r="D143">
            <v>14191.436080963646</v>
          </cell>
        </row>
        <row r="144">
          <cell r="B144" t="str">
            <v>LC1D18M7 18A 7,5KW 1+1 220V</v>
          </cell>
          <cell r="C144" t="str">
            <v>u</v>
          </cell>
          <cell r="D144">
            <v>92416.985139936805</v>
          </cell>
        </row>
        <row r="145">
          <cell r="B145" t="str">
            <v>ALTERNADOR 2 BOMBA DIGITAL 24/110/220VCA</v>
          </cell>
          <cell r="C145" t="str">
            <v>u</v>
          </cell>
          <cell r="D145">
            <v>139000.40492826188</v>
          </cell>
        </row>
        <row r="146">
          <cell r="B146" t="str">
            <v>CAÑOX3M RIGIDO 20MM PVC TUBE</v>
          </cell>
          <cell r="C146" t="str">
            <v>u</v>
          </cell>
          <cell r="D146">
            <v>1398.6028492665046</v>
          </cell>
        </row>
        <row r="147">
          <cell r="B147" t="str">
            <v>CAÑOX3M RIGIDO 25MM PVC TUBE</v>
          </cell>
          <cell r="C147" t="str">
            <v>u</v>
          </cell>
          <cell r="D147">
            <v>1975.4354732183454</v>
          </cell>
        </row>
        <row r="148">
          <cell r="B148" t="str">
            <v>ROLLO X25M CORRUG LIV. 20MM TUBE</v>
          </cell>
          <cell r="C148" t="str">
            <v>u</v>
          </cell>
          <cell r="D148">
            <v>6261.2786288897714</v>
          </cell>
        </row>
        <row r="149">
          <cell r="B149" t="str">
            <v>ROLLO X25M CORRUG LIV. 25MM TUBE</v>
          </cell>
          <cell r="C149" t="str">
            <v>u</v>
          </cell>
          <cell r="D149">
            <v>9585.1781759583791</v>
          </cell>
        </row>
        <row r="150">
          <cell r="B150" t="str">
            <v>CURVA 20MM 90ºPVC IP54 TUBE</v>
          </cell>
          <cell r="C150" t="str">
            <v>u</v>
          </cell>
          <cell r="D150">
            <v>267.28486242280889</v>
          </cell>
        </row>
        <row r="151">
          <cell r="B151" t="str">
            <v>CURVA 25MM 90ºPVC IP54 TUBE</v>
          </cell>
          <cell r="C151" t="str">
            <v>u</v>
          </cell>
          <cell r="D151">
            <v>342.63289766743213</v>
          </cell>
        </row>
        <row r="152">
          <cell r="B152" t="str">
            <v>CAJA LIVIANA OCTOGONAL CHICA</v>
          </cell>
          <cell r="C152" t="str">
            <v>u</v>
          </cell>
          <cell r="D152">
            <v>199.8557410636694</v>
          </cell>
        </row>
        <row r="153">
          <cell r="B153" t="str">
            <v>CAJA LIVIANA RECTANGULAR</v>
          </cell>
          <cell r="C153" t="str">
            <v>u</v>
          </cell>
          <cell r="D153">
            <v>199.8557410636694</v>
          </cell>
        </row>
        <row r="154">
          <cell r="B154" t="str">
            <v>CAJA LIVIANA MIGNON</v>
          </cell>
          <cell r="C154" t="str">
            <v>u</v>
          </cell>
          <cell r="D154">
            <v>199.8557410636694</v>
          </cell>
        </row>
        <row r="155">
          <cell r="B155" t="str">
            <v>CONECTOR 20MM PVC RIG IP54 TUBE</v>
          </cell>
          <cell r="C155" t="str">
            <v>u</v>
          </cell>
          <cell r="D155">
            <v>119.68749736701255</v>
          </cell>
        </row>
        <row r="156">
          <cell r="B156" t="str">
            <v>CONECTOR 25MM PVC RIG IP54 TUBE</v>
          </cell>
          <cell r="C156" t="str">
            <v>u</v>
          </cell>
          <cell r="D156">
            <v>255.28813826205567</v>
          </cell>
        </row>
        <row r="157">
          <cell r="B157" t="str">
            <v>UNION 20MM PVC RIG IP54 TUBE</v>
          </cell>
          <cell r="C157" t="str">
            <v>u</v>
          </cell>
          <cell r="D157">
            <v>89.195375150353669</v>
          </cell>
        </row>
        <row r="158">
          <cell r="B158" t="str">
            <v>UNION 25MM PVC RIG IP54 TUBE</v>
          </cell>
          <cell r="C158" t="str">
            <v>u</v>
          </cell>
          <cell r="D158">
            <v>128.56399730658333</v>
          </cell>
        </row>
        <row r="159">
          <cell r="B159" t="str">
            <v>CAJA DE CONEXION 10X10X7 CH20</v>
          </cell>
          <cell r="C159" t="str">
            <v>u</v>
          </cell>
          <cell r="D159">
            <v>3028.5003884735579</v>
          </cell>
        </row>
        <row r="160">
          <cell r="B160" t="str">
            <v>CAJA DE CONEXION 15X15X10 CH20</v>
          </cell>
          <cell r="C160" t="str">
            <v>u</v>
          </cell>
          <cell r="D160">
            <v>4781.399318358398</v>
          </cell>
        </row>
        <row r="161">
          <cell r="B161" t="str">
            <v>CAJA DE CONEXION 15X20X10 CH20</v>
          </cell>
          <cell r="C161" t="str">
            <v>u</v>
          </cell>
          <cell r="D161">
            <v>5791.7709587527406</v>
          </cell>
        </row>
        <row r="162">
          <cell r="B162" t="str">
            <v>CAJA DE CONEXION 20X25X10 CH20</v>
          </cell>
          <cell r="C162" t="str">
            <v>u</v>
          </cell>
          <cell r="D162">
            <v>8445.0052079628458</v>
          </cell>
        </row>
        <row r="163">
          <cell r="B163" t="str">
            <v>CAJA DE CONEXION 30X40X10 CH20</v>
          </cell>
          <cell r="C163" t="str">
            <v>u</v>
          </cell>
          <cell r="D163">
            <v>17921.093889512365</v>
          </cell>
        </row>
        <row r="164">
          <cell r="B164" t="str">
            <v>GRAMPA P/RIEL 1</v>
          </cell>
          <cell r="C164" t="str">
            <v>u</v>
          </cell>
          <cell r="D164">
            <v>721.24520842325785</v>
          </cell>
        </row>
        <row r="165">
          <cell r="B165" t="str">
            <v>GRAMPA P/RIEL 3/4</v>
          </cell>
          <cell r="C165" t="str">
            <v>u</v>
          </cell>
          <cell r="D165">
            <v>678.55193356238885</v>
          </cell>
        </row>
        <row r="166">
          <cell r="B166" t="str">
            <v>GRAMPA MEDIA OMEGA 1</v>
          </cell>
          <cell r="C166" t="str">
            <v>u</v>
          </cell>
          <cell r="D166">
            <v>108.60532168488176</v>
          </cell>
        </row>
        <row r="167">
          <cell r="B167" t="str">
            <v>GRAMPA MEDIA OMEGA 3/4</v>
          </cell>
          <cell r="C167" t="str">
            <v>u</v>
          </cell>
          <cell r="D167">
            <v>66.600648031446212</v>
          </cell>
        </row>
        <row r="168">
          <cell r="B168" t="str">
            <v>RIEL DE FIJAC.1.22 OLMAR</v>
          </cell>
          <cell r="C168" t="str">
            <v>u</v>
          </cell>
          <cell r="D168">
            <v>5452.4196762144838</v>
          </cell>
        </row>
        <row r="169">
          <cell r="B169" t="str">
            <v>SXXII MODULO PUNTO</v>
          </cell>
          <cell r="C169" t="str">
            <v>u</v>
          </cell>
          <cell r="D169">
            <v>2100.6532990325572</v>
          </cell>
        </row>
        <row r="170">
          <cell r="B170" t="str">
            <v>S XXI/XXII BASTIDOR LUJO</v>
          </cell>
          <cell r="C170" t="str">
            <v>u</v>
          </cell>
          <cell r="D170">
            <v>461.11534292143631</v>
          </cell>
        </row>
        <row r="171">
          <cell r="B171" t="str">
            <v>SXXII TAPA 1 MOD. BLANCA</v>
          </cell>
          <cell r="C171" t="str">
            <v>u</v>
          </cell>
          <cell r="D171">
            <v>1229.6588467802735</v>
          </cell>
        </row>
        <row r="172">
          <cell r="B172" t="str">
            <v>SXXII TAPA 2 MOD. BLANCA</v>
          </cell>
          <cell r="C172" t="str">
            <v>u</v>
          </cell>
          <cell r="D172">
            <v>1229.6588467802735</v>
          </cell>
        </row>
        <row r="173">
          <cell r="B173" t="str">
            <v>SXXII MODULO COMBINACION</v>
          </cell>
          <cell r="C173" t="str">
            <v>u</v>
          </cell>
          <cell r="D173">
            <v>2270.7593160563315</v>
          </cell>
        </row>
        <row r="174">
          <cell r="B174" t="str">
            <v>CAJA RECTANGULAR SOBREPONER GRIS</v>
          </cell>
          <cell r="C174" t="str">
            <v>u</v>
          </cell>
          <cell r="D174">
            <v>1935.5181219749422</v>
          </cell>
        </row>
        <row r="175">
          <cell r="B175" t="str">
            <v>M VAINA REDONDA 2X 2,50</v>
          </cell>
          <cell r="C175" t="str">
            <v>u</v>
          </cell>
          <cell r="D175">
            <v>1188.0630300937516</v>
          </cell>
        </row>
        <row r="176">
          <cell r="B176" t="str">
            <v>Zumbador Ext. 10 x 10 cm</v>
          </cell>
          <cell r="C176" t="str">
            <v>u</v>
          </cell>
          <cell r="D176">
            <v>13338.356019498497</v>
          </cell>
        </row>
        <row r="177">
          <cell r="B177" t="str">
            <v>S XXI SOPORTE MIGNON</v>
          </cell>
          <cell r="C177" t="str">
            <v>u</v>
          </cell>
          <cell r="D177">
            <v>450.87239996086493</v>
          </cell>
        </row>
        <row r="178">
          <cell r="B178" t="str">
            <v>SXXII MODULO PULSADOR</v>
          </cell>
          <cell r="C178" t="str">
            <v>u</v>
          </cell>
          <cell r="D178">
            <v>2270.7593160563315</v>
          </cell>
        </row>
        <row r="179">
          <cell r="B179" t="str">
            <v>SXXII TAPA MIGNON 1 MD.BLANCA</v>
          </cell>
          <cell r="C179" t="str">
            <v>u</v>
          </cell>
          <cell r="D179">
            <v>922.24144523673874</v>
          </cell>
        </row>
        <row r="180">
          <cell r="B180" t="str">
            <v>Detector movimiento C/base Bco. 1200W 180º</v>
          </cell>
          <cell r="C180" t="str">
            <v>u</v>
          </cell>
          <cell r="D180">
            <v>11051.97406354852</v>
          </cell>
        </row>
        <row r="181">
          <cell r="B181" t="str">
            <v>CINTA PVC 20M NG PRYSMIAN</v>
          </cell>
          <cell r="C181" t="str">
            <v>u</v>
          </cell>
          <cell r="D181">
            <v>1398.9794280518197</v>
          </cell>
        </row>
        <row r="182">
          <cell r="B182" t="str">
            <v>B 4 AISLADO AZ CRR 5MM 130102</v>
          </cell>
          <cell r="C182" t="str">
            <v>u</v>
          </cell>
          <cell r="D182">
            <v>114.22172528301019</v>
          </cell>
        </row>
        <row r="183">
          <cell r="B183" t="str">
            <v>TUBO TERMOC.12,7MM-6 MM</v>
          </cell>
          <cell r="C183" t="str">
            <v>u</v>
          </cell>
          <cell r="D183">
            <v>1665.4573359346675</v>
          </cell>
        </row>
        <row r="184">
          <cell r="B184" t="str">
            <v>PRENSACABLE PVC 3/4RE 6-12 IP65</v>
          </cell>
          <cell r="C184" t="str">
            <v>u</v>
          </cell>
          <cell r="D184">
            <v>467.99059560190381</v>
          </cell>
        </row>
        <row r="185">
          <cell r="B185" t="str">
            <v>TERMINAL COBRE SCC 120-2 (5/8)</v>
          </cell>
          <cell r="C185" t="str">
            <v>u</v>
          </cell>
          <cell r="D185">
            <v>5542.2928931784045</v>
          </cell>
        </row>
        <row r="186">
          <cell r="B186" t="str">
            <v>Voltimetro Display Ojo de Buey 22 mm</v>
          </cell>
          <cell r="C186" t="str">
            <v>u</v>
          </cell>
          <cell r="D186">
            <v>3933.8478069282378</v>
          </cell>
        </row>
        <row r="187">
          <cell r="B187" t="str">
            <v>[66039162] GAB 4 MED TRIF C/TM + DIF (EDENOR)</v>
          </cell>
          <cell r="C187" t="str">
            <v>u</v>
          </cell>
          <cell r="D187">
            <v>895554.29658569163</v>
          </cell>
        </row>
        <row r="188">
          <cell r="B188" t="str">
            <v>[66039155] GAB 1 MED TRIF C/TM + DIF (EDENOR)</v>
          </cell>
          <cell r="C188" t="str">
            <v>u</v>
          </cell>
          <cell r="D188">
            <v>226574.59764844007</v>
          </cell>
        </row>
        <row r="189">
          <cell r="B189" t="str">
            <v>[66030400] GAB 4 MED MONO C/TM + DIF (EDENOR)</v>
          </cell>
          <cell r="C189" t="str">
            <v>u</v>
          </cell>
          <cell r="D189">
            <v>476241.79184815579</v>
          </cell>
        </row>
        <row r="190">
          <cell r="B190" t="str">
            <v xml:space="preserve">Gabinete columna 4 modulos trifasico Edesur </v>
          </cell>
          <cell r="C190" t="str">
            <v>u</v>
          </cell>
          <cell r="D190">
            <v>1083962.7455649166</v>
          </cell>
        </row>
        <row r="191">
          <cell r="B191" t="str">
            <v xml:space="preserve">Gabinete columna 2 modulos trifasico Edesur </v>
          </cell>
          <cell r="C191" t="str">
            <v>u</v>
          </cell>
          <cell r="D191">
            <v>548913.07767889975</v>
          </cell>
        </row>
        <row r="192">
          <cell r="B192" t="str">
            <v xml:space="preserve">Gabinete columna 12 modulos monofasico Edesur </v>
          </cell>
          <cell r="C192" t="str">
            <v>u</v>
          </cell>
          <cell r="D192">
            <v>1719995.0835943404</v>
          </cell>
        </row>
        <row r="193">
          <cell r="B193" t="str">
            <v xml:space="preserve">Gabinete columna 3 modulos monofasico Edesur </v>
          </cell>
          <cell r="C193" t="str">
            <v>u</v>
          </cell>
          <cell r="D193">
            <v>492607.4544726868</v>
          </cell>
        </row>
        <row r="194">
          <cell r="B194" t="str">
            <v>[62009010] CAJA TOMA 500A C/ 6 BASES NH (EDENOR)</v>
          </cell>
          <cell r="C194" t="str">
            <v>u</v>
          </cell>
          <cell r="D194">
            <v>498022.38791139348</v>
          </cell>
        </row>
        <row r="195">
          <cell r="B195" t="str">
            <v xml:space="preserve">Fusible NH 00 63 A </v>
          </cell>
          <cell r="C195" t="str">
            <v>u</v>
          </cell>
          <cell r="D195">
            <v>4071.7096989473807</v>
          </cell>
        </row>
        <row r="196">
          <cell r="B196" t="str">
            <v xml:space="preserve">Fusible NH 02 a 125 A </v>
          </cell>
          <cell r="C196" t="str">
            <v>u</v>
          </cell>
          <cell r="D196">
            <v>10375.132873610848</v>
          </cell>
        </row>
        <row r="197">
          <cell r="B197" t="str">
            <v xml:space="preserve">SXXI MODULO toma doble 10A </v>
          </cell>
          <cell r="C197" t="str">
            <v>u</v>
          </cell>
          <cell r="D197">
            <v>4623.8717441290319</v>
          </cell>
        </row>
        <row r="198">
          <cell r="B198" t="str">
            <v>Bastidor unico 3 mod. Kalop</v>
          </cell>
          <cell r="C198" t="str">
            <v>u</v>
          </cell>
          <cell r="D198">
            <v>566.54156532360923</v>
          </cell>
        </row>
        <row r="199">
          <cell r="B199" t="str">
            <v>Tapa civil 3 mod. Blanco marca Kalop</v>
          </cell>
          <cell r="C199" t="str">
            <v>u</v>
          </cell>
          <cell r="D199">
            <v>530.71992910476808</v>
          </cell>
        </row>
        <row r="200">
          <cell r="B200" t="str">
            <v>Interruptor unipolar simple blanco marca Kalop</v>
          </cell>
          <cell r="C200" t="str">
            <v>u</v>
          </cell>
          <cell r="D200">
            <v>1157.139598220434</v>
          </cell>
        </row>
        <row r="201">
          <cell r="B201" t="str">
            <v>Toma doble blanco 10 A marca Kalop</v>
          </cell>
          <cell r="C201" t="str">
            <v>u</v>
          </cell>
          <cell r="D201">
            <v>2757.1577569802466</v>
          </cell>
        </row>
        <row r="202">
          <cell r="B202" t="str">
            <v>Toma blanco 10A marca Kalop</v>
          </cell>
          <cell r="C202" t="str">
            <v>u</v>
          </cell>
          <cell r="D202">
            <v>1053.9508973875347</v>
          </cell>
        </row>
        <row r="203">
          <cell r="B203" t="str">
            <v>Toma 20A blanco marca Kalop</v>
          </cell>
          <cell r="C203" t="str">
            <v>u</v>
          </cell>
          <cell r="D203">
            <v>2681.4397734226709</v>
          </cell>
        </row>
        <row r="204">
          <cell r="B204" t="str">
            <v>Tapon ciego blanco marca Kalop</v>
          </cell>
          <cell r="C204" t="str">
            <v>u</v>
          </cell>
          <cell r="D204">
            <v>137.91329944253835</v>
          </cell>
        </row>
        <row r="205">
          <cell r="B205" t="str">
            <v xml:space="preserve">Interruptor unipolar simple blanco marca Kalop - Completo, bastidor + tapa + interruptor + tapon </v>
          </cell>
          <cell r="C205" t="str">
            <v>u</v>
          </cell>
          <cell r="D205">
            <v>3549.4539903117834</v>
          </cell>
        </row>
        <row r="206">
          <cell r="B206" t="str">
            <v>Toma doble blanco 10 A marca Kalop - Completo, bastidor + tapa + tomacorriente</v>
          </cell>
          <cell r="C206" t="str">
            <v>u</v>
          </cell>
          <cell r="D206">
            <v>3854.4192514086239</v>
          </cell>
        </row>
        <row r="207">
          <cell r="B207" t="str">
            <v>Toma blanco 10A marca Kalop - Completo, bastidor + tapa + tomacorriente + tapon</v>
          </cell>
          <cell r="C207" t="str">
            <v>u</v>
          </cell>
          <cell r="D207">
            <v>2427.038990700989</v>
          </cell>
        </row>
        <row r="208">
          <cell r="B208" t="str">
            <v>Toma blanco 20A marca Kalop - Completo, bastidor + tapa + tomacorriente + tapon</v>
          </cell>
          <cell r="C208" t="str">
            <v>u</v>
          </cell>
          <cell r="D208">
            <v>4054.5278667361245</v>
          </cell>
        </row>
        <row r="209">
          <cell r="B209" t="str">
            <v>Toma para TV ciego marca Kalop - Completo, bastidor + tapa + tapones</v>
          </cell>
          <cell r="C209" t="str">
            <v>u</v>
          </cell>
          <cell r="D209">
            <v>1511.0013927559926</v>
          </cell>
        </row>
        <row r="210">
          <cell r="B210" t="str">
            <v>GAS</v>
          </cell>
        </row>
        <row r="211">
          <cell r="B211" t="str">
            <v>BZ TENARIS CANO EPOXI 11/4X6.40 MTS</v>
          </cell>
          <cell r="C211" t="str">
            <v>tira</v>
          </cell>
          <cell r="D211">
            <v>85882.267275332793</v>
          </cell>
        </row>
        <row r="212">
          <cell r="B212" t="str">
            <v>DEMA EPOXI TEE 11/4</v>
          </cell>
          <cell r="C212" t="str">
            <v>u</v>
          </cell>
          <cell r="D212">
            <v>5407.9080637902362</v>
          </cell>
        </row>
        <row r="213">
          <cell r="B213" t="str">
            <v>DEMA EPOXI CODO 90 HH 11/4</v>
          </cell>
          <cell r="C213" t="str">
            <v>u</v>
          </cell>
          <cell r="D213">
            <v>3865.0109833848419</v>
          </cell>
        </row>
        <row r="214">
          <cell r="B214" t="str">
            <v>CB BRONCE BUJE RED 3/4X1/2</v>
          </cell>
          <cell r="C214" t="str">
            <v>u</v>
          </cell>
          <cell r="D214">
            <v>1113.0377766651129</v>
          </cell>
        </row>
        <row r="215">
          <cell r="B215" t="str">
            <v>CB BRONCE BUJE RED 11/4X1</v>
          </cell>
          <cell r="C215" t="str">
            <v>u</v>
          </cell>
          <cell r="D215">
            <v>4313.6239106338162</v>
          </cell>
        </row>
        <row r="216">
          <cell r="B216" t="str">
            <v>CB BRONCE BUJE RED 11/2X11/4</v>
          </cell>
          <cell r="C216" t="str">
            <v>u</v>
          </cell>
          <cell r="D216">
            <v>3817.2823121946171</v>
          </cell>
        </row>
        <row r="217">
          <cell r="B217" t="str">
            <v>SUYAI ESFERICA P/GAS FORJADA 11/4 PASO TOTAL</v>
          </cell>
          <cell r="C217" t="str">
            <v>u</v>
          </cell>
          <cell r="D217">
            <v>94942.04273001953</v>
          </cell>
        </row>
        <row r="218">
          <cell r="B218" t="str">
            <v>FUSIOGAS TRANSICION HEMBRA 32 X 1 (203232)</v>
          </cell>
          <cell r="C218" t="str">
            <v>u</v>
          </cell>
          <cell r="D218">
            <v>4426.9741250136694</v>
          </cell>
        </row>
        <row r="219">
          <cell r="B219" t="str">
            <v>FUSIOGAS TRANSICION HEMBRA 50 X 1 1/2 (203250)</v>
          </cell>
          <cell r="C219" t="str">
            <v>u</v>
          </cell>
          <cell r="D219">
            <v>14513.722964830195</v>
          </cell>
        </row>
        <row r="220">
          <cell r="B220" t="str">
            <v>SALUSTRI REGULADOR GAS GS-25 25 NM3/H APROBADO</v>
          </cell>
          <cell r="C220" t="str">
            <v>u</v>
          </cell>
          <cell r="D220">
            <v>139939.36647156661</v>
          </cell>
        </row>
        <row r="221">
          <cell r="B221" t="str">
            <v>FUSIOGAS TUBO  20 MM X 4.00 MTS (200020)</v>
          </cell>
          <cell r="C221" t="str">
            <v>tira</v>
          </cell>
          <cell r="D221">
            <v>11975.689545744921</v>
          </cell>
        </row>
        <row r="222">
          <cell r="B222" t="str">
            <v>FUSIOGAS TUBO  25 MM X 4.00 MTS (200025)</v>
          </cell>
          <cell r="C222" t="str">
            <v>tira</v>
          </cell>
          <cell r="D222">
            <v>15522.620568264878</v>
          </cell>
        </row>
        <row r="223">
          <cell r="B223" t="str">
            <v>FUSIOGAS TUBO  32 MM X 4.00 MTS (200032)</v>
          </cell>
          <cell r="C223" t="str">
            <v>tira</v>
          </cell>
          <cell r="D223">
            <v>23660.649509832696</v>
          </cell>
        </row>
        <row r="224">
          <cell r="B224" t="str">
            <v>FUSIOGAS TUBO  50 MM X 4.00 MTS (200050)</v>
          </cell>
          <cell r="C224" t="str">
            <v>tira</v>
          </cell>
          <cell r="D224">
            <v>34177.77410429508</v>
          </cell>
        </row>
        <row r="225">
          <cell r="B225" t="str">
            <v>FUSIOGAS CUPLA FUSION 20 MM (203020)</v>
          </cell>
          <cell r="C225" t="str">
            <v>u</v>
          </cell>
          <cell r="D225">
            <v>1073.1742223910403</v>
          </cell>
        </row>
        <row r="226">
          <cell r="B226" t="str">
            <v>FUSIOGAS CUPLA FUSION 25 MM (203025)</v>
          </cell>
          <cell r="C226" t="str">
            <v>u</v>
          </cell>
          <cell r="D226">
            <v>1208.667269347422</v>
          </cell>
        </row>
        <row r="227">
          <cell r="B227" t="str">
            <v>FUSIOGAS CUPLA FUSION 32 MM (203032)</v>
          </cell>
          <cell r="C227" t="str">
            <v>u</v>
          </cell>
          <cell r="D227">
            <v>1372.2208155067133</v>
          </cell>
        </row>
        <row r="228">
          <cell r="B228" t="str">
            <v>FUSIOGAS CUPLA FUSION 50 MM (203050)</v>
          </cell>
          <cell r="C228" t="str">
            <v>u</v>
          </cell>
          <cell r="D228">
            <v>6565.6080843937225</v>
          </cell>
        </row>
        <row r="229">
          <cell r="B229" t="str">
            <v>FUSIOGAS TEE FUSION 25 MM (202025)</v>
          </cell>
          <cell r="C229" t="str">
            <v>u</v>
          </cell>
          <cell r="D229">
            <v>2889.7364857818684</v>
          </cell>
        </row>
        <row r="230">
          <cell r="B230" t="str">
            <v>FUSIOGAS TEE FUSION 32 MM (202032)</v>
          </cell>
          <cell r="C230" t="str">
            <v>u</v>
          </cell>
          <cell r="D230">
            <v>3803.381175319556</v>
          </cell>
        </row>
        <row r="231">
          <cell r="B231" t="str">
            <v>FUSIOGAS TEE FUSION 50 MM (202050)</v>
          </cell>
          <cell r="C231" t="str">
            <v>u</v>
          </cell>
          <cell r="D231">
            <v>13292.886821020162</v>
          </cell>
        </row>
        <row r="232">
          <cell r="B232" t="str">
            <v>FUSIOGAS CODO A 90 FUSION 20 MM (201020)</v>
          </cell>
          <cell r="C232" t="str">
            <v>u</v>
          </cell>
          <cell r="D232">
            <v>1428.0620696720132</v>
          </cell>
        </row>
        <row r="233">
          <cell r="B233" t="str">
            <v>FUSIOGAS CODO A 90 FUSION 25 MM (201025)</v>
          </cell>
          <cell r="C233" t="str">
            <v>u</v>
          </cell>
          <cell r="D233">
            <v>1557.5836530326837</v>
          </cell>
        </row>
        <row r="234">
          <cell r="B234" t="str">
            <v>FUSIOGAS CODO A 90 FUSION 32 MM (201032)</v>
          </cell>
          <cell r="C234" t="str">
            <v>u</v>
          </cell>
          <cell r="D234">
            <v>2394.2448794580941</v>
          </cell>
        </row>
        <row r="235">
          <cell r="B235" t="str">
            <v>FUSIOGAS CODO A 90 FUSION 50 MM (201050)</v>
          </cell>
          <cell r="C235" t="str">
            <v>u</v>
          </cell>
          <cell r="D235">
            <v>9913.7915834182222</v>
          </cell>
        </row>
        <row r="236">
          <cell r="B236" t="str">
            <v>FUSIOGAS CODO A 45 FUSION 32 MM (201632)</v>
          </cell>
          <cell r="C236" t="str">
            <v>u</v>
          </cell>
          <cell r="D236">
            <v>2621.8168191209566</v>
          </cell>
        </row>
        <row r="237">
          <cell r="B237" t="str">
            <v>FUSIOGAS CUPLA RED. FUSION 25 X 20 MM (203126)</v>
          </cell>
          <cell r="C237" t="str">
            <v>u</v>
          </cell>
          <cell r="D237">
            <v>1022.6158306140186</v>
          </cell>
        </row>
        <row r="238">
          <cell r="B238" t="str">
            <v>FUSIOGAS CUPLA RED. FUSION 32 X 25 MM (203133)</v>
          </cell>
          <cell r="C238" t="str">
            <v>u</v>
          </cell>
          <cell r="D238">
            <v>1203.9331360463177</v>
          </cell>
        </row>
        <row r="239">
          <cell r="B239" t="str">
            <v>FUSIOGAS CUPLA RED. FUSION 50 X 32 MM (203152)</v>
          </cell>
          <cell r="C239" t="str">
            <v>u</v>
          </cell>
          <cell r="D239">
            <v>6447.6098118636955</v>
          </cell>
        </row>
        <row r="240">
          <cell r="B240" t="str">
            <v>FUSIOGAS CODO A 90 ROSCA HEMBRA 20 X 1/2 (201220)</v>
          </cell>
          <cell r="C240" t="str">
            <v>u</v>
          </cell>
          <cell r="D240">
            <v>2873.9524549802313</v>
          </cell>
        </row>
        <row r="241">
          <cell r="B241" t="str">
            <v>FUSIOGAS CODO A 90 ROSCA HEMBRA 25 X 3/4 (201225)</v>
          </cell>
          <cell r="C241" t="str">
            <v>u</v>
          </cell>
          <cell r="D241">
            <v>4269.0047042709075</v>
          </cell>
        </row>
        <row r="242">
          <cell r="B242" t="str">
            <v>FUSIOGAS CODO A 90 ROSCA HEMBRA 32 X 3/4 (201333)</v>
          </cell>
          <cell r="C242" t="str">
            <v>u</v>
          </cell>
          <cell r="D242">
            <v>5883.3334005536472</v>
          </cell>
        </row>
        <row r="243">
          <cell r="B243" t="str">
            <v>FUSIOGAS LLAVE PASO C/MANIVELA Y ROSETA 20 MM (207</v>
          </cell>
          <cell r="C243" t="str">
            <v>u</v>
          </cell>
          <cell r="D243">
            <v>15209.726635243473</v>
          </cell>
        </row>
        <row r="244">
          <cell r="B244" t="str">
            <v>FUSIOGAS LLAVE PASO C/MANIVELA Y ROSETA 25 MM (207</v>
          </cell>
          <cell r="C244" t="str">
            <v>u</v>
          </cell>
          <cell r="D244">
            <v>15225.779650891764</v>
          </cell>
        </row>
        <row r="245">
          <cell r="B245" t="str">
            <v>FUSIOGAS LLAVE PASO C/MANIVELA Y ROSETA 32 MM (207</v>
          </cell>
          <cell r="C245" t="str">
            <v>u</v>
          </cell>
          <cell r="D245">
            <v>36808.069325782562</v>
          </cell>
        </row>
        <row r="246">
          <cell r="B246" t="str">
            <v>DINATECNICA EXTENSIBLE GAS 1/2 X 20-42 CM</v>
          </cell>
          <cell r="C246" t="str">
            <v>u</v>
          </cell>
          <cell r="D246">
            <v>11763.266832645593</v>
          </cell>
        </row>
        <row r="247">
          <cell r="B247" t="str">
            <v>DINATECNICA EXTENSIBLE GAS 3/4 X 20-42 CM</v>
          </cell>
          <cell r="C247" t="str">
            <v>u</v>
          </cell>
          <cell r="D247">
            <v>16928.292339301439</v>
          </cell>
        </row>
        <row r="248">
          <cell r="B248" t="str">
            <v>DINATECNICA KIT CONEXION CALDERAS MIXTAS</v>
          </cell>
          <cell r="C248" t="str">
            <v>u</v>
          </cell>
          <cell r="D248">
            <v>80849.001305961792</v>
          </cell>
        </row>
        <row r="249">
          <cell r="B249" t="str">
            <v>REJA VENTILACION 15X15 ESMALTADA (450731)</v>
          </cell>
          <cell r="C249" t="str">
            <v>u</v>
          </cell>
          <cell r="D249">
            <v>831.71190524698295</v>
          </cell>
        </row>
        <row r="250">
          <cell r="B250" t="str">
            <v>CALEFACCIÓN</v>
          </cell>
        </row>
        <row r="251">
          <cell r="B251" t="str">
            <v>HIDROFLEX COLECTOR LUXUS CROMO 4 SAL.16 MM</v>
          </cell>
          <cell r="C251" t="str">
            <v>u</v>
          </cell>
          <cell r="D251">
            <v>285491.67201643682</v>
          </cell>
        </row>
        <row r="252">
          <cell r="B252" t="str">
            <v>HIDROFLEX COLECTOR LUXUS CROMO 5 SAL.16 MM</v>
          </cell>
          <cell r="C252" t="str">
            <v>u</v>
          </cell>
          <cell r="D252">
            <v>326160.39477108838</v>
          </cell>
        </row>
        <row r="253">
          <cell r="B253" t="str">
            <v>HIDROFLEX GABINETE P/COLECTOR 450 X 450 X 110</v>
          </cell>
          <cell r="C253" t="str">
            <v>u</v>
          </cell>
          <cell r="D253">
            <v>78983.161018664003</v>
          </cell>
        </row>
        <row r="254">
          <cell r="B254" t="str">
            <v>HIDROFLEX GABINETE P/COLECTOR 600 X 450 X 110</v>
          </cell>
          <cell r="C254" t="str">
            <v>u</v>
          </cell>
          <cell r="D254">
            <v>100197.17816030435</v>
          </cell>
        </row>
        <row r="255">
          <cell r="B255" t="str">
            <v>HIDROFLEX TUBO 16 MM ROLLO X 240 MTS (1504)</v>
          </cell>
          <cell r="C255" t="str">
            <v>rol</v>
          </cell>
          <cell r="D255">
            <v>204450.58325178269</v>
          </cell>
        </row>
        <row r="256">
          <cell r="B256" t="str">
            <v>HIDROFLEX MEMBRANA TERMICA 1X20 MT ESP 10MM (8100)</v>
          </cell>
          <cell r="C256" t="str">
            <v>rol</v>
          </cell>
          <cell r="D256">
            <v>60978.660307901264</v>
          </cell>
        </row>
        <row r="257">
          <cell r="B257" t="str">
            <v>HIDROFLEX CURVA TUBOS 16 MM (1670)</v>
          </cell>
          <cell r="C257" t="str">
            <v>u</v>
          </cell>
          <cell r="D257">
            <v>1327.8383158088595</v>
          </cell>
        </row>
        <row r="258">
          <cell r="B258" t="str">
            <v>HIDROFLEX PRECINTOS 200 MM X 100 UNIDADES (1880)</v>
          </cell>
          <cell r="C258" t="str">
            <v>paq</v>
          </cell>
          <cell r="D258">
            <v>4474.6597586284297</v>
          </cell>
        </row>
        <row r="259">
          <cell r="B259" t="str">
            <v>H3 COVERTHOR BLANCO 3/8 X 5MM X 2.00 MT (3200)</v>
          </cell>
          <cell r="C259" t="str">
            <v>tira</v>
          </cell>
          <cell r="D259">
            <v>917.14149254418533</v>
          </cell>
        </row>
        <row r="260">
          <cell r="B260" t="str">
            <v>HIDROFLEX TERMOSTATO DE AMBIENTE 220 V</v>
          </cell>
          <cell r="C260" t="str">
            <v>u</v>
          </cell>
          <cell r="D260">
            <v>30601.781958942662</v>
          </cell>
        </row>
        <row r="261">
          <cell r="B261" t="str">
            <v>INCENDIO</v>
          </cell>
        </row>
        <row r="262">
          <cell r="B262" t="str">
            <v>Válvula tipo teatro de 2" BSP x 1 3/4"INC.</v>
          </cell>
          <cell r="C262" t="str">
            <v>u</v>
          </cell>
          <cell r="D262">
            <v>51214.71480285687</v>
          </cell>
        </row>
        <row r="263">
          <cell r="B263" t="str">
            <v>Gabinete para manguera de 1 3/4" con puerta hierro angulo . s/vidrio 500 x 550 x 160 mm.</v>
          </cell>
          <cell r="C263" t="str">
            <v>u</v>
          </cell>
          <cell r="D263">
            <v>56938.71233964675</v>
          </cell>
        </row>
        <row r="264">
          <cell r="B264" t="str">
            <v>Manguera sintética RYL JET sello IRAM de 1 3/4" x 25 mts.</v>
          </cell>
          <cell r="C264" t="str">
            <v>u</v>
          </cell>
          <cell r="D264">
            <v>286985.31259172293</v>
          </cell>
        </row>
        <row r="265">
          <cell r="B265" t="str">
            <v>Lanza de 1 3/4" con boquilla chorro PLENO Y NIEBLA regulable</v>
          </cell>
          <cell r="C265" t="str">
            <v>u</v>
          </cell>
          <cell r="D265">
            <v>47125.768554935923</v>
          </cell>
        </row>
        <row r="266">
          <cell r="B266" t="str">
            <v>Válvula de Impulsión para Piso o Pared c/anilla giratoria de 2 1/2"</v>
          </cell>
          <cell r="C266" t="str">
            <v>u</v>
          </cell>
          <cell r="D266">
            <v>137686.18800508758</v>
          </cell>
        </row>
        <row r="267">
          <cell r="B267" t="str">
            <v>Tapa con inscripción BOMBEROS para pared</v>
          </cell>
          <cell r="C267" t="str">
            <v>u</v>
          </cell>
          <cell r="D267">
            <v>48000.991448977598</v>
          </cell>
        </row>
        <row r="268">
          <cell r="B268" t="str">
            <v>CAÑO DE HIERRO GALVANIZADO 2" x 6,4 m</v>
          </cell>
          <cell r="C268" t="str">
            <v>tira</v>
          </cell>
          <cell r="D268">
            <v>213864.12363553623</v>
          </cell>
        </row>
        <row r="269">
          <cell r="B269" t="str">
            <v>CAÑO DE HIERRO GALVANIZADO 2 1/2" x 6,4 m</v>
          </cell>
          <cell r="C269" t="str">
            <v>tira</v>
          </cell>
          <cell r="D269">
            <v>243957.30222828436</v>
          </cell>
        </row>
        <row r="270">
          <cell r="B270" t="str">
            <v>TEE REDUCCION GALVANIZADA 2 1/2" x 2"</v>
          </cell>
          <cell r="C270" t="str">
            <v>u</v>
          </cell>
          <cell r="D270">
            <v>21017.561453112743</v>
          </cell>
        </row>
        <row r="271">
          <cell r="B271" t="str">
            <v>TEE GALVANIZADA 2 1/2"</v>
          </cell>
          <cell r="C271" t="str">
            <v>u</v>
          </cell>
          <cell r="D271">
            <v>23588.238789113533</v>
          </cell>
        </row>
        <row r="272">
          <cell r="B272" t="str">
            <v>CODO GALVANIZADO H-H 90° 2 1/2"</v>
          </cell>
          <cell r="C272" t="str">
            <v>u</v>
          </cell>
          <cell r="D272">
            <v>18240.034601886542</v>
          </cell>
        </row>
        <row r="273">
          <cell r="B273" t="str">
            <v>BUJE REDUCCION M - H  2 1/2" x 2"</v>
          </cell>
          <cell r="C273" t="str">
            <v>u</v>
          </cell>
          <cell r="D273">
            <v>8050.017199279072</v>
          </cell>
        </row>
        <row r="274">
          <cell r="B274" t="str">
            <v>CODO GALVANIZADO H-H 90° 2"</v>
          </cell>
          <cell r="C274" t="str">
            <v>u</v>
          </cell>
          <cell r="D274">
            <v>7526.1257695785207</v>
          </cell>
        </row>
        <row r="275">
          <cell r="B275" t="str">
            <v>ROSCA CON TUERCA GALVANIZADA 2"</v>
          </cell>
          <cell r="C275" t="str">
            <v>u</v>
          </cell>
          <cell r="D275">
            <v>4907.0044489153152</v>
          </cell>
        </row>
        <row r="276">
          <cell r="B276" t="str">
            <v>CUPLA H - H  GALVANIZADA 2 1/2"</v>
          </cell>
          <cell r="C276" t="str">
            <v>u</v>
          </cell>
          <cell r="D276">
            <v>16504.37222097527</v>
          </cell>
        </row>
        <row r="277">
          <cell r="B277" t="str">
            <v>CUPLA H - H  GALVANIZADA 2"</v>
          </cell>
          <cell r="C277" t="str">
            <v>u</v>
          </cell>
          <cell r="D277">
            <v>6211.2478351206846</v>
          </cell>
        </row>
        <row r="278">
          <cell r="B278" t="str">
            <v>Extintor nuevo a base de polvo ABC x 5 kg. Inc. Chapas, balizas reglamentarias y ganchos</v>
          </cell>
          <cell r="C278" t="str">
            <v>u</v>
          </cell>
          <cell r="D278">
            <v>63187.068936503281</v>
          </cell>
        </row>
        <row r="279">
          <cell r="B279" t="str">
            <v>Extintor nuevo a base de gas carbonico BC C02 x 5 kg. Inc. Chapas, balizas reglamentarias y ganchos</v>
          </cell>
          <cell r="C279" t="str">
            <v>u</v>
          </cell>
          <cell r="D279">
            <v>288770.79096623452</v>
          </cell>
        </row>
        <row r="280">
          <cell r="B280" t="str">
            <v>AF Y AC</v>
          </cell>
        </row>
        <row r="281">
          <cell r="B281" t="str">
            <v>H-3  TUBO UNIFUSION CALø.1/2"X4M</v>
          </cell>
          <cell r="C281" t="str">
            <v>tira</v>
          </cell>
          <cell r="D281">
            <v>4391.6187567695115</v>
          </cell>
        </row>
        <row r="282">
          <cell r="B282" t="str">
            <v>H-3 SOBREPASO ø13MM.FUSION</v>
          </cell>
          <cell r="C282" t="str">
            <v>u</v>
          </cell>
          <cell r="D282">
            <v>1306.0613026237793</v>
          </cell>
        </row>
        <row r="283">
          <cell r="B283" t="str">
            <v>H-3 CUPLA   ø13 MM.FUSION</v>
          </cell>
          <cell r="C283" t="str">
            <v>u</v>
          </cell>
          <cell r="D283">
            <v>218.32962033184273</v>
          </cell>
        </row>
        <row r="284">
          <cell r="B284" t="str">
            <v>H-3 CODO  ø13 MM.FUSION</v>
          </cell>
          <cell r="C284" t="str">
            <v>u</v>
          </cell>
          <cell r="D284">
            <v>285.21001260380876</v>
          </cell>
        </row>
        <row r="285">
          <cell r="B285" t="str">
            <v>H-3 CODO ø13 MM.FUS-R.MET.H.</v>
          </cell>
          <cell r="C285" t="str">
            <v>u</v>
          </cell>
          <cell r="D285">
            <v>1411.4065279672186</v>
          </cell>
        </row>
        <row r="286">
          <cell r="B286" t="str">
            <v>H-3 TAPON MACHO PRUEBA HIDRA.ø13</v>
          </cell>
          <cell r="C286" t="str">
            <v>u</v>
          </cell>
          <cell r="D286">
            <v>919.60539373953293</v>
          </cell>
        </row>
        <row r="287">
          <cell r="B287" t="str">
            <v>H-3 CUPLA ..ø13X 9MM FUS-R.MET.H.</v>
          </cell>
          <cell r="C287" t="str">
            <v>u</v>
          </cell>
          <cell r="D287">
            <v>1493.8988007389632</v>
          </cell>
        </row>
        <row r="288">
          <cell r="B288" t="str">
            <v>H-3 CUPLA 13MM FUS-R.MET.M.</v>
          </cell>
          <cell r="C288" t="str">
            <v>u</v>
          </cell>
          <cell r="D288">
            <v>1764.0241431424347</v>
          </cell>
        </row>
        <row r="289">
          <cell r="B289" t="str">
            <v>BFV CANILLA ESFER. MANGUERA ø13 FV436.03</v>
          </cell>
          <cell r="C289" t="str">
            <v>u</v>
          </cell>
          <cell r="D289">
            <v>10618.574919226277</v>
          </cell>
        </row>
        <row r="290">
          <cell r="B290" t="str">
            <v>H-3 TEE  ø13 MM.FUSION</v>
          </cell>
          <cell r="C290" t="str">
            <v>u</v>
          </cell>
          <cell r="D290">
            <v>347.5929782397256</v>
          </cell>
        </row>
        <row r="291">
          <cell r="B291" t="str">
            <v>H-3 LLAVE DE PASO 13MM FUSION CR.</v>
          </cell>
          <cell r="C291" t="str">
            <v>u</v>
          </cell>
          <cell r="D291">
            <v>7147.7235707338414</v>
          </cell>
        </row>
        <row r="292">
          <cell r="B292" t="str">
            <v>H-3  TUBO AGUA FRIA ø19 X 6</v>
          </cell>
          <cell r="C292" t="str">
            <v>tira</v>
          </cell>
          <cell r="D292">
            <v>10282.946386965707</v>
          </cell>
        </row>
        <row r="293">
          <cell r="B293" t="str">
            <v>H-3  TUBO AGUA CALIENTE 19X3.9X6</v>
          </cell>
          <cell r="C293" t="str">
            <v>tira</v>
          </cell>
          <cell r="D293">
            <v>11243.39443982113</v>
          </cell>
        </row>
        <row r="294">
          <cell r="B294" t="str">
            <v>H-3 SOBREPASO ø19MM.FUSION</v>
          </cell>
          <cell r="C294" t="str">
            <v>u</v>
          </cell>
          <cell r="D294">
            <v>1632.576628279724</v>
          </cell>
        </row>
        <row r="295">
          <cell r="B295" t="str">
            <v xml:space="preserve">H-3 CUPLA   ø19 MM.FUSION </v>
          </cell>
          <cell r="C295" t="str">
            <v>u</v>
          </cell>
          <cell r="D295">
            <v>368.33708961365585</v>
          </cell>
        </row>
        <row r="296">
          <cell r="B296" t="str">
            <v>H-3 CODO  ø19 MM.FUSION</v>
          </cell>
          <cell r="C296" t="str">
            <v>u</v>
          </cell>
          <cell r="D296">
            <v>462.53558291176762</v>
          </cell>
        </row>
        <row r="297">
          <cell r="B297" t="str">
            <v>H-3 CODO ø19 MM.FUS-R.MET.H.</v>
          </cell>
          <cell r="C297" t="str">
            <v>u</v>
          </cell>
          <cell r="D297">
            <v>2090.7761754634348</v>
          </cell>
        </row>
        <row r="298">
          <cell r="B298" t="str">
            <v>H-3 TEE  ø19 MM.FUSION</v>
          </cell>
          <cell r="C298" t="str">
            <v>u</v>
          </cell>
          <cell r="D298">
            <v>693.78723527685224</v>
          </cell>
        </row>
        <row r="299">
          <cell r="B299" t="str">
            <v>H-3 LLAVE DE PASO 19MM FUSION CR.</v>
          </cell>
          <cell r="C299" t="str">
            <v>u</v>
          </cell>
          <cell r="D299">
            <v>7656.8796072676214</v>
          </cell>
        </row>
        <row r="300">
          <cell r="B300" t="str">
            <v>H-3  TUBO AGUA FRIA ø25 X 6</v>
          </cell>
          <cell r="C300" t="str">
            <v>tira</v>
          </cell>
          <cell r="D300">
            <v>13407.506643876219</v>
          </cell>
        </row>
        <row r="301">
          <cell r="B301" t="str">
            <v>H-3 CUPLA   ø25 MM.FUSION</v>
          </cell>
          <cell r="C301" t="str">
            <v>u</v>
          </cell>
          <cell r="D301">
            <v>535.96844604821683</v>
          </cell>
        </row>
        <row r="302">
          <cell r="B302" t="str">
            <v>H-3 CODO  ø25 MM.FUSION</v>
          </cell>
          <cell r="C302" t="str">
            <v>u</v>
          </cell>
          <cell r="D302">
            <v>693.78723527685224</v>
          </cell>
        </row>
        <row r="303">
          <cell r="B303" t="str">
            <v xml:space="preserve">H-3 TEE  ø25 MM.FUSION </v>
          </cell>
          <cell r="C303" t="str">
            <v>u</v>
          </cell>
          <cell r="D303">
            <v>1026.7044002831542</v>
          </cell>
        </row>
        <row r="304">
          <cell r="B304" t="str">
            <v>H-3 VALV.ESFER.EMB.MARRON ø19 CRO</v>
          </cell>
          <cell r="C304" t="str">
            <v>u</v>
          </cell>
          <cell r="D304">
            <v>13613.592073988388</v>
          </cell>
        </row>
        <row r="305">
          <cell r="B305" t="str">
            <v>H-3 VALV.ESFER.EXT.MARRON DMU ø25</v>
          </cell>
          <cell r="C305" t="str">
            <v>u</v>
          </cell>
          <cell r="D305">
            <v>16301.686759324806</v>
          </cell>
        </row>
        <row r="306">
          <cell r="B306" t="str">
            <v>H-3  TUBO AGUA FRIA ø32 X 6</v>
          </cell>
          <cell r="C306" t="str">
            <v>tira</v>
          </cell>
          <cell r="D306">
            <v>18915.208085774964</v>
          </cell>
        </row>
        <row r="307">
          <cell r="B307" t="str">
            <v>H-3 CUPLA   ø32 MM.FUSION</v>
          </cell>
          <cell r="C307" t="str">
            <v>u</v>
          </cell>
          <cell r="D307">
            <v>1245.0555394027292</v>
          </cell>
        </row>
        <row r="308">
          <cell r="B308" t="str">
            <v>H-3 CODO  ø32 MM.FUSION</v>
          </cell>
          <cell r="C308" t="str">
            <v>u</v>
          </cell>
          <cell r="D308">
            <v>1540.3686228468496</v>
          </cell>
        </row>
        <row r="309">
          <cell r="B309" t="str">
            <v>H-3 TEE  ø32 MM.FUSION</v>
          </cell>
          <cell r="C309" t="str">
            <v>u</v>
          </cell>
          <cell r="D309">
            <v>2184.8025184596881</v>
          </cell>
        </row>
        <row r="310">
          <cell r="B310" t="str">
            <v>H-3 VALV.ESFER.EXT.MARRON DMU ø32</v>
          </cell>
          <cell r="C310" t="str">
            <v>u</v>
          </cell>
          <cell r="D310">
            <v>27551.795060918412</v>
          </cell>
        </row>
        <row r="311">
          <cell r="B311" t="str">
            <v>H-3  TUBO AGUA FRIA ø50 X 6</v>
          </cell>
          <cell r="C311" t="str">
            <v>tira</v>
          </cell>
          <cell r="D311">
            <v>32747.162058276794</v>
          </cell>
        </row>
        <row r="312">
          <cell r="B312" t="str">
            <v>H-3 CUPLA   ø50 MM.FUSION</v>
          </cell>
          <cell r="C312" t="str">
            <v>u</v>
          </cell>
          <cell r="D312">
            <v>3672.0842919709712</v>
          </cell>
        </row>
        <row r="313">
          <cell r="B313" t="str">
            <v>H-3 CODO  ø50 MM.FUSION</v>
          </cell>
          <cell r="C313" t="str">
            <v>u</v>
          </cell>
          <cell r="D313">
            <v>4369.7126308580382</v>
          </cell>
        </row>
        <row r="314">
          <cell r="B314" t="str">
            <v>H-3 TEE  ø50 MM.FUSION</v>
          </cell>
          <cell r="C314" t="str">
            <v>u</v>
          </cell>
          <cell r="D314">
            <v>6137.6209151861513</v>
          </cell>
        </row>
        <row r="315">
          <cell r="B315" t="str">
            <v>BC FLOTANTE PRESION 51 MM.S/BOYA</v>
          </cell>
          <cell r="C315" t="str">
            <v>u</v>
          </cell>
          <cell r="D315">
            <v>67204.535133976417</v>
          </cell>
        </row>
        <row r="316">
          <cell r="B316" t="str">
            <v>BC BOYA PRESION TELGOPOR 51 MM.</v>
          </cell>
          <cell r="C316" t="str">
            <v>u</v>
          </cell>
          <cell r="D316">
            <v>33611.183796128309</v>
          </cell>
        </row>
        <row r="317">
          <cell r="B317" t="str">
            <v>BR CODO BCE.ROSC. A 90* HH 51MM.</v>
          </cell>
          <cell r="C317" t="str">
            <v>u</v>
          </cell>
          <cell r="D317">
            <v>21041.85608038813</v>
          </cell>
        </row>
        <row r="318">
          <cell r="B318" t="str">
            <v>BR NIPLE BCE.ROSC. 51 X 15 CMS. F</v>
          </cell>
          <cell r="C318" t="str">
            <v>u</v>
          </cell>
          <cell r="D318">
            <v>27083.212698653868</v>
          </cell>
        </row>
        <row r="319">
          <cell r="B319" t="str">
            <v>BR NIPLE CONEXION BCE.ROSC. 51 X 20 CMS.</v>
          </cell>
          <cell r="C319" t="str">
            <v>u</v>
          </cell>
          <cell r="D319">
            <v>49434.484860634584</v>
          </cell>
        </row>
        <row r="320">
          <cell r="B320" t="str">
            <v>BR BRIDA BCE.ROSC. 51MM.</v>
          </cell>
          <cell r="C320" t="str">
            <v>u</v>
          </cell>
          <cell r="D320">
            <v>9510.4429193985889</v>
          </cell>
        </row>
        <row r="321">
          <cell r="B321" t="str">
            <v>H-3 VALV.ESFER.EXT.MARRON DMU ø50</v>
          </cell>
          <cell r="C321" t="str">
            <v>u</v>
          </cell>
          <cell r="D321">
            <v>46949.561961590036</v>
          </cell>
        </row>
        <row r="322">
          <cell r="B322" t="str">
            <v>H-3 BUJE RED. 19X13 FUSION</v>
          </cell>
          <cell r="C322" t="str">
            <v>u</v>
          </cell>
          <cell r="D322">
            <v>215.32161645919032</v>
          </cell>
        </row>
        <row r="323">
          <cell r="B323" t="str">
            <v>H-3 BUJE RED. 25X19 FUSION</v>
          </cell>
          <cell r="C323" t="str">
            <v>u</v>
          </cell>
          <cell r="D323">
            <v>292.42956588799302</v>
          </cell>
        </row>
        <row r="324">
          <cell r="B324" t="str">
            <v>H-3 BUJE RED. 38X19 FUSION</v>
          </cell>
          <cell r="C324" t="str">
            <v>u</v>
          </cell>
          <cell r="D324">
            <v>940.17242534744059</v>
          </cell>
        </row>
        <row r="325">
          <cell r="B325" t="str">
            <v>H-3 BUJE RED. 50X32 FUSION</v>
          </cell>
          <cell r="C325" t="str">
            <v>u</v>
          </cell>
          <cell r="D325">
            <v>1164.9410926754031</v>
          </cell>
        </row>
        <row r="326">
          <cell r="B326" t="str">
            <v>H-3 BUJE RED. 32X25 FUSION</v>
          </cell>
          <cell r="C326" t="str">
            <v>u</v>
          </cell>
          <cell r="D326">
            <v>386.71413433703395</v>
          </cell>
        </row>
        <row r="327">
          <cell r="B327" t="str">
            <v>BFV FLEXIBLE TRENZADO ø13X30   FV261-D20</v>
          </cell>
          <cell r="C327" t="str">
            <v>u</v>
          </cell>
          <cell r="D327">
            <v>8211.1175041005554</v>
          </cell>
        </row>
        <row r="328">
          <cell r="B328" t="str">
            <v>BC CANILLA ESCUADRA P/LAVARROPAS CROMO</v>
          </cell>
          <cell r="C328" t="str">
            <v>u</v>
          </cell>
          <cell r="D328">
            <v>8540.6616728640129</v>
          </cell>
        </row>
        <row r="329">
          <cell r="B329" t="str">
            <v>BC ROSETA A*I* ø13 MM.P/CANILLA-FLEXIBLE</v>
          </cell>
          <cell r="C329" t="str">
            <v>u</v>
          </cell>
          <cell r="D329">
            <v>384.18567677848949</v>
          </cell>
        </row>
        <row r="330">
          <cell r="B330" t="str">
            <v>TQ AUTOMAT.TANQUE SUMERGIBLE CUAD.X1.50</v>
          </cell>
          <cell r="C330" t="str">
            <v>u</v>
          </cell>
          <cell r="D330">
            <v>14639.962933061692</v>
          </cell>
        </row>
        <row r="331">
          <cell r="B331" t="str">
            <v>CLOACAL / PLUVIAL</v>
          </cell>
        </row>
        <row r="332">
          <cell r="B332" t="str">
            <v>AWA. TUBO TERRA C/CAMPANA ø118X4M.3/7706</v>
          </cell>
          <cell r="C332" t="str">
            <v>tira</v>
          </cell>
          <cell r="D332">
            <v>12852.386476746262</v>
          </cell>
        </row>
        <row r="333">
          <cell r="B333" t="str">
            <v>AWA.RAMAL 45+TERRA ø118 H-HC(MH) 10/8823</v>
          </cell>
          <cell r="C333" t="str">
            <v>u</v>
          </cell>
          <cell r="D333">
            <v>4872.4991062230592</v>
          </cell>
        </row>
        <row r="334">
          <cell r="B334" t="str">
            <v>AWA.CODO 45* TERRA ø118 H-HC(MH) 10/8843</v>
          </cell>
          <cell r="C334" t="str">
            <v>u</v>
          </cell>
          <cell r="D334">
            <v>2114.554435907618</v>
          </cell>
        </row>
        <row r="335">
          <cell r="B335" t="str">
            <v>AWA.TUBO DRENA+CAMP.110X4M.4/5 RAN3/7886</v>
          </cell>
          <cell r="C335" t="str">
            <v>tira</v>
          </cell>
          <cell r="D335">
            <v>15030.624226289916</v>
          </cell>
        </row>
        <row r="336">
          <cell r="B336" t="str">
            <v>AWA TUBO PPN CLOACAL ø.110X4.00   3/1035</v>
          </cell>
          <cell r="C336" t="str">
            <v>tira</v>
          </cell>
          <cell r="D336">
            <v>15376.594074713537</v>
          </cell>
        </row>
        <row r="337">
          <cell r="B337" t="str">
            <v>AWA TUBO PPN CLOACAL ø 63X4.00   10/1026</v>
          </cell>
          <cell r="C337" t="str">
            <v>tira</v>
          </cell>
          <cell r="D337">
            <v>8313.6868058265281</v>
          </cell>
        </row>
        <row r="338">
          <cell r="B338" t="str">
            <v>AWA CURVA A 90* MH ø110           6/2090</v>
          </cell>
          <cell r="C338" t="str">
            <v>u</v>
          </cell>
          <cell r="D338">
            <v>2723.1383968336659</v>
          </cell>
        </row>
        <row r="339">
          <cell r="B339" t="str">
            <v>AWA TUBO PPN CLOACAL ø 50X4.00   10/1017</v>
          </cell>
          <cell r="C339" t="str">
            <v>tira</v>
          </cell>
          <cell r="D339">
            <v>6715.6585912510009</v>
          </cell>
        </row>
        <row r="340">
          <cell r="B340" t="str">
            <v>AWA TUBO PPN CLOACAL ø 40X4.00   10/1008</v>
          </cell>
          <cell r="C340" t="str">
            <v>tira</v>
          </cell>
          <cell r="D340">
            <v>5296.1072021271093</v>
          </cell>
        </row>
        <row r="341">
          <cell r="B341" t="str">
            <v>AWA TAPA PPN CLOACAL ø.110       10/2036</v>
          </cell>
          <cell r="C341" t="str">
            <v>u</v>
          </cell>
          <cell r="D341">
            <v>1603.0205733294201</v>
          </cell>
        </row>
        <row r="342">
          <cell r="B342" t="str">
            <v>AWA TAPA PPN CLOACAL ø 50        20/2037</v>
          </cell>
          <cell r="C342" t="str">
            <v>u</v>
          </cell>
          <cell r="D342">
            <v>586.2148154031205</v>
          </cell>
        </row>
        <row r="343">
          <cell r="B343" t="str">
            <v>AWA TAPA PPN CLOACAL ø 40        20/2034</v>
          </cell>
          <cell r="C343" t="str">
            <v>u</v>
          </cell>
          <cell r="D343">
            <v>361.83841571850348</v>
          </cell>
        </row>
        <row r="344">
          <cell r="B344" t="str">
            <v>AWA SIFON ROMPE ESPUMA PPN        1/7120</v>
          </cell>
          <cell r="C344" t="str">
            <v>u</v>
          </cell>
          <cell r="D344">
            <v>9878.3824182047356</v>
          </cell>
        </row>
        <row r="345">
          <cell r="B345" t="str">
            <v>AWA RAMAL INV.PPN CLOAC.110X50    5/3014</v>
          </cell>
          <cell r="C345" t="str">
            <v>u</v>
          </cell>
          <cell r="D345">
            <v>6989.269977267104</v>
          </cell>
        </row>
        <row r="346">
          <cell r="B346" t="str">
            <v>AWA RAMAL INV.PPN CLOAC. 50X50   20/2025</v>
          </cell>
          <cell r="C346" t="str">
            <v>u</v>
          </cell>
          <cell r="D346">
            <v>2423.2952428966896</v>
          </cell>
        </row>
        <row r="347">
          <cell r="B347" t="str">
            <v>AWA RAMAL 45*PPN CLOAC.ø110X110   5/2023</v>
          </cell>
          <cell r="C347" t="str">
            <v>u</v>
          </cell>
          <cell r="D347">
            <v>4732.89597080981</v>
          </cell>
        </row>
        <row r="348">
          <cell r="B348" t="str">
            <v>AWA RAMAL 45*PPN CLOAC.ø110X 63   5/2024</v>
          </cell>
          <cell r="C348" t="str">
            <v>u</v>
          </cell>
          <cell r="D348">
            <v>3362.0093201424979</v>
          </cell>
        </row>
        <row r="349">
          <cell r="B349" t="str">
            <v>AWA RAMAL 45*PPN CLOAC.ø 63X 63  20/2026</v>
          </cell>
          <cell r="C349" t="str">
            <v>u</v>
          </cell>
          <cell r="D349">
            <v>2240.299472021271</v>
          </cell>
        </row>
        <row r="350">
          <cell r="B350" t="str">
            <v>AWA MANG/CUPLA PPN CLOAC.ø110    10/2016</v>
          </cell>
          <cell r="C350" t="str">
            <v>u</v>
          </cell>
          <cell r="D350">
            <v>2137.1599224203919</v>
          </cell>
        </row>
        <row r="351">
          <cell r="B351" t="str">
            <v>AWA MANG/CUPLA PPN CLOAC.ø 63    20/2015</v>
          </cell>
          <cell r="C351" t="str">
            <v>u</v>
          </cell>
          <cell r="D351">
            <v>960.65248133888144</v>
          </cell>
        </row>
        <row r="352">
          <cell r="B352" t="str">
            <v>AWA MANG/CUPLA PPN CLOAC.ø 50    20/2014</v>
          </cell>
          <cell r="C352" t="str">
            <v>u</v>
          </cell>
          <cell r="D352">
            <v>723.32177143942408</v>
          </cell>
        </row>
        <row r="353">
          <cell r="B353" t="str">
            <v>AWA MANG/CUPLA PPN CLOAC.ø 40    20/2013</v>
          </cell>
          <cell r="C353" t="str">
            <v>u</v>
          </cell>
          <cell r="D353">
            <v>658.67933309161651</v>
          </cell>
        </row>
        <row r="354">
          <cell r="B354" t="str">
            <v>AWA CODO MH 90*PPN.CLOACAL ø110  12/2008</v>
          </cell>
          <cell r="C354" t="str">
            <v>u</v>
          </cell>
          <cell r="D354">
            <v>2245.1196804733045</v>
          </cell>
        </row>
        <row r="355">
          <cell r="B355" t="str">
            <v>AWA CODO MH 90*PPN CLOACAL ø63   20/2007</v>
          </cell>
          <cell r="C355" t="str">
            <v>u</v>
          </cell>
          <cell r="D355">
            <v>1014.4279318818811</v>
          </cell>
        </row>
        <row r="356">
          <cell r="B356" t="str">
            <v>AWA CODO MH 90*PPN CLOACAL ø50   20/2006</v>
          </cell>
          <cell r="C356" t="str">
            <v>u</v>
          </cell>
          <cell r="D356">
            <v>571.84026519794895</v>
          </cell>
        </row>
        <row r="357">
          <cell r="B357" t="str">
            <v>AWA CODO MH 90*PPN CLOACAL ø40   20/2005</v>
          </cell>
          <cell r="C357" t="str">
            <v>u</v>
          </cell>
          <cell r="D357">
            <v>432.16181402763635</v>
          </cell>
        </row>
        <row r="358">
          <cell r="B358" t="str">
            <v>AWA CODO MH 45*PPN CLOACAL.ø110   6/2004</v>
          </cell>
          <cell r="C358" t="str">
            <v>u</v>
          </cell>
          <cell r="D358">
            <v>2066.7612083541962</v>
          </cell>
        </row>
        <row r="359">
          <cell r="B359" t="str">
            <v>AWA CODO MH 45*PPN CLOACAL ø63   20/2003</v>
          </cell>
          <cell r="C359" t="str">
            <v>u</v>
          </cell>
          <cell r="D359">
            <v>960.65248133888144</v>
          </cell>
        </row>
        <row r="360">
          <cell r="B360" t="str">
            <v>AWA GRAMPA RAPICLACK ø110        10/4170</v>
          </cell>
          <cell r="C360" t="str">
            <v>u</v>
          </cell>
          <cell r="D360">
            <v>696.15430192740439</v>
          </cell>
        </row>
        <row r="361">
          <cell r="B361" t="str">
            <v>AWA GRAMPA RAPICLACK ø 40-50-63  20/4167</v>
          </cell>
          <cell r="C361" t="str">
            <v>u</v>
          </cell>
          <cell r="D361">
            <v>424.18910317282183</v>
          </cell>
        </row>
        <row r="362">
          <cell r="B362" t="str">
            <v>AWA BUJE RED.MH ø 63X50          20/2081</v>
          </cell>
          <cell r="C362" t="str">
            <v>u</v>
          </cell>
          <cell r="D362">
            <v>653.42874888493702</v>
          </cell>
        </row>
        <row r="363">
          <cell r="B363" t="str">
            <v>AWA BOCA ACCES.HOR.3 ACOM.ø110X63 4/2460</v>
          </cell>
          <cell r="C363" t="str">
            <v>u</v>
          </cell>
          <cell r="D363">
            <v>4518.7194765102995</v>
          </cell>
        </row>
        <row r="364">
          <cell r="B364" t="str">
            <v>AWA CODO MH 45*PPN CLOACAL ø50   20/2002</v>
          </cell>
          <cell r="C364" t="str">
            <v>u</v>
          </cell>
          <cell r="D364">
            <v>571.84026519794895</v>
          </cell>
        </row>
        <row r="365">
          <cell r="B365" t="str">
            <v>AWA CODO MH 45*PPN CLOACAL ø40   20/2001</v>
          </cell>
          <cell r="C365" t="str">
            <v>u</v>
          </cell>
          <cell r="D365">
            <v>399.5500912193466</v>
          </cell>
        </row>
        <row r="366">
          <cell r="B366" t="str">
            <v>AWA CAÑO CAMARA PPN CLOACAL ø110  5/2065</v>
          </cell>
          <cell r="C366" t="str">
            <v>tira</v>
          </cell>
          <cell r="D366">
            <v>4922.6056034577032</v>
          </cell>
        </row>
        <row r="367">
          <cell r="B367" t="str">
            <v>AWA RAMAL 90+ ø110X110 C/VENT.    2/2050</v>
          </cell>
          <cell r="C367" t="str">
            <v>u</v>
          </cell>
          <cell r="D367">
            <v>6006.9588360756688</v>
          </cell>
        </row>
        <row r="368">
          <cell r="B368" t="str">
            <v>AWA RAMAL 90+ ø110X 63 C/VENT.    2/2063</v>
          </cell>
          <cell r="C368" t="str">
            <v>u</v>
          </cell>
          <cell r="D368">
            <v>7761.1919307999106</v>
          </cell>
        </row>
        <row r="369">
          <cell r="B369" t="str">
            <v>AWA A.A.TUBO PPN CLOACAL ø32X3   10/1060</v>
          </cell>
          <cell r="C369" t="str">
            <v>tira</v>
          </cell>
          <cell r="D369">
            <v>3243.9464912492735</v>
          </cell>
        </row>
        <row r="370">
          <cell r="B370" t="str">
            <v>AWA A.A.CODO HH 90*PPN CLOAC.ø32 10/2265</v>
          </cell>
          <cell r="C370" t="str">
            <v>u</v>
          </cell>
          <cell r="D370">
            <v>452.99200055249571</v>
          </cell>
        </row>
        <row r="371">
          <cell r="B371" t="str">
            <v>AWA SOPAPA BAÑERA VERTICAL BCE.CR.1/4128</v>
          </cell>
          <cell r="C371" t="str">
            <v>u</v>
          </cell>
          <cell r="D371">
            <v>9528.6698393733786</v>
          </cell>
        </row>
        <row r="372">
          <cell r="B372" t="str">
            <v>AWA DISCO ANTIFILTRACION P/REJA   4/2077</v>
          </cell>
          <cell r="C372" t="str">
            <v>u</v>
          </cell>
          <cell r="D372">
            <v>12501.673274285353</v>
          </cell>
        </row>
        <row r="373">
          <cell r="B373" t="str">
            <v>AWA ADAPT.SUPEREXCENT.INO.ø105"AC"4/2271</v>
          </cell>
          <cell r="C373" t="str">
            <v>u</v>
          </cell>
          <cell r="D373">
            <v>4507.7018571913659</v>
          </cell>
        </row>
        <row r="374">
          <cell r="B374" t="str">
            <v>BC TORNILLO 22X70 MM.P/INODORO CABEZA CR</v>
          </cell>
          <cell r="C374" t="str">
            <v>u</v>
          </cell>
          <cell r="D374">
            <v>588.94770144512165</v>
          </cell>
        </row>
        <row r="375">
          <cell r="B375" t="str">
            <v>AWA PORTAREJ.+REJA A*I*12X12 ø110 4/4002</v>
          </cell>
          <cell r="C375" t="str">
            <v>u</v>
          </cell>
          <cell r="D375">
            <v>3704.4377893264736</v>
          </cell>
        </row>
        <row r="376">
          <cell r="B376" t="str">
            <v>AWA PORTAREJ +TAPA A*I*15X15 ø110 4/4005</v>
          </cell>
          <cell r="C376" t="str">
            <v>u</v>
          </cell>
          <cell r="D376">
            <v>4644.8303320154009</v>
          </cell>
        </row>
        <row r="377">
          <cell r="B377" t="str">
            <v>AWA A.A.CODO HH 45*PPN CLOAC.ø32 10/2252</v>
          </cell>
          <cell r="C377" t="str">
            <v>u</v>
          </cell>
          <cell r="D377">
            <v>452.99200055249571</v>
          </cell>
        </row>
        <row r="378">
          <cell r="B378" t="str">
            <v>AWA SIFON BACHA DOBLE</v>
          </cell>
          <cell r="C378" t="str">
            <v>u</v>
          </cell>
          <cell r="D378">
            <v>5164.4229805993427</v>
          </cell>
        </row>
        <row r="379">
          <cell r="B379" t="str">
            <v>RP DESCARGA BLANCA FLEX.PLAST.LISA 40/50</v>
          </cell>
          <cell r="C379" t="str">
            <v>u</v>
          </cell>
          <cell r="D379">
            <v>1758.0096419712588</v>
          </cell>
        </row>
        <row r="380">
          <cell r="B380" t="str">
            <v>AWA SOLUC.DESLIZ.AEROSOL 255 CM3 12/4023</v>
          </cell>
          <cell r="C380" t="str">
            <v>u</v>
          </cell>
          <cell r="D380">
            <v>9863.9863492118311</v>
          </cell>
        </row>
        <row r="381">
          <cell r="B381" t="str">
            <v>AWA A.A.ADAPT.ø32M X 3/4" ESPIGA 20/2283</v>
          </cell>
          <cell r="C381" t="str">
            <v>u</v>
          </cell>
          <cell r="D381">
            <v>337.95256133565846</v>
          </cell>
        </row>
        <row r="382">
          <cell r="B382" t="str">
            <v>HF EMBUDO H*F* 100 CENTRO C/REJA 20 X 20</v>
          </cell>
          <cell r="C382" t="str">
            <v>u</v>
          </cell>
          <cell r="D382">
            <v>54352.423039071808</v>
          </cell>
        </row>
        <row r="383">
          <cell r="B383" t="str">
            <v>AWA PILETA BALCON ø 63(M)         4/2062</v>
          </cell>
          <cell r="C383" t="str">
            <v>u</v>
          </cell>
          <cell r="D383">
            <v>3447.2882759255745</v>
          </cell>
        </row>
        <row r="384">
          <cell r="B384" t="str">
            <v>AWADUCT PILETA PATIO 7 ENT. C/SIFON 40X63 (2031)</v>
          </cell>
          <cell r="C384" t="str">
            <v>u</v>
          </cell>
          <cell r="D384">
            <v>6417.289839948894</v>
          </cell>
        </row>
        <row r="385">
          <cell r="B385" t="str">
            <v>AWADUCT VALVULA ANTIRRETORNO MH 110 (2277)</v>
          </cell>
          <cell r="C385" t="str">
            <v>u</v>
          </cell>
          <cell r="D385">
            <v>47005.76903514679</v>
          </cell>
        </row>
        <row r="386">
          <cell r="B386" t="str">
            <v>Sombrerete Ø110 AW</v>
          </cell>
          <cell r="C386" t="str">
            <v>u</v>
          </cell>
          <cell r="D386">
            <v>3556.8244185607937</v>
          </cell>
        </row>
        <row r="387">
          <cell r="B387" t="str">
            <v>AWA RAMAL DOBLE A 87°30´ M-H CON VENTILACION (135°IZQ.110X110) 3052</v>
          </cell>
          <cell r="C387" t="str">
            <v>u</v>
          </cell>
          <cell r="D387">
            <v>22230.152616004962</v>
          </cell>
        </row>
        <row r="388">
          <cell r="B388" t="str">
            <v>AWA COJINETE PARA CÁMARA DE INSPECCIÓN ⌀200 3 ENTRADAS</v>
          </cell>
          <cell r="C388" t="str">
            <v>u</v>
          </cell>
          <cell r="D388">
            <v>84474.579940818861</v>
          </cell>
        </row>
        <row r="389">
          <cell r="B389" t="str">
            <v>Cupla bombeo cloacal 110 x 2"</v>
          </cell>
          <cell r="C389" t="str">
            <v>u</v>
          </cell>
          <cell r="D389">
            <v>12004.282412642679</v>
          </cell>
        </row>
        <row r="390">
          <cell r="B390" t="str">
            <v>BOMBAS, TANQUES Y TT</v>
          </cell>
        </row>
        <row r="391">
          <cell r="B391" t="str">
            <v>Rowa Tango SFL 20 220V</v>
          </cell>
          <cell r="C391" t="str">
            <v>un</v>
          </cell>
          <cell r="D391">
            <v>443087.98278012301</v>
          </cell>
        </row>
        <row r="392">
          <cell r="B392" t="str">
            <v>Motorarg Centrifuga BC 100 T R.4</v>
          </cell>
          <cell r="C392" t="str">
            <v>un</v>
          </cell>
          <cell r="D392">
            <v>148896.49296376802</v>
          </cell>
        </row>
        <row r="393">
          <cell r="B393" t="str">
            <v>Rowa 5/1 Sanitaria Tempo 220 V</v>
          </cell>
          <cell r="C393" t="str">
            <v>un</v>
          </cell>
          <cell r="D393">
            <v>272572.19204033364</v>
          </cell>
        </row>
        <row r="394">
          <cell r="B394" t="str">
            <v>Rheem termo comercial gas 250 Lts GN</v>
          </cell>
          <cell r="C394" t="str">
            <v>un</v>
          </cell>
          <cell r="D394">
            <v>2758603.9547942304</v>
          </cell>
        </row>
        <row r="395">
          <cell r="B395" t="str">
            <v>Tanque T2500 tricapa 2500 lts 145 D x 189 ALT</v>
          </cell>
          <cell r="C395" t="str">
            <v>un</v>
          </cell>
          <cell r="D395">
            <v>433696.53485853889</v>
          </cell>
        </row>
        <row r="396">
          <cell r="B396" t="str">
            <v>Tanque T5000 tricapa 5000 lts 193 D x 209 ALT</v>
          </cell>
          <cell r="C396" t="str">
            <v>un</v>
          </cell>
          <cell r="D396">
            <v>910658.05014304793</v>
          </cell>
        </row>
        <row r="397">
          <cell r="B397" t="str">
            <v>Rowa Tango SFL 20 220V</v>
          </cell>
          <cell r="C397" t="str">
            <v>un</v>
          </cell>
          <cell r="D397">
            <v>423539.76887340052</v>
          </cell>
        </row>
        <row r="398">
          <cell r="B398" t="str">
            <v>Bomba motormech 1 HP (E-MO-042) Monofasica</v>
          </cell>
          <cell r="C398" t="str">
            <v>un</v>
          </cell>
          <cell r="D398">
            <v>344076.7116089745</v>
          </cell>
        </row>
        <row r="399">
          <cell r="B399" t="str">
            <v>Rowa 5/1 Sanitaria Tempo 220 V</v>
          </cell>
          <cell r="C399" t="str">
            <v>un</v>
          </cell>
          <cell r="D399">
            <v>260546.61129365835</v>
          </cell>
        </row>
        <row r="400">
          <cell r="B400" t="str">
            <v>Termotanque Rheem 250 lts GN</v>
          </cell>
          <cell r="C400" t="str">
            <v>un</v>
          </cell>
          <cell r="D400">
            <v>2687747.0904084262</v>
          </cell>
        </row>
        <row r="401">
          <cell r="B401" t="str">
            <v>Tanque T3000 Tricapa + Flot 145 D x 220 ALT</v>
          </cell>
          <cell r="C401" t="str">
            <v>un</v>
          </cell>
          <cell r="D401">
            <v>441529.56249642232</v>
          </cell>
        </row>
        <row r="402">
          <cell r="B402" t="str">
            <v>Tanque T5000 Tricapa 193 D x 209 ALT</v>
          </cell>
          <cell r="C402" t="str">
            <v>un</v>
          </cell>
          <cell r="D402">
            <v>714617.76520648843</v>
          </cell>
        </row>
        <row r="403">
          <cell r="B403" t="str">
            <v>Sistema ACS - TAG + 1 Termo Solar PEISA</v>
          </cell>
          <cell r="C403" t="str">
            <v>u</v>
          </cell>
          <cell r="D403">
            <v>16128000</v>
          </cell>
        </row>
        <row r="404">
          <cell r="B404" t="str">
            <v>Sistema ACS - TAG + 3 Termo Solar PEISA</v>
          </cell>
          <cell r="C404" t="str">
            <v>u</v>
          </cell>
          <cell r="D404">
            <v>26880000</v>
          </cell>
        </row>
        <row r="405">
          <cell r="B405" t="str">
            <v xml:space="preserve">Tanque acumulador acs 1000 Lts </v>
          </cell>
          <cell r="C405" t="str">
            <v>u</v>
          </cell>
          <cell r="D405">
            <v>6857600</v>
          </cell>
        </row>
        <row r="406">
          <cell r="B406" t="str">
            <v>Generador ACS Diva Acqua 22 F GN</v>
          </cell>
          <cell r="C406" t="str">
            <v>u</v>
          </cell>
          <cell r="D406">
            <v>1628800</v>
          </cell>
        </row>
        <row r="407">
          <cell r="B407" t="str">
            <v>Kit bomba p/gener. ACS</v>
          </cell>
          <cell r="C407" t="str">
            <v>u</v>
          </cell>
          <cell r="D407">
            <v>224000</v>
          </cell>
        </row>
        <row r="408">
          <cell r="B408" t="str">
            <v>Kit acces. p/tanque acum. ACS TAG</v>
          </cell>
          <cell r="C408" t="str">
            <v>u</v>
          </cell>
          <cell r="D408">
            <v>126400</v>
          </cell>
        </row>
        <row r="409">
          <cell r="B409" t="str">
            <v>Kit codo y tubo Coax 60/100 Term ANTIV</v>
          </cell>
          <cell r="C409" t="str">
            <v>u</v>
          </cell>
          <cell r="D409">
            <v>243200</v>
          </cell>
        </row>
        <row r="410">
          <cell r="B410" t="str">
            <v>Vaso expansion ACS 50 Lts</v>
          </cell>
          <cell r="C410" t="str">
            <v>u</v>
          </cell>
          <cell r="D410">
            <v>398400</v>
          </cell>
        </row>
        <row r="411">
          <cell r="B411" t="str">
            <v>TTQ Solar Presur. 300 Lts. Tanque Acum.</v>
          </cell>
          <cell r="C411" t="str">
            <v>u</v>
          </cell>
          <cell r="D411">
            <v>2784000</v>
          </cell>
        </row>
        <row r="412">
          <cell r="B412" t="str">
            <v>TTQ Solar Presur. 300 Lts. Estructura</v>
          </cell>
          <cell r="C412" t="str">
            <v>u</v>
          </cell>
          <cell r="D412">
            <v>428800</v>
          </cell>
        </row>
        <row r="413">
          <cell r="B413" t="str">
            <v>TTQ Solar Presur. 300 Lts. Heat pipe pok x 10</v>
          </cell>
          <cell r="C413" t="str">
            <v>u</v>
          </cell>
          <cell r="D413">
            <v>771200</v>
          </cell>
        </row>
        <row r="414">
          <cell r="B414" t="str">
            <v>Ruptor de vacio</v>
          </cell>
          <cell r="C414" t="str">
            <v>u</v>
          </cell>
          <cell r="D414">
            <v>102400</v>
          </cell>
        </row>
        <row r="415">
          <cell r="B415" t="str">
            <v>Caldera Peisa Diva 24 DS TF GN 19800 KC. Inc. Ventilación</v>
          </cell>
          <cell r="C415" t="str">
            <v>u</v>
          </cell>
          <cell r="D415">
            <v>2020800</v>
          </cell>
        </row>
        <row r="416">
          <cell r="B416" t="str">
            <v>Tubo Coaxial 1,00 m 60/100 MH</v>
          </cell>
          <cell r="C416" t="str">
            <v>u</v>
          </cell>
          <cell r="D416">
            <v>66000</v>
          </cell>
        </row>
        <row r="417">
          <cell r="B417" t="str">
            <v>REVESTIMIENTO PLASTICO Y MICROPISO</v>
          </cell>
        </row>
        <row r="418">
          <cell r="B418" t="str">
            <v>Revest. Plastico</v>
          </cell>
        </row>
        <row r="419">
          <cell r="B419" t="str">
            <v>Base Cuarzo de 9 lts Color Y099</v>
          </cell>
          <cell r="C419" t="str">
            <v>tac</v>
          </cell>
          <cell r="D419">
            <v>60365.748018579121</v>
          </cell>
        </row>
        <row r="420">
          <cell r="B420" t="str">
            <v>Base Cuarzo de 18 lts Color Y099</v>
          </cell>
          <cell r="C420" t="str">
            <v>tac</v>
          </cell>
          <cell r="D420">
            <v>104541.44867585351</v>
          </cell>
        </row>
        <row r="421">
          <cell r="B421" t="str">
            <v>Atenas Fino de 27 kg color Y099</v>
          </cell>
          <cell r="C421" t="str">
            <v>tac</v>
          </cell>
          <cell r="D421">
            <v>63845.220482914381</v>
          </cell>
        </row>
        <row r="422">
          <cell r="B422" t="str">
            <v>Base Cuarzo de 18 lt Color F109</v>
          </cell>
          <cell r="C422" t="str">
            <v>tac</v>
          </cell>
          <cell r="D422">
            <v>100990.74000312849</v>
          </cell>
        </row>
        <row r="423">
          <cell r="B423" t="str">
            <v>Atenas Fino de 27 kg color F109</v>
          </cell>
          <cell r="C423" t="str">
            <v>tac</v>
          </cell>
          <cell r="D423">
            <v>63388.198574543843</v>
          </cell>
        </row>
        <row r="425">
          <cell r="B425" t="str">
            <v>Esmalte epoxi para pisos HB semi mate gris</v>
          </cell>
          <cell r="C425" t="str">
            <v>tac</v>
          </cell>
          <cell r="D425">
            <v>74710.74380165289</v>
          </cell>
        </row>
        <row r="426">
          <cell r="B426" t="str">
            <v>Pintura acrílica Sintevial para demarcación vial brillante amarillo</v>
          </cell>
          <cell r="C426" t="str">
            <v>tac</v>
          </cell>
          <cell r="D426">
            <v>50762.809917355371</v>
          </cell>
        </row>
      </sheetData>
      <sheetData sheetId="15">
        <row r="15">
          <cell r="D15">
            <v>113275.77194850451</v>
          </cell>
        </row>
        <row r="33">
          <cell r="D33">
            <v>13144.582643730666</v>
          </cell>
        </row>
        <row r="34">
          <cell r="D34">
            <v>13144.582643730666</v>
          </cell>
        </row>
        <row r="36">
          <cell r="D36">
            <v>11122.339160079795</v>
          </cell>
        </row>
        <row r="40">
          <cell r="G40">
            <v>40</v>
          </cell>
        </row>
        <row r="41">
          <cell r="D41">
            <v>247500</v>
          </cell>
        </row>
        <row r="42">
          <cell r="D42">
            <v>230000</v>
          </cell>
        </row>
        <row r="43">
          <cell r="D43">
            <v>0</v>
          </cell>
        </row>
        <row r="49">
          <cell r="D49">
            <v>9575.2999999999993</v>
          </cell>
        </row>
        <row r="50">
          <cell r="D50">
            <v>14693.699999999999</v>
          </cell>
        </row>
        <row r="51">
          <cell r="D51">
            <v>59550</v>
          </cell>
        </row>
        <row r="54">
          <cell r="D54">
            <v>289506.60000000003</v>
          </cell>
        </row>
        <row r="55">
          <cell r="D55">
            <v>434240.10000000003</v>
          </cell>
        </row>
        <row r="75">
          <cell r="D75">
            <v>12775.619318344416</v>
          </cell>
        </row>
        <row r="85">
          <cell r="D85">
            <v>450000</v>
          </cell>
        </row>
        <row r="86">
          <cell r="D86">
            <v>550000</v>
          </cell>
        </row>
        <row r="87">
          <cell r="D87">
            <v>400000</v>
          </cell>
        </row>
      </sheetData>
      <sheetData sheetId="16">
        <row r="13">
          <cell r="E13">
            <v>10053.788111207799</v>
          </cell>
          <cell r="H13">
            <v>10761.175782920433</v>
          </cell>
          <cell r="K13">
            <v>255.78052240790058</v>
          </cell>
        </row>
        <row r="14">
          <cell r="E14">
            <v>12465.037584000003</v>
          </cell>
          <cell r="H14">
            <v>10761.175782920433</v>
          </cell>
          <cell r="K14">
            <v>255.78052240790058</v>
          </cell>
        </row>
        <row r="17">
          <cell r="E17">
            <v>18207.260451115199</v>
          </cell>
          <cell r="H17">
            <v>10761.175782920433</v>
          </cell>
          <cell r="K17">
            <v>255.78052240790058</v>
          </cell>
        </row>
        <row r="18">
          <cell r="E18">
            <v>4104.3831840000003</v>
          </cell>
          <cell r="H18">
            <v>60531.613778927429</v>
          </cell>
          <cell r="K18">
            <v>440.78780564123963</v>
          </cell>
        </row>
        <row r="19">
          <cell r="E19">
            <v>1501.8311196</v>
          </cell>
          <cell r="H19">
            <v>40354.409185951619</v>
          </cell>
          <cell r="K19">
            <v>220.39390282061981</v>
          </cell>
        </row>
        <row r="21">
          <cell r="E21">
            <v>827.27861400000006</v>
          </cell>
          <cell r="H21">
            <v>4324.0477652730679</v>
          </cell>
          <cell r="K21">
            <v>137.02527986137531</v>
          </cell>
        </row>
        <row r="22">
          <cell r="E22">
            <v>2891.2175380000008</v>
          </cell>
          <cell r="H22">
            <v>22980.57702378547</v>
          </cell>
          <cell r="K22">
            <v>639.45130601975143</v>
          </cell>
        </row>
        <row r="23">
          <cell r="E23">
            <v>4061.1650940000004</v>
          </cell>
          <cell r="H23">
            <v>11697.516278234732</v>
          </cell>
          <cell r="K23">
            <v>333.62676835813119</v>
          </cell>
        </row>
        <row r="24">
          <cell r="E24">
            <v>4061.1650940000004</v>
          </cell>
          <cell r="H24">
            <v>16815.179649962429</v>
          </cell>
          <cell r="K24">
            <v>863.36280564123967</v>
          </cell>
        </row>
        <row r="25">
          <cell r="E25">
            <v>67976.634462000002</v>
          </cell>
          <cell r="H25">
            <v>98480.965909229839</v>
          </cell>
          <cell r="K25">
            <v>2518.7874608070838</v>
          </cell>
        </row>
        <row r="26">
          <cell r="E26">
            <v>3420.3193200000005</v>
          </cell>
          <cell r="H26">
            <v>8295.6908247106203</v>
          </cell>
          <cell r="K26">
            <v>235.08682967532781</v>
          </cell>
        </row>
        <row r="27">
          <cell r="E27">
            <v>6717.8752369750009</v>
          </cell>
          <cell r="H27">
            <v>11145.0220670823</v>
          </cell>
          <cell r="K27">
            <v>130.47811125144119</v>
          </cell>
        </row>
        <row r="29">
          <cell r="E29">
            <v>4104.3831840000012</v>
          </cell>
          <cell r="H29">
            <v>11112.816288145448</v>
          </cell>
          <cell r="K29">
            <v>306.63499522868841</v>
          </cell>
        </row>
        <row r="31">
          <cell r="E31">
            <v>4251.3981882128101</v>
          </cell>
          <cell r="H31">
            <v>9503.3872142359414</v>
          </cell>
          <cell r="K31">
            <v>262.01469147676113</v>
          </cell>
        </row>
        <row r="35">
          <cell r="E35">
            <v>6929.1780082644646</v>
          </cell>
          <cell r="H35">
            <v>12350.904731051611</v>
          </cell>
          <cell r="K35">
            <v>197.48055343380668</v>
          </cell>
        </row>
        <row r="36">
          <cell r="E36">
            <v>6932.2708051239661</v>
          </cell>
          <cell r="H36">
            <v>12793.021249932997</v>
          </cell>
          <cell r="K36">
            <v>245.43420967337988</v>
          </cell>
        </row>
        <row r="37">
          <cell r="E37">
            <v>6932.2708051239661</v>
          </cell>
          <cell r="H37">
            <v>16630.927624912896</v>
          </cell>
          <cell r="K37">
            <v>319.06447257539384</v>
          </cell>
        </row>
        <row r="38">
          <cell r="E38">
            <v>1001.4972036694213</v>
          </cell>
          <cell r="H38">
            <v>5543.6425416376323</v>
          </cell>
          <cell r="K38">
            <v>106.35482419179795</v>
          </cell>
        </row>
        <row r="40">
          <cell r="E40">
            <v>10667.044969530953</v>
          </cell>
          <cell r="H40">
            <v>17506.239605171471</v>
          </cell>
          <cell r="K40">
            <v>286.6463366158178</v>
          </cell>
        </row>
        <row r="41">
          <cell r="E41">
            <v>14748.700231069415</v>
          </cell>
          <cell r="H41">
            <v>17506.239605171471</v>
          </cell>
          <cell r="K41">
            <v>286.6463366158178</v>
          </cell>
        </row>
        <row r="46">
          <cell r="E46">
            <v>28944.105044419659</v>
          </cell>
          <cell r="H46">
            <v>27718.212708188163</v>
          </cell>
          <cell r="K46">
            <v>441.15834345223334</v>
          </cell>
        </row>
        <row r="50">
          <cell r="E50">
            <v>8716.8187099632705</v>
          </cell>
          <cell r="K50">
            <v>34.976452245793809</v>
          </cell>
        </row>
        <row r="56">
          <cell r="E56">
            <v>1392.6097669880623</v>
          </cell>
          <cell r="H56">
            <v>2017.7204592975809</v>
          </cell>
          <cell r="K56">
            <v>10.930141326810567</v>
          </cell>
        </row>
        <row r="60">
          <cell r="E60">
            <v>987.17450099173561</v>
          </cell>
          <cell r="H60">
            <v>6278.4758589025905</v>
          </cell>
          <cell r="K60">
            <v>181.5426798566846</v>
          </cell>
        </row>
        <row r="63">
          <cell r="E63">
            <v>17610.205138368772</v>
          </cell>
          <cell r="H63">
            <v>49666.965151940458</v>
          </cell>
          <cell r="K63">
            <v>1812.1956821517972</v>
          </cell>
        </row>
        <row r="64">
          <cell r="E64">
            <v>15896.430633907985</v>
          </cell>
          <cell r="H64">
            <v>49666.965151940458</v>
          </cell>
          <cell r="K64">
            <v>1812.1956821517972</v>
          </cell>
        </row>
        <row r="80">
          <cell r="E80">
            <v>2880.1572752851243</v>
          </cell>
          <cell r="H80">
            <v>4708.8568941769427</v>
          </cell>
          <cell r="K80">
            <v>104.55249790152297</v>
          </cell>
        </row>
        <row r="89">
          <cell r="E89">
            <v>2664.568019086777</v>
          </cell>
          <cell r="H89">
            <v>3767.0855153415546</v>
          </cell>
          <cell r="K89">
            <v>83.641998321218381</v>
          </cell>
        </row>
        <row r="90">
          <cell r="E90">
            <v>18798.887787420623</v>
          </cell>
          <cell r="H90">
            <v>49666.965151940458</v>
          </cell>
          <cell r="K90">
            <v>1812.1956821517972</v>
          </cell>
        </row>
        <row r="91">
          <cell r="E91">
            <v>34095.002044916851</v>
          </cell>
          <cell r="H91">
            <v>49666.965151940458</v>
          </cell>
          <cell r="K91">
            <v>1812.1956821517972</v>
          </cell>
        </row>
        <row r="92">
          <cell r="E92">
            <v>10557.999723719837</v>
          </cell>
          <cell r="H92">
            <v>32283.527348761294</v>
          </cell>
          <cell r="K92">
            <v>1177.9271933986681</v>
          </cell>
        </row>
      </sheetData>
      <sheetData sheetId="17">
        <row r="5">
          <cell r="F5">
            <v>51821.351084812624</v>
          </cell>
        </row>
        <row r="7">
          <cell r="B7">
            <v>67240.498860267617</v>
          </cell>
        </row>
      </sheetData>
      <sheetData sheetId="18">
        <row r="4">
          <cell r="O4">
            <v>7</v>
          </cell>
        </row>
        <row r="5">
          <cell r="O5">
            <v>4</v>
          </cell>
        </row>
        <row r="6">
          <cell r="O6">
            <v>2</v>
          </cell>
        </row>
        <row r="7">
          <cell r="O7">
            <v>11</v>
          </cell>
        </row>
        <row r="8">
          <cell r="O8">
            <v>9</v>
          </cell>
        </row>
        <row r="9">
          <cell r="O9">
            <v>9</v>
          </cell>
        </row>
        <row r="12">
          <cell r="O12">
            <v>32</v>
          </cell>
        </row>
        <row r="13">
          <cell r="O13">
            <v>30</v>
          </cell>
        </row>
        <row r="14">
          <cell r="O14">
            <v>7</v>
          </cell>
        </row>
        <row r="15">
          <cell r="O15">
            <v>12</v>
          </cell>
        </row>
        <row r="16">
          <cell r="O16">
            <v>41</v>
          </cell>
        </row>
        <row r="17">
          <cell r="O17">
            <v>135</v>
          </cell>
        </row>
        <row r="18">
          <cell r="O18">
            <v>13</v>
          </cell>
        </row>
        <row r="19">
          <cell r="O19">
            <v>14</v>
          </cell>
        </row>
        <row r="20">
          <cell r="O20">
            <v>2</v>
          </cell>
        </row>
        <row r="43">
          <cell r="S43">
            <v>13</v>
          </cell>
        </row>
        <row r="44">
          <cell r="S44">
            <v>246942.14876033057</v>
          </cell>
        </row>
        <row r="47">
          <cell r="F47">
            <v>357146.16970278043</v>
          </cell>
        </row>
        <row r="48">
          <cell r="F48">
            <v>537813.28786424536</v>
          </cell>
        </row>
        <row r="49">
          <cell r="F49">
            <v>357146.16970278043</v>
          </cell>
        </row>
        <row r="50">
          <cell r="F50">
            <v>392586.16970278043</v>
          </cell>
        </row>
        <row r="51">
          <cell r="F51">
            <v>537813.28786424536</v>
          </cell>
        </row>
        <row r="52">
          <cell r="F52">
            <v>394401.88571428572</v>
          </cell>
        </row>
        <row r="53">
          <cell r="F53">
            <v>542036.05081495689</v>
          </cell>
        </row>
        <row r="55">
          <cell r="F55">
            <v>648356.05081495689</v>
          </cell>
        </row>
        <row r="56">
          <cell r="F56">
            <v>447561.88571428572</v>
          </cell>
        </row>
        <row r="57">
          <cell r="F57">
            <v>466389.29851905268</v>
          </cell>
        </row>
        <row r="58">
          <cell r="F58">
            <v>578369.50878875039</v>
          </cell>
        </row>
        <row r="59">
          <cell r="F59">
            <v>472049.50878875039</v>
          </cell>
        </row>
        <row r="60">
          <cell r="F60">
            <v>361563.22243528283</v>
          </cell>
        </row>
        <row r="61">
          <cell r="F61">
            <v>367994.55172222533</v>
          </cell>
        </row>
        <row r="62">
          <cell r="F62">
            <v>404870.23328859062</v>
          </cell>
        </row>
        <row r="63">
          <cell r="F63">
            <v>466389.29851905268</v>
          </cell>
        </row>
      </sheetData>
      <sheetData sheetId="19">
        <row r="6">
          <cell r="I6">
            <v>100</v>
          </cell>
        </row>
        <row r="8">
          <cell r="I8">
            <v>43</v>
          </cell>
        </row>
        <row r="53">
          <cell r="G53">
            <v>219</v>
          </cell>
        </row>
      </sheetData>
      <sheetData sheetId="20">
        <row r="5">
          <cell r="C5">
            <v>222927.9598701543</v>
          </cell>
        </row>
        <row r="6">
          <cell r="C6">
            <v>323083.99981181783</v>
          </cell>
        </row>
        <row r="47">
          <cell r="D47">
            <v>362209.60749629384</v>
          </cell>
        </row>
        <row r="72">
          <cell r="D72">
            <v>392678.73410221271</v>
          </cell>
        </row>
        <row r="99">
          <cell r="D99">
            <v>629584.35516404966</v>
          </cell>
        </row>
        <row r="123">
          <cell r="D123">
            <v>253632.45059711847</v>
          </cell>
        </row>
        <row r="148">
          <cell r="D148">
            <v>370454.15079626895</v>
          </cell>
        </row>
      </sheetData>
      <sheetData sheetId="21">
        <row r="151">
          <cell r="G151">
            <v>10584987.993234448</v>
          </cell>
        </row>
      </sheetData>
      <sheetData sheetId="22">
        <row r="41">
          <cell r="U41">
            <v>113</v>
          </cell>
        </row>
        <row r="218">
          <cell r="L218">
            <v>437</v>
          </cell>
          <cell r="M218">
            <v>1008</v>
          </cell>
          <cell r="N218">
            <v>723</v>
          </cell>
          <cell r="O218">
            <v>199</v>
          </cell>
          <cell r="Q218">
            <v>34</v>
          </cell>
        </row>
      </sheetData>
      <sheetData sheetId="23">
        <row r="54">
          <cell r="J54">
            <v>663</v>
          </cell>
        </row>
        <row r="67">
          <cell r="J67">
            <v>1164</v>
          </cell>
          <cell r="Q67">
            <v>861</v>
          </cell>
        </row>
        <row r="69">
          <cell r="N69">
            <v>752</v>
          </cell>
          <cell r="O69">
            <v>433</v>
          </cell>
        </row>
        <row r="71">
          <cell r="J71">
            <v>500</v>
          </cell>
        </row>
        <row r="88">
          <cell r="G88">
            <v>219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ructura De Costos"/>
      <sheetName val="Proyeccion - Venta (2)"/>
    </sheetNames>
    <sheetDataSet>
      <sheetData sheetId="0">
        <row r="16">
          <cell r="D16">
            <v>380016.00000000006</v>
          </cell>
        </row>
        <row r="20">
          <cell r="B20" t="str">
            <v>Descripcion</v>
          </cell>
        </row>
        <row r="21">
          <cell r="B21" t="str">
            <v>Proyecto</v>
          </cell>
          <cell r="D21">
            <v>22496.01225872658</v>
          </cell>
        </row>
        <row r="22">
          <cell r="B22" t="str">
            <v>Direccion</v>
          </cell>
          <cell r="D22">
            <v>44992.024517453159</v>
          </cell>
        </row>
        <row r="23">
          <cell r="B23" t="str">
            <v>Honorarios Desarrollo</v>
          </cell>
          <cell r="D23">
            <v>14997.34150581772</v>
          </cell>
        </row>
        <row r="24">
          <cell r="B24" t="str">
            <v>Gastos Admin. Fideicomiso</v>
          </cell>
          <cell r="D24">
            <v>67488.036776179739</v>
          </cell>
        </row>
        <row r="25">
          <cell r="B25" t="str">
            <v>Derecho Construccion</v>
          </cell>
          <cell r="D25">
            <v>22496.01225872658</v>
          </cell>
        </row>
        <row r="26">
          <cell r="B26" t="str">
            <v>Gestion Municipal</v>
          </cell>
          <cell r="D26">
            <v>14997.34150581772</v>
          </cell>
        </row>
        <row r="27">
          <cell r="B27" t="str">
            <v>Fee Ventas</v>
          </cell>
          <cell r="D27">
            <v>44992.024517453159</v>
          </cell>
        </row>
        <row r="28">
          <cell r="B28" t="str">
            <v>Marketing</v>
          </cell>
          <cell r="D28">
            <v>0</v>
          </cell>
        </row>
        <row r="29">
          <cell r="B29" t="str">
            <v>Imprevistos</v>
          </cell>
          <cell r="D29">
            <v>74986.707529088599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1FD413-58E7-4260-8596-4CD36DECFC6B}" name="ProyeCAC5" displayName="ProyeCAC5" ref="B5:E25" totalsRowShown="0" headerRowDxfId="97">
  <tableColumns count="4">
    <tableColumn id="1" xr3:uid="{E7BD9F4A-8538-4189-8D34-F1F1FE07ACA6}" name="Escala de tiempo" dataDxfId="96"/>
    <tableColumn id="2" xr3:uid="{5A00A65B-BF9C-48A9-8744-21C54F85F8CA}" name="Valores"/>
    <tableColumn id="3" xr3:uid="{9E4CD3EC-5F50-46AF-9982-2F0C906E2AEF}" name="Previsión">
      <calculatedColumnFormula>_xlfn.FORECAST.ETS(B6,#REF!,#REF!,1,1)</calculatedColumnFormula>
    </tableColumn>
    <tableColumn id="6" xr3:uid="{7F5641D7-129F-4303-82B0-4468A5004DE4}" name="Indice" dataDxfId="95">
      <calculatedColumnFormula>$C$6/C6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4CFA24-6D2C-4D8E-ADFC-56972BCBA4CE}" name="Tabla14" displayName="Tabla14" ref="B5:C1849" headerRowDxfId="94" dataDxfId="93">
  <autoFilter ref="B5:C1849" xr:uid="{66D41966-1E50-4B3D-B502-9977FF4BE0D5}"/>
  <tableColumns count="2">
    <tableColumn id="1" xr3:uid="{A8E90039-32E5-40CF-B766-F63904A03807}" name="Fecha" dataDxfId="92" totalsRowDxfId="91"/>
    <tableColumn id="2" xr3:uid="{829A596B-ABCC-427E-A879-D55F29A3A094}" name="Referencia" dataDxfId="90" totalsRowDxfId="8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675E-71AE-44AA-8C02-79B6C4002415}">
  <sheetPr>
    <tabColor theme="9" tint="-0.249977111117893"/>
  </sheetPr>
  <dimension ref="B1:Y68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8" sqref="C8"/>
    </sheetView>
  </sheetViews>
  <sheetFormatPr defaultColWidth="11.453125" defaultRowHeight="14.5" outlineLevelCol="1" x14ac:dyDescent="0.35"/>
  <cols>
    <col min="1" max="1" width="2.81640625" style="716" customWidth="1"/>
    <col min="2" max="2" width="25.453125" style="716" customWidth="1"/>
    <col min="3" max="3" width="5.7265625" style="716" bestFit="1" customWidth="1"/>
    <col min="4" max="6" width="12.54296875" style="716" customWidth="1"/>
    <col min="7" max="7" width="12.81640625" style="716" customWidth="1"/>
    <col min="8" max="10" width="12.54296875" style="716" customWidth="1"/>
    <col min="11" max="11" width="1" style="716" customWidth="1"/>
    <col min="12" max="12" width="12.54296875" style="716" customWidth="1"/>
    <col min="13" max="13" width="1.26953125" style="716" customWidth="1"/>
    <col min="14" max="15" width="11.81640625" style="716" hidden="1" customWidth="1" outlineLevel="1"/>
    <col min="16" max="16" width="13.7265625" style="716" customWidth="1" collapsed="1"/>
    <col min="17" max="17" width="5.7265625" style="716" bestFit="1" customWidth="1"/>
    <col min="18" max="18" width="13.7265625" style="716" customWidth="1"/>
    <col min="19" max="19" width="8.26953125" style="716" customWidth="1"/>
    <col min="20" max="20" width="11.54296875" style="716" customWidth="1"/>
    <col min="21" max="21" width="9.7265625" style="716" bestFit="1" customWidth="1"/>
    <col min="22" max="22" width="7.26953125" style="716" bestFit="1" customWidth="1"/>
    <col min="23" max="23" width="14.1796875" style="716" bestFit="1" customWidth="1"/>
    <col min="24" max="16384" width="11.453125" style="716"/>
  </cols>
  <sheetData>
    <row r="1" spans="2:25" ht="21.5" thickBot="1" x14ac:dyDescent="0.55000000000000004">
      <c r="B1" s="715"/>
      <c r="C1" s="715"/>
      <c r="U1" s="718" t="s">
        <v>477</v>
      </c>
      <c r="V1" s="719">
        <v>46156</v>
      </c>
    </row>
    <row r="2" spans="2:25" ht="7.15" customHeight="1" x14ac:dyDescent="0.5">
      <c r="B2" s="715"/>
      <c r="C2" s="715"/>
      <c r="T2" s="720"/>
    </row>
    <row r="3" spans="2:25" x14ac:dyDescent="0.35">
      <c r="B3" s="721" t="s">
        <v>506</v>
      </c>
      <c r="C3" s="721"/>
    </row>
    <row r="4" spans="2:25" ht="13.9" customHeight="1" x14ac:dyDescent="0.35">
      <c r="B4" s="721" t="s">
        <v>478</v>
      </c>
      <c r="C4" s="721"/>
      <c r="D4" s="722"/>
      <c r="E4" s="722"/>
      <c r="F4" s="722"/>
      <c r="G4" s="722"/>
      <c r="H4" s="722"/>
      <c r="I4" s="722"/>
      <c r="J4" s="722"/>
      <c r="K4" s="722"/>
      <c r="L4" s="722"/>
      <c r="M4" s="722"/>
      <c r="N4" s="722"/>
      <c r="O4" s="722"/>
      <c r="P4" s="722"/>
      <c r="Q4" s="722"/>
      <c r="R4" s="722"/>
      <c r="S4" s="722"/>
      <c r="T4" s="722"/>
      <c r="U4" s="722"/>
      <c r="V4" s="722"/>
      <c r="W4" s="722"/>
      <c r="X4" s="722"/>
      <c r="Y4" s="723"/>
    </row>
    <row r="5" spans="2:25" ht="25.15" customHeight="1" x14ac:dyDescent="0.35">
      <c r="B5" s="724"/>
      <c r="C5" s="724"/>
      <c r="D5" s="725">
        <v>45962</v>
      </c>
      <c r="E5" s="725">
        <v>45992</v>
      </c>
      <c r="F5" s="725">
        <v>46023</v>
      </c>
      <c r="G5" s="725">
        <v>46054</v>
      </c>
      <c r="H5" s="725">
        <v>46082</v>
      </c>
      <c r="I5" s="725">
        <v>46113</v>
      </c>
      <c r="J5" s="725">
        <v>46143</v>
      </c>
      <c r="K5" s="722"/>
      <c r="L5" s="726" t="s">
        <v>479</v>
      </c>
      <c r="N5" s="725" t="s">
        <v>480</v>
      </c>
      <c r="O5" s="725" t="s">
        <v>481</v>
      </c>
      <c r="P5" s="727" t="s">
        <v>482</v>
      </c>
      <c r="Q5" s="728" t="s">
        <v>483</v>
      </c>
      <c r="R5" s="726" t="s">
        <v>484</v>
      </c>
      <c r="S5" s="728" t="s">
        <v>485</v>
      </c>
      <c r="T5" s="726" t="s">
        <v>486</v>
      </c>
      <c r="U5" s="722"/>
      <c r="V5" s="722"/>
      <c r="W5" s="722"/>
      <c r="X5" s="722"/>
      <c r="Y5" s="723"/>
    </row>
    <row r="6" spans="2:25" ht="17.5" customHeight="1" x14ac:dyDescent="0.35">
      <c r="B6" s="729" t="s">
        <v>487</v>
      </c>
      <c r="C6" s="724"/>
      <c r="D6" s="722"/>
      <c r="E6" s="722"/>
      <c r="F6" s="722"/>
      <c r="G6" s="722"/>
      <c r="H6" s="722"/>
      <c r="I6" s="722"/>
      <c r="J6" s="722"/>
      <c r="K6" s="722"/>
      <c r="L6" s="722"/>
      <c r="M6" s="722"/>
      <c r="N6" s="722"/>
      <c r="O6" s="722"/>
      <c r="P6" s="722"/>
      <c r="Q6" s="722"/>
      <c r="R6" s="722"/>
      <c r="S6" s="722"/>
      <c r="T6" s="722"/>
      <c r="U6" s="722"/>
      <c r="V6" s="722"/>
      <c r="W6" s="722"/>
      <c r="X6" s="722"/>
      <c r="Y6" s="723"/>
    </row>
    <row r="7" spans="2:25" ht="17.5" customHeight="1" x14ac:dyDescent="0.35">
      <c r="B7" s="730" t="s">
        <v>488</v>
      </c>
      <c r="C7" s="731"/>
      <c r="D7" s="732">
        <f>SUM(VLOOKUP($B7,'Resumen Pto #1'!$B$5:$I$10,MATCH(D$5,'Resumen Pto #1'!$B$5:$I$5,0),0),VLOOKUP($B7,'Resumen Pto #2'!$B$5:$I$9,MATCH(D$5,'Resumen Pto #2'!$B$5:$I$5,0),0))</f>
        <v>0</v>
      </c>
      <c r="E7" s="732">
        <f>SUM(VLOOKUP($B7,'Resumen Pto #1'!$B$5:$I$10,MATCH(E$5,'Resumen Pto #1'!$B$5:$I$5,0),0),VLOOKUP($B7,'Resumen Pto #2'!$B$5:$I$9,MATCH(E$5,'Resumen Pto #2'!$B$5:$I$5,0),0))</f>
        <v>0</v>
      </c>
      <c r="F7" s="732">
        <f>SUM(VLOOKUP($B7,'Resumen Pto #1'!$B$5:$I$10,MATCH(F$5,'Resumen Pto #1'!$B$5:$I$5,0),0),VLOOKUP($B7,'Resumen Pto #2'!$B$5:$I$9,MATCH(F$5,'Resumen Pto #2'!$B$5:$I$5,0),0))</f>
        <v>0</v>
      </c>
      <c r="G7" s="732">
        <f>SUM(VLOOKUP($B7,'Resumen Pto #1'!$B$5:$I$10,MATCH(G$5,'Resumen Pto #1'!$B$5:$I$5,0),0),VLOOKUP($B7,'Resumen Pto #2'!$B$5:$I$9,MATCH(G$5,'Resumen Pto #2'!$B$5:$I$5,0),0))</f>
        <v>0</v>
      </c>
      <c r="H7" s="732">
        <f>SUM(VLOOKUP($B7,'Resumen Pto #1'!$B$5:$I$10,MATCH(H$5,'Resumen Pto #1'!$B$5:$I$5,0),0),VLOOKUP($B7,'Resumen Pto #2'!$B$5:$I$9,MATCH(H$5,'Resumen Pto #2'!$B$5:$I$5,0),0))</f>
        <v>120095631</v>
      </c>
      <c r="I7" s="732">
        <f>SUM(VLOOKUP($B7,'Resumen Pto #1'!$B$5:I$10,MATCH(I$5,'Resumen Pto #1'!$B$5:I$5,0),0),VLOOKUP($B7,'Resumen Pto #2'!$B$5:I$9,MATCH(I$5,'Resumen Pto #2'!$B$5:I$5,0),0))</f>
        <v>51205725.464000002</v>
      </c>
      <c r="J7" s="732">
        <f>SUM(VLOOKUP($B7,'Resumen Pto #1'!$B$5:J$10,MATCH(J$5,'Resumen Pto #1'!$B$5:J$5,0),0),VLOOKUP($B7,'Resumen Pto #2'!$B$5:J$9,MATCH(J$5,'Resumen Pto #2'!$B$5:J$5,0),0))</f>
        <v>0</v>
      </c>
      <c r="K7" s="722"/>
      <c r="L7" s="733">
        <f>SUM(D7:K7)</f>
        <v>171301356.46399999</v>
      </c>
      <c r="M7" s="722"/>
      <c r="N7" s="734">
        <f>'Resumen Pto #1'!N7</f>
        <v>390310800.75</v>
      </c>
      <c r="O7" s="734">
        <f>'Resumen Pto #2'!N7</f>
        <v>611094151.85000002</v>
      </c>
      <c r="P7" s="734">
        <f>SUM(N7:O7)</f>
        <v>1001404952.6</v>
      </c>
      <c r="Q7" s="735"/>
      <c r="R7" s="736">
        <f>IF(Q7=100%,0,IF(OR(L7&lt;&gt;0,P7),P7-L7))</f>
        <v>830103596.13600004</v>
      </c>
      <c r="S7" s="737">
        <f>IF(OR(R7&lt;0,P7),R7/P7,0%)</f>
        <v>0.82893897616619394</v>
      </c>
      <c r="T7" s="736">
        <f>IF(Q7=100%,IF(OR(K7&lt;&gt;0,P7),P7-K7),0)</f>
        <v>0</v>
      </c>
      <c r="U7" s="722"/>
      <c r="V7" s="722"/>
      <c r="W7" s="722"/>
      <c r="X7" s="722"/>
      <c r="Y7" s="723"/>
    </row>
    <row r="8" spans="2:25" ht="17.5" customHeight="1" x14ac:dyDescent="0.35">
      <c r="B8" s="738" t="s">
        <v>489</v>
      </c>
      <c r="C8" s="738"/>
      <c r="D8" s="739">
        <f t="shared" ref="D8:I8" si="0">SUM(D7)</f>
        <v>0</v>
      </c>
      <c r="E8" s="739">
        <f t="shared" si="0"/>
        <v>0</v>
      </c>
      <c r="F8" s="739">
        <f t="shared" si="0"/>
        <v>0</v>
      </c>
      <c r="G8" s="739">
        <f t="shared" si="0"/>
        <v>0</v>
      </c>
      <c r="H8" s="739">
        <f t="shared" si="0"/>
        <v>120095631</v>
      </c>
      <c r="I8" s="739">
        <f t="shared" si="0"/>
        <v>51205725.464000002</v>
      </c>
      <c r="J8" s="739">
        <f t="shared" ref="J8" si="1">SUM(J7)</f>
        <v>0</v>
      </c>
      <c r="K8" s="722"/>
      <c r="L8" s="740">
        <f>SUM(L7)</f>
        <v>171301356.46399999</v>
      </c>
      <c r="M8" s="722"/>
      <c r="N8" s="741">
        <f>SUM(N7)</f>
        <v>390310800.75</v>
      </c>
      <c r="O8" s="741">
        <f t="shared" ref="O8:P8" si="2">SUM(O7)</f>
        <v>611094151.85000002</v>
      </c>
      <c r="P8" s="741">
        <f t="shared" si="2"/>
        <v>1001404952.6</v>
      </c>
      <c r="Q8" s="722"/>
      <c r="R8" s="741">
        <f>SUM(R7)</f>
        <v>830103596.13600004</v>
      </c>
      <c r="S8" s="737">
        <f t="shared" ref="S8:S10" si="3">IF(OR(R8&lt;0,P8),R8/P8,0%)</f>
        <v>0.82893897616619394</v>
      </c>
      <c r="T8" s="741">
        <f>SUM(T7)</f>
        <v>0</v>
      </c>
      <c r="U8" s="722"/>
      <c r="V8" s="722"/>
      <c r="W8" s="722"/>
      <c r="X8" s="722"/>
      <c r="Y8" s="723"/>
    </row>
    <row r="9" spans="2:25" x14ac:dyDescent="0.35">
      <c r="B9" s="730" t="s">
        <v>490</v>
      </c>
      <c r="C9" s="731"/>
      <c r="D9" s="732">
        <f>SUM(VLOOKUP($B9,'Resumen Pto #1'!$B$5:$I$10,MATCH(D$5,'Resumen Pto #1'!$B$5:$I$5,0),0),VLOOKUP($B9,'Resumen Pto #2'!$B$5:$I$9,MATCH(D$5,'Resumen Pto #2'!$B$5:$I$5,0),0))</f>
        <v>0</v>
      </c>
      <c r="E9" s="732">
        <f>SUM(VLOOKUP($B9,'Resumen Pto #1'!$B$5:$I$10,MATCH(E$5,'Resumen Pto #1'!$B$5:$I$5,0),0),VLOOKUP($B9,'Resumen Pto #2'!$B$5:$I$9,MATCH(E$5,'Resumen Pto #2'!$B$5:$I$5,0),0))</f>
        <v>0</v>
      </c>
      <c r="F9" s="732">
        <f>SUM(VLOOKUP($B9,'Resumen Pto #1'!$B$5:$I$10,MATCH(F$5,'Resumen Pto #1'!$B$5:$I$5,0),0),VLOOKUP($B9,'Resumen Pto #2'!$B$5:$I$9,MATCH(F$5,'Resumen Pto #2'!$B$5:$I$5,0),0))</f>
        <v>0</v>
      </c>
      <c r="G9" s="732">
        <f>SUM(VLOOKUP($B9,'Resumen Pto #1'!$B$5:$I$10,MATCH(G$5,'Resumen Pto #1'!$B$5:$I$5,0),0),VLOOKUP($B9,'Resumen Pto #2'!$B$5:$I$9,MATCH(G$5,'Resumen Pto #2'!$B$5:$I$5,0),0))</f>
        <v>0</v>
      </c>
      <c r="H9" s="732">
        <f>SUM(VLOOKUP($B9,'Resumen Pto #1'!$B$5:$I$10,MATCH(H$5,'Resumen Pto #1'!$B$5:$I$5,0),0),VLOOKUP($B9,'Resumen Pto #2'!$B$5:$I$9,MATCH(H$5,'Resumen Pto #2'!$B$5:$I$5,0),0))</f>
        <v>21310935.665032424</v>
      </c>
      <c r="I9" s="732">
        <f>SUM(VLOOKUP($B9,'Resumen Pto #1'!$B$5:I$10,MATCH(I$5,'Resumen Pto #1'!$B$5:I$5,0),0),VLOOKUP($B9,'Resumen Pto #2'!$B$5:I$9,MATCH(I$5,'Resumen Pto #2'!$B$5:I$5,0),0))</f>
        <v>10072662.997793984</v>
      </c>
      <c r="J9" s="732">
        <f>SUM(VLOOKUP($B9,'Resumen Pto #1'!$B$5:J$10,MATCH(J$5,'Resumen Pto #1'!$B$5:J$5,0),0),VLOOKUP($B9,'Resumen Pto #2'!$B$5:J$9,MATCH(J$5,'Resumen Pto #2'!$B$5:J$5,0),0))</f>
        <v>0</v>
      </c>
      <c r="K9" s="722"/>
      <c r="L9" s="733">
        <f>SUM(D9:K9)</f>
        <v>31383598.662826408</v>
      </c>
      <c r="M9" s="722"/>
      <c r="N9" s="734">
        <f>'[1]Resumen Pto #1'!X9</f>
        <v>0</v>
      </c>
      <c r="O9" s="734">
        <f>'[1]Resumen Pto #2'!X9</f>
        <v>0</v>
      </c>
      <c r="P9" s="734">
        <f>SUM(N9:O9)</f>
        <v>0</v>
      </c>
      <c r="Q9" s="734"/>
      <c r="R9" s="736">
        <f>IF(Q9=100%,0,IF(P9=0,P9,P9-L9))</f>
        <v>0</v>
      </c>
      <c r="S9" s="737">
        <f t="shared" si="3"/>
        <v>0</v>
      </c>
      <c r="T9" s="736">
        <f t="shared" ref="T9" si="4">IF(Q9=100%,IF(OR(K9&lt;&gt;0,P9),P9-K9),0)</f>
        <v>0</v>
      </c>
      <c r="U9" s="722"/>
      <c r="V9" s="722"/>
      <c r="W9" s="722"/>
      <c r="X9" s="722"/>
      <c r="Y9" s="723"/>
    </row>
    <row r="10" spans="2:25" ht="17.5" customHeight="1" x14ac:dyDescent="0.35">
      <c r="B10" s="738" t="s">
        <v>489</v>
      </c>
      <c r="C10" s="738"/>
      <c r="D10" s="739">
        <f t="shared" ref="D10:I10" si="5">SUM(D9)</f>
        <v>0</v>
      </c>
      <c r="E10" s="739">
        <f t="shared" si="5"/>
        <v>0</v>
      </c>
      <c r="F10" s="739">
        <f t="shared" si="5"/>
        <v>0</v>
      </c>
      <c r="G10" s="739">
        <f t="shared" si="5"/>
        <v>0</v>
      </c>
      <c r="H10" s="739">
        <f t="shared" si="5"/>
        <v>21310935.665032424</v>
      </c>
      <c r="I10" s="739">
        <f t="shared" si="5"/>
        <v>10072662.997793984</v>
      </c>
      <c r="J10" s="739">
        <f t="shared" ref="J10" si="6">SUM(J9)</f>
        <v>0</v>
      </c>
      <c r="K10" s="722"/>
      <c r="L10" s="740">
        <f>SUM(L9)</f>
        <v>31383598.662826408</v>
      </c>
      <c r="M10" s="722"/>
      <c r="N10" s="741">
        <f>SUM(N9)</f>
        <v>0</v>
      </c>
      <c r="O10" s="741">
        <f t="shared" ref="O10:P10" si="7">SUM(O9)</f>
        <v>0</v>
      </c>
      <c r="P10" s="741">
        <f t="shared" si="7"/>
        <v>0</v>
      </c>
      <c r="Q10" s="722"/>
      <c r="R10" s="741">
        <f>SUM(R9)</f>
        <v>0</v>
      </c>
      <c r="S10" s="737">
        <f t="shared" si="3"/>
        <v>0</v>
      </c>
      <c r="T10" s="741">
        <f>SUM(T9)</f>
        <v>0</v>
      </c>
      <c r="U10" s="722"/>
      <c r="V10" s="722"/>
      <c r="W10" s="722"/>
      <c r="X10" s="722"/>
      <c r="Y10" s="723"/>
    </row>
    <row r="11" spans="2:25" ht="17.5" customHeight="1" x14ac:dyDescent="0.35">
      <c r="B11" s="724"/>
      <c r="C11" s="724"/>
      <c r="D11" s="742"/>
      <c r="E11" s="742"/>
      <c r="F11" s="742"/>
      <c r="G11" s="742"/>
      <c r="H11" s="742"/>
      <c r="I11" s="742"/>
      <c r="J11" s="742"/>
      <c r="K11" s="722"/>
      <c r="L11" s="742"/>
      <c r="M11" s="722"/>
      <c r="N11" s="722"/>
      <c r="O11" s="722"/>
      <c r="P11" s="722"/>
      <c r="Q11" s="722"/>
      <c r="R11" s="722"/>
      <c r="S11" s="722"/>
      <c r="T11" s="722"/>
      <c r="U11" s="722"/>
      <c r="V11" s="722"/>
      <c r="W11" s="722"/>
      <c r="X11" s="722"/>
      <c r="Y11" s="723"/>
    </row>
    <row r="12" spans="2:25" x14ac:dyDescent="0.35">
      <c r="B12" s="729" t="s">
        <v>491</v>
      </c>
      <c r="U12" s="716" t="s">
        <v>492</v>
      </c>
    </row>
    <row r="13" spans="2:25" x14ac:dyDescent="0.35">
      <c r="B13" s="730" t="s">
        <v>467</v>
      </c>
      <c r="C13" s="731"/>
      <c r="D13" s="732">
        <f>'Resumen Pto #1'!D15+'Resumen Pto #2'!D14</f>
        <v>0</v>
      </c>
      <c r="E13" s="732">
        <f>'Resumen Pto #1'!E15+'Resumen Pto #2'!E14</f>
        <v>0</v>
      </c>
      <c r="F13" s="732">
        <f>'Resumen Pto #1'!F15+'Resumen Pto #2'!F14</f>
        <v>0</v>
      </c>
      <c r="G13" s="732">
        <f>'Resumen Pto #1'!G15+'Resumen Pto #2'!G14</f>
        <v>517195</v>
      </c>
      <c r="H13" s="732">
        <f>'Resumen Pto #1'!H15+'Resumen Pto #2'!H14</f>
        <v>826285.90999999992</v>
      </c>
      <c r="I13" s="732">
        <f>'Resumen Pto #1'!I15+'Resumen Pto #2'!I14</f>
        <v>517195</v>
      </c>
      <c r="J13" s="732">
        <f>'Resumen Pto #1'!J15+'Resumen Pto #2'!K14</f>
        <v>1195790</v>
      </c>
      <c r="K13" s="743"/>
      <c r="L13" s="733" cm="1">
        <f t="array" ref="L13">SUMPRODUCT($D13:$K13,TRANSPOSE('Indice CAC'!$E$12:$E$19))</f>
        <v>2519063.6872003656</v>
      </c>
      <c r="M13" s="744"/>
      <c r="N13" s="734">
        <f>IFERROR(VLOOKUP($B13&amp;$C13,'Resumen Pto #1'!$B$13:$N$23,13,0),0)</f>
        <v>4623254.4601415321</v>
      </c>
      <c r="O13" s="734">
        <f>VLOOKUP($B13,'Resumen Pto #2'!$B$13:$N$30,12,0)</f>
        <v>0</v>
      </c>
      <c r="P13" s="734">
        <f t="shared" ref="P13:P35" si="8">SUM(N13:O13)</f>
        <v>4623254.4601415321</v>
      </c>
      <c r="Q13" s="745"/>
      <c r="R13" s="736">
        <f>IF(Q13=100%,0,IF(OR(L13&lt;&gt;0,P13),P13-L13,0))</f>
        <v>2104190.7729411665</v>
      </c>
      <c r="S13" s="737">
        <f t="shared" ref="S13:S35" si="9">IF(OR(R13&lt;0,P13),R13/P13,0%)</f>
        <v>0.45513194029920445</v>
      </c>
      <c r="T13" s="736">
        <f>IF(Q13=100%,IF(OR(L13&lt;&gt;0,P13),P13-L13),0)</f>
        <v>0</v>
      </c>
    </row>
    <row r="14" spans="2:25" x14ac:dyDescent="0.35">
      <c r="B14" s="730" t="s">
        <v>470</v>
      </c>
      <c r="C14" s="731"/>
      <c r="D14" s="732">
        <f>'Resumen Pto #2'!D13</f>
        <v>0</v>
      </c>
      <c r="E14" s="732">
        <f>'Resumen Pto #2'!E13</f>
        <v>0</v>
      </c>
      <c r="F14" s="732">
        <f>'Resumen Pto #2'!F13</f>
        <v>0</v>
      </c>
      <c r="G14" s="732">
        <f>'Resumen Pto #2'!G13</f>
        <v>0</v>
      </c>
      <c r="H14" s="732">
        <f>'Resumen Pto #2'!H13+'Resumen Pto #1'!H24</f>
        <v>2800000</v>
      </c>
      <c r="I14" s="732">
        <f>'Resumen Pto #2'!I13+'Resumen Pto #1'!I24</f>
        <v>2867000</v>
      </c>
      <c r="J14" s="732">
        <f>'Resumen Pto #2'!K13+'Resumen Pto #1'!J24</f>
        <v>2850000</v>
      </c>
      <c r="K14" s="743"/>
      <c r="L14" s="733" cm="1">
        <f t="array" ref="L14">SUMPRODUCT($D14:$K14,TRANSPOSE('Indice CAC'!$E$12:$E$19))</f>
        <v>6991833.5158016495</v>
      </c>
      <c r="M14" s="744"/>
      <c r="N14" s="734">
        <f>VLOOKUP($B14&amp;$C14,'Resumen Pto #1'!$B$13:$N$24,13,0)</f>
        <v>32465089.202830635</v>
      </c>
      <c r="O14" s="734">
        <f>VLOOKUP($B14,'Resumen Pto #2'!$B$13:$N$30,12,0)</f>
        <v>0</v>
      </c>
      <c r="P14" s="734">
        <f t="shared" si="8"/>
        <v>32465089.202830635</v>
      </c>
      <c r="Q14" s="745"/>
      <c r="R14" s="736">
        <f t="shared" ref="R14:R35" si="10">IF(Q14=100%,0,IF(OR(L14&lt;&gt;0,P14),P14-L14,0))</f>
        <v>25473255.687028985</v>
      </c>
      <c r="S14" s="737">
        <f t="shared" si="9"/>
        <v>0.78463532097142585</v>
      </c>
      <c r="T14" s="736">
        <f t="shared" ref="T14:T35" si="11">IF(Q14=100%,IF(OR(L14&lt;&gt;0,P14),P14-L14),0)</f>
        <v>0</v>
      </c>
    </row>
    <row r="15" spans="2:25" x14ac:dyDescent="0.35">
      <c r="B15" s="730" t="s">
        <v>469</v>
      </c>
      <c r="C15" s="731"/>
      <c r="D15" s="732">
        <f>'Resumen Pto #1'!D16+'Resumen Pto #2'!D15</f>
        <v>0</v>
      </c>
      <c r="E15" s="732">
        <f>'Resumen Pto #1'!E16+'Resumen Pto #2'!E15</f>
        <v>0</v>
      </c>
      <c r="F15" s="732">
        <f>'Resumen Pto #1'!F16+'Resumen Pto #2'!F15</f>
        <v>0</v>
      </c>
      <c r="G15" s="732">
        <f>'Resumen Pto #1'!G16+'Resumen Pto #2'!G15</f>
        <v>0</v>
      </c>
      <c r="H15" s="732">
        <f>'Resumen Pto #1'!H16+'Resumen Pto #2'!H15</f>
        <v>639742.64</v>
      </c>
      <c r="I15" s="732">
        <f>'Resumen Pto #1'!I16+'Resumen Pto #2'!I15</f>
        <v>716525.59000000008</v>
      </c>
      <c r="J15" s="732">
        <f>'Resumen Pto #1'!J16+'Resumen Pto #2'!K15</f>
        <v>38016.53</v>
      </c>
      <c r="K15" s="743"/>
      <c r="L15" s="733" cm="1">
        <f t="array" ref="L15">SUMPRODUCT($D15:$K15,TRANSPOSE('Indice CAC'!$E$12:$E$19))</f>
        <v>1153083.1594247392</v>
      </c>
      <c r="M15" s="744"/>
      <c r="N15" s="734">
        <f>IFERROR(VLOOKUP($B15&amp;$C15,'Resumen Pto #1'!$B$13:$N$23,13,0),0)</f>
        <v>8000000</v>
      </c>
      <c r="O15" s="734">
        <f>VLOOKUP($B15,'Resumen Pto #2'!$B$13:$N$30,12,0)</f>
        <v>0</v>
      </c>
      <c r="P15" s="734">
        <f t="shared" si="8"/>
        <v>8000000</v>
      </c>
      <c r="Q15" s="745"/>
      <c r="R15" s="736">
        <f t="shared" si="10"/>
        <v>6846916.840575261</v>
      </c>
      <c r="S15" s="737">
        <f t="shared" si="9"/>
        <v>0.85586460507190765</v>
      </c>
      <c r="T15" s="736">
        <f t="shared" si="11"/>
        <v>0</v>
      </c>
    </row>
    <row r="16" spans="2:25" x14ac:dyDescent="0.35">
      <c r="B16" s="730" t="s">
        <v>462</v>
      </c>
      <c r="C16" s="731"/>
      <c r="D16" s="732">
        <f>'Resumen Pto #1'!D13</f>
        <v>0</v>
      </c>
      <c r="E16" s="732">
        <f>'Resumen Pto #1'!E13</f>
        <v>0</v>
      </c>
      <c r="F16" s="732">
        <f>'Resumen Pto #1'!F13</f>
        <v>939182.1</v>
      </c>
      <c r="G16" s="732">
        <f>'Resumen Pto #1'!G13</f>
        <v>1539988.94</v>
      </c>
      <c r="H16" s="732">
        <f>'Resumen Pto #1'!H13</f>
        <v>3125044.33</v>
      </c>
      <c r="I16" s="732">
        <f>'Resumen Pto #1'!I13</f>
        <v>734909.88</v>
      </c>
      <c r="J16" s="732">
        <f>'Resumen Pto #1'!J13</f>
        <v>0</v>
      </c>
      <c r="K16" s="743"/>
      <c r="L16" s="733" cm="1">
        <f t="array" ref="L16">SUMPRODUCT($D16:$K16,TRANSPOSE('Indice CAC'!$E$12:$E$19))</f>
        <v>5329921.2968259603</v>
      </c>
      <c r="M16" s="744"/>
      <c r="N16" s="734">
        <f>VLOOKUP($B16,'Resumen Pto #1'!$B$13:$N$23,13,0)</f>
        <v>14709292.541789122</v>
      </c>
      <c r="O16" s="734">
        <f>IFERROR(VLOOKUP($B16,'Resumen Pto #2'!$B$13:$N$30,12,0),0)</f>
        <v>0</v>
      </c>
      <c r="P16" s="734">
        <f t="shared" si="8"/>
        <v>14709292.541789122</v>
      </c>
      <c r="Q16" s="745"/>
      <c r="R16" s="736">
        <f t="shared" si="10"/>
        <v>9379371.2449631616</v>
      </c>
      <c r="S16" s="737">
        <f t="shared" si="9"/>
        <v>0.63764937833117086</v>
      </c>
      <c r="T16" s="736">
        <f t="shared" si="11"/>
        <v>0</v>
      </c>
    </row>
    <row r="17" spans="2:23" x14ac:dyDescent="0.35">
      <c r="B17" s="730" t="s">
        <v>463</v>
      </c>
      <c r="C17" s="731"/>
      <c r="D17" s="732">
        <f>'Resumen Pto #1'!D14</f>
        <v>0</v>
      </c>
      <c r="E17" s="732">
        <f>'Resumen Pto #1'!E14</f>
        <v>0</v>
      </c>
      <c r="F17" s="732">
        <f>'Resumen Pto #1'!F14</f>
        <v>0</v>
      </c>
      <c r="G17" s="732">
        <f>'Resumen Pto #1'!G14</f>
        <v>0</v>
      </c>
      <c r="H17" s="732">
        <f>'Resumen Pto #1'!H14</f>
        <v>730000</v>
      </c>
      <c r="I17" s="732">
        <f>'Resumen Pto #1'!I14</f>
        <v>0</v>
      </c>
      <c r="J17" s="732">
        <f>'Resumen Pto #1'!J14</f>
        <v>0</v>
      </c>
      <c r="K17" s="743"/>
      <c r="L17" s="733" cm="1">
        <f t="array" ref="L17">SUMPRODUCT($D17:$K17,TRANSPOSE('Indice CAC'!$E$12:$E$19))</f>
        <v>610005.91769847053</v>
      </c>
      <c r="M17" s="744"/>
      <c r="N17" s="734">
        <f>VLOOKUP($B17,'Resumen Pto #1'!$B$13:$N$23,13,0)</f>
        <v>1226538.2425374638</v>
      </c>
      <c r="O17" s="734">
        <f>IFERROR(VLOOKUP($B17,'Resumen Pto #2'!$B$13:$N$30,12,0),0)</f>
        <v>0</v>
      </c>
      <c r="P17" s="734">
        <f t="shared" si="8"/>
        <v>1226538.2425374638</v>
      </c>
      <c r="Q17" s="745"/>
      <c r="R17" s="736">
        <f t="shared" si="10"/>
        <v>616532.32483899326</v>
      </c>
      <c r="S17" s="737">
        <f t="shared" si="9"/>
        <v>0.5026604988390011</v>
      </c>
      <c r="T17" s="736">
        <f t="shared" si="11"/>
        <v>0</v>
      </c>
    </row>
    <row r="18" spans="2:23" x14ac:dyDescent="0.35">
      <c r="B18" s="730" t="s">
        <v>465</v>
      </c>
      <c r="C18" s="731"/>
      <c r="D18" s="732">
        <f>'Resumen Pto #1'!D19</f>
        <v>0</v>
      </c>
      <c r="E18" s="732">
        <f>'Resumen Pto #1'!E19</f>
        <v>0</v>
      </c>
      <c r="F18" s="732">
        <f>'Resumen Pto #1'!F19</f>
        <v>0</v>
      </c>
      <c r="G18" s="732">
        <f>'Resumen Pto #1'!G19</f>
        <v>0</v>
      </c>
      <c r="H18" s="732">
        <f>'Resumen Pto #1'!H19</f>
        <v>0</v>
      </c>
      <c r="I18" s="732">
        <f>'Resumen Pto #1'!I19</f>
        <v>1310000</v>
      </c>
      <c r="J18" s="732">
        <f>'Resumen Pto #1'!J19</f>
        <v>0</v>
      </c>
      <c r="K18" s="743"/>
      <c r="L18" s="733" cm="1">
        <f t="array" ref="L18">SUMPRODUCT($D18:$K18,TRANSPOSE('Indice CAC'!$E$12:$E$19))</f>
        <v>1074687.1753391824</v>
      </c>
      <c r="M18" s="744"/>
      <c r="N18" s="734">
        <f>VLOOKUP($B18,'Resumen Pto #1'!$B$13:$N$23,13,0)</f>
        <v>9462540.3105386868</v>
      </c>
      <c r="O18" s="734">
        <f>IFERROR(VLOOKUP($B18,'Resumen Pto #2'!$B$13:$N$30,12,0),0)</f>
        <v>0</v>
      </c>
      <c r="P18" s="734">
        <f t="shared" si="8"/>
        <v>9462540.3105386868</v>
      </c>
      <c r="Q18" s="745"/>
      <c r="R18" s="736">
        <f t="shared" si="10"/>
        <v>8387853.135199504</v>
      </c>
      <c r="S18" s="737">
        <f t="shared" si="9"/>
        <v>0.88642720241389361</v>
      </c>
      <c r="T18" s="736">
        <f t="shared" si="11"/>
        <v>0</v>
      </c>
    </row>
    <row r="19" spans="2:23" x14ac:dyDescent="0.35">
      <c r="B19" s="730" t="s">
        <v>466</v>
      </c>
      <c r="C19" s="731" t="s">
        <v>493</v>
      </c>
      <c r="D19" s="732">
        <f>'Resumen Pto #1'!D20</f>
        <v>0</v>
      </c>
      <c r="E19" s="732">
        <f>'Resumen Pto #1'!E20</f>
        <v>0</v>
      </c>
      <c r="F19" s="732">
        <f>'Resumen Pto #1'!F20</f>
        <v>0</v>
      </c>
      <c r="G19" s="732">
        <f>'Resumen Pto #1'!G20</f>
        <v>0</v>
      </c>
      <c r="H19" s="732">
        <f>'Resumen Pto #1'!H20</f>
        <v>20721535.848283812</v>
      </c>
      <c r="I19" s="732">
        <f>'Resumen Pto #1'!I20</f>
        <v>4488122.5672478229</v>
      </c>
      <c r="J19" s="732">
        <f>'Resumen Pto #1'!J20</f>
        <v>13222352.312243165</v>
      </c>
      <c r="K19" s="743"/>
      <c r="L19" s="733" cm="1">
        <f t="array" ref="L19">SUMPRODUCT($D19:$K19,TRANSPOSE('Indice CAC'!$E$12:$E$19))</f>
        <v>31668388.41841552</v>
      </c>
      <c r="M19" s="744"/>
      <c r="N19" s="734">
        <f>'Resumen Pto #1'!N20</f>
        <v>155289004.64594725</v>
      </c>
      <c r="O19" s="734">
        <f>IFERROR(VLOOKUP($B19,'Resumen Pto #2'!$B$13:$N$30,12,0),0)</f>
        <v>0</v>
      </c>
      <c r="P19" s="734">
        <f t="shared" si="8"/>
        <v>155289004.64594725</v>
      </c>
      <c r="Q19" s="745"/>
      <c r="R19" s="736">
        <f t="shared" si="10"/>
        <v>123620616.22753173</v>
      </c>
      <c r="S19" s="737">
        <f t="shared" si="9"/>
        <v>0.79606805716465123</v>
      </c>
      <c r="T19" s="736">
        <f t="shared" si="11"/>
        <v>0</v>
      </c>
    </row>
    <row r="20" spans="2:23" x14ac:dyDescent="0.35">
      <c r="B20" s="730" t="s">
        <v>466</v>
      </c>
      <c r="C20" s="731" t="s">
        <v>494</v>
      </c>
      <c r="D20" s="732">
        <f>'Resumen Pto #1'!D21</f>
        <v>0</v>
      </c>
      <c r="E20" s="732">
        <f>'Resumen Pto #1'!E21</f>
        <v>0</v>
      </c>
      <c r="F20" s="732">
        <f>'Resumen Pto #1'!F21</f>
        <v>0</v>
      </c>
      <c r="G20" s="732">
        <f>'Resumen Pto #1'!G21</f>
        <v>0</v>
      </c>
      <c r="H20" s="732">
        <f>'Resumen Pto #1'!H21</f>
        <v>19211836.143142872</v>
      </c>
      <c r="I20" s="732">
        <f>'Resumen Pto #1'!I21</f>
        <v>19661613.146096487</v>
      </c>
      <c r="J20" s="732">
        <f>'Resumen Pto #1'!J21</f>
        <v>30526435.960802212</v>
      </c>
      <c r="K20" s="743"/>
      <c r="L20" s="733" cm="1">
        <f t="array" ref="L20">SUMPRODUCT($D20:$K20,TRANSPOSE('Indice CAC'!$E$12:$E$19))</f>
        <v>56819927.636982188</v>
      </c>
      <c r="M20" s="744"/>
      <c r="N20" s="734">
        <f>'Resumen Pto #1'!N21</f>
        <v>168570773.48826152</v>
      </c>
      <c r="O20" s="734">
        <f>IFERROR(VLOOKUP($B20,'Resumen Pto #2'!$B$13:$N$30,12,0),0)</f>
        <v>0</v>
      </c>
      <c r="P20" s="734">
        <f t="shared" si="8"/>
        <v>168570773.48826152</v>
      </c>
      <c r="Q20" s="745"/>
      <c r="R20" s="736">
        <f t="shared" si="10"/>
        <v>111750845.85127933</v>
      </c>
      <c r="S20" s="737">
        <f t="shared" si="9"/>
        <v>0.66293132278390554</v>
      </c>
      <c r="T20" s="736">
        <f t="shared" si="11"/>
        <v>0</v>
      </c>
      <c r="V20" s="746"/>
      <c r="W20" s="746"/>
    </row>
    <row r="21" spans="2:23" x14ac:dyDescent="0.35">
      <c r="B21" s="730" t="s">
        <v>468</v>
      </c>
      <c r="C21" s="731" t="s">
        <v>493</v>
      </c>
      <c r="D21" s="732">
        <f>'Resumen Pto #1'!D17+'Resumen Pto #2'!D16</f>
        <v>0</v>
      </c>
      <c r="E21" s="732">
        <f>'Resumen Pto #1'!E17+'Resumen Pto #2'!E16</f>
        <v>0</v>
      </c>
      <c r="F21" s="732">
        <f>'Resumen Pto #1'!F17+'Resumen Pto #2'!F16</f>
        <v>0</v>
      </c>
      <c r="G21" s="732">
        <f>'Resumen Pto #1'!G17+'Resumen Pto #2'!G16</f>
        <v>48248.1</v>
      </c>
      <c r="H21" s="732">
        <f>'Resumen Pto #1'!H17+'Resumen Pto #2'!H16</f>
        <v>95942.03</v>
      </c>
      <c r="I21" s="732">
        <f>'Resumen Pto #1'!I17+'Resumen Pto #2'!I16</f>
        <v>371787.39999999997</v>
      </c>
      <c r="J21" s="732">
        <f>'Resumen Pto #1'!J17+'Resumen Pto #2'!K16</f>
        <v>171269.97</v>
      </c>
      <c r="K21" s="743"/>
      <c r="L21" s="733" cm="1">
        <f t="array" ref="L21">SUMPRODUCT($D21:$K21,TRANSPOSE('Indice CAC'!$E$12:$E$19))</f>
        <v>564374.82165740291</v>
      </c>
      <c r="M21" s="744"/>
      <c r="N21" s="734">
        <f>'Resumen Pto #1'!N17</f>
        <v>1000000</v>
      </c>
      <c r="O21" s="734">
        <f>VLOOKUP($B21,'Resumen Pto #2'!$B$13:$N$30,12,0)</f>
        <v>0</v>
      </c>
      <c r="P21" s="734">
        <f t="shared" si="8"/>
        <v>1000000</v>
      </c>
      <c r="Q21" s="745"/>
      <c r="R21" s="736">
        <f t="shared" si="10"/>
        <v>435625.17834259709</v>
      </c>
      <c r="S21" s="737">
        <f t="shared" si="9"/>
        <v>0.43562517834259712</v>
      </c>
      <c r="T21" s="736">
        <f t="shared" si="11"/>
        <v>0</v>
      </c>
    </row>
    <row r="22" spans="2:23" x14ac:dyDescent="0.35">
      <c r="B22" s="730" t="s">
        <v>468</v>
      </c>
      <c r="C22" s="731" t="s">
        <v>494</v>
      </c>
      <c r="D22" s="732">
        <f>'Resumen Pto #1'!D18+'Resumen Pto #2'!D17</f>
        <v>0</v>
      </c>
      <c r="E22" s="732">
        <f>'Resumen Pto #1'!E18+'Resumen Pto #2'!E17</f>
        <v>0</v>
      </c>
      <c r="F22" s="732">
        <f>'Resumen Pto #1'!F18+'Resumen Pto #2'!F17</f>
        <v>0</v>
      </c>
      <c r="G22" s="732">
        <f>'Resumen Pto #1'!G18+'Resumen Pto #2'!G17</f>
        <v>0</v>
      </c>
      <c r="H22" s="732">
        <f>'Resumen Pto #1'!H18+'Resumen Pto #2'!H17</f>
        <v>0</v>
      </c>
      <c r="I22" s="732">
        <f>'Resumen Pto #1'!I18+'Resumen Pto #2'!I17</f>
        <v>2330315.6988138175</v>
      </c>
      <c r="J22" s="732">
        <f>'Resumen Pto #1'!J18+'Resumen Pto #2'!K17</f>
        <v>0</v>
      </c>
      <c r="K22" s="743"/>
      <c r="L22" s="733" cm="1">
        <f t="array" ref="L22">SUMPRODUCT($D22:$K22,TRANSPOSE('Indice CAC'!$E$12:$E$19))</f>
        <v>1911725.4931349421</v>
      </c>
      <c r="M22" s="744"/>
      <c r="N22" s="734">
        <f>'Resumen Pto #1'!N18</f>
        <v>20558829.075838715</v>
      </c>
      <c r="O22" s="734">
        <f>'Resumen Pto #2'!N17</f>
        <v>152721967.59466109</v>
      </c>
      <c r="P22" s="734">
        <f t="shared" si="8"/>
        <v>173280796.6704998</v>
      </c>
      <c r="Q22" s="745"/>
      <c r="R22" s="736">
        <f t="shared" si="10"/>
        <v>171369071.17736486</v>
      </c>
      <c r="S22" s="737">
        <f t="shared" si="9"/>
        <v>0.98896747054568224</v>
      </c>
      <c r="T22" s="736">
        <f t="shared" si="11"/>
        <v>0</v>
      </c>
      <c r="W22" s="717"/>
    </row>
    <row r="23" spans="2:23" x14ac:dyDescent="0.35">
      <c r="B23" s="730" t="s">
        <v>471</v>
      </c>
      <c r="C23" s="731" t="s">
        <v>493</v>
      </c>
      <c r="D23" s="732">
        <f>'Resumen Pto #2'!D18</f>
        <v>0</v>
      </c>
      <c r="E23" s="732">
        <f>'Resumen Pto #2'!E18</f>
        <v>0</v>
      </c>
      <c r="F23" s="732">
        <f>'Resumen Pto #2'!F18</f>
        <v>0</v>
      </c>
      <c r="G23" s="732">
        <f>'Resumen Pto #2'!G18</f>
        <v>0</v>
      </c>
      <c r="H23" s="732">
        <f>'Resumen Pto #2'!H18</f>
        <v>0</v>
      </c>
      <c r="I23" s="732">
        <f>'Resumen Pto #2'!I18</f>
        <v>0</v>
      </c>
      <c r="J23" s="732">
        <f>'Resumen Pto #2'!K18</f>
        <v>0</v>
      </c>
      <c r="K23" s="743"/>
      <c r="L23" s="733" cm="1">
        <f t="array" ref="L23">SUMPRODUCT($D23:$K23,TRANSPOSE('Indice CAC'!$E$12:$E$19))</f>
        <v>0</v>
      </c>
      <c r="M23" s="744"/>
      <c r="N23" s="981">
        <f>IFERROR(VLOOKUP($B23,'Resumen Pto #1'!$B$13:$N$23,13,0),0)</f>
        <v>0</v>
      </c>
      <c r="O23" s="734">
        <f>VLOOKUP($B23,'Resumen Pto #2'!$B$13:$N$30,12,0)</f>
        <v>0</v>
      </c>
      <c r="P23" s="734">
        <f t="shared" si="8"/>
        <v>0</v>
      </c>
      <c r="Q23" s="745"/>
      <c r="R23" s="736">
        <f t="shared" si="10"/>
        <v>0</v>
      </c>
      <c r="S23" s="737">
        <f t="shared" si="9"/>
        <v>0</v>
      </c>
      <c r="T23" s="736">
        <f t="shared" si="11"/>
        <v>0</v>
      </c>
    </row>
    <row r="24" spans="2:23" x14ac:dyDescent="0.35">
      <c r="B24" s="730" t="s">
        <v>471</v>
      </c>
      <c r="C24" s="731" t="s">
        <v>494</v>
      </c>
      <c r="D24" s="732">
        <f>'Resumen Pto #2'!D19</f>
        <v>0</v>
      </c>
      <c r="E24" s="732">
        <f>'Resumen Pto #2'!E19</f>
        <v>0</v>
      </c>
      <c r="F24" s="732">
        <f>'Resumen Pto #2'!F19</f>
        <v>0</v>
      </c>
      <c r="G24" s="732">
        <f>'Resumen Pto #2'!G19</f>
        <v>0</v>
      </c>
      <c r="H24" s="732">
        <f>'Resumen Pto #2'!H19</f>
        <v>0</v>
      </c>
      <c r="I24" s="732">
        <f>'Resumen Pto #2'!I19</f>
        <v>0</v>
      </c>
      <c r="J24" s="732">
        <f>'Resumen Pto #2'!K19</f>
        <v>0</v>
      </c>
      <c r="K24" s="743"/>
      <c r="L24" s="733" cm="1">
        <f t="array" ref="L24">SUMPRODUCT($D24:$K24,TRANSPOSE('Indice CAC'!$E$12:$E$19))</f>
        <v>0</v>
      </c>
      <c r="M24" s="744"/>
      <c r="N24" s="981">
        <f>IFERROR(VLOOKUP($B24,'Resumen Pto #1'!$B$13:$N$23,13,0),0)</f>
        <v>0</v>
      </c>
      <c r="O24" s="734">
        <f>'Resumen Pto #2'!N19</f>
        <v>55470003.394792557</v>
      </c>
      <c r="P24" s="734">
        <f t="shared" si="8"/>
        <v>55470003.394792557</v>
      </c>
      <c r="Q24" s="745"/>
      <c r="R24" s="736">
        <f t="shared" si="10"/>
        <v>55470003.394792557</v>
      </c>
      <c r="S24" s="737">
        <f t="shared" si="9"/>
        <v>1</v>
      </c>
      <c r="T24" s="736">
        <f t="shared" si="11"/>
        <v>0</v>
      </c>
    </row>
    <row r="25" spans="2:23" x14ac:dyDescent="0.35">
      <c r="B25" s="730" t="s">
        <v>473</v>
      </c>
      <c r="C25" s="747" t="s">
        <v>493</v>
      </c>
      <c r="D25" s="732">
        <f>'Resumen Pto #2'!D20</f>
        <v>0</v>
      </c>
      <c r="E25" s="732">
        <f>'Resumen Pto #2'!E20</f>
        <v>0</v>
      </c>
      <c r="F25" s="732">
        <f>'Resumen Pto #2'!F20</f>
        <v>0</v>
      </c>
      <c r="G25" s="732">
        <f>'Resumen Pto #2'!G20</f>
        <v>0</v>
      </c>
      <c r="H25" s="732">
        <f>'Resumen Pto #2'!H20</f>
        <v>0</v>
      </c>
      <c r="I25" s="732">
        <f>'Resumen Pto #2'!I20</f>
        <v>0</v>
      </c>
      <c r="J25" s="732">
        <f>'Resumen Pto #2'!K20</f>
        <v>0</v>
      </c>
      <c r="K25" s="743"/>
      <c r="L25" s="733" cm="1">
        <f t="array" ref="L25">SUMPRODUCT($D25:$K25,TRANSPOSE('Indice CAC'!$E$12:$E$19))</f>
        <v>0</v>
      </c>
      <c r="M25" s="744"/>
      <c r="N25" s="981">
        <f>IFERROR(VLOOKUP($B25,'Resumen Pto #1'!$B$13:$N$23,13,0),0)</f>
        <v>0</v>
      </c>
      <c r="O25" s="734">
        <f>VLOOKUP($B25,'Resumen Pto #2'!$B$13:$N$30,12,0)</f>
        <v>0</v>
      </c>
      <c r="P25" s="734">
        <f t="shared" si="8"/>
        <v>0</v>
      </c>
      <c r="Q25" s="745"/>
      <c r="R25" s="736">
        <f t="shared" si="10"/>
        <v>0</v>
      </c>
      <c r="S25" s="737">
        <f t="shared" si="9"/>
        <v>0</v>
      </c>
      <c r="T25" s="736">
        <f t="shared" si="11"/>
        <v>0</v>
      </c>
    </row>
    <row r="26" spans="2:23" x14ac:dyDescent="0.35">
      <c r="B26" s="730" t="s">
        <v>473</v>
      </c>
      <c r="C26" s="747" t="s">
        <v>494</v>
      </c>
      <c r="D26" s="732">
        <f>'Resumen Pto #2'!D21</f>
        <v>0</v>
      </c>
      <c r="E26" s="732">
        <f>'Resumen Pto #2'!E21</f>
        <v>0</v>
      </c>
      <c r="F26" s="732">
        <f>'Resumen Pto #2'!F21</f>
        <v>0</v>
      </c>
      <c r="G26" s="732">
        <f>'Resumen Pto #2'!G21</f>
        <v>0</v>
      </c>
      <c r="H26" s="732">
        <f>'Resumen Pto #2'!H21</f>
        <v>0</v>
      </c>
      <c r="I26" s="732">
        <f>'Resumen Pto #2'!I21</f>
        <v>0</v>
      </c>
      <c r="J26" s="732">
        <f>'Resumen Pto #2'!K21</f>
        <v>0</v>
      </c>
      <c r="K26" s="743"/>
      <c r="L26" s="733" cm="1">
        <f t="array" ref="L26">SUMPRODUCT($D26:$K26,TRANSPOSE('Indice CAC'!$E$12:$E$19))</f>
        <v>0</v>
      </c>
      <c r="M26" s="744"/>
      <c r="N26" s="981">
        <f>IFERROR(VLOOKUP($B26,'Resumen Pto #1'!$B$13:$N$23,13,0),0)</f>
        <v>0</v>
      </c>
      <c r="O26" s="734">
        <f>'Resumen Pto #2'!N21</f>
        <v>60159231.557593606</v>
      </c>
      <c r="P26" s="734">
        <f t="shared" si="8"/>
        <v>60159231.557593606</v>
      </c>
      <c r="Q26" s="745"/>
      <c r="R26" s="736">
        <f t="shared" si="10"/>
        <v>60159231.557593606</v>
      </c>
      <c r="S26" s="737">
        <f t="shared" si="9"/>
        <v>1</v>
      </c>
      <c r="T26" s="736">
        <f t="shared" si="11"/>
        <v>0</v>
      </c>
    </row>
    <row r="27" spans="2:23" x14ac:dyDescent="0.35">
      <c r="B27" s="730" t="s">
        <v>472</v>
      </c>
      <c r="C27" s="747" t="s">
        <v>493</v>
      </c>
      <c r="D27" s="732">
        <f>'Resumen Pto #2'!D22</f>
        <v>0</v>
      </c>
      <c r="E27" s="732">
        <f>'Resumen Pto #2'!E22</f>
        <v>0</v>
      </c>
      <c r="F27" s="732">
        <f>'Resumen Pto #2'!F22</f>
        <v>0</v>
      </c>
      <c r="G27" s="732">
        <f>'Resumen Pto #2'!G22</f>
        <v>0</v>
      </c>
      <c r="H27" s="732">
        <f>'Resumen Pto #2'!H22</f>
        <v>0</v>
      </c>
      <c r="I27" s="732">
        <f>'Resumen Pto #2'!I22</f>
        <v>0</v>
      </c>
      <c r="J27" s="732">
        <f>'Resumen Pto #2'!K22</f>
        <v>0</v>
      </c>
      <c r="K27" s="743"/>
      <c r="L27" s="733" cm="1">
        <f t="array" ref="L27">SUMPRODUCT($D27:$K27,TRANSPOSE('Indice CAC'!$E$12:$E$19))</f>
        <v>0</v>
      </c>
      <c r="M27" s="744"/>
      <c r="N27" s="981">
        <f>IFERROR(VLOOKUP($B27,'Resumen Pto #1'!$B$13:$N$23,13,0),0)</f>
        <v>0</v>
      </c>
      <c r="O27" s="734">
        <f>VLOOKUP($B27,'Resumen Pto #2'!$B$13:$N$30,12,0)</f>
        <v>0</v>
      </c>
      <c r="P27" s="734">
        <f t="shared" si="8"/>
        <v>0</v>
      </c>
      <c r="Q27" s="745"/>
      <c r="R27" s="736">
        <f t="shared" si="10"/>
        <v>0</v>
      </c>
      <c r="S27" s="737">
        <f t="shared" si="9"/>
        <v>0</v>
      </c>
      <c r="T27" s="736">
        <f t="shared" si="11"/>
        <v>0</v>
      </c>
    </row>
    <row r="28" spans="2:23" x14ac:dyDescent="0.35">
      <c r="B28" s="730" t="s">
        <v>472</v>
      </c>
      <c r="C28" s="747" t="s">
        <v>494</v>
      </c>
      <c r="D28" s="732">
        <f>'Resumen Pto #2'!D23</f>
        <v>0</v>
      </c>
      <c r="E28" s="732">
        <f>'Resumen Pto #2'!E23</f>
        <v>0</v>
      </c>
      <c r="F28" s="732">
        <f>'Resumen Pto #2'!F23</f>
        <v>0</v>
      </c>
      <c r="G28" s="732">
        <f>'Resumen Pto #2'!G23</f>
        <v>0</v>
      </c>
      <c r="H28" s="732">
        <f>'Resumen Pto #2'!H23</f>
        <v>0</v>
      </c>
      <c r="I28" s="732">
        <f>'Resumen Pto #2'!I23</f>
        <v>0</v>
      </c>
      <c r="J28" s="732">
        <f>'Resumen Pto #2'!K23</f>
        <v>0</v>
      </c>
      <c r="K28" s="743"/>
      <c r="L28" s="733" cm="1">
        <f t="array" ref="L28">SUMPRODUCT($D28:$K28,TRANSPOSE('Indice CAC'!$E$12:$E$19))</f>
        <v>0</v>
      </c>
      <c r="M28" s="744"/>
      <c r="N28" s="981">
        <f>IFERROR(VLOOKUP($B28,'Resumen Pto #1'!$B$13:$N$23,13,0),0)</f>
        <v>0</v>
      </c>
      <c r="O28" s="734">
        <f>'Resumen Pto #2'!N23</f>
        <v>35274698.859561667</v>
      </c>
      <c r="P28" s="734">
        <f t="shared" si="8"/>
        <v>35274698.859561667</v>
      </c>
      <c r="Q28" s="745"/>
      <c r="R28" s="736">
        <f t="shared" si="10"/>
        <v>35274698.859561667</v>
      </c>
      <c r="S28" s="737">
        <f t="shared" si="9"/>
        <v>1</v>
      </c>
      <c r="T28" s="736">
        <f t="shared" si="11"/>
        <v>0</v>
      </c>
    </row>
    <row r="29" spans="2:23" x14ac:dyDescent="0.35">
      <c r="B29" s="730" t="s">
        <v>474</v>
      </c>
      <c r="C29" s="747" t="s">
        <v>493</v>
      </c>
      <c r="D29" s="732">
        <f>'Resumen Pto #2'!D24</f>
        <v>0</v>
      </c>
      <c r="E29" s="732">
        <f>'Resumen Pto #2'!E24</f>
        <v>0</v>
      </c>
      <c r="F29" s="732">
        <f>'Resumen Pto #2'!F24</f>
        <v>0</v>
      </c>
      <c r="G29" s="732">
        <f>'Resumen Pto #2'!G24</f>
        <v>0</v>
      </c>
      <c r="H29" s="732">
        <f>'Resumen Pto #2'!H24</f>
        <v>0</v>
      </c>
      <c r="I29" s="732">
        <f>'Resumen Pto #2'!I24</f>
        <v>0</v>
      </c>
      <c r="J29" s="732">
        <f>'Resumen Pto #2'!K24</f>
        <v>0</v>
      </c>
      <c r="K29" s="743"/>
      <c r="L29" s="733" cm="1">
        <f t="array" ref="L29">SUMPRODUCT($D29:$K29,TRANSPOSE('Indice CAC'!$E$12:$E$19))</f>
        <v>0</v>
      </c>
      <c r="M29" s="744"/>
      <c r="N29" s="981">
        <f>IFERROR(VLOOKUP($B29,'Resumen Pto #1'!$B$13:$N$23,13,0),0)</f>
        <v>0</v>
      </c>
      <c r="O29" s="734">
        <f>VLOOKUP($B29,'Resumen Pto #2'!$B$13:$N$30,12,0)</f>
        <v>0</v>
      </c>
      <c r="P29" s="734">
        <f t="shared" si="8"/>
        <v>0</v>
      </c>
      <c r="Q29" s="745"/>
      <c r="R29" s="736">
        <f t="shared" si="10"/>
        <v>0</v>
      </c>
      <c r="S29" s="737">
        <f t="shared" si="9"/>
        <v>0</v>
      </c>
      <c r="T29" s="736">
        <f t="shared" si="11"/>
        <v>0</v>
      </c>
    </row>
    <row r="30" spans="2:23" x14ac:dyDescent="0.35">
      <c r="B30" s="730" t="s">
        <v>474</v>
      </c>
      <c r="C30" s="747" t="s">
        <v>494</v>
      </c>
      <c r="D30" s="732">
        <f>'Resumen Pto #2'!D25</f>
        <v>0</v>
      </c>
      <c r="E30" s="732">
        <f>'Resumen Pto #2'!E25</f>
        <v>0</v>
      </c>
      <c r="F30" s="732">
        <f>'Resumen Pto #2'!F25</f>
        <v>0</v>
      </c>
      <c r="G30" s="732">
        <f>'Resumen Pto #2'!G25</f>
        <v>0</v>
      </c>
      <c r="H30" s="732">
        <f>'Resumen Pto #2'!H25</f>
        <v>0</v>
      </c>
      <c r="I30" s="732">
        <f>'Resumen Pto #2'!I25</f>
        <v>0</v>
      </c>
      <c r="J30" s="732">
        <f>'Resumen Pto #2'!K25</f>
        <v>0</v>
      </c>
      <c r="K30" s="743"/>
      <c r="L30" s="733" cm="1">
        <f t="array" ref="L30">SUMPRODUCT($D30:$K30,TRANSPOSE('Indice CAC'!$E$12:$E$19))</f>
        <v>0</v>
      </c>
      <c r="M30" s="744"/>
      <c r="N30" s="981">
        <f>IFERROR(VLOOKUP($B30,'Resumen Pto #1'!$B$13:$N$23,13,0),0)</f>
        <v>0</v>
      </c>
      <c r="O30" s="734">
        <f>'Resumen Pto #2'!N25</f>
        <v>64414414.643505052</v>
      </c>
      <c r="P30" s="734">
        <f t="shared" si="8"/>
        <v>64414414.643505052</v>
      </c>
      <c r="Q30" s="745"/>
      <c r="R30" s="736">
        <f t="shared" si="10"/>
        <v>64414414.643505052</v>
      </c>
      <c r="S30" s="737">
        <f t="shared" si="9"/>
        <v>1</v>
      </c>
      <c r="T30" s="736">
        <f t="shared" si="11"/>
        <v>0</v>
      </c>
    </row>
    <row r="31" spans="2:23" x14ac:dyDescent="0.35">
      <c r="B31" s="730" t="s">
        <v>475</v>
      </c>
      <c r="C31" s="747" t="s">
        <v>493</v>
      </c>
      <c r="D31" s="732">
        <f>'Resumen Pto #2'!D26</f>
        <v>0</v>
      </c>
      <c r="E31" s="732">
        <f>'Resumen Pto #2'!E26</f>
        <v>0</v>
      </c>
      <c r="F31" s="732">
        <f>'Resumen Pto #2'!F26</f>
        <v>0</v>
      </c>
      <c r="G31" s="732">
        <f>'Resumen Pto #2'!G26</f>
        <v>0</v>
      </c>
      <c r="H31" s="732">
        <f>'Resumen Pto #2'!H26</f>
        <v>0</v>
      </c>
      <c r="I31" s="732">
        <f>'Resumen Pto #2'!I26</f>
        <v>0</v>
      </c>
      <c r="J31" s="732">
        <f>'Resumen Pto #2'!K26</f>
        <v>0</v>
      </c>
      <c r="K31" s="743"/>
      <c r="L31" s="733" cm="1">
        <f t="array" ref="L31">SUMPRODUCT($D31:$K31,TRANSPOSE('Indice CAC'!$E$12:$E$19))</f>
        <v>0</v>
      </c>
      <c r="M31" s="744"/>
      <c r="N31" s="981">
        <f>IFERROR(VLOOKUP($B31,'Resumen Pto #1'!$B$13:$N$23,13,0),0)</f>
        <v>0</v>
      </c>
      <c r="O31" s="734">
        <f>VLOOKUP($B31,'Resumen Pto #2'!$B$13:$N$30,12,0)</f>
        <v>0</v>
      </c>
      <c r="P31" s="734">
        <f t="shared" si="8"/>
        <v>0</v>
      </c>
      <c r="Q31" s="745"/>
      <c r="R31" s="736">
        <f t="shared" si="10"/>
        <v>0</v>
      </c>
      <c r="S31" s="737">
        <f t="shared" si="9"/>
        <v>0</v>
      </c>
      <c r="T31" s="736">
        <f t="shared" si="11"/>
        <v>0</v>
      </c>
    </row>
    <row r="32" spans="2:23" x14ac:dyDescent="0.35">
      <c r="B32" s="730" t="s">
        <v>475</v>
      </c>
      <c r="C32" s="747" t="s">
        <v>494</v>
      </c>
      <c r="D32" s="732">
        <f>'Resumen Pto #2'!D27</f>
        <v>0</v>
      </c>
      <c r="E32" s="732">
        <f>'Resumen Pto #2'!E27</f>
        <v>0</v>
      </c>
      <c r="F32" s="732">
        <f>'Resumen Pto #2'!F27</f>
        <v>0</v>
      </c>
      <c r="G32" s="732">
        <f>'Resumen Pto #2'!G27</f>
        <v>0</v>
      </c>
      <c r="H32" s="732">
        <f>'Resumen Pto #2'!H27</f>
        <v>0</v>
      </c>
      <c r="I32" s="732">
        <f>'Resumen Pto #2'!I27</f>
        <v>0</v>
      </c>
      <c r="J32" s="732">
        <f>'Resumen Pto #2'!K27</f>
        <v>0</v>
      </c>
      <c r="K32" s="743"/>
      <c r="L32" s="733" cm="1">
        <f t="array" ref="L32">SUMPRODUCT($D32:$K32,TRANSPOSE('Indice CAC'!$E$12:$E$19))</f>
        <v>0</v>
      </c>
      <c r="M32" s="744"/>
      <c r="N32" s="981">
        <f>IFERROR(VLOOKUP($B32,'Resumen Pto #1'!$B$13:$N$23,13,0),0)</f>
        <v>0</v>
      </c>
      <c r="O32" s="734">
        <f>'Resumen Pto #2'!N27</f>
        <v>52462846.849176057</v>
      </c>
      <c r="P32" s="734">
        <f t="shared" si="8"/>
        <v>52462846.849176057</v>
      </c>
      <c r="Q32" s="745"/>
      <c r="R32" s="736">
        <f t="shared" si="10"/>
        <v>52462846.849176057</v>
      </c>
      <c r="S32" s="737">
        <f t="shared" si="9"/>
        <v>1</v>
      </c>
      <c r="T32" s="736">
        <f t="shared" si="11"/>
        <v>0</v>
      </c>
    </row>
    <row r="33" spans="2:20" x14ac:dyDescent="0.35">
      <c r="B33" s="730" t="s">
        <v>476</v>
      </c>
      <c r="C33" s="747"/>
      <c r="D33" s="732">
        <f>'Resumen Pto #2'!D28</f>
        <v>0</v>
      </c>
      <c r="E33" s="732">
        <f>'Resumen Pto #2'!E28</f>
        <v>0</v>
      </c>
      <c r="F33" s="732">
        <f>'Resumen Pto #2'!F28</f>
        <v>0</v>
      </c>
      <c r="G33" s="732">
        <f>'Resumen Pto #2'!G28</f>
        <v>0</v>
      </c>
      <c r="H33" s="732">
        <f>'Resumen Pto #2'!H28</f>
        <v>0</v>
      </c>
      <c r="I33" s="732">
        <f>'Resumen Pto #2'!I28</f>
        <v>0</v>
      </c>
      <c r="J33" s="732">
        <f>'Resumen Pto #2'!K28</f>
        <v>0</v>
      </c>
      <c r="K33" s="743"/>
      <c r="L33" s="733" cm="1">
        <f t="array" ref="L33">SUMPRODUCT($D33:$K33,TRANSPOSE('Indice CAC'!$E$12:$E$19))</f>
        <v>0</v>
      </c>
      <c r="M33" s="744"/>
      <c r="N33" s="981">
        <f>IFERROR(VLOOKUP($B33,'Resumen Pto #1'!$B$13:$N$23,13,0),0)</f>
        <v>0</v>
      </c>
      <c r="O33" s="734">
        <f>'Resumen Pto #2'!N28</f>
        <v>19100000</v>
      </c>
      <c r="P33" s="734">
        <f t="shared" si="8"/>
        <v>19100000</v>
      </c>
      <c r="Q33" s="745"/>
      <c r="R33" s="736">
        <f t="shared" si="10"/>
        <v>19100000</v>
      </c>
      <c r="S33" s="737">
        <f t="shared" si="9"/>
        <v>1</v>
      </c>
      <c r="T33" s="736">
        <f t="shared" si="11"/>
        <v>0</v>
      </c>
    </row>
    <row r="34" spans="2:20" x14ac:dyDescent="0.35">
      <c r="B34" s="730" t="s">
        <v>495</v>
      </c>
      <c r="C34" s="747"/>
      <c r="D34" s="732">
        <f>'Resumen Pto #1'!D22+'Resumen Pto #2'!D29</f>
        <v>0</v>
      </c>
      <c r="E34" s="732">
        <f>'Resumen Pto #1'!E22+'Resumen Pto #2'!E29</f>
        <v>0</v>
      </c>
      <c r="F34" s="732">
        <f>'Resumen Pto #1'!F22+'Resumen Pto #2'!F29</f>
        <v>0</v>
      </c>
      <c r="G34" s="732">
        <f>'Resumen Pto #1'!G22+'Resumen Pto #2'!G29</f>
        <v>0</v>
      </c>
      <c r="H34" s="732">
        <f>'Resumen Pto #1'!H22+'Resumen Pto #2'!H29</f>
        <v>0</v>
      </c>
      <c r="I34" s="732">
        <f>'Resumen Pto #1'!I22+'Resumen Pto #2'!I29</f>
        <v>0</v>
      </c>
      <c r="J34" s="732">
        <f>'Resumen Pto #1'!J22+'Resumen Pto #2'!K29</f>
        <v>702737.42243214278</v>
      </c>
      <c r="K34" s="743"/>
      <c r="L34" s="733" cm="1">
        <f t="array" ref="L34">SUMPRODUCT($D34:$K34,TRANSPOSE('Indice CAC'!$E$12:$E$19))</f>
        <v>567140.80519119545</v>
      </c>
      <c r="M34" s="744"/>
      <c r="N34" s="734">
        <f>VLOOKUP($B34,'Resumen Pto #1'!$B$13:$N$23,13,0)</f>
        <v>15976115.928180875</v>
      </c>
      <c r="O34" s="734">
        <f>VLOOKUP($B34,'Resumen Pto #2'!$B$13:$N$30,12,0)</f>
        <v>0</v>
      </c>
      <c r="P34" s="734">
        <f t="shared" si="8"/>
        <v>15976115.928180875</v>
      </c>
      <c r="Q34" s="735"/>
      <c r="R34" s="736">
        <f t="shared" si="10"/>
        <v>15408975.122989681</v>
      </c>
      <c r="S34" s="737">
        <f t="shared" si="9"/>
        <v>0.96450070794799425</v>
      </c>
      <c r="T34" s="736">
        <f t="shared" si="11"/>
        <v>0</v>
      </c>
    </row>
    <row r="35" spans="2:20" x14ac:dyDescent="0.35">
      <c r="B35" s="730" t="s">
        <v>464</v>
      </c>
      <c r="C35" s="747"/>
      <c r="D35" s="732">
        <f>'Resumen Pto #1'!D23+'Resumen Pto #2'!D30</f>
        <v>0</v>
      </c>
      <c r="E35" s="732">
        <f>'Resumen Pto #1'!E23+'Resumen Pto #2'!E30</f>
        <v>0</v>
      </c>
      <c r="F35" s="732">
        <f>'Resumen Pto #1'!F23+'Resumen Pto #2'!F30</f>
        <v>0</v>
      </c>
      <c r="G35" s="732">
        <f>'Resumen Pto #1'!G23+'Resumen Pto #2'!G30</f>
        <v>247000</v>
      </c>
      <c r="H35" s="732">
        <f>'Resumen Pto #1'!H23+'Resumen Pto #2'!H30</f>
        <v>227000</v>
      </c>
      <c r="I35" s="732">
        <f>'Resumen Pto #1'!I23+'Resumen Pto #2'!I30</f>
        <v>1101000</v>
      </c>
      <c r="J35" s="732">
        <f>'Resumen Pto #1'!J23+'Resumen Pto #2'!K30</f>
        <v>1520000</v>
      </c>
      <c r="K35" s="743"/>
      <c r="L35" s="733" cm="1">
        <f t="array" ref="L35">SUMPRODUCT($D35:$K35,TRANSPOSE('Indice CAC'!$E$12:$E$19))</f>
        <v>2529400.2122087674</v>
      </c>
      <c r="M35" s="744"/>
      <c r="N35" s="734">
        <f>VLOOKUP($B35,'Resumen Pto #1'!$B$13:$N$23,13,0)</f>
        <v>3712404.9886026764</v>
      </c>
      <c r="O35" s="734">
        <f>VLOOKUP($B35,'Resumen Pto #2'!$B$13:$N$30,12,0)</f>
        <v>0</v>
      </c>
      <c r="P35" s="734">
        <f t="shared" si="8"/>
        <v>3712404.9886026764</v>
      </c>
      <c r="Q35" s="745"/>
      <c r="R35" s="736">
        <f t="shared" si="10"/>
        <v>1183004.776393909</v>
      </c>
      <c r="S35" s="737">
        <f t="shared" si="9"/>
        <v>0.31866264053243387</v>
      </c>
      <c r="T35" s="736">
        <f t="shared" si="11"/>
        <v>0</v>
      </c>
    </row>
    <row r="36" spans="2:20" x14ac:dyDescent="0.35">
      <c r="B36" s="748" t="s">
        <v>496</v>
      </c>
      <c r="C36" s="749"/>
      <c r="D36" s="750">
        <f t="shared" ref="D36:I36" si="12">SUM(D13:D35)</f>
        <v>0</v>
      </c>
      <c r="E36" s="750">
        <f t="shared" si="12"/>
        <v>0</v>
      </c>
      <c r="F36" s="750">
        <f t="shared" si="12"/>
        <v>939182.1</v>
      </c>
      <c r="G36" s="750">
        <f t="shared" si="12"/>
        <v>2352432.04</v>
      </c>
      <c r="H36" s="750">
        <f t="shared" si="12"/>
        <v>48377386.901426688</v>
      </c>
      <c r="I36" s="750">
        <f t="shared" si="12"/>
        <v>34098469.282158121</v>
      </c>
      <c r="J36" s="750">
        <f t="shared" ref="J36" si="13">SUM(J13:J35)</f>
        <v>50226602.195477515</v>
      </c>
      <c r="K36" s="751"/>
      <c r="L36" s="750">
        <f>SUM(L13:L35)</f>
        <v>111739552.13988037</v>
      </c>
      <c r="M36" s="744"/>
      <c r="N36" s="750">
        <f>SUM(N13:N35)</f>
        <v>435593842.88466847</v>
      </c>
      <c r="O36" s="750">
        <f>SUM(O13:O35)</f>
        <v>439603162.89929003</v>
      </c>
      <c r="P36" s="750">
        <f>SUM(P13:P35)</f>
        <v>875197005.78395855</v>
      </c>
      <c r="Q36" s="752"/>
      <c r="R36" s="750">
        <f t="shared" ref="R36" si="14">IF(Q36=100%,0,IF(OR(L36&lt;&gt;0,P36),P36-L36))</f>
        <v>763457453.64407814</v>
      </c>
      <c r="S36" s="737">
        <f t="shared" ref="S36" si="15">IF(OR(R36&lt;0,P36),R36/P36,0%)</f>
        <v>0.87232640034024156</v>
      </c>
      <c r="T36" s="750">
        <f>SUM(T13:T35)</f>
        <v>0</v>
      </c>
    </row>
    <row r="37" spans="2:20" x14ac:dyDescent="0.35">
      <c r="B37" s="753"/>
      <c r="C37" s="753"/>
      <c r="D37" s="754"/>
      <c r="E37" s="754"/>
      <c r="F37" s="754"/>
      <c r="G37" s="754"/>
      <c r="H37" s="754"/>
      <c r="I37" s="754"/>
      <c r="J37" s="754"/>
      <c r="K37" s="754"/>
      <c r="L37" s="755"/>
      <c r="M37" s="717"/>
      <c r="N37" s="755"/>
      <c r="O37" s="755"/>
      <c r="P37" s="755"/>
      <c r="Q37" s="755"/>
      <c r="R37" s="755"/>
      <c r="S37" s="755"/>
      <c r="T37" s="717"/>
    </row>
    <row r="38" spans="2:20" x14ac:dyDescent="0.35">
      <c r="B38" s="729" t="s">
        <v>497</v>
      </c>
      <c r="C38" s="753"/>
      <c r="D38" s="754"/>
      <c r="E38" s="754"/>
      <c r="F38" s="754"/>
      <c r="G38" s="754"/>
      <c r="H38" s="754"/>
      <c r="I38" s="754"/>
      <c r="J38" s="754"/>
      <c r="K38" s="754"/>
      <c r="L38" s="755"/>
      <c r="M38" s="717"/>
      <c r="N38" s="755"/>
      <c r="O38" s="755"/>
      <c r="P38" s="755"/>
      <c r="Q38" s="755"/>
      <c r="R38" s="755"/>
      <c r="S38" s="755"/>
      <c r="T38" s="717"/>
    </row>
    <row r="39" spans="2:20" x14ac:dyDescent="0.35">
      <c r="B39" s="730" t="s">
        <v>498</v>
      </c>
      <c r="C39" s="731"/>
      <c r="D39" s="732">
        <f>SUM(VLOOKUP($B39,'C. Gestión Pto #1'!$B$33:$H$33,MATCH(D$5,'C. Gestión Pto #1'!B19:H19,0),0),VLOOKUP($B39,'C. Gestión Pto #2'!$B$40:$H$40,MATCH(D$5,'C. Gestión Pto #2'!$B$26:$H$26,0),0))</f>
        <v>0</v>
      </c>
      <c r="E39" s="732">
        <f>SUM(VLOOKUP($B39,'C. Gestión Pto #1'!$B$33:$H$33,MATCH(E$5,'C. Gestión Pto #1'!C19:I19,0),0),VLOOKUP($B39,'C. Gestión Pto #2'!$B$40:$H$40,MATCH(E$5,'C. Gestión Pto #2'!$B$26:$H$26,0),0))</f>
        <v>0</v>
      </c>
      <c r="F39" s="732">
        <f>SUM(VLOOKUP($B39,'C. Gestión Pto #1'!$B$33:$H$33,MATCH(F$5,'C. Gestión Pto #1'!D19:J19,0),0),VLOOKUP($B39,'C. Gestión Pto #2'!$B$40:$H$40,MATCH(F$5,'C. Gestión Pto #2'!$B$26:$H$26,0),0))</f>
        <v>0</v>
      </c>
      <c r="G39" s="732">
        <f>SUM(VLOOKUP($B39,'C. Gestión Pto #1'!$B$33:$H$33,MATCH(G$5,'C. Gestión Pto #1'!E19:K19,0),0),VLOOKUP($B39,'C. Gestión Pto #2'!$B$40:$H$40,MATCH(G$5,'C. Gestión Pto #2'!$B$26:$H$26,0),0))</f>
        <v>0</v>
      </c>
      <c r="H39" s="732">
        <f>SUM(VLOOKUP($B39,'C. Gestión Pto #1'!$B$33:$L$33,MATCH(H$5,'C. Gestión Pto #1'!$B$19:L19,0),0),VLOOKUP($B39,'C. Gestión Pto #2'!$B$40:$H$40,MATCH(H$5,'C. Gestión Pto #2'!$B$26:$H$26,0),0))</f>
        <v>1521288.0774484754</v>
      </c>
      <c r="I39" s="732">
        <f>SUM(VLOOKUP($B39,'C. Gestión Pto #1'!$B$33:$L$33,MATCH(I$5,'C. Gestión Pto #1'!$B$19:M19,0),0),VLOOKUP($B39,'C. Gestión Pto #2'!$B$40:$H$40,MATCH(I$5,'C. Gestión Pto #2'!$B$26:$H$26,0),0))</f>
        <v>1597595.9738381784</v>
      </c>
      <c r="J39" s="732">
        <f>SUM(VLOOKUP($B39,'C. Gestión Pto #1'!$B$33:$L$33,MATCH(J$5,'C. Gestión Pto #1'!$B$19:L19,0),0),VLOOKUP($B39,'C. Gestión Pto #2'!$B$40:$I$40,MATCH(J$5,'C. Gestión Pto #2'!$B$26:$I$26,0),0))</f>
        <v>1736014.6512353714</v>
      </c>
      <c r="K39" s="743"/>
      <c r="L39" s="733" cm="1">
        <f t="array" ref="L39">SUMPRODUCT($D39:$K39,TRANSPOSE('Indice CAC'!$E$12:$E$19))</f>
        <v>3982890.6320799231</v>
      </c>
      <c r="N39" s="734"/>
      <c r="O39" s="734"/>
      <c r="P39" s="734">
        <f>SUM(GGBB!H6:H36)</f>
        <v>132849401.06690624</v>
      </c>
      <c r="Q39" s="735"/>
      <c r="R39" s="736">
        <f t="shared" ref="R39:R41" si="16">IF(Q39=100%,0,IF(OR(L39&lt;&gt;0,P39),P39-L39))</f>
        <v>128866510.43482631</v>
      </c>
      <c r="S39" s="737">
        <f t="shared" ref="S39:S41" si="17">IF(OR(R39&lt;0,P39),R39/P39,0%)</f>
        <v>0.97001950629740474</v>
      </c>
      <c r="T39" s="736">
        <f t="shared" ref="T39:T40" si="18">IF(Q39=100%,IF(OR(L39&lt;&gt;0,P39),P39-L39),0)</f>
        <v>0</v>
      </c>
    </row>
    <row r="40" spans="2:20" x14ac:dyDescent="0.35">
      <c r="B40" s="730" t="s">
        <v>499</v>
      </c>
      <c r="C40" s="731"/>
      <c r="D40" s="732">
        <f>SUM(VLOOKUP($B40,'C. Gestión Pto #1'!$B$39:$H$39,MATCH(D$5,'C. Gestión Pto #1'!B35:H35,0),0),VLOOKUP($B40,'C. Gestión Pto #2'!$B$46:$H$46,MATCH(D$5,'C. Gestión Pto #2'!$B$42:$H$42,0),0))</f>
        <v>0</v>
      </c>
      <c r="E40" s="732">
        <f>SUM(VLOOKUP($B40,'C. Gestión Pto #1'!$B$39:$H$39,MATCH(E$5,'C. Gestión Pto #1'!C35:I35,0),0),VLOOKUP($B40,'C. Gestión Pto #2'!$B$46:$H$46,MATCH(E$5,'C. Gestión Pto #2'!$B$42:$H$42,0),0))</f>
        <v>0</v>
      </c>
      <c r="F40" s="732">
        <f>SUM(VLOOKUP($B40,'C. Gestión Pto #1'!$B$39:$H$39,MATCH(F$5,'C. Gestión Pto #1'!D35:J35,0),0),VLOOKUP($B40,'C. Gestión Pto #2'!$B$46:$H$46,MATCH(F$5,'C. Gestión Pto #2'!$B$42:$H$42,0),0))</f>
        <v>0</v>
      </c>
      <c r="G40" s="732">
        <f>SUM(VLOOKUP($B40,'C. Gestión Pto #1'!$B$39:$H$39,MATCH(G$5,'C. Gestión Pto #1'!E35:K35,0),0),VLOOKUP($B40,'C. Gestión Pto #2'!$B$46:$H$46,MATCH(G$5,'C. Gestión Pto #2'!$B$42:$H$42,0),0))</f>
        <v>0</v>
      </c>
      <c r="H40" s="732">
        <f>SUM(VLOOKUP($B40,'C. Gestión Pto #1'!$B$39:$L$39,MATCH(H$5,'C. Gestión Pto #1'!$B$35:L35,0),0),VLOOKUP($B40,'C. Gestión Pto #2'!$B$46:$L$46,MATCH(H$5,'C. Gestión Pto #2'!$B$42:$L$42,0),0))</f>
        <v>1734248.1936634737</v>
      </c>
      <c r="I40" s="732">
        <f>SUM(VLOOKUP($B40,'C. Gestión Pto #1'!$B$39:$L$39,MATCH(I$5,'C. Gestión Pto #1'!$B$35:M35,0),0),VLOOKUP($B40,'C. Gestión Pto #2'!$B$46:$L$46,MATCH(I$5,'C. Gestión Pto #2'!$B$42:$L$42,0),0))</f>
        <v>1886946.3997616952</v>
      </c>
      <c r="J40" s="732">
        <f>SUM(VLOOKUP($B40,'C. Gestión Pto #1'!$B$39:$L$39,MATCH(J$5,'C. Gestión Pto #1'!$B$35:N35,0),0),VLOOKUP($B40,'C. Gestión Pto #2'!$B$46:$L$46,MATCH(J$5,'C. Gestión Pto #2'!$B$42:$L$42,0),0))</f>
        <v>1833735.9101816267</v>
      </c>
      <c r="K40" s="743"/>
      <c r="L40" s="733" cm="1">
        <f t="array" ref="L40">SUMPRODUCT($D40:$K40,TRANSPOSE('Indice CAC'!$E$12:$E$19))</f>
        <v>4477085.7527578911</v>
      </c>
      <c r="N40" s="734"/>
      <c r="O40" s="734"/>
      <c r="P40" s="734">
        <f>SUM(GGBB!H37:H42)</f>
        <v>94164834.742689103</v>
      </c>
      <c r="Q40" s="735"/>
      <c r="R40" s="736">
        <f t="shared" si="16"/>
        <v>89687748.989931211</v>
      </c>
      <c r="S40" s="737">
        <f t="shared" si="17"/>
        <v>0.95245480157224516</v>
      </c>
      <c r="T40" s="736">
        <f t="shared" si="18"/>
        <v>0</v>
      </c>
    </row>
    <row r="41" spans="2:20" x14ac:dyDescent="0.35">
      <c r="B41" s="748" t="s">
        <v>500</v>
      </c>
      <c r="C41" s="749"/>
      <c r="D41" s="750">
        <f t="shared" ref="D41:I41" si="19">SUM(D39:D40)</f>
        <v>0</v>
      </c>
      <c r="E41" s="750">
        <f t="shared" si="19"/>
        <v>0</v>
      </c>
      <c r="F41" s="750">
        <f>SUM(F39:F40)</f>
        <v>0</v>
      </c>
      <c r="G41" s="750">
        <f t="shared" si="19"/>
        <v>0</v>
      </c>
      <c r="H41" s="750">
        <f t="shared" si="19"/>
        <v>3255536.2711119493</v>
      </c>
      <c r="I41" s="750">
        <f t="shared" si="19"/>
        <v>3484542.3735998739</v>
      </c>
      <c r="J41" s="750">
        <f t="shared" ref="J41" si="20">SUM(J39:J40)</f>
        <v>3569750.561416998</v>
      </c>
      <c r="K41" s="751"/>
      <c r="L41" s="750">
        <f>SUM(L39:L40)</f>
        <v>8459976.3848378137</v>
      </c>
      <c r="N41" s="750">
        <f>SUM(N39:N40)</f>
        <v>0</v>
      </c>
      <c r="O41" s="750">
        <f>SUM(O39:O40)</f>
        <v>0</v>
      </c>
      <c r="P41" s="750">
        <f>SUM(P39:P40)</f>
        <v>227014235.80959535</v>
      </c>
      <c r="R41" s="750">
        <f t="shared" si="16"/>
        <v>218554259.42475754</v>
      </c>
      <c r="S41" s="737">
        <f t="shared" si="17"/>
        <v>0.96273371863809687</v>
      </c>
      <c r="T41" s="750">
        <f>SUM(T39:T40)</f>
        <v>0</v>
      </c>
    </row>
    <row r="43" spans="2:20" x14ac:dyDescent="0.35">
      <c r="B43" s="748" t="s">
        <v>501</v>
      </c>
      <c r="C43" s="749"/>
      <c r="D43" s="741">
        <f t="shared" ref="D43:I43" si="21">D36+D41</f>
        <v>0</v>
      </c>
      <c r="E43" s="741">
        <f t="shared" si="21"/>
        <v>0</v>
      </c>
      <c r="F43" s="741">
        <f t="shared" si="21"/>
        <v>939182.1</v>
      </c>
      <c r="G43" s="741">
        <f t="shared" si="21"/>
        <v>2352432.04</v>
      </c>
      <c r="H43" s="741">
        <f t="shared" si="21"/>
        <v>51632923.172538638</v>
      </c>
      <c r="I43" s="741">
        <f t="shared" si="21"/>
        <v>37583011.655757993</v>
      </c>
      <c r="J43" s="741">
        <f t="shared" ref="J43" si="22">J36+J41</f>
        <v>53796352.756894514</v>
      </c>
      <c r="L43" s="741">
        <f>L36+L41</f>
        <v>120199528.5247182</v>
      </c>
      <c r="N43" s="741">
        <f>N36+N41</f>
        <v>435593842.88466847</v>
      </c>
      <c r="O43" s="741">
        <f>O36+O41</f>
        <v>439603162.89929003</v>
      </c>
      <c r="P43" s="741">
        <f>P36+P41</f>
        <v>1102211241.593554</v>
      </c>
    </row>
    <row r="45" spans="2:20" x14ac:dyDescent="0.35">
      <c r="B45" s="748" t="s">
        <v>502</v>
      </c>
      <c r="C45" s="749"/>
      <c r="D45" s="756">
        <f t="shared" ref="D45:I45" si="23">SUM(D8,D10,-D43)</f>
        <v>0</v>
      </c>
      <c r="E45" s="756">
        <f t="shared" si="23"/>
        <v>0</v>
      </c>
      <c r="F45" s="756">
        <f t="shared" si="23"/>
        <v>-939182.1</v>
      </c>
      <c r="G45" s="756">
        <f t="shared" si="23"/>
        <v>-2352432.04</v>
      </c>
      <c r="H45" s="756">
        <f t="shared" si="23"/>
        <v>89773643.492493778</v>
      </c>
      <c r="I45" s="756">
        <f t="shared" si="23"/>
        <v>23695376.806035995</v>
      </c>
      <c r="J45" s="756">
        <f t="shared" ref="J45" si="24">SUM(J8,J10,-J43)</f>
        <v>-53796352.756894514</v>
      </c>
      <c r="L45" s="757">
        <f>L8-L43</f>
        <v>51101827.939281791</v>
      </c>
      <c r="P45" s="757">
        <f>P8-P43</f>
        <v>-100806288.993554</v>
      </c>
    </row>
    <row r="46" spans="2:20" x14ac:dyDescent="0.35">
      <c r="B46" s="748" t="s">
        <v>503</v>
      </c>
      <c r="C46" s="749"/>
      <c r="D46" s="758">
        <f>D45</f>
        <v>0</v>
      </c>
      <c r="E46" s="758">
        <f t="shared" ref="E46:J46" si="25">D46+E45</f>
        <v>0</v>
      </c>
      <c r="F46" s="758">
        <f t="shared" si="25"/>
        <v>-939182.1</v>
      </c>
      <c r="G46" s="758">
        <f t="shared" si="25"/>
        <v>-3291614.14</v>
      </c>
      <c r="H46" s="758">
        <f t="shared" si="25"/>
        <v>86482029.352493778</v>
      </c>
      <c r="I46" s="758">
        <f t="shared" si="25"/>
        <v>110177406.15852977</v>
      </c>
      <c r="J46" s="758">
        <f t="shared" si="25"/>
        <v>56381053.401635259</v>
      </c>
      <c r="P46" s="984"/>
    </row>
    <row r="48" spans="2:20" x14ac:dyDescent="0.35">
      <c r="B48" s="748" t="s">
        <v>504</v>
      </c>
      <c r="C48" s="749"/>
      <c r="D48" s="756">
        <f>D45/VLOOKUP(EOMONTH(DATE(2025,COLUMN(K1),1),0),'TC USD MEP'!$B:$C,2,0)</f>
        <v>0</v>
      </c>
      <c r="E48" s="756">
        <f>E45/VLOOKUP(EOMONTH(DATE(2025,COLUMN(L1),1),0),'TC USD MEP'!$B:$C,2,0)</f>
        <v>0</v>
      </c>
      <c r="F48" s="756">
        <f>F45/VLOOKUP(EOMONTH(DATE(2026,COLUMN(A1),1),0),'TC USD MEP'!$B:$C,2,0)</f>
        <v>-643.13444998356522</v>
      </c>
      <c r="G48" s="756">
        <f>G45/VLOOKUP(EOMONTH(DATE(2026,COLUMN(B1),1),0),'TC USD MEP'!$B:$C,2,0)</f>
        <v>-1657.1791143609903</v>
      </c>
      <c r="H48" s="756">
        <f>H45/VLOOKUP(EOMONTH(DATE(2026,COLUMN(C1),1),0),'TC USD MEP'!$B:$C,2,0)</f>
        <v>63094.686326286712</v>
      </c>
      <c r="I48" s="756">
        <f>I45/VLOOKUP(EOMONTH(DATE(2026,COLUMN(D1),1),0),'TC USD MEP'!$B:$C,2,0)</f>
        <v>16427.401541867541</v>
      </c>
      <c r="J48" s="756">
        <f>J45/VLOOKUP(EOMONTH(DATE(2026,COLUMN(E1),1),0),'TC USD MEP'!$B:$C,2,0)</f>
        <v>-37503.905938912249</v>
      </c>
    </row>
    <row r="49" spans="2:10" x14ac:dyDescent="0.35">
      <c r="B49" s="748" t="s">
        <v>505</v>
      </c>
      <c r="C49" s="749"/>
      <c r="D49" s="758">
        <f>D48</f>
        <v>0</v>
      </c>
      <c r="E49" s="758">
        <f t="shared" ref="E49:J49" si="26">D49+E48</f>
        <v>0</v>
      </c>
      <c r="F49" s="758">
        <f t="shared" si="26"/>
        <v>-643.13444998356522</v>
      </c>
      <c r="G49" s="758">
        <f t="shared" si="26"/>
        <v>-2300.3135643445557</v>
      </c>
      <c r="H49" s="758">
        <f t="shared" si="26"/>
        <v>60794.372761942155</v>
      </c>
      <c r="I49" s="758">
        <f t="shared" si="26"/>
        <v>77221.774303809696</v>
      </c>
      <c r="J49" s="758">
        <f t="shared" si="26"/>
        <v>39717.868364897447</v>
      </c>
    </row>
    <row r="51" spans="2:10" x14ac:dyDescent="0.35">
      <c r="G51" s="984"/>
    </row>
    <row r="68" spans="16:19" x14ac:dyDescent="0.35">
      <c r="P68" s="759">
        <f>P43+P45-P10</f>
        <v>1001404952.6</v>
      </c>
      <c r="Q68" s="759"/>
      <c r="R68" s="759"/>
      <c r="S68" s="759"/>
    </row>
  </sheetData>
  <conditionalFormatting sqref="D45:J46 D48:J49">
    <cfRule type="cellIs" dxfId="88" priority="5" operator="greaterThan">
      <formula>0</formula>
    </cfRule>
    <cfRule type="cellIs" dxfId="87" priority="6" operator="lessThan">
      <formula>0</formula>
    </cfRule>
  </conditionalFormatting>
  <conditionalFormatting sqref="L45">
    <cfRule type="cellIs" dxfId="86" priority="17" operator="greaterThan">
      <formula>0</formula>
    </cfRule>
    <cfRule type="cellIs" dxfId="85" priority="18" operator="lessThan">
      <formula>0</formula>
    </cfRule>
  </conditionalFormatting>
  <conditionalFormatting sqref="P45">
    <cfRule type="cellIs" dxfId="84" priority="9" operator="greaterThan">
      <formula>0</formula>
    </cfRule>
    <cfRule type="cellIs" dxfId="83" priority="10" operator="lessThan">
      <formula>0</formula>
    </cfRule>
  </conditionalFormatting>
  <conditionalFormatting sqref="R13:R35">
    <cfRule type="cellIs" dxfId="82" priority="2" operator="lessThan">
      <formula>0</formula>
    </cfRule>
  </conditionalFormatting>
  <conditionalFormatting sqref="S7:S10">
    <cfRule type="cellIs" dxfId="81" priority="15" operator="lessThan">
      <formula>0</formula>
    </cfRule>
    <cfRule type="cellIs" dxfId="80" priority="16" operator="greaterThan">
      <formula>0</formula>
    </cfRule>
  </conditionalFormatting>
  <conditionalFormatting sqref="S13:S36">
    <cfRule type="cellIs" dxfId="79" priority="3" operator="lessThan">
      <formula>0</formula>
    </cfRule>
    <cfRule type="cellIs" dxfId="78" priority="4" operator="greaterThan">
      <formula>0</formula>
    </cfRule>
  </conditionalFormatting>
  <conditionalFormatting sqref="S39:S41">
    <cfRule type="cellIs" dxfId="77" priority="11" operator="lessThan">
      <formula>0</formula>
    </cfRule>
    <cfRule type="cellIs" dxfId="76" priority="12" operator="greaterThan">
      <formula>0</formula>
    </cfRule>
  </conditionalFormatting>
  <conditionalFormatting sqref="T13:T35">
    <cfRule type="cellIs" dxfId="75" priority="1" operator="lessThan">
      <formula>0</formula>
    </cfRule>
  </conditionalFormatting>
  <dataValidations count="1">
    <dataValidation operator="greaterThanOrEqual" allowBlank="1" showInputMessage="1" showErrorMessage="1" errorTitle="Aviso" error="Use valores positivos tanto para ingresos como para gastos." sqref="S8 N5:O5 S10 K13:K38 D36:J38 L43 N43:P43 L45 L36 P45 N39:T41 N7:T7 N9:T9 D5:J5 D43:J43 D45:J46 D48:J49 D41:L41 N13:T36" xr:uid="{22FFF24B-F98F-4503-AEB2-3A3DA71BC582}"/>
  </dataValidations>
  <pageMargins left="0.7" right="0.7" top="0.75" bottom="0.75" header="0.3" footer="0.3"/>
  <pageSetup paperSize="9" orientation="portrait" r:id="rId1"/>
  <ignoredErrors>
    <ignoredError sqref="D7:H7 D9:H9 P7 P9 P13:P35 D13:I13 D15:I35 D14:G14" unlockedFormula="1"/>
    <ignoredError sqref="D8:I8" formula="1" unlockedFormula="1"/>
    <ignoredError sqref="L8 P8 R9 S8:T8 S1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C5D0-E34D-41CD-BB21-3E2C68653726}">
  <sheetPr>
    <tabColor rgb="FFC6EFCE"/>
  </sheetPr>
  <dimension ref="B1:W30"/>
  <sheetViews>
    <sheetView tabSelected="1" workbookViewId="0"/>
  </sheetViews>
  <sheetFormatPr defaultColWidth="11.453125" defaultRowHeight="14.5" x14ac:dyDescent="0.35"/>
  <cols>
    <col min="1" max="1" width="2.81640625" style="762" customWidth="1"/>
    <col min="2" max="2" width="25.453125" style="761" customWidth="1"/>
    <col min="3" max="3" width="5.7265625" style="761" bestFit="1" customWidth="1"/>
    <col min="4" max="4" width="11.54296875" style="761" customWidth="1"/>
    <col min="5" max="7" width="11" style="761" customWidth="1"/>
    <col min="8" max="8" width="11.7265625" style="761" customWidth="1"/>
    <col min="9" max="10" width="12" style="761" bestFit="1" customWidth="1"/>
    <col min="11" max="11" width="1" style="761" customWidth="1"/>
    <col min="12" max="12" width="12" style="761" customWidth="1"/>
    <col min="13" max="13" width="1.26953125" style="761" customWidth="1"/>
    <col min="14" max="14" width="14.1796875" style="761" bestFit="1" customWidth="1"/>
    <col min="15" max="15" width="5.7265625" style="761" bestFit="1" customWidth="1"/>
    <col min="16" max="16" width="14.1796875" style="761" bestFit="1" customWidth="1"/>
    <col min="17" max="17" width="8.1796875" style="761" customWidth="1"/>
    <col min="18" max="18" width="10.81640625" style="761" customWidth="1"/>
    <col min="19" max="19" width="9.7265625" style="762" bestFit="1" customWidth="1"/>
    <col min="20" max="20" width="7.26953125" style="762" bestFit="1" customWidth="1"/>
    <col min="21" max="21" width="13" style="762" bestFit="1" customWidth="1"/>
    <col min="22" max="16384" width="11.453125" style="762"/>
  </cols>
  <sheetData>
    <row r="1" spans="2:23" ht="21.5" thickBot="1" x14ac:dyDescent="0.4">
      <c r="B1" s="760"/>
      <c r="C1" s="760"/>
      <c r="S1" s="718" t="s">
        <v>477</v>
      </c>
      <c r="T1" s="719">
        <v>46156</v>
      </c>
    </row>
    <row r="2" spans="2:23" ht="7.15" customHeight="1" x14ac:dyDescent="0.35">
      <c r="B2" s="760"/>
      <c r="C2" s="760"/>
      <c r="Q2" s="720"/>
      <c r="R2" s="763"/>
    </row>
    <row r="3" spans="2:23" x14ac:dyDescent="0.35">
      <c r="B3" s="721" t="s">
        <v>506</v>
      </c>
      <c r="C3" s="764"/>
    </row>
    <row r="4" spans="2:23" ht="13.9" customHeight="1" x14ac:dyDescent="0.35">
      <c r="B4" s="764" t="s">
        <v>478</v>
      </c>
      <c r="C4" s="764"/>
      <c r="D4" s="765"/>
      <c r="E4" s="765"/>
      <c r="F4" s="765"/>
      <c r="G4" s="765"/>
      <c r="H4" s="765"/>
      <c r="I4" s="765"/>
      <c r="J4" s="765"/>
      <c r="K4" s="765"/>
      <c r="L4" s="765"/>
      <c r="M4" s="765"/>
      <c r="N4" s="765"/>
      <c r="O4" s="765"/>
      <c r="P4" s="765"/>
      <c r="Q4" s="765"/>
      <c r="R4" s="765"/>
      <c r="S4" s="766"/>
      <c r="T4" s="766"/>
      <c r="U4" s="766"/>
      <c r="V4" s="766"/>
      <c r="W4" s="767"/>
    </row>
    <row r="5" spans="2:23" ht="25.15" customHeight="1" x14ac:dyDescent="0.35">
      <c r="B5" s="768"/>
      <c r="C5" s="768"/>
      <c r="D5" s="769">
        <v>45962</v>
      </c>
      <c r="E5" s="769">
        <v>45992</v>
      </c>
      <c r="F5" s="769">
        <v>46023</v>
      </c>
      <c r="G5" s="769">
        <v>46054</v>
      </c>
      <c r="H5" s="769">
        <v>46082</v>
      </c>
      <c r="I5" s="769">
        <v>46113</v>
      </c>
      <c r="J5" s="769">
        <v>46143</v>
      </c>
      <c r="K5" s="765"/>
      <c r="L5" s="726" t="s">
        <v>479</v>
      </c>
      <c r="N5" s="770" t="s">
        <v>482</v>
      </c>
      <c r="O5" s="728" t="s">
        <v>483</v>
      </c>
      <c r="P5" s="726" t="s">
        <v>484</v>
      </c>
      <c r="Q5" s="728" t="s">
        <v>485</v>
      </c>
      <c r="R5" s="726" t="s">
        <v>486</v>
      </c>
      <c r="S5" s="766"/>
      <c r="T5" s="766"/>
      <c r="U5" s="766"/>
      <c r="V5" s="766"/>
      <c r="W5" s="767"/>
    </row>
    <row r="6" spans="2:23" ht="17.5" customHeight="1" x14ac:dyDescent="0.35">
      <c r="B6" s="729" t="s">
        <v>487</v>
      </c>
      <c r="C6" s="768"/>
      <c r="D6" s="765"/>
      <c r="E6" s="765"/>
      <c r="F6" s="765"/>
      <c r="G6" s="765"/>
      <c r="H6" s="765"/>
      <c r="I6" s="765"/>
      <c r="J6" s="765"/>
      <c r="K6" s="765"/>
      <c r="L6" s="765"/>
      <c r="M6" s="765"/>
      <c r="N6" s="765"/>
      <c r="O6" s="765"/>
      <c r="P6" s="765"/>
      <c r="Q6" s="765"/>
      <c r="R6" s="765"/>
      <c r="S6" s="766"/>
      <c r="T6" s="766"/>
      <c r="U6" s="766"/>
      <c r="V6" s="766"/>
      <c r="W6" s="767"/>
    </row>
    <row r="7" spans="2:23" ht="17.5" customHeight="1" x14ac:dyDescent="0.35">
      <c r="B7" s="730" t="s">
        <v>507</v>
      </c>
      <c r="C7" s="731"/>
      <c r="D7" s="733">
        <f>SUMIFS(Certificados!$E$12:$E$21,Certificados!$A$12:$A$21,"&gt;="&amp;DATE(2025,11,1),Certificados!$A$12:$A$21,"&lt;="&amp;DATE(2025,11,30),Certificados!$C$12:$C$21,"Pto 1")</f>
        <v>0</v>
      </c>
      <c r="E7" s="733">
        <f>SUMIFS(Certificados!$E$12:$E$21,Certificados!$A$12:$A$21,"&gt;="&amp;DATE(2025,12,1),Certificados!$A$12:$A$21,"&lt;="&amp;DATE(2025,12,31),Certificados!$C$12:$C$21,"Pto 1")</f>
        <v>0</v>
      </c>
      <c r="F7" s="733">
        <f>SUMIFS(Certificados!$E$12:$E$21,Certificados!$A$12:$A$21,"&gt;="&amp;DATE(2026,1,1),Certificados!$A$12:$A$21,"&lt;="&amp;DATE(2026,1,31),Certificados!$C$12:$C$21,"Pto 1")</f>
        <v>0</v>
      </c>
      <c r="G7" s="733">
        <f>SUMIFS(Certificados!$E$12:$E$21,Certificados!$A$12:$A$21,"&gt;="&amp;DATE(2026,2,1),Certificados!$A$12:$A$21,"&lt;="&amp;DATE(2026,2,29),Certificados!$C$12:$C$21,"Pto 1")</f>
        <v>0</v>
      </c>
      <c r="H7" s="733">
        <f>SUMIFS(Certificados!$E$12:$E$21,Certificados!$A$12:$A$21,"&gt;="&amp;DATE(2026,3,1),Certificados!$A$12:$A$21,"&lt;="&amp;DATE(2026,3,31),Certificados!$B$12:$B$21,"Pto 1")</f>
        <v>120095631</v>
      </c>
      <c r="I7" s="733">
        <f>SUMIFS(Certificados!$E$12:$E$21,Certificados!$A$12:$A$21,"&gt;="&amp;DATE(2026,4,1),Certificados!$A$12:$A$21,"&lt;="&amp;DATE(2026,4,30),Certificados!$B$12:$B$21,"Pto 1")</f>
        <v>51205725.464000002</v>
      </c>
      <c r="J7" s="733">
        <f>SUMIFS(Certificados!$E$12:$E$21,Certificados!$A$12:$A$21,"&gt;="&amp;DATE(2026,5,1),Certificados!$A$12:$A$21,"&lt;="&amp;DATE(2026,5,31),Certificados!$B$12:$B$21,"Pto 1")</f>
        <v>0</v>
      </c>
      <c r="K7" s="765"/>
      <c r="L7" s="733">
        <f>SUM(D7:I7)</f>
        <v>171301356.46399999</v>
      </c>
      <c r="M7" s="765"/>
      <c r="N7" s="733">
        <f>SUM(Facturacion!E4:E4)</f>
        <v>390310800.75</v>
      </c>
      <c r="O7" s="745"/>
      <c r="P7" s="736">
        <f>IF(O7=100%,0,IF(OR(L7&lt;&gt;0,N7),N7-L7))</f>
        <v>219009444.28600001</v>
      </c>
      <c r="Q7" s="737">
        <f>IF(OR(P7&lt;0,N7),P7/N7,0%)</f>
        <v>0.5611155106780632</v>
      </c>
      <c r="R7" s="736">
        <f>IF(O7=100%,IF(OR(L7&lt;&gt;0,N7),N7-L7),0)</f>
        <v>0</v>
      </c>
      <c r="S7" s="766"/>
      <c r="T7" s="766"/>
      <c r="U7" s="766"/>
      <c r="V7" s="766"/>
      <c r="W7" s="767"/>
    </row>
    <row r="8" spans="2:23" ht="17.5" customHeight="1" x14ac:dyDescent="0.35">
      <c r="B8" s="771" t="s">
        <v>489</v>
      </c>
      <c r="C8" s="771"/>
      <c r="D8" s="740">
        <f t="shared" ref="D8:I8" si="0">SUM(D7)</f>
        <v>0</v>
      </c>
      <c r="E8" s="740">
        <f t="shared" si="0"/>
        <v>0</v>
      </c>
      <c r="F8" s="740">
        <f t="shared" si="0"/>
        <v>0</v>
      </c>
      <c r="G8" s="740">
        <f t="shared" si="0"/>
        <v>0</v>
      </c>
      <c r="H8" s="740">
        <f t="shared" si="0"/>
        <v>120095631</v>
      </c>
      <c r="I8" s="740">
        <f t="shared" si="0"/>
        <v>51205725.464000002</v>
      </c>
      <c r="J8" s="740">
        <f t="shared" ref="J8" si="1">SUM(J7)</f>
        <v>0</v>
      </c>
      <c r="K8" s="765"/>
      <c r="L8" s="740">
        <f>SUM(L7)</f>
        <v>171301356.46399999</v>
      </c>
      <c r="M8" s="765"/>
      <c r="N8" s="740">
        <f>SUM(N7)</f>
        <v>390310800.75</v>
      </c>
      <c r="O8" s="772"/>
      <c r="P8" s="740">
        <f>SUM(P7)</f>
        <v>219009444.28600001</v>
      </c>
      <c r="Q8" s="737">
        <f t="shared" ref="Q8:Q10" si="2">IF(OR(P8&lt;0,N8),P8/N8,0%)</f>
        <v>0.5611155106780632</v>
      </c>
      <c r="R8" s="740">
        <f>SUM(R7)</f>
        <v>0</v>
      </c>
      <c r="S8" s="766"/>
      <c r="T8" s="766"/>
      <c r="U8" s="766"/>
      <c r="V8" s="766"/>
      <c r="W8" s="767"/>
    </row>
    <row r="9" spans="2:23" x14ac:dyDescent="0.35">
      <c r="B9" s="730" t="s">
        <v>490</v>
      </c>
      <c r="C9" s="731"/>
      <c r="D9" s="733">
        <f>SUMIFS(Certificados!$F$12:$F$21,Certificados!$A$12:$A$21,"&gt;="&amp;DATE(2025,11,1),Certificados!$A$12:$A$21,"&lt;="&amp;DATE(2025,11,30),Certificados!$C$12:$C$21,"Pto. 1")</f>
        <v>0</v>
      </c>
      <c r="E9" s="733">
        <f>SUMIFS(Certificados!$F$12:$F$21,Certificados!$A$12:$A$21,"&gt;="&amp;DATE(2025,12,1),Certificados!$A$12:$A$21,"&lt;="&amp;DATE(2025,12,31),Certificados!$C$12:$C$21,"Pto. 1")</f>
        <v>0</v>
      </c>
      <c r="F9" s="733">
        <f>SUMIFS(Certificados!$F$12:$F$21,Certificados!$A$12:$A$21,"&gt;="&amp;DATE(2026,1,1),Certificados!$A$12:$A$21,"&lt;="&amp;DATE(2026,1,31),Certificados!$C$12:$C$21,"Pto. 1")</f>
        <v>0</v>
      </c>
      <c r="G9" s="733">
        <f>SUMIFS(Certificados!$F$12:$F$21,Certificados!$A$12:$A$21,"&gt;="&amp;DATE(2026,2,1),Certificados!$A$12:$A$21,"&lt;="&amp;DATE(2026,2,29),Certificados!$C$12:$C$21,"Pto. 1")</f>
        <v>0</v>
      </c>
      <c r="H9" s="733">
        <f>SUMIFS(Certificados!$F$12:$F$21,Certificados!$A$12:$A$21,"&gt;="&amp;DATE(2026,3,1),Certificados!$A$12:$A$21,"&lt;="&amp;DATE(2026,3,31),Certificados!$B$12:$B$21,"Pto 1")</f>
        <v>21310935.665032424</v>
      </c>
      <c r="I9" s="733">
        <f>SUMIFS(Certificados!$F$12:$F$21,Certificados!$A$12:$A$21,"&gt;="&amp;DATE(2026,4,1),Certificados!$A$12:$A$21,"&lt;="&amp;DATE(2026,4,30),Certificados!$B$12:$B$21,"Pto 1")</f>
        <v>10072662.997793984</v>
      </c>
      <c r="J9" s="733">
        <f>SUMIFS(Certificados!$F$12:$F$21,Certificados!$A$12:$A$21,"&gt;="&amp;DATE(2026,5,1),Certificados!$A$12:$A$21,"&lt;="&amp;DATE(2026,5,31),Certificados!$C$12:$C$21,"Pto 1")</f>
        <v>0</v>
      </c>
      <c r="K9" s="765"/>
      <c r="L9" s="733">
        <f>SUM(D9:I9)</f>
        <v>31383598.662826408</v>
      </c>
      <c r="M9" s="765"/>
      <c r="N9" s="733">
        <v>0</v>
      </c>
      <c r="O9" s="733">
        <v>0</v>
      </c>
      <c r="P9" s="736">
        <f>IF(O9=100%,0,IF(N9=0,N9,N9-L9))</f>
        <v>0</v>
      </c>
      <c r="Q9" s="737">
        <f t="shared" si="2"/>
        <v>0</v>
      </c>
      <c r="R9" s="736">
        <f>IF(O9=100%,IF(OR(L9&lt;&gt;0,N9),N9-L9),0)</f>
        <v>0</v>
      </c>
      <c r="S9" s="766"/>
      <c r="T9" s="766"/>
      <c r="U9" s="766"/>
      <c r="V9" s="766"/>
      <c r="W9" s="767"/>
    </row>
    <row r="10" spans="2:23" ht="17.5" customHeight="1" x14ac:dyDescent="0.35">
      <c r="B10" s="771" t="s">
        <v>508</v>
      </c>
      <c r="C10" s="771"/>
      <c r="D10" s="740">
        <f t="shared" ref="D10:I10" si="3">SUM(D9)</f>
        <v>0</v>
      </c>
      <c r="E10" s="740">
        <f t="shared" si="3"/>
        <v>0</v>
      </c>
      <c r="F10" s="740">
        <f t="shared" si="3"/>
        <v>0</v>
      </c>
      <c r="G10" s="740">
        <f t="shared" si="3"/>
        <v>0</v>
      </c>
      <c r="H10" s="740">
        <f t="shared" si="3"/>
        <v>21310935.665032424</v>
      </c>
      <c r="I10" s="740">
        <f t="shared" si="3"/>
        <v>10072662.997793984</v>
      </c>
      <c r="J10" s="740">
        <f t="shared" ref="J10" si="4">SUM(J9)</f>
        <v>0</v>
      </c>
      <c r="K10" s="765"/>
      <c r="L10" s="740">
        <f>SUM(L9)</f>
        <v>31383598.662826408</v>
      </c>
      <c r="M10" s="765"/>
      <c r="N10" s="740">
        <f>SUM(N9)</f>
        <v>0</v>
      </c>
      <c r="O10" s="772"/>
      <c r="P10" s="740">
        <f>SUM(P9)</f>
        <v>0</v>
      </c>
      <c r="Q10" s="737">
        <f t="shared" si="2"/>
        <v>0</v>
      </c>
      <c r="R10" s="740">
        <f>SUM(R9)</f>
        <v>0</v>
      </c>
      <c r="S10" s="766"/>
      <c r="T10" s="766"/>
      <c r="U10" s="766"/>
      <c r="V10" s="766"/>
      <c r="W10" s="767"/>
    </row>
    <row r="11" spans="2:23" ht="17.5" customHeight="1" x14ac:dyDescent="0.35">
      <c r="B11" s="768"/>
      <c r="C11" s="768"/>
      <c r="D11" s="765"/>
      <c r="E11" s="765"/>
      <c r="F11" s="765"/>
      <c r="G11" s="765"/>
      <c r="H11" s="765"/>
      <c r="I11" s="765"/>
      <c r="J11" s="765"/>
      <c r="K11" s="765"/>
      <c r="L11" s="765"/>
      <c r="M11" s="765"/>
      <c r="N11" s="765"/>
      <c r="O11" s="765"/>
      <c r="P11" s="765"/>
      <c r="Q11" s="765"/>
      <c r="R11" s="765"/>
      <c r="S11" s="766"/>
      <c r="T11" s="766"/>
      <c r="U11" s="766"/>
      <c r="V11" s="766"/>
      <c r="W11" s="767"/>
    </row>
    <row r="12" spans="2:23" x14ac:dyDescent="0.35">
      <c r="B12" s="729" t="s">
        <v>491</v>
      </c>
      <c r="S12" s="762" t="s">
        <v>492</v>
      </c>
    </row>
    <row r="13" spans="2:23" x14ac:dyDescent="0.35">
      <c r="B13" s="730" t="s">
        <v>462</v>
      </c>
      <c r="C13" s="731"/>
      <c r="D13" s="814">
        <f>IFERROR(VLOOKUP($B13&amp;$C13,'C. Gestión Pto #1'!$B$4:H$16,MATCH(D$5,'C. Gestión Pto #1'!$B$4:H$4,0),FALSE),0)</f>
        <v>0</v>
      </c>
      <c r="E13" s="814">
        <f>IFERROR(VLOOKUP($B13&amp;$C13,'C. Gestión Pto #1'!$B$4:I$16,MATCH(E$5,'C. Gestión Pto #1'!$B$4:I$4,0),"FALSO"),0)</f>
        <v>0</v>
      </c>
      <c r="F13" s="814">
        <f>IFERROR(VLOOKUP($B13&amp;$C13,'C. Gestión Pto #1'!$B$4:J$16,MATCH(F$5,'C. Gestión Pto #1'!$B$4:J$4,0),"FALSO"),0)</f>
        <v>939182.1</v>
      </c>
      <c r="G13" s="814">
        <f>IFERROR(VLOOKUP($B13&amp;$C13,'C. Gestión Pto #1'!$B$4:K$16,MATCH(G$5,'C. Gestión Pto #1'!$B$4:K$4,0),"FALSO"),0)</f>
        <v>1539988.94</v>
      </c>
      <c r="H13" s="814">
        <f>IFERROR(VLOOKUP($B13&amp;$C13,'C. Gestión Pto #1'!$B$4:L$16,MATCH(H$5,'C. Gestión Pto #1'!$B$4:L$4,0),"FALSO"),0)</f>
        <v>3125044.33</v>
      </c>
      <c r="I13" s="814">
        <f>IFERROR(VLOOKUP($B13&amp;$C13,'C. Gestión Pto #1'!$B$4:M$16,MATCH(I$5,'C. Gestión Pto #1'!$B$4:M$4,0),"FALSO"),0)</f>
        <v>734909.88</v>
      </c>
      <c r="J13" s="814">
        <f>IFERROR(VLOOKUP($B13&amp;$C13,'C. Gestión Pto #1'!$B$4:N$16,MATCH(J$5,'C. Gestión Pto #1'!$B$4:N$4,0),"FALSO"),0)</f>
        <v>0</v>
      </c>
      <c r="K13" s="773"/>
      <c r="L13" s="733" cm="1">
        <f t="array" ref="L13">SUMPRODUCT($D13:$K13,TRANSPOSE('Indice CAC'!$E$12:$E$19))</f>
        <v>5329921.2968259603</v>
      </c>
      <c r="M13" s="774"/>
      <c r="N13" s="733">
        <f>IF($C13="MAT",SUMIF('Preventivo Costo CH2171 '!$A$9:$A$57,$B13,'Preventivo Costo CH2171 '!$I$9:$I$57),IF($C13="MO",SUMIF('Preventivo Costo CH2171 '!$A$9:$A$57,$B13,'Preventivo Costo CH2171 '!$L$9:$L$57),SUMIF('Preventivo Costo CH2171 '!$A$9:$A$57,$B13,'Preventivo Costo CH2171 '!$N$9:$N$57)))</f>
        <v>14709292.541789122</v>
      </c>
      <c r="O13" s="745"/>
      <c r="P13" s="736">
        <f>IF(O13=100%,0,IF(OR(L13&lt;&gt;0,N13),N13-L13))</f>
        <v>9379371.2449631616</v>
      </c>
      <c r="Q13" s="737">
        <f t="shared" ref="Q13:Q25" si="5">IF(OR(P13&lt;0,N13),P13/N13,0%)</f>
        <v>0.63764937833117086</v>
      </c>
      <c r="R13" s="736">
        <f>IF(O13=100%,IF(OR(L13&lt;&gt;0,N13),N13-L13),0)</f>
        <v>0</v>
      </c>
    </row>
    <row r="14" spans="2:23" x14ac:dyDescent="0.35">
      <c r="B14" s="730" t="s">
        <v>463</v>
      </c>
      <c r="C14" s="731"/>
      <c r="D14" s="814">
        <f>IFERROR(VLOOKUP($B14&amp;$C14,'C. Gestión Pto #1'!$B$4:H$16,MATCH(D$5,'C. Gestión Pto #1'!$B$4:H$4,0),FALSE),0)</f>
        <v>0</v>
      </c>
      <c r="E14" s="814">
        <f>IFERROR(VLOOKUP($B14&amp;$C14,'C. Gestión Pto #1'!$B$4:I$16,MATCH(E$5,'C. Gestión Pto #1'!$B$4:I$4,0),"FALSO"),0)</f>
        <v>0</v>
      </c>
      <c r="F14" s="814">
        <f>IFERROR(VLOOKUP($B14&amp;$C14,'C. Gestión Pto #1'!$B$4:J$16,MATCH(F$5,'C. Gestión Pto #1'!$B$4:J$4,0),"FALSO"),0)</f>
        <v>0</v>
      </c>
      <c r="G14" s="814">
        <f>IFERROR(VLOOKUP($B14&amp;$C14,'C. Gestión Pto #1'!$B$4:K$16,MATCH(G$5,'C. Gestión Pto #1'!$B$4:K$4,0),"FALSO"),0)</f>
        <v>0</v>
      </c>
      <c r="H14" s="814">
        <f>IFERROR(VLOOKUP($B14&amp;$C14,'C. Gestión Pto #1'!$B$4:L$16,MATCH(H$5,'C. Gestión Pto #1'!$B$4:L$4,0),"FALSO"),0)</f>
        <v>730000</v>
      </c>
      <c r="I14" s="814">
        <f>IFERROR(VLOOKUP($B14&amp;$C14,'C. Gestión Pto #1'!$B$4:M$16,MATCH(I$5,'C. Gestión Pto #1'!$B$4:M$4,0),"FALSO"),0)</f>
        <v>0</v>
      </c>
      <c r="J14" s="814">
        <f>IFERROR(VLOOKUP($B14&amp;$C14,'C. Gestión Pto #1'!$B$4:N$16,MATCH(J$5,'C. Gestión Pto #1'!$B$4:N$4,0),"FALSO"),0)</f>
        <v>0</v>
      </c>
      <c r="K14" s="773"/>
      <c r="L14" s="733" cm="1">
        <f t="array" ref="L14">SUMPRODUCT($D14:$K14,TRANSPOSE('Indice CAC'!$E$12:$E$19))</f>
        <v>610005.91769847053</v>
      </c>
      <c r="M14" s="774"/>
      <c r="N14" s="733">
        <f>IF($C14="MAT",SUMIF('Preventivo Costo CH2171 '!$A$9:$A$57,$B14,'Preventivo Costo CH2171 '!$I$9:$I$57),IF($C14="MO",SUMIF('Preventivo Costo CH2171 '!$A$9:$A$57,$B14,'Preventivo Costo CH2171 '!$L$9:$L$57),SUMIF('Preventivo Costo CH2171 '!$A$9:$A$57,$B14,'Preventivo Costo CH2171 '!$N$9:$N$57)))</f>
        <v>1226538.2425374638</v>
      </c>
      <c r="O14" s="745"/>
      <c r="P14" s="736">
        <f>IF(O14=100%,0,IF(OR(L14&lt;&gt;0,N14),N14-L14))</f>
        <v>616532.32483899326</v>
      </c>
      <c r="Q14" s="737">
        <f t="shared" si="5"/>
        <v>0.5026604988390011</v>
      </c>
      <c r="R14" s="736">
        <f>IF(O14=100%,IF(OR(L14&lt;&gt;0,N14),N14-L14),0)</f>
        <v>0</v>
      </c>
    </row>
    <row r="15" spans="2:23" x14ac:dyDescent="0.35">
      <c r="B15" s="730" t="s">
        <v>467</v>
      </c>
      <c r="C15" s="731"/>
      <c r="D15" s="814">
        <f>IFERROR(VLOOKUP($B15&amp;$C15,'C. Gestión Pto #1'!$B$4:H$16,MATCH(D$5,'C. Gestión Pto #1'!$B$4:H$4,0),"FALSO"),0)</f>
        <v>0</v>
      </c>
      <c r="E15" s="814">
        <f>IFERROR(VLOOKUP($B15&amp;$C15,'C. Gestión Pto #1'!$B$4:I$16,MATCH(E$5,'C. Gestión Pto #1'!$B$4:I$4,0),"FALSO"),0)</f>
        <v>0</v>
      </c>
      <c r="F15" s="814">
        <f>IFERROR(VLOOKUP($B15&amp;$C15,'C. Gestión Pto #1'!$B$4:J$16,MATCH(F$5,'C. Gestión Pto #1'!$B$4:J$4,0),"FALSO"),0)</f>
        <v>0</v>
      </c>
      <c r="G15" s="814">
        <f>IFERROR(VLOOKUP($B15&amp;$C15,'C. Gestión Pto #1'!$B$4:K$16,MATCH(G$5,'C. Gestión Pto #1'!$B$4:K$4,0),"FALSO"),0)</f>
        <v>517195</v>
      </c>
      <c r="H15" s="814">
        <f>IFERROR(VLOOKUP($B15&amp;$C15,'C. Gestión Pto #1'!$B$4:L$16,MATCH(H$5,'C. Gestión Pto #1'!$B$4:L$4,0),"FALSO"),0)</f>
        <v>826285.90999999992</v>
      </c>
      <c r="I15" s="814">
        <f>IFERROR(VLOOKUP($B15&amp;$C15,'C. Gestión Pto #1'!$B$4:M$16,MATCH(I$5,'C. Gestión Pto #1'!$B$4:M$4,0),"FALSO"),0)</f>
        <v>517195</v>
      </c>
      <c r="J15" s="814">
        <f>IFERROR(VLOOKUP($B15&amp;$C15,'C. Gestión Pto #1'!$B$4:N$16,MATCH(J$5,'C. Gestión Pto #1'!$B$4:N$4,0),"FALSO"),0)</f>
        <v>1195790</v>
      </c>
      <c r="K15" s="773"/>
      <c r="L15" s="733" cm="1">
        <f t="array" ref="L15">SUMPRODUCT($D15:$K15,TRANSPOSE('Indice CAC'!$E$12:$E$19))</f>
        <v>2519063.6872003656</v>
      </c>
      <c r="M15" s="774"/>
      <c r="N15" s="733">
        <f>IF($C15="MAT",SUMIF('Preventivo Costo CH2171 '!$A$9:$A$57,$B15,'Preventivo Costo CH2171 '!$I$9:$I$57),IF($C15="MO",SUMIF('Preventivo Costo CH2171 '!$A$9:$A$57,$B15,'Preventivo Costo CH2171 '!$L$9:$L$57),SUMIF('Preventivo Costo CH2171 '!$A$9:$A$57,$B15,'Preventivo Costo CH2171 '!$N$9:$N$57)))</f>
        <v>4623254.4601415321</v>
      </c>
      <c r="O15" s="745"/>
      <c r="P15" s="736">
        <f t="shared" ref="P15:P17" si="6">IF(O15=100%,0,IF(OR(L15&lt;&gt;0,N15),N15-L15))</f>
        <v>2104190.7729411665</v>
      </c>
      <c r="Q15" s="737">
        <f t="shared" si="5"/>
        <v>0.45513194029920445</v>
      </c>
      <c r="R15" s="736">
        <f t="shared" ref="R15:R17" si="7">IF(O15=100%,IF(OR(L15&lt;&gt;0,N15),N15-L15),0)</f>
        <v>0</v>
      </c>
    </row>
    <row r="16" spans="2:23" x14ac:dyDescent="0.35">
      <c r="B16" s="730" t="s">
        <v>469</v>
      </c>
      <c r="C16" s="731"/>
      <c r="D16" s="814">
        <f>IFERROR(VLOOKUP($B16&amp;$C16,'C. Gestión Pto #1'!$B$4:H$16,MATCH(D$5,'C. Gestión Pto #1'!$B$4:H$4,0),"FALSO"),0)</f>
        <v>0</v>
      </c>
      <c r="E16" s="814">
        <f>IFERROR(VLOOKUP($B16&amp;$C16,'C. Gestión Pto #1'!$B$4:I$16,MATCH(E$5,'C. Gestión Pto #1'!$B$4:I$4,0),"FALSO"),0)</f>
        <v>0</v>
      </c>
      <c r="F16" s="814">
        <f>IFERROR(VLOOKUP($B16&amp;$C16,'C. Gestión Pto #1'!$B$4:J$16,MATCH(F$5,'C. Gestión Pto #1'!$B$4:J$4,0),"FALSO"),0)</f>
        <v>0</v>
      </c>
      <c r="G16" s="814">
        <f>IFERROR(VLOOKUP($B16&amp;$C16,'C. Gestión Pto #1'!$B$4:K$16,MATCH(G$5,'C. Gestión Pto #1'!$B$4:K$4,0),"FALSO"),0)</f>
        <v>0</v>
      </c>
      <c r="H16" s="814">
        <f>IFERROR(VLOOKUP($B16&amp;$C16,'C. Gestión Pto #1'!$B$4:L$16,MATCH(H$5,'C. Gestión Pto #1'!$B$4:L$4,0),"FALSO"),0)</f>
        <v>639742.64</v>
      </c>
      <c r="I16" s="814">
        <f>IFERROR(VLOOKUP($B16&amp;$C16,'C. Gestión Pto #1'!$B$4:M$16,MATCH(I$5,'C. Gestión Pto #1'!$B$4:M$4,0),"FALSO"),0)</f>
        <v>716525.59000000008</v>
      </c>
      <c r="J16" s="814">
        <f>IFERROR(VLOOKUP($B16&amp;$C16,'C. Gestión Pto #1'!$B$4:N$16,MATCH(J$5,'C. Gestión Pto #1'!$B$4:N$4,0),"FALSO"),0)</f>
        <v>38016.53</v>
      </c>
      <c r="K16" s="773"/>
      <c r="L16" s="733" cm="1">
        <f t="array" ref="L16">SUMPRODUCT($D16:$K16,TRANSPOSE('Indice CAC'!$E$12:$E$19))</f>
        <v>1153083.1594247392</v>
      </c>
      <c r="M16" s="774"/>
      <c r="N16" s="733">
        <f>IF($C16="MAT",SUMIF('Preventivo Costo CH2171 '!$A$9:$A$57,$B16,'Preventivo Costo CH2171 '!$I$9:$I$57),IF($C16="MO",SUMIF('Preventivo Costo CH2171 '!$A$9:$A$57,$B16,'Preventivo Costo CH2171 '!$L$9:$L$57),SUMIF('Preventivo Costo CH2171 '!$A$9:$A$57,$B16,'Preventivo Costo CH2171 '!$N$9:$N$57)))</f>
        <v>8000000</v>
      </c>
      <c r="O16" s="745"/>
      <c r="P16" s="736">
        <f t="shared" si="6"/>
        <v>6846916.840575261</v>
      </c>
      <c r="Q16" s="737">
        <f t="shared" si="5"/>
        <v>0.85586460507190765</v>
      </c>
      <c r="R16" s="736">
        <f t="shared" si="7"/>
        <v>0</v>
      </c>
    </row>
    <row r="17" spans="2:18" x14ac:dyDescent="0.35">
      <c r="B17" s="730" t="s">
        <v>468</v>
      </c>
      <c r="C17" s="731" t="s">
        <v>493</v>
      </c>
      <c r="D17" s="814">
        <f>IFERROR(VLOOKUP($B17&amp;$C17,'C. Gestión Pto #1'!$B$4:H$16,MATCH(D$5,'C. Gestión Pto #1'!$B$4:H$4,0),"FALSO"),0)</f>
        <v>0</v>
      </c>
      <c r="E17" s="814">
        <f>IFERROR(VLOOKUP($B17&amp;$C17,'C. Gestión Pto #1'!$B$4:I$16,MATCH(E$5,'C. Gestión Pto #1'!$B$4:I$4,0),"FALSO"),0)</f>
        <v>0</v>
      </c>
      <c r="F17" s="814">
        <f>IFERROR(VLOOKUP($B17&amp;$C17,'C. Gestión Pto #1'!$B$4:J$16,MATCH(F$5,'C. Gestión Pto #1'!$B$4:J$4,0),"FALSO"),0)</f>
        <v>0</v>
      </c>
      <c r="G17" s="814">
        <f>IFERROR(VLOOKUP($B17&amp;$C17,'C. Gestión Pto #1'!$B$4:K$16,MATCH(G$5,'C. Gestión Pto #1'!$B$4:K$4,0),"FALSO"),0)</f>
        <v>48248.1</v>
      </c>
      <c r="H17" s="814">
        <f>IFERROR(VLOOKUP($B17&amp;$C17,'C. Gestión Pto #1'!$B$4:L$16,MATCH(H$5,'C. Gestión Pto #1'!$B$4:L$4,0),"FALSO"),0)</f>
        <v>95942.03</v>
      </c>
      <c r="I17" s="814">
        <f>IFERROR(VLOOKUP($B17&amp;$C17,'C. Gestión Pto #1'!$B$4:M$16,MATCH(I$5,'C. Gestión Pto #1'!$B$4:M$4,0),"FALSO"),0)</f>
        <v>371787.39999999997</v>
      </c>
      <c r="J17" s="814">
        <f>IFERROR(VLOOKUP($B17&amp;$C17,'C. Gestión Pto #1'!$B$4:N$16,MATCH(J$5,'C. Gestión Pto #1'!$B$4:N$4,0),"FALSO"),0)</f>
        <v>171269.97</v>
      </c>
      <c r="K17" s="773"/>
      <c r="L17" s="733" cm="1">
        <f t="array" ref="L17">SUMPRODUCT($D17:$K17,TRANSPOSE('Indice CAC'!$E$12:$E$19))</f>
        <v>564374.82165740291</v>
      </c>
      <c r="M17" s="774"/>
      <c r="N17" s="733">
        <f>IF($C17="MAT",SUMIF('Preventivo Costo CH2171 '!$A$9:$A$57,$B17,'Preventivo Costo CH2171 '!$I$9:$I$57),IF($C17="MO",SUMIF('Preventivo Costo CH2171 '!$A$9:$A$57,$B17,'Preventivo Costo CH2171 '!$L$9:$L$57),SUMIF('Preventivo Costo CH2171 '!$A$9:$A$57,$B17,'Preventivo Costo CH2171 '!$N$9:$N$57)))</f>
        <v>1000000</v>
      </c>
      <c r="O17" s="745"/>
      <c r="P17" s="736">
        <f t="shared" si="6"/>
        <v>435625.17834259709</v>
      </c>
      <c r="Q17" s="737">
        <f t="shared" si="5"/>
        <v>0.43562517834259712</v>
      </c>
      <c r="R17" s="736">
        <f t="shared" si="7"/>
        <v>0</v>
      </c>
    </row>
    <row r="18" spans="2:18" x14ac:dyDescent="0.35">
      <c r="B18" s="730" t="s">
        <v>468</v>
      </c>
      <c r="C18" s="731" t="s">
        <v>494</v>
      </c>
      <c r="D18" s="814">
        <f>IFERROR(VLOOKUP($B18&amp;$C18,'C. Gestión Pto #1'!$B$4:H$16,MATCH(D$5,'C. Gestión Pto #1'!$B$4:H$4,0),"FALSO"),0)</f>
        <v>0</v>
      </c>
      <c r="E18" s="814">
        <f>IFERROR(VLOOKUP($B18&amp;$C18,'C. Gestión Pto #1'!$B$4:I$16,MATCH(E$5,'C. Gestión Pto #1'!$B$4:I$4,0),"FALSO"),0)</f>
        <v>0</v>
      </c>
      <c r="F18" s="814">
        <f>IFERROR(VLOOKUP($B18&amp;$C18,'C. Gestión Pto #1'!$B$4:J$16,MATCH(F$5,'C. Gestión Pto #1'!$B$4:J$4,0),"FALSO"),0)</f>
        <v>0</v>
      </c>
      <c r="G18" s="814">
        <f>IFERROR(VLOOKUP($B18&amp;$C18,'C. Gestión Pto #1'!$B$4:K$16,MATCH(G$5,'C. Gestión Pto #1'!$B$4:K$4,0),"FALSO"),0)</f>
        <v>0</v>
      </c>
      <c r="H18" s="814">
        <f>IFERROR(VLOOKUP($B18&amp;$C18,'C. Gestión Pto #1'!$B$4:L$16,MATCH(H$5,'C. Gestión Pto #1'!$B$4:L$4,0),"FALSO"),0)</f>
        <v>0</v>
      </c>
      <c r="I18" s="814">
        <f>IFERROR(VLOOKUP($B18&amp;$C18,'C. Gestión Pto #1'!$B$4:M$16,MATCH(I$5,'C. Gestión Pto #1'!$B$4:M$4,0),"FALSO"),0)</f>
        <v>2330315.6988138175</v>
      </c>
      <c r="J18" s="814">
        <f>IFERROR(VLOOKUP($B18&amp;$C18,'C. Gestión Pto #1'!$B$4:N$16,MATCH(J$5,'C. Gestión Pto #1'!$B$4:N$4,0),"FALSO"),0)</f>
        <v>0</v>
      </c>
      <c r="K18" s="773"/>
      <c r="L18" s="733" cm="1">
        <f t="array" ref="L18">SUMPRODUCT($D18:$K18,TRANSPOSE('Indice CAC'!$E$12:$E$19))</f>
        <v>1911725.4931349421</v>
      </c>
      <c r="M18" s="774"/>
      <c r="N18" s="733">
        <f>IF($C18="MAT",SUMIF('Preventivo Costo CH2171 '!$A$9:$A$57,$B18,'Preventivo Costo CH2171 '!$I$9:$I$57),IF($C18="MO",SUMIF('Preventivo Costo CH2171 '!$A$9:$A$57,$B18,'Preventivo Costo CH2171 '!$L$9:$L$57),SUMIF('Preventivo Costo CH2171 '!$A$9:$A$57,$B18,'Preventivo Costo CH2171 '!$N$9:$N$57)))</f>
        <v>20558829.075838715</v>
      </c>
      <c r="O18" s="745"/>
      <c r="P18" s="736">
        <f t="shared" ref="P18" si="8">IF(O18=100%,0,IF(OR(L18&lt;&gt;0,N18),N18-L18))</f>
        <v>18647103.582703773</v>
      </c>
      <c r="Q18" s="737">
        <f t="shared" ref="Q18" si="9">IF(OR(P18&lt;0,N18),P18/N18,0%)</f>
        <v>0.90701194673671115</v>
      </c>
      <c r="R18" s="736">
        <f t="shared" ref="R18" si="10">IF(O18=100%,IF(OR(L18&lt;&gt;0,N18),N18-L18),0)</f>
        <v>0</v>
      </c>
    </row>
    <row r="19" spans="2:18" x14ac:dyDescent="0.35">
      <c r="B19" s="730" t="s">
        <v>465</v>
      </c>
      <c r="C19" s="731"/>
      <c r="D19" s="814">
        <f>IFERROR(VLOOKUP($B19&amp;$C19,'C. Gestión Pto #1'!$B$4:H$16,MATCH(D$5,'C. Gestión Pto #1'!$B$4:H$4,0),"FALSO"),0)</f>
        <v>0</v>
      </c>
      <c r="E19" s="814">
        <f>IFERROR(VLOOKUP($B19&amp;$C19,'C. Gestión Pto #1'!$B$4:I$16,MATCH(E$5,'C. Gestión Pto #1'!$B$4:I$4,0),"FALSO"),0)</f>
        <v>0</v>
      </c>
      <c r="F19" s="814">
        <f>IFERROR(VLOOKUP($B19&amp;$C19,'C. Gestión Pto #1'!$B$4:J$16,MATCH(F$5,'C. Gestión Pto #1'!$B$4:J$4,0),"FALSO"),0)</f>
        <v>0</v>
      </c>
      <c r="G19" s="814">
        <f>IFERROR(VLOOKUP($B19&amp;$C19,'C. Gestión Pto #1'!$B$4:K$16,MATCH(G$5,'C. Gestión Pto #1'!$B$4:K$4,0),"FALSO"),0)</f>
        <v>0</v>
      </c>
      <c r="H19" s="814">
        <f>IFERROR(VLOOKUP($B19&amp;$C19,'C. Gestión Pto #1'!$B$4:L$16,MATCH(H$5,'C. Gestión Pto #1'!$B$4:L$4,0),"FALSO"),0)</f>
        <v>0</v>
      </c>
      <c r="I19" s="814">
        <f>IFERROR(VLOOKUP($B19&amp;$C19,'C. Gestión Pto #1'!$B$4:M$16,MATCH(I$5,'C. Gestión Pto #1'!$B$4:M$4,0),"FALSO"),0)</f>
        <v>1310000</v>
      </c>
      <c r="J19" s="814">
        <f>IFERROR(VLOOKUP($B19&amp;$C19,'C. Gestión Pto #1'!$B$4:N$16,MATCH(J$5,'C. Gestión Pto #1'!$B$4:N$4,0),"FALSO"),0)</f>
        <v>0</v>
      </c>
      <c r="K19" s="773"/>
      <c r="L19" s="733" cm="1">
        <f t="array" ref="L19">SUMPRODUCT($D19:$K19,TRANSPOSE('Indice CAC'!$E$12:$E$19))</f>
        <v>1074687.1753391824</v>
      </c>
      <c r="M19" s="774"/>
      <c r="N19" s="733">
        <f>IF($C19="MAT",SUMIF('Preventivo Costo CH2171 '!$A$9:$A$57,$B19,'Preventivo Costo CH2171 '!$I$9:$I$57),IF($C19="MO",SUMIF('Preventivo Costo CH2171 '!$A$9:$A$57,$B19,'Preventivo Costo CH2171 '!$L$9:$L$57),SUMIF('Preventivo Costo CH2171 '!$A$9:$A$57,$B19,'Preventivo Costo CH2171 '!$N$9:$N$57)))</f>
        <v>9462540.3105386868</v>
      </c>
      <c r="O19" s="745"/>
      <c r="P19" s="736">
        <f t="shared" ref="P19:P25" si="11">IF(O19=100%,0,IF(OR(L19&lt;&gt;0,N19),N19-L19))</f>
        <v>8387853.135199504</v>
      </c>
      <c r="Q19" s="737">
        <f t="shared" si="5"/>
        <v>0.88642720241389361</v>
      </c>
      <c r="R19" s="736">
        <f t="shared" ref="R19:R24" si="12">IF(O19=100%,IF(OR(L19&lt;&gt;0,N19),N19-L19),0)</f>
        <v>0</v>
      </c>
    </row>
    <row r="20" spans="2:18" x14ac:dyDescent="0.35">
      <c r="B20" s="730" t="s">
        <v>466</v>
      </c>
      <c r="C20" s="731" t="s">
        <v>493</v>
      </c>
      <c r="D20" s="814">
        <f>IFERROR(VLOOKUP($B20&amp;$C20,'C. Gestión Pto #1'!$B$4:H$16,MATCH(D$5,'C. Gestión Pto #1'!$B$4:H$4,0),"FALSO"),0)</f>
        <v>0</v>
      </c>
      <c r="E20" s="814">
        <f>IFERROR(VLOOKUP($B20&amp;$C20,'C. Gestión Pto #1'!$B$4:I$16,MATCH(E$5,'C. Gestión Pto #1'!$B$4:I$4,0),"FALSO"),0)</f>
        <v>0</v>
      </c>
      <c r="F20" s="814">
        <f>IFERROR(VLOOKUP($B20&amp;$C20,'C. Gestión Pto #1'!$B$4:J$16,MATCH(F$5,'C. Gestión Pto #1'!$B$4:J$4,0),"FALSO"),0)</f>
        <v>0</v>
      </c>
      <c r="G20" s="814">
        <f>IFERROR(VLOOKUP($B20&amp;$C20,'C. Gestión Pto #1'!$B$4:K$16,MATCH(G$5,'C. Gestión Pto #1'!$B$4:K$4,0),"FALSO"),0)</f>
        <v>0</v>
      </c>
      <c r="H20" s="814">
        <f>IFERROR(VLOOKUP($B20&amp;$C20,'C. Gestión Pto #1'!$B$4:L$16,MATCH(H$5,'C. Gestión Pto #1'!$B$4:L$4,0),"FALSO"),0)</f>
        <v>20721535.848283812</v>
      </c>
      <c r="I20" s="814">
        <f>IFERROR(VLOOKUP($B20&amp;$C20,'C. Gestión Pto #1'!$B$4:M$16,MATCH(I$5,'C. Gestión Pto #1'!$B$4:M$4,0),"FALSO"),0)</f>
        <v>4488122.5672478229</v>
      </c>
      <c r="J20" s="814">
        <f>IFERROR(VLOOKUP($B20&amp;$C20,'C. Gestión Pto #1'!$B$4:N$16,MATCH(J$5,'C. Gestión Pto #1'!$B$4:N$4,0),"FALSO"),0)</f>
        <v>13222352.312243165</v>
      </c>
      <c r="K20" s="773"/>
      <c r="L20" s="733" cm="1">
        <f t="array" ref="L20">SUMPRODUCT($D20:$K20,TRANSPOSE('Indice CAC'!$E$12:$E$19))</f>
        <v>31668388.41841552</v>
      </c>
      <c r="M20" s="774"/>
      <c r="N20" s="733">
        <f>IF($C20="MAT",SUMIF('Preventivo Costo CH2171 '!$A$9:$A$57,$B20,'Preventivo Costo CH2171 '!$I$9:$I$57),IF($C20="MO",SUMIF('Preventivo Costo CH2171 '!$A$9:$A$57,$B20,'Preventivo Costo CH2171 '!$L$9:$L$57),SUMIF('Preventivo Costo CH2171 '!$A$9:$A$57,$B20,'Preventivo Costo CH2171 '!$N$9:$N$57)))</f>
        <v>155289004.64594725</v>
      </c>
      <c r="O20" s="745"/>
      <c r="P20" s="736">
        <f t="shared" si="11"/>
        <v>123620616.22753173</v>
      </c>
      <c r="Q20" s="737">
        <f t="shared" si="5"/>
        <v>0.79606805716465123</v>
      </c>
      <c r="R20" s="736">
        <f t="shared" si="12"/>
        <v>0</v>
      </c>
    </row>
    <row r="21" spans="2:18" x14ac:dyDescent="0.35">
      <c r="B21" s="730" t="s">
        <v>466</v>
      </c>
      <c r="C21" s="731" t="s">
        <v>494</v>
      </c>
      <c r="D21" s="814">
        <f>IFERROR(VLOOKUP($B21&amp;$C21,'C. Gestión Pto #1'!$B$4:H$16,MATCH(D$5,'C. Gestión Pto #1'!$B$4:H$4,0),"FALSO"),0)</f>
        <v>0</v>
      </c>
      <c r="E21" s="814">
        <f>IFERROR(VLOOKUP($B21&amp;$C21,'C. Gestión Pto #1'!$B$4:I$16,MATCH(E$5,'C. Gestión Pto #1'!$B$4:I$4,0),"FALSO"),0)</f>
        <v>0</v>
      </c>
      <c r="F21" s="814">
        <f>IFERROR(VLOOKUP($B21&amp;$C21,'C. Gestión Pto #1'!$B$4:J$16,MATCH(F$5,'C. Gestión Pto #1'!$B$4:J$4,0),"FALSO"),0)</f>
        <v>0</v>
      </c>
      <c r="G21" s="814">
        <f>IFERROR(VLOOKUP($B21&amp;$C21,'C. Gestión Pto #1'!$B$4:K$16,MATCH(G$5,'C. Gestión Pto #1'!$B$4:K$4,0),"FALSO"),0)</f>
        <v>0</v>
      </c>
      <c r="H21" s="814">
        <f>IFERROR(VLOOKUP($B21&amp;$C21,'C. Gestión Pto #1'!$B$4:L$16,MATCH(H$5,'C. Gestión Pto #1'!$B$4:L$4,0),"FALSO"),0)</f>
        <v>19211836.143142872</v>
      </c>
      <c r="I21" s="814">
        <f>IFERROR(VLOOKUP($B21&amp;$C21,'C. Gestión Pto #1'!$B$4:M$16,MATCH(I$5,'C. Gestión Pto #1'!$B$4:M$4,0),"FALSO"),0)</f>
        <v>19661613.146096487</v>
      </c>
      <c r="J21" s="814">
        <f>IFERROR(VLOOKUP($B21&amp;$C21,'C. Gestión Pto #1'!$B$4:N$16,MATCH(J$5,'C. Gestión Pto #1'!$B$4:N$4,0),"FALSO"),0)</f>
        <v>30526435.960802212</v>
      </c>
      <c r="K21" s="773"/>
      <c r="L21" s="733" cm="1">
        <f t="array" ref="L21">SUMPRODUCT($D21:$K21,TRANSPOSE('Indice CAC'!$E$12:$E$19))</f>
        <v>56819927.636982188</v>
      </c>
      <c r="M21" s="774"/>
      <c r="N21" s="733">
        <f>IF($C21="MAT",SUMIF('Preventivo Costo CH2171 '!$A$9:$A$57,$B21,'Preventivo Costo CH2171 '!$I$9:$I$57),IF($C21="MO",SUMIF('Preventivo Costo CH2171 '!$A$9:$A$57,$B21,'Preventivo Costo CH2171 '!$L$9:$L$57),SUMIF('Preventivo Costo CH2171 '!$A$9:$A$57,$B21,'Preventivo Costo CH2171 '!$N$9:$N$57)))</f>
        <v>168570773.48826152</v>
      </c>
      <c r="O21" s="745"/>
      <c r="P21" s="736">
        <f t="shared" si="11"/>
        <v>111750845.85127933</v>
      </c>
      <c r="Q21" s="737">
        <f t="shared" si="5"/>
        <v>0.66293132278390554</v>
      </c>
      <c r="R21" s="736">
        <f t="shared" si="12"/>
        <v>0</v>
      </c>
    </row>
    <row r="22" spans="2:18" x14ac:dyDescent="0.35">
      <c r="B22" s="730" t="s">
        <v>495</v>
      </c>
      <c r="C22" s="747"/>
      <c r="D22" s="814">
        <f>IFERROR(VLOOKUP($B22&amp;$C22,'C. Gestión Pto #1'!$B$4:H$16,MATCH(D$5,'C. Gestión Pto #1'!$B$4:H$4,0),"FALSO"),0)</f>
        <v>0</v>
      </c>
      <c r="E22" s="814">
        <f>IFERROR(VLOOKUP($B22&amp;$C22,'C. Gestión Pto #1'!$B$4:I$16,MATCH(E$5,'C. Gestión Pto #1'!$B$4:I$4,0),"FALSO"),0)</f>
        <v>0</v>
      </c>
      <c r="F22" s="814">
        <f>IFERROR(VLOOKUP($B22&amp;$C22,'C. Gestión Pto #1'!$B$4:J$16,MATCH(F$5,'C. Gestión Pto #1'!$B$4:J$4,0),"FALSO"),0)</f>
        <v>0</v>
      </c>
      <c r="G22" s="814">
        <f>IFERROR(VLOOKUP($B22&amp;$C22,'C. Gestión Pto #1'!$B$4:K$16,MATCH(G$5,'C. Gestión Pto #1'!$B$4:K$4,0),"FALSO"),0)</f>
        <v>0</v>
      </c>
      <c r="H22" s="814">
        <f>IFERROR(VLOOKUP($B22&amp;$C22,'C. Gestión Pto #1'!$B$4:L$16,MATCH(H$5,'C. Gestión Pto #1'!$B$4:L$4,0),"FALSO"),0)</f>
        <v>0</v>
      </c>
      <c r="I22" s="814">
        <f>IFERROR(VLOOKUP($B22&amp;$C22,'C. Gestión Pto #1'!$B$4:M$16,MATCH(I$5,'C. Gestión Pto #1'!$B$4:M$4,0),"FALSO"),0)</f>
        <v>0</v>
      </c>
      <c r="J22" s="814">
        <f>IFERROR(VLOOKUP($B22&amp;$C22,'C. Gestión Pto #1'!$B$4:N$16,MATCH(J$5,'C. Gestión Pto #1'!$B$4:N$4,0),"FALSO"),0)</f>
        <v>702737.42243214278</v>
      </c>
      <c r="K22" s="773"/>
      <c r="L22" s="733" cm="1">
        <f t="array" ref="L22">SUMPRODUCT($D22:$K22,TRANSPOSE('Indice CAC'!$E$12:$E$19))</f>
        <v>567140.80519119545</v>
      </c>
      <c r="M22" s="774"/>
      <c r="N22" s="733">
        <f>IF($C22="MAT",SUMIF('Preventivo Costo CH2171 '!$A$9:$A$57,$B22,'Preventivo Costo CH2171 '!$I$9:$I$57),IF($C22="MO",SUMIF('Preventivo Costo CH2171 '!$A$9:$A$57,$B22,'Preventivo Costo CH2171 '!$L$9:$L$57),SUM('Preventivo Costo CH2171 '!M9:M57)))</f>
        <v>15976115.928180875</v>
      </c>
      <c r="O22" s="745"/>
      <c r="P22" s="736">
        <f t="shared" si="11"/>
        <v>15408975.122989681</v>
      </c>
      <c r="Q22" s="737">
        <f t="shared" si="5"/>
        <v>0.96450070794799425</v>
      </c>
      <c r="R22" s="736">
        <f t="shared" si="12"/>
        <v>0</v>
      </c>
    </row>
    <row r="23" spans="2:18" x14ac:dyDescent="0.35">
      <c r="B23" s="730" t="s">
        <v>464</v>
      </c>
      <c r="C23" s="747"/>
      <c r="D23" s="814">
        <f>IFERROR(VLOOKUP($B23&amp;$C23,'C. Gestión Pto #1'!$B$4:H$16,MATCH(D$5,'C. Gestión Pto #1'!$B$4:H$4,0),"FALSO"),0)</f>
        <v>0</v>
      </c>
      <c r="E23" s="814">
        <f>IFERROR(VLOOKUP($B23&amp;$C23,'C. Gestión Pto #1'!$B$4:I$16,MATCH(E$5,'C. Gestión Pto #1'!$B$4:I$4,0),"FALSO"),0)</f>
        <v>0</v>
      </c>
      <c r="F23" s="814">
        <f>IFERROR(VLOOKUP($B23&amp;$C23,'C. Gestión Pto #1'!$B$4:J$16,MATCH(F$5,'C. Gestión Pto #1'!$B$4:J$4,0),"FALSO"),0)</f>
        <v>0</v>
      </c>
      <c r="G23" s="814">
        <f>IFERROR(VLOOKUP($B23&amp;$C23,'C. Gestión Pto #1'!$B$4:K$16,MATCH(G$5,'C. Gestión Pto #1'!$B$4:K$4,0),"FALSO"),0)</f>
        <v>247000</v>
      </c>
      <c r="H23" s="814">
        <f>IFERROR(VLOOKUP($B23&amp;$C23,'C. Gestión Pto #1'!$B$4:L$16,MATCH(H$5,'C. Gestión Pto #1'!$B$4:L$4,0),"FALSO"),0)</f>
        <v>227000</v>
      </c>
      <c r="I23" s="814">
        <f>IFERROR(VLOOKUP($B23&amp;$C23,'C. Gestión Pto #1'!$B$4:M$16,MATCH(I$5,'C. Gestión Pto #1'!$B$4:M$4,0),"FALSO"),0)</f>
        <v>1101000</v>
      </c>
      <c r="J23" s="814">
        <f>IFERROR(VLOOKUP($B23&amp;$C23,'C. Gestión Pto #1'!$B$4:N$16,MATCH(J$5,'C. Gestión Pto #1'!$B$4:N$4,0),"FALSO"),0)</f>
        <v>1520000</v>
      </c>
      <c r="K23" s="773"/>
      <c r="L23" s="733" cm="1">
        <f t="array" ref="L23">SUMPRODUCT($D23:$K23,TRANSPOSE('Indice CAC'!$E$12:$E$19))</f>
        <v>2529400.2122087674</v>
      </c>
      <c r="M23" s="774"/>
      <c r="N23" s="733">
        <f>IF($C23="MAT",SUMIF('Preventivo Costo CH2171 '!$A$9:$A$57,$B23,'Preventivo Costo CH2171 '!$I$9:$I$57),IF($C23="MO",SUMIF('Preventivo Costo CH2171 '!$A$9:$A$57,$B23,'Preventivo Costo CH2171 '!$L$9:$L$57),SUMIF('Preventivo Costo CH2171 '!$A$9:$A$57,$B23,'Preventivo Costo CH2171 '!$N$9:$N$57)))</f>
        <v>3712404.9886026764</v>
      </c>
      <c r="O23" s="745"/>
      <c r="P23" s="736">
        <f t="shared" si="11"/>
        <v>1183004.776393909</v>
      </c>
      <c r="Q23" s="737">
        <f t="shared" si="5"/>
        <v>0.31866264053243387</v>
      </c>
      <c r="R23" s="736">
        <f t="shared" si="12"/>
        <v>0</v>
      </c>
    </row>
    <row r="24" spans="2:18" x14ac:dyDescent="0.35">
      <c r="B24" s="730" t="s">
        <v>470</v>
      </c>
      <c r="C24" s="747"/>
      <c r="D24" s="814">
        <f>IFERROR(VLOOKUP($B24&amp;$C24,'C. Gestión Pto #1'!$B$4:H$16,MATCH(D$5,'C. Gestión Pto #1'!$B$4:H$4,0),"FALSO"),0)</f>
        <v>0</v>
      </c>
      <c r="E24" s="814">
        <f>IFERROR(VLOOKUP($B24&amp;$C24,'C. Gestión Pto #1'!$B$4:I$16,MATCH(E$5,'C. Gestión Pto #1'!$B$4:I$4,0),"FALSO"),0)</f>
        <v>0</v>
      </c>
      <c r="F24" s="814">
        <f>IFERROR(VLOOKUP($B24&amp;$C24,'C. Gestión Pto #1'!$B$4:J$16,MATCH(F$5,'C. Gestión Pto #1'!$B$4:J$4,0),"FALSO"),0)</f>
        <v>0</v>
      </c>
      <c r="G24" s="814">
        <f>IFERROR(VLOOKUP($B24&amp;$C24,'C. Gestión Pto #1'!$B$4:K$16,MATCH(G$5,'C. Gestión Pto #1'!$B$4:K$4,0),"FALSO"),0)</f>
        <v>0</v>
      </c>
      <c r="H24" s="814">
        <f>IFERROR(VLOOKUP($B24&amp;$C24,'C. Gestión Pto #1'!$B$4:L$16,MATCH(H$5,'C. Gestión Pto #1'!$B$4:L$4,0),"FALSO"),0)</f>
        <v>2800000</v>
      </c>
      <c r="I24" s="814">
        <f>IFERROR(VLOOKUP($B24&amp;$C24,'C. Gestión Pto #1'!$B$4:M$16,MATCH(I$5,'C. Gestión Pto #1'!$B$4:M$4,0),"FALSO"),0)</f>
        <v>2867000</v>
      </c>
      <c r="J24" s="814">
        <f>IFERROR(VLOOKUP($B24&amp;$C24,'C. Gestión Pto #1'!$B$4:N$16,MATCH(J$5,'C. Gestión Pto #1'!$B$4:N$4,0),"FALSO"),0)</f>
        <v>2850000</v>
      </c>
      <c r="K24" s="773"/>
      <c r="L24" s="733" cm="1">
        <f t="array" ref="L24">SUMPRODUCT($D24:$K24,TRANSPOSE('Indice CAC'!$E$12:$E$19))</f>
        <v>6991833.5158016495</v>
      </c>
      <c r="M24" s="774"/>
      <c r="N24" s="733">
        <f>IF($C24="MAT",SUMIF('Preventivo Costo CH2171 '!$A$9:$A$57,$B24,'Preventivo Costo CH2171 '!$I$9:$I$57),IF($C24="MO",SUMIF('Preventivo Costo CH2171 '!$A$9:$A$57,$B24,'Preventivo Costo CH2171 '!$L$9:$L$57),SUMIF('Preventivo Costo CH2171 '!$A$9:$A$57,$B24,'Preventivo Costo CH2171 '!$N$9:$N$57)))</f>
        <v>32465089.202830635</v>
      </c>
      <c r="O24" s="745"/>
      <c r="P24" s="736">
        <f t="shared" ref="P24" si="13">IF(O24=100%,0,IF(OR(L24&lt;&gt;0,N24),N24-L24))</f>
        <v>25473255.687028985</v>
      </c>
      <c r="Q24" s="737">
        <f t="shared" ref="Q24" si="14">IF(OR(P24&lt;0,N24),P24/N24,0%)</f>
        <v>0.78463532097142585</v>
      </c>
      <c r="R24" s="736">
        <f t="shared" si="12"/>
        <v>0</v>
      </c>
    </row>
    <row r="25" spans="2:18" x14ac:dyDescent="0.35">
      <c r="B25" s="775" t="s">
        <v>496</v>
      </c>
      <c r="C25" s="776"/>
      <c r="D25" s="777">
        <f>SUM(D13:D24)</f>
        <v>0</v>
      </c>
      <c r="E25" s="777">
        <f t="shared" ref="E25:J25" si="15">SUM(E13:E24)</f>
        <v>0</v>
      </c>
      <c r="F25" s="777">
        <f t="shared" si="15"/>
        <v>939182.1</v>
      </c>
      <c r="G25" s="777">
        <f t="shared" si="15"/>
        <v>2352432.04</v>
      </c>
      <c r="H25" s="777">
        <f t="shared" si="15"/>
        <v>48377386.901426688</v>
      </c>
      <c r="I25" s="777">
        <f t="shared" si="15"/>
        <v>34098469.282158129</v>
      </c>
      <c r="J25" s="777">
        <f t="shared" si="15"/>
        <v>50226602.195477515</v>
      </c>
      <c r="K25" s="778"/>
      <c r="L25" s="779">
        <f>SUM(L13:L24)</f>
        <v>111739552.13988037</v>
      </c>
      <c r="M25" s="774"/>
      <c r="N25" s="779">
        <f>SUM(N13:N24)</f>
        <v>435593842.88466847</v>
      </c>
      <c r="O25" s="772"/>
      <c r="P25" s="779">
        <f t="shared" si="11"/>
        <v>323854290.74478811</v>
      </c>
      <c r="Q25" s="737">
        <f t="shared" si="5"/>
        <v>0.74347765937209198</v>
      </c>
      <c r="R25" s="779">
        <f>SUM(R13:R23)</f>
        <v>0</v>
      </c>
    </row>
    <row r="26" spans="2:18" x14ac:dyDescent="0.35">
      <c r="B26" s="780"/>
      <c r="C26" s="780"/>
      <c r="D26" s="781"/>
      <c r="E26" s="781"/>
      <c r="F26" s="781"/>
      <c r="G26" s="781"/>
      <c r="H26" s="781"/>
      <c r="I26" s="781"/>
      <c r="J26" s="781"/>
      <c r="K26" s="781"/>
      <c r="L26" s="782"/>
      <c r="M26" s="783"/>
      <c r="N26" s="782"/>
      <c r="O26" s="782"/>
      <c r="P26" s="782"/>
      <c r="Q26" s="783"/>
      <c r="R26" s="783"/>
    </row>
    <row r="27" spans="2:18" x14ac:dyDescent="0.3">
      <c r="B27" s="748" t="s">
        <v>502</v>
      </c>
      <c r="C27" s="749"/>
      <c r="D27" s="756">
        <f t="shared" ref="D27:J27" si="16">SUM(D8,D10,-D25)</f>
        <v>0</v>
      </c>
      <c r="E27" s="756">
        <f t="shared" si="16"/>
        <v>0</v>
      </c>
      <c r="F27" s="756">
        <f t="shared" si="16"/>
        <v>-939182.1</v>
      </c>
      <c r="G27" s="756">
        <f t="shared" si="16"/>
        <v>-2352432.04</v>
      </c>
      <c r="H27" s="756">
        <f t="shared" si="16"/>
        <v>93029179.763605729</v>
      </c>
      <c r="I27" s="756">
        <f t="shared" si="16"/>
        <v>27179919.17963586</v>
      </c>
      <c r="J27" s="756">
        <f t="shared" si="16"/>
        <v>-50226602.195477515</v>
      </c>
      <c r="L27" s="756">
        <f>SUM(L8,-L25)</f>
        <v>59561804.324119613</v>
      </c>
      <c r="N27" s="756">
        <f>SUM(N8,-N25)</f>
        <v>-45283042.134668469</v>
      </c>
      <c r="O27" s="762"/>
      <c r="P27" s="983"/>
      <c r="Q27" s="762"/>
      <c r="R27" s="762"/>
    </row>
    <row r="28" spans="2:18" x14ac:dyDescent="0.3">
      <c r="B28" s="748" t="s">
        <v>503</v>
      </c>
      <c r="C28" s="749"/>
      <c r="D28" s="758">
        <f>D27</f>
        <v>0</v>
      </c>
      <c r="E28" s="758">
        <f>E27+D28</f>
        <v>0</v>
      </c>
      <c r="F28" s="758">
        <f t="shared" ref="F28:J28" si="17">F27+E28</f>
        <v>-939182.1</v>
      </c>
      <c r="G28" s="758">
        <f t="shared" si="17"/>
        <v>-3291614.14</v>
      </c>
      <c r="H28" s="758">
        <f t="shared" si="17"/>
        <v>89737565.623605728</v>
      </c>
      <c r="I28" s="758">
        <f t="shared" si="17"/>
        <v>116917484.80324158</v>
      </c>
      <c r="J28" s="758">
        <f t="shared" si="17"/>
        <v>66690882.607764065</v>
      </c>
      <c r="O28" s="762"/>
      <c r="P28" s="762"/>
      <c r="Q28" s="762"/>
      <c r="R28" s="762"/>
    </row>
    <row r="29" spans="2:18" x14ac:dyDescent="0.35">
      <c r="N29" s="982"/>
      <c r="O29" s="762"/>
      <c r="P29" s="983"/>
      <c r="Q29" s="762"/>
      <c r="R29" s="762"/>
    </row>
    <row r="30" spans="2:18" x14ac:dyDescent="0.35">
      <c r="N30" s="982"/>
      <c r="O30" s="762"/>
      <c r="P30" s="762"/>
      <c r="Q30" s="762"/>
      <c r="R30" s="762"/>
    </row>
  </sheetData>
  <conditionalFormatting sqref="D27:J28">
    <cfRule type="cellIs" dxfId="74" priority="10" operator="greaterThan">
      <formula>0</formula>
    </cfRule>
    <cfRule type="cellIs" dxfId="73" priority="11" operator="lessThan">
      <formula>0</formula>
    </cfRule>
  </conditionalFormatting>
  <conditionalFormatting sqref="L27">
    <cfRule type="cellIs" dxfId="72" priority="4" operator="greaterThan">
      <formula>0</formula>
    </cfRule>
    <cfRule type="cellIs" dxfId="71" priority="5" operator="lessThan">
      <formula>0</formula>
    </cfRule>
  </conditionalFormatting>
  <conditionalFormatting sqref="N27">
    <cfRule type="cellIs" dxfId="70" priority="2" operator="greaterThan">
      <formula>0</formula>
    </cfRule>
    <cfRule type="cellIs" dxfId="69" priority="3" operator="lessThan">
      <formula>0</formula>
    </cfRule>
  </conditionalFormatting>
  <conditionalFormatting sqref="Q7:Q10 Q13:Q25">
    <cfRule type="cellIs" dxfId="68" priority="8" operator="lessThan">
      <formula>0</formula>
    </cfRule>
    <cfRule type="cellIs" dxfId="67" priority="9" operator="greaterThan">
      <formula>0</formula>
    </cfRule>
  </conditionalFormatting>
  <conditionalFormatting sqref="R13:R24">
    <cfRule type="cellIs" dxfId="66" priority="1" operator="lessThan">
      <formula>0</formula>
    </cfRule>
  </conditionalFormatting>
  <dataValidations count="1">
    <dataValidation operator="greaterThanOrEqual" allowBlank="1" showInputMessage="1" showErrorMessage="1" errorTitle="Aviso" error="Use valores positivos tanto para ingresos como para gastos." sqref="L25 Q10 Q8 N9:R9 N7:R7 Q27 D27:J28 L27 N27:O27 D5:J5 N13:R25 D13:K26" xr:uid="{D078F2A8-0F6D-45D1-9979-34789D976698}"/>
  </dataValidations>
  <pageMargins left="0.7" right="0.7" top="0.75" bottom="0.75" header="0.3" footer="0.3"/>
  <pageSetup paperSize="9" orientation="portrait" r:id="rId1"/>
  <ignoredErrors>
    <ignoredError sqref="D9:G9 L8 P9 Q8:R8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76AA-51D7-424D-B910-BB97177FA6AA}">
  <sheetPr>
    <tabColor rgb="FFC6EFCE"/>
  </sheetPr>
  <dimension ref="B1:W37"/>
  <sheetViews>
    <sheetView workbookViewId="0">
      <selection activeCell="E1" sqref="E1"/>
    </sheetView>
  </sheetViews>
  <sheetFormatPr defaultColWidth="11.453125" defaultRowHeight="14.5" x14ac:dyDescent="0.35"/>
  <cols>
    <col min="1" max="1" width="2.81640625" style="762" customWidth="1"/>
    <col min="2" max="2" width="25.453125" style="761" customWidth="1"/>
    <col min="3" max="3" width="5.453125" style="761" bestFit="1" customWidth="1"/>
    <col min="4" max="10" width="12" style="761" customWidth="1"/>
    <col min="11" max="11" width="1" style="761" customWidth="1"/>
    <col min="12" max="12" width="12" style="761" customWidth="1"/>
    <col min="13" max="13" width="1.26953125" style="761" customWidth="1"/>
    <col min="14" max="14" width="12.54296875" style="761" bestFit="1" customWidth="1"/>
    <col min="15" max="15" width="5.7265625" style="761" bestFit="1" customWidth="1"/>
    <col min="16" max="16" width="12.26953125" style="761" customWidth="1"/>
    <col min="17" max="17" width="7.7265625" style="761" customWidth="1"/>
    <col min="18" max="18" width="7.26953125" style="761" bestFit="1" customWidth="1"/>
    <col min="19" max="19" width="9.7265625" style="762" bestFit="1" customWidth="1"/>
    <col min="20" max="20" width="7.26953125" style="762" bestFit="1" customWidth="1"/>
    <col min="21" max="21" width="13" style="762" bestFit="1" customWidth="1"/>
    <col min="22" max="16384" width="11.453125" style="762"/>
  </cols>
  <sheetData>
    <row r="1" spans="2:23" ht="21.5" thickBot="1" x14ac:dyDescent="0.4">
      <c r="B1" s="760"/>
      <c r="C1" s="760"/>
      <c r="S1" s="718" t="s">
        <v>477</v>
      </c>
      <c r="T1" s="719">
        <v>46156</v>
      </c>
    </row>
    <row r="2" spans="2:23" ht="7.15" customHeight="1" x14ac:dyDescent="0.35">
      <c r="B2" s="760"/>
      <c r="C2" s="760"/>
      <c r="Q2" s="720"/>
      <c r="R2" s="763"/>
    </row>
    <row r="3" spans="2:23" x14ac:dyDescent="0.35">
      <c r="B3" s="721" t="s">
        <v>506</v>
      </c>
      <c r="C3" s="764"/>
    </row>
    <row r="4" spans="2:23" ht="13.9" customHeight="1" x14ac:dyDescent="0.35">
      <c r="B4" s="764" t="s">
        <v>478</v>
      </c>
      <c r="C4" s="764"/>
      <c r="D4" s="765"/>
      <c r="E4" s="765"/>
      <c r="F4" s="765"/>
      <c r="G4" s="765"/>
      <c r="H4" s="765"/>
      <c r="I4" s="765"/>
      <c r="J4" s="765"/>
      <c r="K4" s="765"/>
      <c r="L4" s="765"/>
      <c r="M4" s="765"/>
      <c r="N4" s="765"/>
      <c r="O4" s="765"/>
      <c r="P4" s="765"/>
      <c r="Q4" s="765"/>
      <c r="R4" s="765"/>
      <c r="S4" s="766"/>
      <c r="T4" s="766"/>
      <c r="U4" s="766"/>
      <c r="V4" s="766"/>
      <c r="W4" s="767"/>
    </row>
    <row r="5" spans="2:23" ht="25.15" customHeight="1" x14ac:dyDescent="0.35">
      <c r="B5" s="768"/>
      <c r="C5" s="768"/>
      <c r="D5" s="769">
        <v>45962</v>
      </c>
      <c r="E5" s="769">
        <v>45992</v>
      </c>
      <c r="F5" s="769">
        <v>46023</v>
      </c>
      <c r="G5" s="769">
        <v>46054</v>
      </c>
      <c r="H5" s="769">
        <v>46082</v>
      </c>
      <c r="I5" s="769">
        <v>46113</v>
      </c>
      <c r="J5" s="769">
        <v>46143</v>
      </c>
      <c r="K5" s="765"/>
      <c r="L5" s="726" t="s">
        <v>479</v>
      </c>
      <c r="N5" s="770" t="s">
        <v>482</v>
      </c>
      <c r="O5" s="728" t="s">
        <v>483</v>
      </c>
      <c r="P5" s="726" t="s">
        <v>484</v>
      </c>
      <c r="Q5" s="728" t="s">
        <v>485</v>
      </c>
      <c r="R5" s="726" t="s">
        <v>486</v>
      </c>
      <c r="S5" s="766"/>
      <c r="T5" s="766"/>
      <c r="U5" s="766"/>
      <c r="V5" s="766"/>
      <c r="W5" s="767"/>
    </row>
    <row r="6" spans="2:23" ht="17.5" customHeight="1" x14ac:dyDescent="0.35">
      <c r="B6" s="729" t="s">
        <v>487</v>
      </c>
      <c r="C6" s="768"/>
      <c r="D6" s="765"/>
      <c r="E6" s="765"/>
      <c r="F6" s="765"/>
      <c r="G6" s="765"/>
      <c r="H6" s="765"/>
      <c r="I6" s="765"/>
      <c r="J6" s="765"/>
      <c r="K6" s="765"/>
      <c r="L6" s="765"/>
      <c r="M6" s="765"/>
      <c r="N6" s="765"/>
      <c r="O6" s="765"/>
      <c r="P6" s="765"/>
      <c r="Q6" s="765"/>
      <c r="R6" s="765"/>
      <c r="S6" s="766"/>
      <c r="T6" s="766"/>
      <c r="U6" s="766"/>
      <c r="V6" s="766"/>
      <c r="W6" s="767"/>
    </row>
    <row r="7" spans="2:23" ht="17.5" customHeight="1" x14ac:dyDescent="0.35">
      <c r="B7" s="730" t="s">
        <v>507</v>
      </c>
      <c r="C7" s="731"/>
      <c r="D7" s="733">
        <f>SUMIFS(Certificados!$E$12:$E$21,Certificados!$A$12:$A$21,"&gt;="&amp;DATE(2025,11,1),Certificados!$A$12:$A$21,"&lt;="&amp;DATE(2025,11,30),Certificados!$C$12:$C$21,"Pto. 2")</f>
        <v>0</v>
      </c>
      <c r="E7" s="733">
        <f>SUMIFS(Certificados!$E$12:$E$21,Certificados!$A$12:$A$21,"&gt;="&amp;DATE(2025,12,1),Certificados!$A$12:$A$21,"&lt;="&amp;DATE(2025,12,31),Certificados!$C$12:$C$21,"Pto. 2")</f>
        <v>0</v>
      </c>
      <c r="F7" s="733">
        <f>SUMIFS(Certificados!$E$12:$E$21,Certificados!$A$12:$A$21,"&gt;="&amp;DATE(2026,1,1),Certificados!$A$12:$A$21,"&lt;="&amp;DATE(2026,1,31),Certificados!$C$12:$C$21,"Pto. 2")</f>
        <v>0</v>
      </c>
      <c r="G7" s="733">
        <f>SUMIFS(Certificados!$E$12:$E$21,Certificados!$A$12:$A$21,"&gt;="&amp;DATE(2026,2,1),Certificados!$A$12:$A$21,"&lt;="&amp;DATE(2026,2,29),Certificados!$C$12:$C$21,"Pto. 2")</f>
        <v>0</v>
      </c>
      <c r="H7" s="733">
        <f>SUMIFS(Certificados!$E$12:$E$21,Certificados!$A$12:$A$21,"&gt;="&amp;DATE(2026,3,1),Certificados!$A$12:$A$21,"&lt;="&amp;DATE(2026,3,31),Certificados!$B$12:$B$21,"Pto 2")</f>
        <v>0</v>
      </c>
      <c r="I7" s="733">
        <f>SUMIFS(Certificados!$E$12:$E$21,Certificados!$A$12:$A$21,"&gt;="&amp;DATE(2026,4,1),Certificados!$A$12:$A$21,"&lt;="&amp;DATE(2026,4,30),Certificados!$B$12:$B$21,"Pto 2")</f>
        <v>0</v>
      </c>
      <c r="J7" s="733">
        <f>SUMIFS(Certificados!$E$12:$E$21,Certificados!$A$12:$A$21,"&gt;="&amp;DATE(2026,5,1),Certificados!$A$12:$A$21,"&lt;="&amp;DATE(2026,5,31),Certificados!$B$12:$B$21,"Pto 2")</f>
        <v>0</v>
      </c>
      <c r="K7" s="765"/>
      <c r="L7" s="733">
        <f>SUM(D7:K7)</f>
        <v>0</v>
      </c>
      <c r="M7" s="765"/>
      <c r="N7" s="733">
        <f>SUM(Facturacion!E5:E5)</f>
        <v>611094151.85000002</v>
      </c>
      <c r="O7" s="745"/>
      <c r="P7" s="736">
        <f>IF(O7=100%,0,IF(OR(L7&lt;&gt;0,N7),N7-L7))</f>
        <v>611094151.85000002</v>
      </c>
      <c r="Q7" s="737">
        <f>IF(OR(P7&lt;0,N7),P7/N7,0%)</f>
        <v>1</v>
      </c>
      <c r="R7" s="736">
        <f>IF(O7=100%,IF(OR(#REF!&lt;&gt;0,N7),N7-#REF!),0)</f>
        <v>0</v>
      </c>
      <c r="S7" s="766"/>
      <c r="T7" s="766"/>
      <c r="U7" s="766"/>
      <c r="V7" s="766"/>
      <c r="W7" s="767"/>
    </row>
    <row r="8" spans="2:23" ht="17.5" customHeight="1" x14ac:dyDescent="0.35">
      <c r="B8" s="771" t="s">
        <v>489</v>
      </c>
      <c r="C8" s="776"/>
      <c r="D8" s="784">
        <f t="shared" ref="D8:I8" si="0">SUM(D7)</f>
        <v>0</v>
      </c>
      <c r="E8" s="784">
        <f t="shared" si="0"/>
        <v>0</v>
      </c>
      <c r="F8" s="784">
        <f t="shared" si="0"/>
        <v>0</v>
      </c>
      <c r="G8" s="784">
        <f t="shared" si="0"/>
        <v>0</v>
      </c>
      <c r="H8" s="784">
        <f t="shared" si="0"/>
        <v>0</v>
      </c>
      <c r="I8" s="784">
        <f t="shared" si="0"/>
        <v>0</v>
      </c>
      <c r="J8" s="784">
        <f t="shared" ref="J8" si="1">SUM(J7)</f>
        <v>0</v>
      </c>
      <c r="K8" s="765"/>
      <c r="L8" s="740">
        <f>SUM(L7)</f>
        <v>0</v>
      </c>
      <c r="M8" s="765"/>
      <c r="N8" s="740">
        <f>SUM(N7)</f>
        <v>611094151.85000002</v>
      </c>
      <c r="O8" s="772"/>
      <c r="P8" s="740">
        <f>SUM(P7)</f>
        <v>611094151.85000002</v>
      </c>
      <c r="Q8" s="737">
        <f t="shared" ref="Q8:Q10" si="2">IF(OR(P8&lt;0,N8),P8/N8,0%)</f>
        <v>1</v>
      </c>
      <c r="R8" s="740">
        <f>SUM(R7)</f>
        <v>0</v>
      </c>
      <c r="S8" s="766"/>
      <c r="T8" s="766"/>
      <c r="U8" s="766"/>
      <c r="V8" s="766"/>
      <c r="W8" s="767"/>
    </row>
    <row r="9" spans="2:23" x14ac:dyDescent="0.35">
      <c r="B9" s="730" t="s">
        <v>490</v>
      </c>
      <c r="C9" s="731"/>
      <c r="D9" s="733">
        <f>SUMIFS(Certificados!$F$12:$F$21,Certificados!$A$12:$A$21,"&gt;="&amp;DATE(2025,11,1),Certificados!$A$12:$A$21,"&lt;="&amp;DATE(2025,11,30),Certificados!$C$12:$C$21,"Pto. 2")</f>
        <v>0</v>
      </c>
      <c r="E9" s="733">
        <f>SUMIFS(Certificados!$F$12:$F$21,Certificados!$A$12:$A$21,"&gt;="&amp;DATE(2025,12,1),Certificados!$A$12:$A$21,"&lt;="&amp;DATE(2025,12,31),Certificados!$C$12:$C$21,"Pto. 2")</f>
        <v>0</v>
      </c>
      <c r="F9" s="733">
        <f>SUMIFS(Certificados!$F$12:$F$21,Certificados!$A$12:$A$21,"&gt;="&amp;DATE(2026,1,1),Certificados!$A$12:$A$21,"&lt;="&amp;DATE(2026,1,31),Certificados!$C$12:$C$21,"Pto. 2")</f>
        <v>0</v>
      </c>
      <c r="G9" s="733">
        <f>SUMIFS(Certificados!$F$12:$F$21,Certificados!$A$12:$A$21,"&gt;="&amp;DATE(2026,2,1),Certificados!$A$12:$A$21,"&lt;="&amp;DATE(2026,2,29),Certificados!$C$12:$C$21,"Pto. 2")</f>
        <v>0</v>
      </c>
      <c r="H9" s="733">
        <f>SUMIFS(Certificados!$F$12:$F$21,Certificados!$A$12:$A$21,"&gt;="&amp;DATE(2026,3,1),Certificados!$A$12:$A$21,"&lt;="&amp;DATE(2026,3,31),Certificados!$B$12:$B$21,"Pto 2")</f>
        <v>0</v>
      </c>
      <c r="I9" s="733">
        <f>SUMIFS(Certificados!$F$12:$F$21,Certificados!$A$12:$A$21,"&gt;="&amp;DATE(2026,4,1),Certificados!$A$12:$A$21,"&lt;="&amp;DATE(2026,4,30),Certificados!$B$12:$B$21,"Pto 2")</f>
        <v>0</v>
      </c>
      <c r="J9" s="733">
        <f>SUMIFS(Certificados!$F$12:$F$21,Certificados!$A$12:$A$21,"&gt;="&amp;DATE(2026,5,1),Certificados!$A$12:$A$21,"&lt;="&amp;DATE(2026,5,31),Certificados!$B$12:$B$21,"Pto 2")</f>
        <v>0</v>
      </c>
      <c r="K9" s="765"/>
      <c r="L9" s="733">
        <f>SUM(D9:K9)</f>
        <v>0</v>
      </c>
      <c r="M9" s="765"/>
      <c r="N9" s="733">
        <v>0</v>
      </c>
      <c r="O9" s="733">
        <v>0</v>
      </c>
      <c r="P9" s="736">
        <f>IF(O9=100%,0,IF(N9=0,N9,N9-L9))</f>
        <v>0</v>
      </c>
      <c r="Q9" s="737">
        <f t="shared" si="2"/>
        <v>0</v>
      </c>
      <c r="R9" s="736">
        <f>IF(O9=100%,IF(OR(#REF!&lt;&gt;0,N9),N9-#REF!),0)</f>
        <v>0</v>
      </c>
      <c r="S9" s="766"/>
      <c r="T9" s="766"/>
      <c r="U9" s="766"/>
      <c r="V9" s="766"/>
      <c r="W9" s="767"/>
    </row>
    <row r="10" spans="2:23" ht="17.5" customHeight="1" x14ac:dyDescent="0.35">
      <c r="B10" s="771" t="s">
        <v>508</v>
      </c>
      <c r="C10" s="776"/>
      <c r="D10" s="784">
        <f t="shared" ref="D10:I10" si="3">SUM(D9)</f>
        <v>0</v>
      </c>
      <c r="E10" s="784">
        <f t="shared" si="3"/>
        <v>0</v>
      </c>
      <c r="F10" s="784">
        <f t="shared" si="3"/>
        <v>0</v>
      </c>
      <c r="G10" s="784">
        <f t="shared" si="3"/>
        <v>0</v>
      </c>
      <c r="H10" s="784">
        <f t="shared" si="3"/>
        <v>0</v>
      </c>
      <c r="I10" s="784">
        <f t="shared" si="3"/>
        <v>0</v>
      </c>
      <c r="J10" s="784">
        <f t="shared" ref="J10" si="4">SUM(J9)</f>
        <v>0</v>
      </c>
      <c r="K10" s="765"/>
      <c r="L10" s="740">
        <f>SUM(L9)</f>
        <v>0</v>
      </c>
      <c r="M10" s="765"/>
      <c r="N10" s="740">
        <f>SUM(N9)</f>
        <v>0</v>
      </c>
      <c r="O10" s="772"/>
      <c r="P10" s="740">
        <f>SUM(P9)</f>
        <v>0</v>
      </c>
      <c r="Q10" s="737">
        <f t="shared" si="2"/>
        <v>0</v>
      </c>
      <c r="R10" s="740">
        <f>SUM(R9)</f>
        <v>0</v>
      </c>
      <c r="S10" s="766"/>
      <c r="T10" s="766"/>
      <c r="U10" s="766"/>
      <c r="V10" s="766"/>
      <c r="W10" s="767"/>
    </row>
    <row r="11" spans="2:23" ht="17.5" customHeight="1" x14ac:dyDescent="0.35">
      <c r="B11" s="768"/>
      <c r="C11" s="768"/>
      <c r="D11" s="765"/>
      <c r="E11" s="765"/>
      <c r="F11" s="765"/>
      <c r="G11" s="765"/>
      <c r="H11" s="765"/>
      <c r="I11" s="765"/>
      <c r="J11" s="765"/>
      <c r="K11" s="765"/>
      <c r="L11" s="765"/>
      <c r="M11" s="765"/>
      <c r="N11" s="765"/>
      <c r="O11" s="765"/>
      <c r="P11" s="765"/>
      <c r="Q11" s="765"/>
      <c r="R11" s="765"/>
      <c r="S11" s="766"/>
      <c r="T11" s="766"/>
      <c r="U11" s="766"/>
      <c r="V11" s="766"/>
      <c r="W11" s="767"/>
    </row>
    <row r="12" spans="2:23" x14ac:dyDescent="0.35">
      <c r="B12" s="729" t="s">
        <v>491</v>
      </c>
      <c r="S12" s="762" t="s">
        <v>492</v>
      </c>
    </row>
    <row r="13" spans="2:23" x14ac:dyDescent="0.35">
      <c r="B13" s="730" t="s">
        <v>470</v>
      </c>
      <c r="C13" s="731"/>
      <c r="D13" s="733">
        <f>IFERROR(VLOOKUP($B13&amp;$C13,'C. Gestión Pto #2'!$B$4:C$22,MATCH(D$5,'C. Gestión Pto #2'!$B$4:C$4,0),FALSE),0)</f>
        <v>0</v>
      </c>
      <c r="E13" s="733">
        <f>IFERROR(VLOOKUP($B13&amp;$C13,'C. Gestión Pto #2'!$B$4:D$22,MATCH(E$5,'C. Gestión Pto #2'!$B$4:D$4,0),FALSE),0)</f>
        <v>0</v>
      </c>
      <c r="F13" s="733">
        <f>IFERROR(VLOOKUP($B13&amp;$C13,'C. Gestión Pto #2'!$B$4:E$22,MATCH(F$5,'C. Gestión Pto #2'!$B$4:E$4,0),FALSE),0)</f>
        <v>0</v>
      </c>
      <c r="G13" s="733">
        <f>IFERROR(VLOOKUP($B13&amp;$C13,'C. Gestión Pto #2'!$B$4:F$22,MATCH(G$5,'C. Gestión Pto #2'!$B$4:F$4,0),FALSE),0)</f>
        <v>0</v>
      </c>
      <c r="H13" s="733">
        <f>IFERROR(VLOOKUP($B13&amp;$C13,'C. Gestión Pto #2'!$B$4:G$22,MATCH(H$5,'C. Gestión Pto #2'!$B$4:G$4,0),FALSE),0)</f>
        <v>0</v>
      </c>
      <c r="I13" s="733">
        <f>IFERROR(VLOOKUP($B13&amp;$C13,'C. Gestión Pto #2'!$B$4:H$22,MATCH(I$5,'C. Gestión Pto #2'!$B$4:H$4,0),FALSE),0)</f>
        <v>0</v>
      </c>
      <c r="J13" s="733">
        <f>IFERROR(VLOOKUP($B13&amp;$C13,'C. Gestión Pto #2'!$B$4:I$22,MATCH(J$5,'C. Gestión Pto #2'!$B$4:I$4,0),FALSE),0)</f>
        <v>0</v>
      </c>
      <c r="K13" s="773"/>
      <c r="L13" s="733" cm="1">
        <f t="array" ref="L13">SUMPRODUCT($D13:$K13,TRANSPOSE('Indice CAC'!$E$12:$E$19))</f>
        <v>0</v>
      </c>
      <c r="M13" s="774"/>
      <c r="N13" s="733">
        <f>IF(C13="MAT",SUMIF('Preventivo Costo CH2171 '!$A$61:$A$224,$B13,'Preventivo Costo CH2171 '!$I$61:$I$224),IF(C13="MO",SUMIF('Preventivo Costo CH2171 '!$A$61:$A$224,$B13,'Preventivo Costo CH2171 '!$L$61:$L$224),SUMIF('Preventivo Costo CH2171 '!$A$61:$A$224,$B13,'Preventivo Costo CH2171 '!$N$61:$N$224)))</f>
        <v>29218580.282547571</v>
      </c>
      <c r="O13" s="745"/>
      <c r="P13" s="736">
        <f t="shared" ref="P13:P31" si="5">IF(O13=100%,0,IF(OR(L13&lt;&gt;0,N13),N13-L13))</f>
        <v>29218580.282547571</v>
      </c>
      <c r="Q13" s="737">
        <f t="shared" ref="Q13:Q31" si="6">IF(OR(P13&lt;0,N13),P13/N13,0%)</f>
        <v>1</v>
      </c>
      <c r="R13" s="736">
        <f>IF(O13=100%,IF(OR(#REF!&lt;&gt;0,N13),N13-#REF!),0)</f>
        <v>0</v>
      </c>
    </row>
    <row r="14" spans="2:23" x14ac:dyDescent="0.35">
      <c r="B14" s="730" t="s">
        <v>467</v>
      </c>
      <c r="C14" s="731"/>
      <c r="D14" s="733">
        <f>IFERROR(VLOOKUP($B14&amp;$C14,'C. Gestión Pto #2'!$B$4:C$22,MATCH(D$5,'C. Gestión Pto #2'!$B$4:C$4,0),FALSE),0)</f>
        <v>0</v>
      </c>
      <c r="E14" s="733">
        <f>IFERROR(VLOOKUP($B14&amp;$C14,'C. Gestión Pto #2'!$B$4:D$22,MATCH(E$5,'C. Gestión Pto #2'!$B$4:D$4,0),FALSE),0)</f>
        <v>0</v>
      </c>
      <c r="F14" s="733">
        <f>IFERROR(VLOOKUP($B14&amp;$C14,'C. Gestión Pto #2'!$B$4:E$22,MATCH(F$5,'C. Gestión Pto #2'!$B$4:E$4,0),FALSE),0)</f>
        <v>0</v>
      </c>
      <c r="G14" s="733">
        <f>IFERROR(VLOOKUP($B14&amp;$C14,'C. Gestión Pto #2'!$B$4:F$22,MATCH(G$5,'C. Gestión Pto #2'!$B$4:F$4,0),FALSE),0)</f>
        <v>0</v>
      </c>
      <c r="H14" s="733">
        <f>IFERROR(VLOOKUP($B14&amp;$C14,'C. Gestión Pto #2'!$B$4:G$22,MATCH(H$5,'C. Gestión Pto #2'!$B$4:G$4,0),FALSE),0)</f>
        <v>0</v>
      </c>
      <c r="I14" s="733">
        <f>IFERROR(VLOOKUP($B14&amp;$C14,'C. Gestión Pto #2'!$B$4:H$22,MATCH(I$5,'C. Gestión Pto #2'!$B$4:H$4,0),FALSE),0)</f>
        <v>0</v>
      </c>
      <c r="J14" s="733">
        <f>IFERROR(VLOOKUP($B14&amp;$C14,'C. Gestión Pto #2'!$B$4:I$22,MATCH(J$5,'C. Gestión Pto #2'!$B$4:I$4,0),FALSE),0)</f>
        <v>0</v>
      </c>
      <c r="K14" s="773"/>
      <c r="L14" s="733" cm="1">
        <f t="array" ref="L14">SUMPRODUCT($D14:$K14,TRANSPOSE('Indice CAC'!$E$12:$E$19))</f>
        <v>0</v>
      </c>
      <c r="M14" s="774"/>
      <c r="N14" s="733">
        <f>IF(C14="MAT",SUMIF('Preventivo Costo CH2171 '!$A$61:$A$224,$B14,'Preventivo Costo CH2171 '!$I$61:$I$224),IF(C14="MO",SUMIF('Preventivo Costo CH2171 '!$A$61:$A$224,$B14,'Preventivo Costo CH2171 '!$L$61:$L$224),SUMIF('Preventivo Costo CH2171 '!$A$61:$A$224,$B14,'Preventivo Costo CH2171 '!$N$61:$N$224)))</f>
        <v>2700000</v>
      </c>
      <c r="O14" s="745"/>
      <c r="P14" s="736">
        <f t="shared" si="5"/>
        <v>2700000</v>
      </c>
      <c r="Q14" s="737">
        <f t="shared" si="6"/>
        <v>1</v>
      </c>
      <c r="R14" s="736">
        <f>IF(O14=100%,IF(OR(#REF!&lt;&gt;0,N14),N14-#REF!),0)</f>
        <v>0</v>
      </c>
    </row>
    <row r="15" spans="2:23" x14ac:dyDescent="0.35">
      <c r="B15" s="730" t="s">
        <v>469</v>
      </c>
      <c r="C15" s="731"/>
      <c r="D15" s="733">
        <f>IFERROR(VLOOKUP($B15&amp;$C15,'C. Gestión Pto #2'!$B$4:C$22,MATCH(D$5,'C. Gestión Pto #2'!$B$4:C$4,0),FALSE),0)</f>
        <v>0</v>
      </c>
      <c r="E15" s="733">
        <f>IFERROR(VLOOKUP($B15&amp;$C15,'C. Gestión Pto #2'!$B$4:D$22,MATCH(E$5,'C. Gestión Pto #2'!$B$4:D$4,0),FALSE),0)</f>
        <v>0</v>
      </c>
      <c r="F15" s="733">
        <f>IFERROR(VLOOKUP($B15&amp;$C15,'C. Gestión Pto #2'!$B$4:E$22,MATCH(F$5,'C. Gestión Pto #2'!$B$4:E$4,0),FALSE),0)</f>
        <v>0</v>
      </c>
      <c r="G15" s="733">
        <f>IFERROR(VLOOKUP($B15&amp;$C15,'C. Gestión Pto #2'!$B$4:F$22,MATCH(G$5,'C. Gestión Pto #2'!$B$4:F$4,0),FALSE),0)</f>
        <v>0</v>
      </c>
      <c r="H15" s="733">
        <f>IFERROR(VLOOKUP($B15&amp;$C15,'C. Gestión Pto #2'!$B$4:G$22,MATCH(H$5,'C. Gestión Pto #2'!$B$4:G$4,0),FALSE),0)</f>
        <v>0</v>
      </c>
      <c r="I15" s="733">
        <f>IFERROR(VLOOKUP($B15&amp;$C15,'C. Gestión Pto #2'!$B$4:H$22,MATCH(I$5,'C. Gestión Pto #2'!$B$4:H$4,0),FALSE),0)</f>
        <v>0</v>
      </c>
      <c r="J15" s="733">
        <f>IFERROR(VLOOKUP($B15&amp;$C15,'C. Gestión Pto #2'!$B$4:I$22,MATCH(J$5,'C. Gestión Pto #2'!$B$4:I$4,0),FALSE),0)</f>
        <v>0</v>
      </c>
      <c r="K15" s="773"/>
      <c r="L15" s="733" cm="1">
        <f t="array" ref="L15">SUMPRODUCT($D15:$K15,TRANSPOSE('Indice CAC'!$E$12:$E$19))</f>
        <v>0</v>
      </c>
      <c r="M15" s="774"/>
      <c r="N15" s="733">
        <f>IF(C15="MAT",SUMIF('Preventivo Costo CH2171 '!$A$61:$A$224,$B15,'Preventivo Costo CH2171 '!$I$61:$I$224),IF(C15="MO",SUMIF('Preventivo Costo CH2171 '!$A$61:$A$224,$B15,'Preventivo Costo CH2171 '!$L$61:$L$224),SUMIF('Preventivo Costo CH2171 '!$A$61:$A$224,$B15,'Preventivo Costo CH2171 '!$N$61:$N$224)))</f>
        <v>7200000</v>
      </c>
      <c r="O15" s="745"/>
      <c r="P15" s="736">
        <f t="shared" si="5"/>
        <v>7200000</v>
      </c>
      <c r="Q15" s="737">
        <f t="shared" si="6"/>
        <v>1</v>
      </c>
      <c r="R15" s="736">
        <f>IF(O15=100%,IF(OR(#REF!&lt;&gt;0,N15),N15-#REF!),0)</f>
        <v>0</v>
      </c>
    </row>
    <row r="16" spans="2:23" x14ac:dyDescent="0.35">
      <c r="B16" s="730" t="s">
        <v>468</v>
      </c>
      <c r="C16" s="731" t="s">
        <v>493</v>
      </c>
      <c r="D16" s="733">
        <f>IFERROR(VLOOKUP($B16&amp;$C16,'C. Gestión Pto #2'!$B$4:C$22,MATCH(D$5,'C. Gestión Pto #2'!$B$4:C$4,0),FALSE),0)</f>
        <v>0</v>
      </c>
      <c r="E16" s="733">
        <f>IFERROR(VLOOKUP($B16&amp;$C16,'C. Gestión Pto #2'!$B$4:D$22,MATCH(E$5,'C. Gestión Pto #2'!$B$4:D$4,0),FALSE),0)</f>
        <v>0</v>
      </c>
      <c r="F16" s="733">
        <f>IFERROR(VLOOKUP($B16&amp;$C16,'C. Gestión Pto #2'!$B$4:E$22,MATCH(F$5,'C. Gestión Pto #2'!$B$4:E$4,0),FALSE),0)</f>
        <v>0</v>
      </c>
      <c r="G16" s="733">
        <f>IFERROR(VLOOKUP($B16&amp;$C16,'C. Gestión Pto #2'!$B$4:F$22,MATCH(G$5,'C. Gestión Pto #2'!$B$4:F$4,0),FALSE),0)</f>
        <v>0</v>
      </c>
      <c r="H16" s="733">
        <f>IFERROR(VLOOKUP($B16&amp;$C16,'C. Gestión Pto #2'!$B$4:G$22,MATCH(H$5,'C. Gestión Pto #2'!$B$4:G$4,0),FALSE),0)</f>
        <v>0</v>
      </c>
      <c r="I16" s="733">
        <f>IFERROR(VLOOKUP($B16&amp;$C16,'C. Gestión Pto #2'!$B$4:H$22,MATCH(I$5,'C. Gestión Pto #2'!$B$4:H$4,0),FALSE),0)</f>
        <v>0</v>
      </c>
      <c r="J16" s="733">
        <f>IFERROR(VLOOKUP($B16&amp;$C16,'C. Gestión Pto #2'!$B$4:I$22,MATCH(J$5,'C. Gestión Pto #2'!$B$4:I$4,0),FALSE),0)</f>
        <v>0</v>
      </c>
      <c r="K16" s="773"/>
      <c r="L16" s="733" cm="1">
        <f t="array" ref="L16">SUMPRODUCT($D16:$K16,TRANSPOSE('Indice CAC'!$E$12:$E$19))</f>
        <v>0</v>
      </c>
      <c r="M16" s="774"/>
      <c r="N16" s="733">
        <f>IF(C16="MAT",SUMIF('Preventivo Costo CH2171 '!$A$61:$A$224,$B16,'Preventivo Costo CH2171 '!$I$61:$I$224),IF(C16="MO",SUMIF('Preventivo Costo CH2171 '!$A$61:$A$224,$B16,'Preventivo Costo CH2171 '!$L$61:$L$224),SUMIF('Preventivo Costo CH2171 '!$A$61:$A$224,$B16,'Preventivo Costo CH2171 '!$N$61:$N$224)))</f>
        <v>70873303.566892102</v>
      </c>
      <c r="O16" s="745"/>
      <c r="P16" s="736">
        <f t="shared" si="5"/>
        <v>70873303.566892102</v>
      </c>
      <c r="Q16" s="737">
        <f t="shared" si="6"/>
        <v>1</v>
      </c>
      <c r="R16" s="736">
        <f>IF(O16=100%,IF(OR(#REF!&lt;&gt;0,N16),N16-#REF!),0)</f>
        <v>0</v>
      </c>
    </row>
    <row r="17" spans="2:21" x14ac:dyDescent="0.35">
      <c r="B17" s="730" t="s">
        <v>468</v>
      </c>
      <c r="C17" s="731" t="s">
        <v>494</v>
      </c>
      <c r="D17" s="733">
        <f>IFERROR(VLOOKUP($B17&amp;$C17,'C. Gestión Pto #2'!$B$4:C$22,MATCH(D$5,'C. Gestión Pto #2'!$B$4:C$4,0),FALSE),0)</f>
        <v>0</v>
      </c>
      <c r="E17" s="733">
        <f>IFERROR(VLOOKUP($B17&amp;$C17,'C. Gestión Pto #2'!$B$4:D$22,MATCH(E$5,'C. Gestión Pto #2'!$B$4:D$4,0),FALSE),0)</f>
        <v>0</v>
      </c>
      <c r="F17" s="733">
        <f>IFERROR(VLOOKUP($B17&amp;$C17,'C. Gestión Pto #2'!$B$4:E$22,MATCH(F$5,'C. Gestión Pto #2'!$B$4:E$4,0),FALSE),0)</f>
        <v>0</v>
      </c>
      <c r="G17" s="733">
        <f>IFERROR(VLOOKUP($B17&amp;$C17,'C. Gestión Pto #2'!$B$4:F$22,MATCH(G$5,'C. Gestión Pto #2'!$B$4:F$4,0),FALSE),0)</f>
        <v>0</v>
      </c>
      <c r="H17" s="733">
        <f>IFERROR(VLOOKUP($B17&amp;$C17,'C. Gestión Pto #2'!$B$4:G$22,MATCH(H$5,'C. Gestión Pto #2'!$B$4:G$4,0),FALSE),0)</f>
        <v>0</v>
      </c>
      <c r="I17" s="733">
        <f>IFERROR(VLOOKUP($B17&amp;$C17,'C. Gestión Pto #2'!$B$4:H$22,MATCH(I$5,'C. Gestión Pto #2'!$B$4:H$4,0),FALSE),0)</f>
        <v>0</v>
      </c>
      <c r="J17" s="733">
        <f>IFERROR(VLOOKUP($B17&amp;$C17,'C. Gestión Pto #2'!$B$4:I$22,MATCH(J$5,'C. Gestión Pto #2'!$B$4:I$4,0),FALSE),0)</f>
        <v>0</v>
      </c>
      <c r="K17" s="773"/>
      <c r="L17" s="733" cm="1">
        <f t="array" ref="L17">SUMPRODUCT($D17:$K17,TRANSPOSE('Indice CAC'!$E$12:$E$19))</f>
        <v>0</v>
      </c>
      <c r="M17" s="774"/>
      <c r="N17" s="733">
        <f>IF(C17="MAT",SUMIF('Preventivo Costo CH2171 '!$A$61:$A$224,$B17,'Preventivo Costo CH2171 '!$I$61:$I$224),IF(C17="MO",SUMIF('Preventivo Costo CH2171 '!$A$61:$A$224,$B17,'Preventivo Costo CH2171 '!$L$61:$L$224),SUMIF('Preventivo Costo CH2171 '!$A$61:$A$224,$B17,'Preventivo Costo CH2171 '!$N$61:$N$224)))</f>
        <v>152721967.59466109</v>
      </c>
      <c r="O17" s="745"/>
      <c r="P17" s="736">
        <f t="shared" si="5"/>
        <v>152721967.59466109</v>
      </c>
      <c r="Q17" s="737">
        <f t="shared" si="6"/>
        <v>1</v>
      </c>
      <c r="R17" s="736">
        <f>IF(O17=100%,IF(OR(#REF!&lt;&gt;0,N17),N17-#REF!),0)</f>
        <v>0</v>
      </c>
      <c r="U17" s="785"/>
    </row>
    <row r="18" spans="2:21" x14ac:dyDescent="0.35">
      <c r="B18" s="730" t="s">
        <v>471</v>
      </c>
      <c r="C18" s="731" t="s">
        <v>493</v>
      </c>
      <c r="D18" s="733">
        <f>IFERROR(VLOOKUP($B18&amp;$C18,'C. Gestión Pto #2'!$B$4:C$22,MATCH(D$5,'C. Gestión Pto #2'!$B$4:C$4,0),FALSE),0)</f>
        <v>0</v>
      </c>
      <c r="E18" s="733">
        <f>IFERROR(VLOOKUP($B18&amp;$C18,'C. Gestión Pto #2'!$B$4:D$22,MATCH(E$5,'C. Gestión Pto #2'!$B$4:D$4,0),FALSE),0)</f>
        <v>0</v>
      </c>
      <c r="F18" s="733">
        <f>IFERROR(VLOOKUP($B18&amp;$C18,'C. Gestión Pto #2'!$B$4:E$22,MATCH(F$5,'C. Gestión Pto #2'!$B$4:E$4,0),FALSE),0)</f>
        <v>0</v>
      </c>
      <c r="G18" s="733">
        <f>IFERROR(VLOOKUP($B18&amp;$C18,'C. Gestión Pto #2'!$B$4:F$22,MATCH(G$5,'C. Gestión Pto #2'!$B$4:F$4,0),FALSE),0)</f>
        <v>0</v>
      </c>
      <c r="H18" s="733">
        <f>IFERROR(VLOOKUP($B18&amp;$C18,'C. Gestión Pto #2'!$B$4:G$22,MATCH(H$5,'C. Gestión Pto #2'!$B$4:G$4,0),FALSE),0)</f>
        <v>0</v>
      </c>
      <c r="I18" s="733">
        <f>IFERROR(VLOOKUP($B18&amp;$C18,'C. Gestión Pto #2'!$B$4:H$22,MATCH(I$5,'C. Gestión Pto #2'!$B$4:H$4,0),FALSE),0)</f>
        <v>0</v>
      </c>
      <c r="J18" s="733">
        <f>IFERROR(VLOOKUP($B18&amp;$C18,'C. Gestión Pto #2'!$B$4:I$22,MATCH(J$5,'C. Gestión Pto #2'!$B$4:I$4,0),FALSE),0)</f>
        <v>0</v>
      </c>
      <c r="K18" s="773"/>
      <c r="L18" s="733" cm="1">
        <f t="array" ref="L18">SUMPRODUCT($D18:$K18,TRANSPOSE('Indice CAC'!$E$12:$E$19))</f>
        <v>0</v>
      </c>
      <c r="M18" s="774"/>
      <c r="N18" s="733">
        <f>IF(C18="MAT",SUMIF('Preventivo Costo CH2171 '!$A$61:$A$224,$B18,'Preventivo Costo CH2171 '!$I$61:$I$224),IF(C18="MO",SUMIF('Preventivo Costo CH2171 '!$A$61:$A$224,$B18,'Preventivo Costo CH2171 '!$L$61:$L$224),SUMIF('Preventivo Costo CH2171 '!$A$61:$A$224,$B18,'Preventivo Costo CH2171 '!$N$61:$N$224)))</f>
        <v>21396457.004472412</v>
      </c>
      <c r="O18" s="745"/>
      <c r="P18" s="736">
        <f t="shared" si="5"/>
        <v>21396457.004472412</v>
      </c>
      <c r="Q18" s="737">
        <f t="shared" si="6"/>
        <v>1</v>
      </c>
      <c r="R18" s="736">
        <f>IF(O18=100%,IF(OR(#REF!&lt;&gt;0,N18),N18-#REF!),0)</f>
        <v>0</v>
      </c>
    </row>
    <row r="19" spans="2:21" x14ac:dyDescent="0.35">
      <c r="B19" s="730" t="s">
        <v>471</v>
      </c>
      <c r="C19" s="731" t="s">
        <v>494</v>
      </c>
      <c r="D19" s="733">
        <f>IFERROR(VLOOKUP($B19&amp;$C19,'C. Gestión Pto #2'!$B$4:C$22,MATCH(D$5,'C. Gestión Pto #2'!$B$4:C$4,0),FALSE),0)</f>
        <v>0</v>
      </c>
      <c r="E19" s="733">
        <f>IFERROR(VLOOKUP($B19&amp;$C19,'C. Gestión Pto #2'!$B$4:D$22,MATCH(E$5,'C. Gestión Pto #2'!$B$4:D$4,0),FALSE),0)</f>
        <v>0</v>
      </c>
      <c r="F19" s="733">
        <f>IFERROR(VLOOKUP($B19&amp;$C19,'C. Gestión Pto #2'!$B$4:E$22,MATCH(F$5,'C. Gestión Pto #2'!$B$4:E$4,0),FALSE),0)</f>
        <v>0</v>
      </c>
      <c r="G19" s="733">
        <f>IFERROR(VLOOKUP($B19&amp;$C19,'C. Gestión Pto #2'!$B$4:F$22,MATCH(G$5,'C. Gestión Pto #2'!$B$4:F$4,0),FALSE),0)</f>
        <v>0</v>
      </c>
      <c r="H19" s="733">
        <f>IFERROR(VLOOKUP($B19&amp;$C19,'C. Gestión Pto #2'!$B$4:G$22,MATCH(H$5,'C. Gestión Pto #2'!$B$4:G$4,0),FALSE),0)</f>
        <v>0</v>
      </c>
      <c r="I19" s="733">
        <f>IFERROR(VLOOKUP($B19&amp;$C19,'C. Gestión Pto #2'!$B$4:H$22,MATCH(I$5,'C. Gestión Pto #2'!$B$4:H$4,0),FALSE),0)</f>
        <v>0</v>
      </c>
      <c r="J19" s="733">
        <f>IFERROR(VLOOKUP($B19&amp;$C19,'C. Gestión Pto #2'!$B$4:I$22,MATCH(J$5,'C. Gestión Pto #2'!$B$4:I$4,0),FALSE),0)</f>
        <v>0</v>
      </c>
      <c r="K19" s="773"/>
      <c r="L19" s="733" cm="1">
        <f t="array" ref="L19">SUMPRODUCT($D19:$K19,TRANSPOSE('Indice CAC'!$E$12:$E$19))</f>
        <v>0</v>
      </c>
      <c r="M19" s="774"/>
      <c r="N19" s="733">
        <f>IF(C19="MAT",SUMIF('Preventivo Costo CH2171 '!$A$61:$A$224,$B19,'Preventivo Costo CH2171 '!$I$61:$I$224),IF(C19="MO",SUMIF('Preventivo Costo CH2171 '!$A$61:$A$224,$B19,'Preventivo Costo CH2171 '!$L$61:$L$224),SUMIF('Preventivo Costo CH2171 '!$A$61:$A$224,$B19,'Preventivo Costo CH2171 '!$N$61:$N$224)))</f>
        <v>55470003.394792557</v>
      </c>
      <c r="O19" s="745"/>
      <c r="P19" s="736">
        <f t="shared" si="5"/>
        <v>55470003.394792557</v>
      </c>
      <c r="Q19" s="737">
        <f t="shared" si="6"/>
        <v>1</v>
      </c>
      <c r="R19" s="736">
        <f>IF(O19=100%,IF(OR(#REF!&lt;&gt;0,N19),N19-#REF!),0)</f>
        <v>0</v>
      </c>
    </row>
    <row r="20" spans="2:21" x14ac:dyDescent="0.35">
      <c r="B20" s="730" t="s">
        <v>473</v>
      </c>
      <c r="C20" s="747" t="s">
        <v>493</v>
      </c>
      <c r="D20" s="733">
        <f>IFERROR(VLOOKUP($B20&amp;$C20,'C. Gestión Pto #2'!$B$4:C$22,MATCH(D$5,'C. Gestión Pto #2'!$B$4:C$4,0),FALSE),0)</f>
        <v>0</v>
      </c>
      <c r="E20" s="733">
        <f>IFERROR(VLOOKUP($B20&amp;$C20,'C. Gestión Pto #2'!$B$4:D$22,MATCH(E$5,'C. Gestión Pto #2'!$B$4:D$4,0),FALSE),0)</f>
        <v>0</v>
      </c>
      <c r="F20" s="733">
        <f>IFERROR(VLOOKUP($B20&amp;$C20,'C. Gestión Pto #2'!$B$4:E$22,MATCH(F$5,'C. Gestión Pto #2'!$B$4:E$4,0),FALSE),0)</f>
        <v>0</v>
      </c>
      <c r="G20" s="733">
        <f>IFERROR(VLOOKUP($B20&amp;$C20,'C. Gestión Pto #2'!$B$4:F$22,MATCH(G$5,'C. Gestión Pto #2'!$B$4:F$4,0),FALSE),0)</f>
        <v>0</v>
      </c>
      <c r="H20" s="733">
        <f>IFERROR(VLOOKUP($B20&amp;$C20,'C. Gestión Pto #2'!$B$4:G$22,MATCH(H$5,'C. Gestión Pto #2'!$B$4:G$4,0),FALSE),0)</f>
        <v>0</v>
      </c>
      <c r="I20" s="733">
        <f>IFERROR(VLOOKUP($B20&amp;$C20,'C. Gestión Pto #2'!$B$4:H$22,MATCH(I$5,'C. Gestión Pto #2'!$B$4:H$4,0),FALSE),0)</f>
        <v>0</v>
      </c>
      <c r="J20" s="733">
        <f>IFERROR(VLOOKUP($B20&amp;$C20,'C. Gestión Pto #2'!$B$4:I$22,MATCH(J$5,'C. Gestión Pto #2'!$B$4:I$4,0),FALSE),0)</f>
        <v>0</v>
      </c>
      <c r="K20" s="773"/>
      <c r="L20" s="733" cm="1">
        <f t="array" ref="L20">SUMPRODUCT($D20:$K20,TRANSPOSE('Indice CAC'!$E$12:$E$19))</f>
        <v>0</v>
      </c>
      <c r="M20" s="774"/>
      <c r="N20" s="733">
        <f>IF(C20="MAT",SUMIF('Preventivo Costo CH2171 '!$A$61:$A$224,$B20,'Preventivo Costo CH2171 '!$I$61:$I$224),IF(C20="MO",SUMIF('Preventivo Costo CH2171 '!$A$61:$A$224,$B20,'Preventivo Costo CH2171 '!$L$61:$L$224),SUMIF('Preventivo Costo CH2171 '!$A$61:$A$224,$B20,'Preventivo Costo CH2171 '!$N$61:$N$224)))</f>
        <v>29509901.219396427</v>
      </c>
      <c r="O20" s="745"/>
      <c r="P20" s="736">
        <f t="shared" si="5"/>
        <v>29509901.219396427</v>
      </c>
      <c r="Q20" s="737">
        <f t="shared" si="6"/>
        <v>1</v>
      </c>
      <c r="R20" s="736">
        <f>IF(O20=100%,IF(OR(#REF!&lt;&gt;0,N20),N20-#REF!),0)</f>
        <v>0</v>
      </c>
    </row>
    <row r="21" spans="2:21" x14ac:dyDescent="0.35">
      <c r="B21" s="730" t="s">
        <v>473</v>
      </c>
      <c r="C21" s="747" t="s">
        <v>494</v>
      </c>
      <c r="D21" s="733">
        <f>IFERROR(VLOOKUP($B21&amp;$C21,'C. Gestión Pto #2'!$B$4:C$22,MATCH(D$5,'C. Gestión Pto #2'!$B$4:C$4,0),FALSE),0)</f>
        <v>0</v>
      </c>
      <c r="E21" s="733">
        <f>IFERROR(VLOOKUP($B21&amp;$C21,'C. Gestión Pto #2'!$B$4:D$22,MATCH(E$5,'C. Gestión Pto #2'!$B$4:D$4,0),FALSE),0)</f>
        <v>0</v>
      </c>
      <c r="F21" s="733">
        <f>IFERROR(VLOOKUP($B21&amp;$C21,'C. Gestión Pto #2'!$B$4:E$22,MATCH(F$5,'C. Gestión Pto #2'!$B$4:E$4,0),FALSE),0)</f>
        <v>0</v>
      </c>
      <c r="G21" s="733">
        <f>IFERROR(VLOOKUP($B21&amp;$C21,'C. Gestión Pto #2'!$B$4:F$22,MATCH(G$5,'C. Gestión Pto #2'!$B$4:F$4,0),FALSE),0)</f>
        <v>0</v>
      </c>
      <c r="H21" s="733">
        <f>IFERROR(VLOOKUP($B21&amp;$C21,'C. Gestión Pto #2'!$B$4:G$22,MATCH(H$5,'C. Gestión Pto #2'!$B$4:G$4,0),FALSE),0)</f>
        <v>0</v>
      </c>
      <c r="I21" s="733">
        <f>IFERROR(VLOOKUP($B21&amp;$C21,'C. Gestión Pto #2'!$B$4:H$22,MATCH(I$5,'C. Gestión Pto #2'!$B$4:H$4,0),FALSE),0)</f>
        <v>0</v>
      </c>
      <c r="J21" s="733">
        <f>IFERROR(VLOOKUP($B21&amp;$C21,'C. Gestión Pto #2'!$B$4:I$22,MATCH(J$5,'C. Gestión Pto #2'!$B$4:I$4,0),FALSE),0)</f>
        <v>0</v>
      </c>
      <c r="K21" s="773"/>
      <c r="L21" s="733" cm="1">
        <f t="array" ref="L21">SUMPRODUCT($D21:$K21,TRANSPOSE('Indice CAC'!$E$12:$E$19))</f>
        <v>0</v>
      </c>
      <c r="M21" s="774"/>
      <c r="N21" s="733">
        <f>IF(C21="MAT",SUMIF('Preventivo Costo CH2171 '!$A$61:$A$224,$B21,'Preventivo Costo CH2171 '!$I$61:$I$224),IF(C21="MO",SUMIF('Preventivo Costo CH2171 '!$A$61:$A$224,$B21,'Preventivo Costo CH2171 '!$L$61:$L$224),SUMIF('Preventivo Costo CH2171 '!$A$61:$A$224,$B21,'Preventivo Costo CH2171 '!$N$61:$N$224)))</f>
        <v>60159231.557593606</v>
      </c>
      <c r="O21" s="745"/>
      <c r="P21" s="736">
        <f t="shared" si="5"/>
        <v>60159231.557593606</v>
      </c>
      <c r="Q21" s="737">
        <f t="shared" si="6"/>
        <v>1</v>
      </c>
      <c r="R21" s="736">
        <f>IF(O21=100%,IF(OR(#REF!&lt;&gt;0,N21),N21-#REF!),0)</f>
        <v>0</v>
      </c>
    </row>
    <row r="22" spans="2:21" x14ac:dyDescent="0.35">
      <c r="B22" s="730" t="s">
        <v>472</v>
      </c>
      <c r="C22" s="747" t="s">
        <v>493</v>
      </c>
      <c r="D22" s="733">
        <f>IFERROR(VLOOKUP($B22&amp;$C22,'C. Gestión Pto #2'!$B$4:C$22,MATCH(D$5,'C. Gestión Pto #2'!$B$4:C$4,0),FALSE),0)</f>
        <v>0</v>
      </c>
      <c r="E22" s="733">
        <f>IFERROR(VLOOKUP($B22&amp;$C22,'C. Gestión Pto #2'!$B$4:D$22,MATCH(E$5,'C. Gestión Pto #2'!$B$4:D$4,0),FALSE),0)</f>
        <v>0</v>
      </c>
      <c r="F22" s="733">
        <f>IFERROR(VLOOKUP($B22&amp;$C22,'C. Gestión Pto #2'!$B$4:E$22,MATCH(F$5,'C. Gestión Pto #2'!$B$4:E$4,0),FALSE),0)</f>
        <v>0</v>
      </c>
      <c r="G22" s="733">
        <f>IFERROR(VLOOKUP($B22&amp;$C22,'C. Gestión Pto #2'!$B$4:F$22,MATCH(G$5,'C. Gestión Pto #2'!$B$4:F$4,0),FALSE),0)</f>
        <v>0</v>
      </c>
      <c r="H22" s="733">
        <f>IFERROR(VLOOKUP($B22&amp;$C22,'C. Gestión Pto #2'!$B$4:G$22,MATCH(H$5,'C. Gestión Pto #2'!$B$4:G$4,0),FALSE),0)</f>
        <v>0</v>
      </c>
      <c r="I22" s="733">
        <f>IFERROR(VLOOKUP($B22&amp;$C22,'C. Gestión Pto #2'!$B$4:H$22,MATCH(I$5,'C. Gestión Pto #2'!$B$4:H$4,0),FALSE),0)</f>
        <v>0</v>
      </c>
      <c r="J22" s="733">
        <f>IFERROR(VLOOKUP($B22&amp;$C22,'C. Gestión Pto #2'!$B$4:I$22,MATCH(J$5,'C. Gestión Pto #2'!$B$4:I$4,0),FALSE),0)</f>
        <v>0</v>
      </c>
      <c r="K22" s="773"/>
      <c r="L22" s="733" cm="1">
        <f t="array" ref="L22">SUMPRODUCT($D22:$K22,TRANSPOSE('Indice CAC'!$E$12:$E$19))</f>
        <v>0</v>
      </c>
      <c r="M22" s="774"/>
      <c r="N22" s="733">
        <f>IF(C22="MAT",SUMIF('Preventivo Costo CH2171 '!$A$61:$A$224,$B22,'Preventivo Costo CH2171 '!$I$61:$I$224),IF(C22="MO",SUMIF('Preventivo Costo CH2171 '!$A$61:$A$224,$B22,'Preventivo Costo CH2171 '!$L$61:$L$224),SUMIF('Preventivo Costo CH2171 '!$A$61:$A$224,$B22,'Preventivo Costo CH2171 '!$N$61:$N$224)))</f>
        <v>17485064.466976821</v>
      </c>
      <c r="O22" s="745"/>
      <c r="P22" s="736">
        <f t="shared" si="5"/>
        <v>17485064.466976821</v>
      </c>
      <c r="Q22" s="737">
        <f t="shared" si="6"/>
        <v>1</v>
      </c>
      <c r="R22" s="736">
        <f>IF(O22=100%,IF(OR(#REF!&lt;&gt;0,N22),N22-#REF!),0)</f>
        <v>0</v>
      </c>
    </row>
    <row r="23" spans="2:21" x14ac:dyDescent="0.35">
      <c r="B23" s="730" t="s">
        <v>472</v>
      </c>
      <c r="C23" s="747" t="s">
        <v>494</v>
      </c>
      <c r="D23" s="733">
        <f>IFERROR(VLOOKUP($B23&amp;$C23,'C. Gestión Pto #2'!$B$4:C$22,MATCH(D$5,'C. Gestión Pto #2'!$B$4:C$4,0),FALSE),0)</f>
        <v>0</v>
      </c>
      <c r="E23" s="733">
        <f>IFERROR(VLOOKUP($B23&amp;$C23,'C. Gestión Pto #2'!$B$4:D$22,MATCH(E$5,'C. Gestión Pto #2'!$B$4:D$4,0),FALSE),0)</f>
        <v>0</v>
      </c>
      <c r="F23" s="733">
        <f>IFERROR(VLOOKUP($B23&amp;$C23,'C. Gestión Pto #2'!$B$4:E$22,MATCH(F$5,'C. Gestión Pto #2'!$B$4:E$4,0),FALSE),0)</f>
        <v>0</v>
      </c>
      <c r="G23" s="733">
        <f>IFERROR(VLOOKUP($B23&amp;$C23,'C. Gestión Pto #2'!$B$4:F$22,MATCH(G$5,'C. Gestión Pto #2'!$B$4:F$4,0),FALSE),0)</f>
        <v>0</v>
      </c>
      <c r="H23" s="733">
        <f>IFERROR(VLOOKUP($B23&amp;$C23,'C. Gestión Pto #2'!$B$4:G$22,MATCH(H$5,'C. Gestión Pto #2'!$B$4:G$4,0),FALSE),0)</f>
        <v>0</v>
      </c>
      <c r="I23" s="733">
        <f>IFERROR(VLOOKUP($B23&amp;$C23,'C. Gestión Pto #2'!$B$4:H$22,MATCH(I$5,'C. Gestión Pto #2'!$B$4:H$4,0),FALSE),0)</f>
        <v>0</v>
      </c>
      <c r="J23" s="733">
        <f>IFERROR(VLOOKUP($B23&amp;$C23,'C. Gestión Pto #2'!$B$4:I$22,MATCH(J$5,'C. Gestión Pto #2'!$B$4:I$4,0),FALSE),0)</f>
        <v>0</v>
      </c>
      <c r="K23" s="773"/>
      <c r="L23" s="733" cm="1">
        <f t="array" ref="L23">SUMPRODUCT($D23:$K23,TRANSPOSE('Indice CAC'!$E$12:$E$19))</f>
        <v>0</v>
      </c>
      <c r="M23" s="774"/>
      <c r="N23" s="733">
        <f>IF(C23="MAT",SUMIF('Preventivo Costo CH2171 '!$A$61:$A$224,$B23,'Preventivo Costo CH2171 '!$I$61:$I$224),IF(C23="MO",SUMIF('Preventivo Costo CH2171 '!$A$61:$A$224,$B23,'Preventivo Costo CH2171 '!$L$61:$L$224),SUMIF('Preventivo Costo CH2171 '!$A$61:$A$224,$B23,'Preventivo Costo CH2171 '!$N$61:$N$224)))</f>
        <v>35274698.859561667</v>
      </c>
      <c r="O23" s="745"/>
      <c r="P23" s="736">
        <f t="shared" si="5"/>
        <v>35274698.859561667</v>
      </c>
      <c r="Q23" s="737">
        <f t="shared" si="6"/>
        <v>1</v>
      </c>
      <c r="R23" s="736">
        <f>IF(O23=100%,IF(OR(#REF!&lt;&gt;0,N23),N23-#REF!),0)</f>
        <v>0</v>
      </c>
    </row>
    <row r="24" spans="2:21" x14ac:dyDescent="0.35">
      <c r="B24" s="730" t="s">
        <v>474</v>
      </c>
      <c r="C24" s="747" t="s">
        <v>493</v>
      </c>
      <c r="D24" s="733">
        <f>IFERROR(VLOOKUP($B24&amp;$C24,'C. Gestión Pto #2'!$B$4:C$22,MATCH(D$5,'C. Gestión Pto #2'!$B$4:C$4,0),FALSE),0)</f>
        <v>0</v>
      </c>
      <c r="E24" s="733">
        <f>IFERROR(VLOOKUP($B24&amp;$C24,'C. Gestión Pto #2'!$B$4:D$22,MATCH(E$5,'C. Gestión Pto #2'!$B$4:D$4,0),FALSE),0)</f>
        <v>0</v>
      </c>
      <c r="F24" s="733">
        <f>IFERROR(VLOOKUP($B24&amp;$C24,'C. Gestión Pto #2'!$B$4:E$22,MATCH(F$5,'C. Gestión Pto #2'!$B$4:E$4,0),FALSE),0)</f>
        <v>0</v>
      </c>
      <c r="G24" s="733">
        <f>IFERROR(VLOOKUP($B24&amp;$C24,'C. Gestión Pto #2'!$B$4:F$22,MATCH(G$5,'C. Gestión Pto #2'!$B$4:F$4,0),FALSE),0)</f>
        <v>0</v>
      </c>
      <c r="H24" s="733">
        <f>IFERROR(VLOOKUP($B24&amp;$C24,'C. Gestión Pto #2'!$B$4:G$22,MATCH(H$5,'C. Gestión Pto #2'!$B$4:G$4,0),FALSE),0)</f>
        <v>0</v>
      </c>
      <c r="I24" s="733">
        <f>IFERROR(VLOOKUP($B24&amp;$C24,'C. Gestión Pto #2'!$B$4:H$22,MATCH(I$5,'C. Gestión Pto #2'!$B$4:H$4,0),FALSE),0)</f>
        <v>0</v>
      </c>
      <c r="J24" s="733">
        <f>IFERROR(VLOOKUP($B24&amp;$C24,'C. Gestión Pto #2'!$B$4:I$22,MATCH(J$5,'C. Gestión Pto #2'!$B$4:I$4,0),FALSE),0)</f>
        <v>0</v>
      </c>
      <c r="K24" s="773"/>
      <c r="L24" s="733" cm="1">
        <f t="array" ref="L24">SUMPRODUCT($D24:$K24,TRANSPOSE('Indice CAC'!$E$12:$E$19))</f>
        <v>0</v>
      </c>
      <c r="M24" s="774"/>
      <c r="N24" s="733">
        <f>IF(C24="MAT",SUMIF('Preventivo Costo CH2171 '!$A$61:$A$224,$B24,'Preventivo Costo CH2171 '!$I$61:$I$224),IF(C24="MO",SUMIF('Preventivo Costo CH2171 '!$A$61:$A$224,$B24,'Preventivo Costo CH2171 '!$L$61:$L$224),SUMIF('Preventivo Costo CH2171 '!$A$61:$A$224,$B24,'Preventivo Costo CH2171 '!$N$61:$N$224)))</f>
        <v>37575178.148679607</v>
      </c>
      <c r="O24" s="745"/>
      <c r="P24" s="736">
        <f t="shared" si="5"/>
        <v>37575178.148679607</v>
      </c>
      <c r="Q24" s="737">
        <f t="shared" si="6"/>
        <v>1</v>
      </c>
      <c r="R24" s="736">
        <f>IF(O24=100%,IF(OR(#REF!&lt;&gt;0,N24),N24-#REF!),0)</f>
        <v>0</v>
      </c>
    </row>
    <row r="25" spans="2:21" x14ac:dyDescent="0.35">
      <c r="B25" s="730" t="s">
        <v>474</v>
      </c>
      <c r="C25" s="747" t="s">
        <v>494</v>
      </c>
      <c r="D25" s="733">
        <f>IFERROR(VLOOKUP($B25&amp;$C25,'C. Gestión Pto #2'!$B$4:C$22,MATCH(D$5,'C. Gestión Pto #2'!$B$4:C$4,0),FALSE),0)</f>
        <v>0</v>
      </c>
      <c r="E25" s="733">
        <f>IFERROR(VLOOKUP($B25&amp;$C25,'C. Gestión Pto #2'!$B$4:D$22,MATCH(E$5,'C. Gestión Pto #2'!$B$4:D$4,0),FALSE),0)</f>
        <v>0</v>
      </c>
      <c r="F25" s="733">
        <f>IFERROR(VLOOKUP($B25&amp;$C25,'C. Gestión Pto #2'!$B$4:E$22,MATCH(F$5,'C. Gestión Pto #2'!$B$4:E$4,0),FALSE),0)</f>
        <v>0</v>
      </c>
      <c r="G25" s="733">
        <f>IFERROR(VLOOKUP($B25&amp;$C25,'C. Gestión Pto #2'!$B$4:F$22,MATCH(G$5,'C. Gestión Pto #2'!$B$4:F$4,0),FALSE),0)</f>
        <v>0</v>
      </c>
      <c r="H25" s="733">
        <f>IFERROR(VLOOKUP($B25&amp;$C25,'C. Gestión Pto #2'!$B$4:G$22,MATCH(H$5,'C. Gestión Pto #2'!$B$4:G$4,0),FALSE),0)</f>
        <v>0</v>
      </c>
      <c r="I25" s="733">
        <f>IFERROR(VLOOKUP($B25&amp;$C25,'C. Gestión Pto #2'!$B$4:H$22,MATCH(I$5,'C. Gestión Pto #2'!$B$4:H$4,0),FALSE),0)</f>
        <v>0</v>
      </c>
      <c r="J25" s="733">
        <f>IFERROR(VLOOKUP($B25&amp;$C25,'C. Gestión Pto #2'!$B$4:I$22,MATCH(J$5,'C. Gestión Pto #2'!$B$4:I$4,0),FALSE),0)</f>
        <v>0</v>
      </c>
      <c r="K25" s="773"/>
      <c r="L25" s="733" cm="1">
        <f t="array" ref="L25">SUMPRODUCT($D25:$K25,TRANSPOSE('Indice CAC'!$E$12:$E$19))</f>
        <v>0</v>
      </c>
      <c r="M25" s="774"/>
      <c r="N25" s="733">
        <f>IF(C25="MAT",SUMIF('Preventivo Costo CH2171 '!$A$61:$A$224,$B25,'Preventivo Costo CH2171 '!$I$61:$I$224),IF(C25="MO",SUMIF('Preventivo Costo CH2171 '!$A$61:$A$224,$B25,'Preventivo Costo CH2171 '!$L$61:$L$224),SUMIF('Preventivo Costo CH2171 '!$A$61:$A$224,$B25,'Preventivo Costo CH2171 '!$N$61:$N$224)))</f>
        <v>64414414.643505052</v>
      </c>
      <c r="O25" s="745"/>
      <c r="P25" s="736">
        <f t="shared" si="5"/>
        <v>64414414.643505052</v>
      </c>
      <c r="Q25" s="737">
        <f t="shared" si="6"/>
        <v>1</v>
      </c>
      <c r="R25" s="736">
        <f>IF(O25=100%,IF(OR(#REF!&lt;&gt;0,N25),N25-#REF!),0)</f>
        <v>0</v>
      </c>
    </row>
    <row r="26" spans="2:21" x14ac:dyDescent="0.35">
      <c r="B26" s="730" t="s">
        <v>475</v>
      </c>
      <c r="C26" s="747" t="s">
        <v>493</v>
      </c>
      <c r="D26" s="733">
        <f>IFERROR(VLOOKUP($B26&amp;$C26,'C. Gestión Pto #2'!$B$4:C$22,MATCH(D$5,'C. Gestión Pto #2'!$B$4:C$4,0),FALSE),0)</f>
        <v>0</v>
      </c>
      <c r="E26" s="733">
        <f>IFERROR(VLOOKUP($B26&amp;$C26,'C. Gestión Pto #2'!$B$4:D$22,MATCH(E$5,'C. Gestión Pto #2'!$B$4:D$4,0),FALSE),0)</f>
        <v>0</v>
      </c>
      <c r="F26" s="733">
        <f>IFERROR(VLOOKUP($B26&amp;$C26,'C. Gestión Pto #2'!$B$4:E$22,MATCH(F$5,'C. Gestión Pto #2'!$B$4:E$4,0),FALSE),0)</f>
        <v>0</v>
      </c>
      <c r="G26" s="733">
        <f>IFERROR(VLOOKUP($B26&amp;$C26,'C. Gestión Pto #2'!$B$4:F$22,MATCH(G$5,'C. Gestión Pto #2'!$B$4:F$4,0),FALSE),0)</f>
        <v>0</v>
      </c>
      <c r="H26" s="733">
        <f>IFERROR(VLOOKUP($B26&amp;$C26,'C. Gestión Pto #2'!$B$4:G$22,MATCH(H$5,'C. Gestión Pto #2'!$B$4:G$4,0),FALSE),0)</f>
        <v>0</v>
      </c>
      <c r="I26" s="733">
        <f>IFERROR(VLOOKUP($B26&amp;$C26,'C. Gestión Pto #2'!$B$4:H$22,MATCH(I$5,'C. Gestión Pto #2'!$B$4:H$4,0),FALSE),0)</f>
        <v>0</v>
      </c>
      <c r="J26" s="733">
        <f>IFERROR(VLOOKUP($B26&amp;$C26,'C. Gestión Pto #2'!$B$4:I$22,MATCH(J$5,'C. Gestión Pto #2'!$B$4:I$4,0),FALSE),0)</f>
        <v>0</v>
      </c>
      <c r="K26" s="773"/>
      <c r="L26" s="733" cm="1">
        <f t="array" ref="L26">SUMPRODUCT($D26:$K26,TRANSPOSE('Indice CAC'!$E$12:$E$19))</f>
        <v>0</v>
      </c>
      <c r="M26" s="774"/>
      <c r="N26" s="733">
        <f>IF(C26="MAT",SUMIF('Preventivo Costo CH2171 '!$A$61:$A$224,$B26,'Preventivo Costo CH2171 '!$I$61:$I$224),IF(C26="MO",SUMIF('Preventivo Costo CH2171 '!$A$61:$A$224,$B26,'Preventivo Costo CH2171 '!$L$61:$L$224),SUMIF('Preventivo Costo CH2171 '!$A$61:$A$224,$B26,'Preventivo Costo CH2171 '!$N$61:$N$224)))</f>
        <v>25266705.466329366</v>
      </c>
      <c r="O26" s="745"/>
      <c r="P26" s="736">
        <f t="shared" si="5"/>
        <v>25266705.466329366</v>
      </c>
      <c r="Q26" s="737">
        <f t="shared" si="6"/>
        <v>1</v>
      </c>
      <c r="R26" s="736">
        <f>IF(O26=100%,IF(OR(#REF!&lt;&gt;0,N26),N26-#REF!),0)</f>
        <v>0</v>
      </c>
    </row>
    <row r="27" spans="2:21" x14ac:dyDescent="0.35">
      <c r="B27" s="730" t="s">
        <v>475</v>
      </c>
      <c r="C27" s="747" t="s">
        <v>494</v>
      </c>
      <c r="D27" s="733">
        <f>IFERROR(VLOOKUP($B27&amp;$C27,'C. Gestión Pto #2'!$B$4:C$22,MATCH(D$5,'C. Gestión Pto #2'!$B$4:C$4,0),FALSE),0)</f>
        <v>0</v>
      </c>
      <c r="E27" s="733">
        <f>IFERROR(VLOOKUP($B27&amp;$C27,'C. Gestión Pto #2'!$B$4:D$22,MATCH(E$5,'C. Gestión Pto #2'!$B$4:D$4,0),FALSE),0)</f>
        <v>0</v>
      </c>
      <c r="F27" s="733">
        <f>IFERROR(VLOOKUP($B27&amp;$C27,'C. Gestión Pto #2'!$B$4:E$22,MATCH(F$5,'C. Gestión Pto #2'!$B$4:E$4,0),FALSE),0)</f>
        <v>0</v>
      </c>
      <c r="G27" s="733">
        <f>IFERROR(VLOOKUP($B27&amp;$C27,'C. Gestión Pto #2'!$B$4:F$22,MATCH(G$5,'C. Gestión Pto #2'!$B$4:F$4,0),FALSE),0)</f>
        <v>0</v>
      </c>
      <c r="H27" s="733">
        <f>IFERROR(VLOOKUP($B27&amp;$C27,'C. Gestión Pto #2'!$B$4:G$22,MATCH(H$5,'C. Gestión Pto #2'!$B$4:G$4,0),FALSE),0)</f>
        <v>0</v>
      </c>
      <c r="I27" s="733">
        <f>IFERROR(VLOOKUP($B27&amp;$C27,'C. Gestión Pto #2'!$B$4:H$22,MATCH(I$5,'C. Gestión Pto #2'!$B$4:H$4,0),FALSE),0)</f>
        <v>0</v>
      </c>
      <c r="J27" s="733">
        <f>IFERROR(VLOOKUP($B27&amp;$C27,'C. Gestión Pto #2'!$B$4:I$22,MATCH(J$5,'C. Gestión Pto #2'!$B$4:I$4,0),FALSE),0)</f>
        <v>0</v>
      </c>
      <c r="K27" s="773"/>
      <c r="L27" s="733" cm="1">
        <f t="array" ref="L27">SUMPRODUCT($D27:$K27,TRANSPOSE('Indice CAC'!$E$12:$E$19))</f>
        <v>0</v>
      </c>
      <c r="M27" s="774"/>
      <c r="N27" s="733">
        <f>IF(C27="MAT",SUMIF('Preventivo Costo CH2171 '!$A$61:$A$224,$B27,'Preventivo Costo CH2171 '!$I$61:$I$224),IF(C27="MO",SUMIF('Preventivo Costo CH2171 '!$A$61:$A$224,$B27,'Preventivo Costo CH2171 '!$L$61:$L$224),SUMIF('Preventivo Costo CH2171 '!$A$61:$A$224,$B27,'Preventivo Costo CH2171 '!$N$61:$N$224)))</f>
        <v>52462846.849176057</v>
      </c>
      <c r="O27" s="745"/>
      <c r="P27" s="736">
        <f t="shared" si="5"/>
        <v>52462846.849176057</v>
      </c>
      <c r="Q27" s="737">
        <f t="shared" si="6"/>
        <v>1</v>
      </c>
      <c r="R27" s="736">
        <f>IF(O27=100%,IF(OR(#REF!&lt;&gt;0,N27),N27-#REF!),0)</f>
        <v>0</v>
      </c>
    </row>
    <row r="28" spans="2:21" x14ac:dyDescent="0.35">
      <c r="B28" s="730" t="s">
        <v>476</v>
      </c>
      <c r="C28" s="747"/>
      <c r="D28" s="733">
        <f>IFERROR(VLOOKUP($B28&amp;$C28,'C. Gestión Pto #2'!$B$4:C$22,MATCH(D$5,'C. Gestión Pto #2'!$B$4:C$4,0),FALSE),0)</f>
        <v>0</v>
      </c>
      <c r="E28" s="733">
        <f>IFERROR(VLOOKUP($B28&amp;$C28,'C. Gestión Pto #2'!$B$4:D$22,MATCH(E$5,'C. Gestión Pto #2'!$B$4:D$4,0),FALSE),0)</f>
        <v>0</v>
      </c>
      <c r="F28" s="733">
        <f>IFERROR(VLOOKUP($B28&amp;$C28,'C. Gestión Pto #2'!$B$4:E$22,MATCH(F$5,'C. Gestión Pto #2'!$B$4:E$4,0),FALSE),0)</f>
        <v>0</v>
      </c>
      <c r="G28" s="733">
        <f>IFERROR(VLOOKUP($B28&amp;$C28,'C. Gestión Pto #2'!$B$4:F$22,MATCH(G$5,'C. Gestión Pto #2'!$B$4:F$4,0),FALSE),0)</f>
        <v>0</v>
      </c>
      <c r="H28" s="733">
        <f>IFERROR(VLOOKUP($B28&amp;$C28,'C. Gestión Pto #2'!$B$4:G$22,MATCH(H$5,'C. Gestión Pto #2'!$B$4:G$4,0),FALSE),0)</f>
        <v>0</v>
      </c>
      <c r="I28" s="733">
        <f>IFERROR(VLOOKUP($B28&amp;$C28,'C. Gestión Pto #2'!$B$4:H$22,MATCH(I$5,'C. Gestión Pto #2'!$B$4:H$4,0),FALSE),0)</f>
        <v>0</v>
      </c>
      <c r="J28" s="733">
        <f>IFERROR(VLOOKUP($B28&amp;$C28,'C. Gestión Pto #2'!$B$4:I$22,MATCH(J$5,'C. Gestión Pto #2'!$B$4:I$4,0),FALSE),0)</f>
        <v>0</v>
      </c>
      <c r="K28" s="773"/>
      <c r="L28" s="733" cm="1">
        <f t="array" ref="L28">SUMPRODUCT($D28:$K28,TRANSPOSE('Indice CAC'!$E$12:$E$19))</f>
        <v>0</v>
      </c>
      <c r="M28" s="774"/>
      <c r="N28" s="733">
        <f>IF(C28="MAT",SUMIF('Preventivo Costo CH2171 '!$A$61:$A$224,$B28,'Preventivo Costo CH2171 '!$I$61:$I$224),IF(C28="MO",SUMIF('Preventivo Costo CH2171 '!$A$61:$A$224,$B28,'Preventivo Costo CH2171 '!$L$61:$L$224),SUMIF('Preventivo Costo CH2171 '!$A$61:$A$224,$B28,'Preventivo Costo CH2171 '!$N$61:$N$224)))</f>
        <v>19100000</v>
      </c>
      <c r="O28" s="745"/>
      <c r="P28" s="736">
        <f t="shared" si="5"/>
        <v>19100000</v>
      </c>
      <c r="Q28" s="737">
        <f t="shared" si="6"/>
        <v>1</v>
      </c>
      <c r="R28" s="736"/>
    </row>
    <row r="29" spans="2:21" x14ac:dyDescent="0.35">
      <c r="B29" s="730" t="s">
        <v>495</v>
      </c>
      <c r="C29" s="747"/>
      <c r="D29" s="733">
        <f>IFERROR(VLOOKUP($B29&amp;$C29,'C. Gestión Pto #2'!$B$4:C$22,MATCH(D$5,'C. Gestión Pto #2'!$B$4:C$4,0),FALSE),0)</f>
        <v>0</v>
      </c>
      <c r="E29" s="733">
        <f>IFERROR(VLOOKUP($B29&amp;$C29,'C. Gestión Pto #2'!$B$4:D$22,MATCH(E$5,'C. Gestión Pto #2'!$B$4:D$4,0),FALSE),0)</f>
        <v>0</v>
      </c>
      <c r="F29" s="733">
        <f>IFERROR(VLOOKUP($B29&amp;$C29,'C. Gestión Pto #2'!$B$4:E$22,MATCH(F$5,'C. Gestión Pto #2'!$B$4:E$4,0),FALSE),0)</f>
        <v>0</v>
      </c>
      <c r="G29" s="733">
        <f>IFERROR(VLOOKUP($B29&amp;$C29,'C. Gestión Pto #2'!$B$4:F$22,MATCH(G$5,'C. Gestión Pto #2'!$B$4:F$4,0),FALSE),0)</f>
        <v>0</v>
      </c>
      <c r="H29" s="733">
        <f>IFERROR(VLOOKUP($B29&amp;$C29,'C. Gestión Pto #2'!$B$4:G$22,MATCH(H$5,'C. Gestión Pto #2'!$B$4:G$4,0),FALSE),0)</f>
        <v>0</v>
      </c>
      <c r="I29" s="733">
        <f>IFERROR(VLOOKUP($B29&amp;$C29,'C. Gestión Pto #2'!$B$4:H$22,MATCH(I$5,'C. Gestión Pto #2'!$B$4:H$4,0),FALSE),0)</f>
        <v>0</v>
      </c>
      <c r="J29" s="733">
        <f>IFERROR(VLOOKUP($B29&amp;$C29,'C. Gestión Pto #2'!$B$4:I$22,MATCH(J$5,'C. Gestión Pto #2'!$B$4:I$4,0),FALSE),0)</f>
        <v>0</v>
      </c>
      <c r="K29" s="773"/>
      <c r="L29" s="733" cm="1">
        <f t="array" ref="L29">SUMPRODUCT($D29:$K29,TRANSPOSE('Indice CAC'!$E$12:$E$19))</f>
        <v>0</v>
      </c>
      <c r="M29" s="774"/>
      <c r="N29" s="733">
        <f>IF(C29="MAT",SUMIF('Preventivo Costo CH2171 '!$A$61:$A$224,$B29,'Preventivo Costo CH2171 '!$I$61:$I$224),IF(C29="MO",SUMIF('Preventivo Costo CH2171 '!$A$61:$A$224,$B29,'Preventivo Costo CH2171 '!$L$61:$L$224),SUM('Preventivo Costo CH2171 '!$M$61:$M$224)))</f>
        <v>9840752.6580016147</v>
      </c>
      <c r="O29" s="745"/>
      <c r="P29" s="736">
        <f t="shared" si="5"/>
        <v>9840752.6580016147</v>
      </c>
      <c r="Q29" s="737">
        <f t="shared" si="6"/>
        <v>1</v>
      </c>
      <c r="R29" s="736">
        <f>IF(O29=100%,IF(OR(#REF!&lt;&gt;0,N29),N29-#REF!),0)</f>
        <v>0</v>
      </c>
    </row>
    <row r="30" spans="2:21" x14ac:dyDescent="0.35">
      <c r="B30" s="977" t="s">
        <v>464</v>
      </c>
      <c r="C30" s="978"/>
      <c r="D30" s="733">
        <f>IFERROR(VLOOKUP($B30&amp;$C30,'C. Gestión Pto #2'!$B$4:C$22,MATCH(D$5,'C. Gestión Pto #2'!$B$4:C$4,0),FALSE),0)</f>
        <v>0</v>
      </c>
      <c r="E30" s="733">
        <f>IFERROR(VLOOKUP($B30&amp;$C30,'C. Gestión Pto #2'!$B$4:D$22,MATCH(E$5,'C. Gestión Pto #2'!$B$4:D$4,0),FALSE),0)</f>
        <v>0</v>
      </c>
      <c r="F30" s="733">
        <f>IFERROR(VLOOKUP($B30&amp;$C30,'C. Gestión Pto #2'!$B$4:E$22,MATCH(F$5,'C. Gestión Pto #2'!$B$4:E$4,0),FALSE),0)</f>
        <v>0</v>
      </c>
      <c r="G30" s="733">
        <f>IFERROR(VLOOKUP($B30&amp;$C30,'C. Gestión Pto #2'!$B$4:F$22,MATCH(G$5,'C. Gestión Pto #2'!$B$4:F$4,0),FALSE),0)</f>
        <v>0</v>
      </c>
      <c r="H30" s="733">
        <f>IFERROR(VLOOKUP($B30&amp;$C30,'C. Gestión Pto #2'!$B$4:G$22,MATCH(H$5,'C. Gestión Pto #2'!$B$4:G$4,0),FALSE),0)</f>
        <v>0</v>
      </c>
      <c r="I30" s="733">
        <f>IFERROR(VLOOKUP($B30&amp;$C30,'C. Gestión Pto #2'!$B$4:H$22,MATCH(I$5,'C. Gestión Pto #2'!$B$4:H$4,0),FALSE),0)</f>
        <v>0</v>
      </c>
      <c r="J30" s="733">
        <f>IFERROR(VLOOKUP($B30&amp;$C30,'C. Gestión Pto #2'!$B$4:I$22,MATCH(J$5,'C. Gestión Pto #2'!$B$4:I$4,0),FALSE),0)</f>
        <v>0</v>
      </c>
      <c r="K30" s="979"/>
      <c r="L30" s="733" cm="1">
        <f t="array" ref="L30">SUMPRODUCT($D30:$K30,TRANSPOSE('Indice CAC'!$E$12:$E$19))</f>
        <v>0</v>
      </c>
      <c r="M30" s="774"/>
      <c r="N30" s="733">
        <f>IF(C30="MAT",SUMIF('Preventivo Costo CH2171 '!$A$61:$A$224,$B30,'Preventivo Costo CH2171 '!$I$61:$I$224),IF(C30="MO",SUMIF('Preventivo Costo CH2171 '!$A$61:$A$224,$B30,'Preventivo Costo CH2171 '!$L$61:$L$224),SUMIF('Preventivo Costo CH2171 '!$A$61:$A$224,$B30,'Preventivo Costo CH2171 '!$N$61:$N$224)))</f>
        <v>2405164.4897424085</v>
      </c>
      <c r="O30" s="980"/>
      <c r="P30" s="736">
        <f t="shared" si="5"/>
        <v>2405164.4897424085</v>
      </c>
      <c r="Q30" s="737">
        <f t="shared" si="6"/>
        <v>1</v>
      </c>
      <c r="R30" s="736"/>
    </row>
    <row r="31" spans="2:21" x14ac:dyDescent="0.35">
      <c r="B31" s="775" t="s">
        <v>496</v>
      </c>
      <c r="C31" s="776"/>
      <c r="D31" s="779">
        <f t="shared" ref="D31:I31" si="7">SUM(D13:D29)</f>
        <v>0</v>
      </c>
      <c r="E31" s="779">
        <f t="shared" si="7"/>
        <v>0</v>
      </c>
      <c r="F31" s="779">
        <f t="shared" si="7"/>
        <v>0</v>
      </c>
      <c r="G31" s="779">
        <f t="shared" si="7"/>
        <v>0</v>
      </c>
      <c r="H31" s="779">
        <f t="shared" si="7"/>
        <v>0</v>
      </c>
      <c r="I31" s="779">
        <f t="shared" si="7"/>
        <v>0</v>
      </c>
      <c r="J31" s="779">
        <f t="shared" ref="J31" si="8">SUM(J13:J29)</f>
        <v>0</v>
      </c>
      <c r="K31" s="778"/>
      <c r="L31" s="779">
        <f>SUM(L13:L29)</f>
        <v>0</v>
      </c>
      <c r="M31" s="774"/>
      <c r="N31" s="779">
        <f>SUM(N13:N30)</f>
        <v>693074270.20232832</v>
      </c>
      <c r="O31" s="772"/>
      <c r="P31" s="779">
        <f t="shared" si="5"/>
        <v>693074270.20232832</v>
      </c>
      <c r="Q31" s="737">
        <f t="shared" si="6"/>
        <v>1</v>
      </c>
      <c r="R31" s="779">
        <f>SUM(R16:R29)</f>
        <v>0</v>
      </c>
    </row>
    <row r="32" spans="2:21" x14ac:dyDescent="0.35">
      <c r="B32" s="780"/>
      <c r="C32" s="780"/>
      <c r="D32" s="781"/>
      <c r="E32" s="781"/>
      <c r="F32" s="781"/>
      <c r="G32" s="781"/>
      <c r="H32" s="781"/>
      <c r="I32" s="781"/>
      <c r="J32" s="781"/>
      <c r="K32" s="781"/>
      <c r="L32" s="782"/>
      <c r="M32" s="783"/>
      <c r="N32" s="782"/>
      <c r="O32" s="782"/>
      <c r="P32" s="782"/>
      <c r="Q32" s="783"/>
      <c r="R32" s="783"/>
    </row>
    <row r="33" spans="2:18" x14ac:dyDescent="0.3">
      <c r="B33" s="748" t="s">
        <v>502</v>
      </c>
      <c r="C33" s="749"/>
      <c r="D33" s="756">
        <f>SUM(D8,D10,-D31)</f>
        <v>0</v>
      </c>
      <c r="E33" s="756">
        <f t="shared" ref="E33:I33" si="9">SUM(E8,E10,-E31)</f>
        <v>0</v>
      </c>
      <c r="F33" s="756">
        <f t="shared" si="9"/>
        <v>0</v>
      </c>
      <c r="G33" s="756">
        <f t="shared" si="9"/>
        <v>0</v>
      </c>
      <c r="H33" s="756">
        <f t="shared" si="9"/>
        <v>0</v>
      </c>
      <c r="I33" s="756">
        <f t="shared" si="9"/>
        <v>0</v>
      </c>
      <c r="J33" s="756">
        <f t="shared" ref="J33" si="10">SUM(J8,J10,-J31)</f>
        <v>0</v>
      </c>
      <c r="L33" s="756">
        <f>SUM(L8,-L31)</f>
        <v>0</v>
      </c>
      <c r="N33" s="756">
        <f>SUM(N8,-N31)</f>
        <v>-81980118.3523283</v>
      </c>
      <c r="O33" s="762"/>
      <c r="P33" s="983"/>
      <c r="Q33" s="762"/>
      <c r="R33" s="762"/>
    </row>
    <row r="34" spans="2:18" x14ac:dyDescent="0.3">
      <c r="B34" s="748" t="s">
        <v>503</v>
      </c>
      <c r="C34" s="749"/>
      <c r="D34" s="758">
        <f>D33</f>
        <v>0</v>
      </c>
      <c r="E34" s="758">
        <f t="shared" ref="E34:J34" si="11">E33+D34</f>
        <v>0</v>
      </c>
      <c r="F34" s="758">
        <f t="shared" si="11"/>
        <v>0</v>
      </c>
      <c r="G34" s="758">
        <f t="shared" si="11"/>
        <v>0</v>
      </c>
      <c r="H34" s="758">
        <f t="shared" si="11"/>
        <v>0</v>
      </c>
      <c r="I34" s="758">
        <f t="shared" si="11"/>
        <v>0</v>
      </c>
      <c r="J34" s="758">
        <f t="shared" si="11"/>
        <v>0</v>
      </c>
      <c r="O34" s="762"/>
      <c r="P34" s="762"/>
      <c r="Q34" s="762"/>
      <c r="R34" s="762"/>
    </row>
    <row r="35" spans="2:18" x14ac:dyDescent="0.35">
      <c r="O35" s="762"/>
      <c r="P35" s="762"/>
      <c r="Q35" s="762"/>
      <c r="R35" s="762"/>
    </row>
    <row r="36" spans="2:18" x14ac:dyDescent="0.35">
      <c r="O36" s="762"/>
      <c r="P36" s="762"/>
      <c r="Q36" s="762"/>
      <c r="R36" s="762"/>
    </row>
    <row r="37" spans="2:18" x14ac:dyDescent="0.35">
      <c r="O37" s="762"/>
      <c r="P37" s="762"/>
      <c r="Q37" s="762"/>
      <c r="R37" s="762"/>
    </row>
  </sheetData>
  <conditionalFormatting sqref="D33:J34 L33:L34">
    <cfRule type="cellIs" dxfId="65" priority="7" operator="greaterThan">
      <formula>0</formula>
    </cfRule>
    <cfRule type="cellIs" dxfId="64" priority="8" operator="lessThan">
      <formula>0</formula>
    </cfRule>
  </conditionalFormatting>
  <conditionalFormatting sqref="N33:N34">
    <cfRule type="cellIs" dxfId="63" priority="1" operator="greaterThan">
      <formula>0</formula>
    </cfRule>
    <cfRule type="cellIs" dxfId="62" priority="2" operator="lessThan">
      <formula>0</formula>
    </cfRule>
  </conditionalFormatting>
  <conditionalFormatting sqref="Q7:Q10">
    <cfRule type="cellIs" dxfId="61" priority="9" operator="lessThan">
      <formula>0</formula>
    </cfRule>
    <cfRule type="cellIs" dxfId="60" priority="10" operator="greaterThan">
      <formula>0</formula>
    </cfRule>
  </conditionalFormatting>
  <conditionalFormatting sqref="Q13:Q31">
    <cfRule type="cellIs" dxfId="59" priority="5" operator="lessThan">
      <formula>0</formula>
    </cfRule>
    <cfRule type="cellIs" dxfId="58" priority="6" operator="greaterThan">
      <formula>0</formula>
    </cfRule>
  </conditionalFormatting>
  <dataValidations count="1">
    <dataValidation operator="greaterThanOrEqual" allowBlank="1" showInputMessage="1" showErrorMessage="1" errorTitle="Aviso" error="Use valores positivos tanto para ingresos como para gastos." sqref="L31 Q10 Q8 D5:J5 N7:R7 N9:R9 D33:J34 N13:R31 O33 L33:L34 N33:N34 Q33:R33 D13:K32" xr:uid="{204974B2-FD14-4814-84A0-0874D6808361}"/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E9A4-CD96-4610-80A2-553EC6FDEC9D}">
  <dimension ref="A1:T64"/>
  <sheetViews>
    <sheetView workbookViewId="0">
      <selection activeCell="E6" sqref="E6"/>
    </sheetView>
  </sheetViews>
  <sheetFormatPr defaultColWidth="11.453125" defaultRowHeight="14.5" x14ac:dyDescent="0.35"/>
  <cols>
    <col min="1" max="1" width="9.1796875" style="620" customWidth="1"/>
    <col min="2" max="2" width="15.453125" style="620" customWidth="1"/>
    <col min="3" max="3" width="14.81640625" style="620" customWidth="1"/>
    <col min="4" max="4" width="32.26953125" style="620" customWidth="1"/>
    <col min="5" max="5" width="15.81640625" style="620" bestFit="1" customWidth="1"/>
    <col min="6" max="7" width="15.7265625" style="620" bestFit="1" customWidth="1"/>
    <col min="8" max="8" width="15.1796875" style="620" customWidth="1"/>
    <col min="9" max="9" width="6" style="620" hidden="1" customWidth="1"/>
    <col min="10" max="10" width="3.81640625" style="620" customWidth="1"/>
    <col min="11" max="11" width="8.453125" style="620" bestFit="1" customWidth="1"/>
    <col min="12" max="12" width="11.7265625" style="620" bestFit="1" customWidth="1"/>
    <col min="13" max="13" width="15.1796875" style="620" bestFit="1" customWidth="1"/>
    <col min="14" max="14" width="13.1796875" style="620" bestFit="1" customWidth="1"/>
    <col min="15" max="15" width="15.1796875" style="620" bestFit="1" customWidth="1"/>
    <col min="16" max="16" width="14.1796875" style="620" bestFit="1" customWidth="1"/>
    <col min="17" max="17" width="13.1796875" style="620" bestFit="1" customWidth="1"/>
    <col min="18" max="18" width="11.453125" style="620"/>
    <col min="19" max="20" width="13.1796875" style="620" bestFit="1" customWidth="1"/>
    <col min="21" max="16384" width="11.453125" style="620"/>
  </cols>
  <sheetData>
    <row r="1" spans="1:20" ht="18.5" x14ac:dyDescent="0.35">
      <c r="A1" s="619" t="s">
        <v>459</v>
      </c>
    </row>
    <row r="2" spans="1:20" x14ac:dyDescent="0.35">
      <c r="A2" s="621"/>
      <c r="I2" s="622"/>
    </row>
    <row r="3" spans="1:20" x14ac:dyDescent="0.35">
      <c r="B3" s="1114" t="s">
        <v>431</v>
      </c>
      <c r="C3" s="1114" t="s">
        <v>452</v>
      </c>
      <c r="D3" s="623" t="s">
        <v>432</v>
      </c>
      <c r="E3" s="623" t="s">
        <v>430</v>
      </c>
      <c r="F3" s="623" t="s">
        <v>433</v>
      </c>
      <c r="G3" s="623" t="s">
        <v>24</v>
      </c>
      <c r="I3" s="622"/>
      <c r="K3" s="1218">
        <v>0.2</v>
      </c>
      <c r="L3" s="624">
        <f>E4*K3</f>
        <v>78062160.150000006</v>
      </c>
      <c r="M3" s="625">
        <f>L3</f>
        <v>78062160.150000006</v>
      </c>
      <c r="N3" s="626" t="s">
        <v>434</v>
      </c>
      <c r="O3" s="634"/>
    </row>
    <row r="4" spans="1:20" x14ac:dyDescent="0.35">
      <c r="B4" s="1115" t="s">
        <v>442</v>
      </c>
      <c r="C4" s="627" t="s">
        <v>455</v>
      </c>
      <c r="D4" s="628" t="s">
        <v>435</v>
      </c>
      <c r="E4" s="629">
        <f>'Preventivo Vta CH2171 '!G59*65%</f>
        <v>390310800.75</v>
      </c>
      <c r="F4" s="630">
        <f>+E4*0.105</f>
        <v>40982634.078749999</v>
      </c>
      <c r="G4" s="630">
        <f t="shared" ref="G4:G5" si="0">E4+F4</f>
        <v>431293434.82875001</v>
      </c>
      <c r="H4" s="631"/>
      <c r="I4" s="622"/>
      <c r="J4" s="632"/>
      <c r="L4" s="633"/>
      <c r="M4" s="634">
        <f>SUM(E9:E10)</f>
        <v>56902642.265974402</v>
      </c>
      <c r="N4" s="620" t="s">
        <v>436</v>
      </c>
      <c r="T4" s="631"/>
    </row>
    <row r="5" spans="1:20" x14ac:dyDescent="0.35">
      <c r="B5" s="1116" t="s">
        <v>443</v>
      </c>
      <c r="C5" s="635" t="s">
        <v>457</v>
      </c>
      <c r="D5" s="636" t="s">
        <v>437</v>
      </c>
      <c r="E5" s="639">
        <f>'Preventivo Vta CH2171 '!G228*65%</f>
        <v>611094151.85000002</v>
      </c>
      <c r="F5" s="638">
        <f>+E5*0.105</f>
        <v>64164885.944250003</v>
      </c>
      <c r="G5" s="638">
        <f t="shared" si="0"/>
        <v>675259037.79425001</v>
      </c>
      <c r="I5" s="622"/>
      <c r="J5" s="632"/>
      <c r="M5" s="625">
        <f>M3-M4</f>
        <v>21159517.884025604</v>
      </c>
      <c r="N5" s="626" t="s">
        <v>450</v>
      </c>
      <c r="T5" s="631"/>
    </row>
    <row r="6" spans="1:20" x14ac:dyDescent="0.35">
      <c r="B6" s="640"/>
      <c r="C6" s="640"/>
      <c r="D6" s="641" t="s">
        <v>438</v>
      </c>
      <c r="E6" s="642">
        <f>SUM(E4:E5)</f>
        <v>1001404952.6</v>
      </c>
      <c r="F6" s="642">
        <f>SUM(F4:F5)</f>
        <v>105147520.023</v>
      </c>
      <c r="G6" s="642">
        <f>SUM(G4:G5)</f>
        <v>1106552472.6230001</v>
      </c>
    </row>
    <row r="7" spans="1:20" x14ac:dyDescent="0.35">
      <c r="B7" s="643"/>
      <c r="C7" s="644"/>
      <c r="D7" s="645"/>
      <c r="E7" s="646"/>
      <c r="F7" s="647"/>
      <c r="G7" s="648"/>
      <c r="H7" s="648"/>
      <c r="K7" s="1223" t="s">
        <v>439</v>
      </c>
      <c r="L7" s="649"/>
    </row>
    <row r="8" spans="1:20" x14ac:dyDescent="0.35">
      <c r="A8" s="623" t="s">
        <v>1</v>
      </c>
      <c r="B8" s="623" t="s">
        <v>440</v>
      </c>
      <c r="C8" s="623" t="s">
        <v>431</v>
      </c>
      <c r="D8" s="623" t="s">
        <v>432</v>
      </c>
      <c r="E8" s="623" t="s">
        <v>430</v>
      </c>
      <c r="F8" s="623" t="s">
        <v>4</v>
      </c>
      <c r="G8" s="623" t="s">
        <v>433</v>
      </c>
      <c r="H8" s="623" t="s">
        <v>24</v>
      </c>
      <c r="K8" s="1223"/>
      <c r="L8" s="649" t="s">
        <v>441</v>
      </c>
      <c r="M8" s="623" t="s">
        <v>24</v>
      </c>
      <c r="T8" s="634"/>
    </row>
    <row r="9" spans="1:20" x14ac:dyDescent="0.35">
      <c r="A9" s="650">
        <v>46111</v>
      </c>
      <c r="B9" s="644" t="s">
        <v>673</v>
      </c>
      <c r="C9" s="644" t="s">
        <v>455</v>
      </c>
      <c r="D9" s="651" t="s">
        <v>664</v>
      </c>
      <c r="E9" s="652">
        <f>35000000/('Indice CAC'!C15/'Indice CAC'!C6)</f>
        <v>29725260.885210507</v>
      </c>
      <c r="F9" s="652">
        <f>E9*(('Indice CAC'!$C$15/'Indice CAC'!$C$6)-1)</f>
        <v>5274739.1147894943</v>
      </c>
      <c r="G9" s="652">
        <f>(E9+F9)*0.105</f>
        <v>3675000</v>
      </c>
      <c r="H9" s="652">
        <f t="shared" ref="H9" si="1">SUM(E9:G9)</f>
        <v>38675000</v>
      </c>
      <c r="I9" s="653" t="s">
        <v>442</v>
      </c>
      <c r="J9" s="632"/>
      <c r="K9" s="654"/>
      <c r="L9" s="654"/>
      <c r="M9" s="655"/>
      <c r="O9" s="634"/>
    </row>
    <row r="10" spans="1:20" x14ac:dyDescent="0.35">
      <c r="A10" s="650">
        <v>46136</v>
      </c>
      <c r="B10" s="644" t="s">
        <v>674</v>
      </c>
      <c r="C10" s="644" t="s">
        <v>455</v>
      </c>
      <c r="D10" s="651" t="s">
        <v>664</v>
      </c>
      <c r="E10" s="652">
        <f>32000000/('Indice CAC'!C15/'Indice CAC'!C6)</f>
        <v>27177381.380763892</v>
      </c>
      <c r="F10" s="652">
        <f>E10*(('Indice CAC'!$C$15/'Indice CAC'!$C$6)-1)</f>
        <v>4822618.6192361088</v>
      </c>
      <c r="G10" s="652">
        <f>(F10+E10)*0.105</f>
        <v>3360000</v>
      </c>
      <c r="H10" s="634">
        <f>SUM(E10:G10)</f>
        <v>35360000</v>
      </c>
      <c r="I10" s="653" t="s">
        <v>442</v>
      </c>
      <c r="J10" s="632"/>
      <c r="K10" s="654"/>
      <c r="L10" s="656"/>
      <c r="M10" s="655"/>
      <c r="S10" s="634"/>
    </row>
    <row r="11" spans="1:20" x14ac:dyDescent="0.35">
      <c r="A11" s="650">
        <v>46163</v>
      </c>
      <c r="B11" s="644" t="s">
        <v>677</v>
      </c>
      <c r="C11" s="644" t="s">
        <v>455</v>
      </c>
      <c r="D11" s="651" t="s">
        <v>664</v>
      </c>
      <c r="E11" s="634">
        <f>M5</f>
        <v>21159517.884025604</v>
      </c>
      <c r="F11" s="634">
        <f>E11*(('Indice CAC'!C15/'Indice CAC'!C6)-1)</f>
        <v>3754750.4482454699</v>
      </c>
      <c r="G11" s="652">
        <f>(F11+E11)*0.105</f>
        <v>2615998.1748884628</v>
      </c>
      <c r="H11" s="634">
        <f t="shared" ref="H11:H35" si="2">SUM(E11:G11)</f>
        <v>27530266.507159535</v>
      </c>
      <c r="I11" s="653" t="s">
        <v>442</v>
      </c>
      <c r="J11" s="632"/>
      <c r="K11" s="657"/>
      <c r="L11" s="657"/>
      <c r="M11" s="655"/>
      <c r="N11" s="658"/>
    </row>
    <row r="12" spans="1:20" x14ac:dyDescent="0.35">
      <c r="A12" s="650"/>
      <c r="B12" s="644"/>
      <c r="C12" s="644"/>
      <c r="D12" s="651"/>
      <c r="E12" s="634"/>
      <c r="F12" s="634"/>
      <c r="G12" s="652">
        <f>(F12+E12)*0.105</f>
        <v>0</v>
      </c>
      <c r="H12" s="634">
        <f t="shared" si="2"/>
        <v>0</v>
      </c>
      <c r="I12" s="653" t="s">
        <v>442</v>
      </c>
      <c r="J12" s="632"/>
      <c r="K12" s="657"/>
      <c r="L12" s="657"/>
      <c r="M12" s="655"/>
      <c r="N12" s="658"/>
    </row>
    <row r="13" spans="1:20" x14ac:dyDescent="0.35">
      <c r="A13" s="650"/>
      <c r="B13" s="644"/>
      <c r="C13" s="644"/>
      <c r="D13" s="651"/>
      <c r="E13" s="634"/>
      <c r="F13" s="652"/>
      <c r="G13" s="652">
        <f>(F13+E13)*0.105</f>
        <v>0</v>
      </c>
      <c r="H13" s="634">
        <f t="shared" si="2"/>
        <v>0</v>
      </c>
      <c r="I13" s="653" t="s">
        <v>442</v>
      </c>
      <c r="J13" s="632"/>
      <c r="K13" s="657"/>
      <c r="L13" s="657"/>
      <c r="M13" s="655"/>
    </row>
    <row r="14" spans="1:20" x14ac:dyDescent="0.35">
      <c r="A14" s="650"/>
      <c r="B14" s="644"/>
      <c r="C14" s="644"/>
      <c r="D14" s="651"/>
      <c r="E14" s="634"/>
      <c r="F14" s="634"/>
      <c r="G14" s="652">
        <f>(F14+E14)*0.105</f>
        <v>0</v>
      </c>
      <c r="H14" s="634">
        <f t="shared" si="2"/>
        <v>0</v>
      </c>
      <c r="I14" s="653" t="s">
        <v>443</v>
      </c>
      <c r="J14" s="632"/>
      <c r="K14" s="657"/>
      <c r="L14" s="657"/>
      <c r="M14" s="655"/>
    </row>
    <row r="15" spans="1:20" x14ac:dyDescent="0.35">
      <c r="A15" s="650"/>
      <c r="B15" s="659"/>
      <c r="C15" s="644"/>
      <c r="D15" s="651"/>
      <c r="E15" s="634"/>
      <c r="F15" s="634"/>
      <c r="G15" s="634">
        <f>SUM(E15:F15)*0.105</f>
        <v>0</v>
      </c>
      <c r="H15" s="634">
        <f t="shared" si="2"/>
        <v>0</v>
      </c>
      <c r="I15" s="653" t="s">
        <v>442</v>
      </c>
      <c r="J15" s="632"/>
      <c r="K15" s="657"/>
      <c r="L15" s="657"/>
      <c r="M15" s="655"/>
    </row>
    <row r="16" spans="1:20" x14ac:dyDescent="0.35">
      <c r="A16" s="650"/>
      <c r="B16" s="659"/>
      <c r="C16" s="644"/>
      <c r="D16" s="651"/>
      <c r="E16" s="652"/>
      <c r="F16" s="652"/>
      <c r="G16" s="634">
        <f>SUM(E16:F16)*0.105</f>
        <v>0</v>
      </c>
      <c r="H16" s="634">
        <f t="shared" si="2"/>
        <v>0</v>
      </c>
      <c r="I16" s="653" t="s">
        <v>443</v>
      </c>
      <c r="J16" s="632"/>
      <c r="K16" s="657"/>
      <c r="L16" s="657"/>
      <c r="M16" s="655"/>
    </row>
    <row r="17" spans="1:16" x14ac:dyDescent="0.35">
      <c r="A17" s="650"/>
      <c r="B17" s="644"/>
      <c r="C17" s="644"/>
      <c r="D17" s="651"/>
      <c r="E17" s="652"/>
      <c r="F17" s="652"/>
      <c r="G17" s="634">
        <f>SUM(E17:F17)*0.105</f>
        <v>0</v>
      </c>
      <c r="H17" s="634">
        <f t="shared" si="2"/>
        <v>0</v>
      </c>
      <c r="I17" s="653" t="s">
        <v>442</v>
      </c>
      <c r="J17" s="632"/>
      <c r="K17" s="657"/>
      <c r="L17" s="660"/>
      <c r="M17" s="655"/>
    </row>
    <row r="18" spans="1:16" x14ac:dyDescent="0.35">
      <c r="A18" s="650"/>
      <c r="B18" s="644"/>
      <c r="C18" s="644"/>
      <c r="D18" s="651"/>
      <c r="E18" s="652"/>
      <c r="F18" s="652"/>
      <c r="G18" s="634">
        <f t="shared" ref="G18:G20" si="3">(F18+E18)*0.105</f>
        <v>0</v>
      </c>
      <c r="H18" s="634">
        <f t="shared" si="2"/>
        <v>0</v>
      </c>
      <c r="I18" s="653" t="s">
        <v>442</v>
      </c>
      <c r="J18" s="632"/>
      <c r="K18" s="657"/>
      <c r="L18" s="660"/>
      <c r="M18" s="655"/>
    </row>
    <row r="19" spans="1:16" x14ac:dyDescent="0.35">
      <c r="A19" s="650"/>
      <c r="B19" s="644"/>
      <c r="C19" s="644"/>
      <c r="D19" s="651"/>
      <c r="E19" s="652"/>
      <c r="F19" s="652"/>
      <c r="G19" s="634">
        <f t="shared" si="3"/>
        <v>0</v>
      </c>
      <c r="H19" s="634">
        <f t="shared" si="2"/>
        <v>0</v>
      </c>
      <c r="I19" s="653" t="s">
        <v>442</v>
      </c>
      <c r="J19" s="632"/>
      <c r="K19" s="657"/>
      <c r="L19" s="660"/>
      <c r="M19" s="655"/>
    </row>
    <row r="20" spans="1:16" x14ac:dyDescent="0.35">
      <c r="A20" s="650"/>
      <c r="B20" s="644"/>
      <c r="C20" s="644"/>
      <c r="D20" s="651"/>
      <c r="E20" s="652"/>
      <c r="F20" s="652"/>
      <c r="G20" s="634">
        <f t="shared" si="3"/>
        <v>0</v>
      </c>
      <c r="H20" s="634">
        <f t="shared" si="2"/>
        <v>0</v>
      </c>
      <c r="I20" s="653" t="s">
        <v>443</v>
      </c>
      <c r="K20" s="657"/>
      <c r="L20" s="660"/>
      <c r="M20" s="655"/>
    </row>
    <row r="21" spans="1:16" x14ac:dyDescent="0.35">
      <c r="A21" s="650"/>
      <c r="B21" s="644"/>
      <c r="C21" s="644"/>
      <c r="D21" s="651"/>
      <c r="E21" s="652"/>
      <c r="F21" s="652"/>
      <c r="G21" s="652">
        <f t="shared" ref="G21:G33" si="4">(F21+E21)*0.105</f>
        <v>0</v>
      </c>
      <c r="H21" s="634">
        <f t="shared" si="2"/>
        <v>0</v>
      </c>
      <c r="I21" s="653" t="s">
        <v>442</v>
      </c>
      <c r="K21" s="657"/>
      <c r="L21" s="660"/>
      <c r="M21" s="655"/>
    </row>
    <row r="22" spans="1:16" x14ac:dyDescent="0.35">
      <c r="A22" s="650"/>
      <c r="B22" s="644"/>
      <c r="C22" s="644"/>
      <c r="D22" s="651"/>
      <c r="E22" s="652"/>
      <c r="F22" s="652"/>
      <c r="G22" s="652">
        <f t="shared" si="4"/>
        <v>0</v>
      </c>
      <c r="H22" s="634">
        <f t="shared" si="2"/>
        <v>0</v>
      </c>
      <c r="I22" s="653" t="s">
        <v>443</v>
      </c>
      <c r="K22" s="657"/>
      <c r="L22" s="660"/>
      <c r="M22" s="655"/>
    </row>
    <row r="23" spans="1:16" x14ac:dyDescent="0.35">
      <c r="A23" s="650"/>
      <c r="B23" s="644"/>
      <c r="C23" s="644"/>
      <c r="D23" s="651"/>
      <c r="E23" s="652"/>
      <c r="F23" s="652"/>
      <c r="G23" s="634">
        <f t="shared" si="4"/>
        <v>0</v>
      </c>
      <c r="H23" s="634">
        <f t="shared" si="2"/>
        <v>0</v>
      </c>
      <c r="I23" s="653" t="s">
        <v>442</v>
      </c>
      <c r="K23" s="657"/>
      <c r="L23" s="660"/>
      <c r="M23" s="655"/>
    </row>
    <row r="24" spans="1:16" x14ac:dyDescent="0.35">
      <c r="A24" s="650"/>
      <c r="B24" s="644"/>
      <c r="C24" s="644"/>
      <c r="D24" s="651"/>
      <c r="E24" s="652"/>
      <c r="F24" s="652"/>
      <c r="G24" s="634">
        <f t="shared" si="4"/>
        <v>0</v>
      </c>
      <c r="H24" s="634">
        <f t="shared" si="2"/>
        <v>0</v>
      </c>
      <c r="I24" s="653" t="s">
        <v>443</v>
      </c>
      <c r="K24" s="657"/>
      <c r="L24" s="660"/>
      <c r="M24" s="655"/>
    </row>
    <row r="25" spans="1:16" x14ac:dyDescent="0.35">
      <c r="A25" s="650"/>
      <c r="B25" s="644"/>
      <c r="C25" s="644"/>
      <c r="D25" s="651"/>
      <c r="E25" s="652"/>
      <c r="F25" s="652"/>
      <c r="G25" s="634">
        <f t="shared" si="4"/>
        <v>0</v>
      </c>
      <c r="H25" s="634">
        <f t="shared" si="2"/>
        <v>0</v>
      </c>
      <c r="I25" s="653"/>
      <c r="K25" s="657"/>
      <c r="L25" s="660"/>
      <c r="M25" s="655"/>
      <c r="O25" s="634"/>
    </row>
    <row r="26" spans="1:16" x14ac:dyDescent="0.35">
      <c r="A26" s="650"/>
      <c r="B26" s="644"/>
      <c r="C26" s="644"/>
      <c r="D26" s="651"/>
      <c r="E26" s="652"/>
      <c r="F26" s="652"/>
      <c r="G26" s="634">
        <f t="shared" si="4"/>
        <v>0</v>
      </c>
      <c r="H26" s="634">
        <f t="shared" si="2"/>
        <v>0</v>
      </c>
      <c r="I26" s="653"/>
      <c r="K26" s="657"/>
      <c r="L26" s="660"/>
      <c r="M26" s="655"/>
    </row>
    <row r="27" spans="1:16" x14ac:dyDescent="0.35">
      <c r="A27" s="650"/>
      <c r="B27" s="644"/>
      <c r="C27" s="644"/>
      <c r="D27" s="651"/>
      <c r="E27" s="652"/>
      <c r="F27" s="652"/>
      <c r="G27" s="634">
        <f t="shared" si="4"/>
        <v>0</v>
      </c>
      <c r="H27" s="634">
        <f t="shared" si="2"/>
        <v>0</v>
      </c>
      <c r="I27" s="653"/>
      <c r="K27" s="657"/>
      <c r="L27" s="660"/>
      <c r="M27" s="655"/>
    </row>
    <row r="28" spans="1:16" x14ac:dyDescent="0.35">
      <c r="A28" s="650"/>
      <c r="B28" s="644"/>
      <c r="C28" s="644"/>
      <c r="D28" s="651"/>
      <c r="E28" s="652"/>
      <c r="F28" s="652"/>
      <c r="G28" s="634">
        <f t="shared" si="4"/>
        <v>0</v>
      </c>
      <c r="H28" s="634">
        <f t="shared" si="2"/>
        <v>0</v>
      </c>
      <c r="I28" s="653"/>
      <c r="K28" s="657"/>
      <c r="L28" s="660"/>
      <c r="M28" s="655"/>
    </row>
    <row r="29" spans="1:16" x14ac:dyDescent="0.35">
      <c r="A29" s="650"/>
      <c r="B29" s="644"/>
      <c r="C29" s="644"/>
      <c r="D29" s="651"/>
      <c r="E29" s="652"/>
      <c r="F29" s="652"/>
      <c r="G29" s="634">
        <f t="shared" si="4"/>
        <v>0</v>
      </c>
      <c r="H29" s="634">
        <f t="shared" si="2"/>
        <v>0</v>
      </c>
      <c r="I29" s="653"/>
      <c r="K29" s="657"/>
      <c r="L29" s="660"/>
      <c r="M29" s="655"/>
      <c r="O29" s="634"/>
      <c r="P29" s="662"/>
    </row>
    <row r="30" spans="1:16" x14ac:dyDescent="0.35">
      <c r="A30" s="650"/>
      <c r="B30" s="644"/>
      <c r="C30" s="644"/>
      <c r="D30" s="651"/>
      <c r="E30" s="652"/>
      <c r="F30" s="652"/>
      <c r="G30" s="634">
        <f t="shared" si="4"/>
        <v>0</v>
      </c>
      <c r="H30" s="634">
        <f t="shared" si="2"/>
        <v>0</v>
      </c>
      <c r="I30" s="653"/>
      <c r="K30" s="657"/>
      <c r="L30" s="660"/>
      <c r="M30" s="655"/>
      <c r="O30" s="634"/>
      <c r="P30" s="634"/>
    </row>
    <row r="31" spans="1:16" x14ac:dyDescent="0.35">
      <c r="A31" s="650"/>
      <c r="B31" s="644"/>
      <c r="C31" s="644"/>
      <c r="D31" s="651"/>
      <c r="E31" s="652"/>
      <c r="F31" s="652"/>
      <c r="G31" s="634">
        <f t="shared" si="4"/>
        <v>0</v>
      </c>
      <c r="H31" s="634">
        <f t="shared" si="2"/>
        <v>0</v>
      </c>
      <c r="I31" s="653"/>
      <c r="K31" s="657"/>
      <c r="L31" s="660"/>
      <c r="M31" s="655"/>
      <c r="O31" s="634"/>
      <c r="P31" s="634"/>
    </row>
    <row r="32" spans="1:16" x14ac:dyDescent="0.35">
      <c r="A32" s="650"/>
      <c r="B32" s="644"/>
      <c r="C32" s="644"/>
      <c r="D32" s="651"/>
      <c r="E32" s="652"/>
      <c r="F32" s="652"/>
      <c r="G32" s="634">
        <f t="shared" si="4"/>
        <v>0</v>
      </c>
      <c r="H32" s="634">
        <f t="shared" si="2"/>
        <v>0</v>
      </c>
      <c r="I32" s="653"/>
      <c r="K32" s="657"/>
      <c r="L32" s="660"/>
      <c r="M32" s="655"/>
      <c r="P32" s="634"/>
    </row>
    <row r="33" spans="1:13" x14ac:dyDescent="0.35">
      <c r="A33" s="650"/>
      <c r="B33" s="644"/>
      <c r="C33" s="644"/>
      <c r="D33" s="651"/>
      <c r="E33" s="652"/>
      <c r="F33" s="652"/>
      <c r="G33" s="634">
        <f t="shared" si="4"/>
        <v>0</v>
      </c>
      <c r="H33" s="634">
        <f t="shared" si="2"/>
        <v>0</v>
      </c>
      <c r="I33" s="653"/>
      <c r="K33" s="657"/>
      <c r="L33" s="660"/>
      <c r="M33" s="655"/>
    </row>
    <row r="34" spans="1:13" x14ac:dyDescent="0.35">
      <c r="A34" s="650"/>
      <c r="B34" s="644"/>
      <c r="C34" s="644"/>
      <c r="D34" s="651"/>
      <c r="E34" s="652"/>
      <c r="F34" s="652"/>
      <c r="G34" s="634"/>
      <c r="H34" s="634"/>
      <c r="I34" s="653"/>
      <c r="K34" s="657"/>
      <c r="L34" s="660"/>
      <c r="M34" s="655"/>
    </row>
    <row r="35" spans="1:13" x14ac:dyDescent="0.35">
      <c r="A35" s="650"/>
      <c r="B35" s="644"/>
      <c r="C35" s="644"/>
      <c r="D35" s="651"/>
      <c r="E35" s="652"/>
      <c r="F35" s="652"/>
      <c r="G35" s="634"/>
      <c r="H35" s="634">
        <f t="shared" si="2"/>
        <v>0</v>
      </c>
      <c r="I35" s="653"/>
      <c r="K35" s="657"/>
      <c r="L35" s="660"/>
      <c r="M35" s="655"/>
    </row>
    <row r="36" spans="1:13" x14ac:dyDescent="0.35">
      <c r="A36" s="663"/>
      <c r="B36" s="663"/>
      <c r="C36" s="663"/>
      <c r="D36" s="664" t="s">
        <v>438</v>
      </c>
      <c r="E36" s="665">
        <f>SUM(E9:E35)</f>
        <v>78062160.150000006</v>
      </c>
      <c r="F36" s="665">
        <f>SUM(F9:F35)</f>
        <v>13852108.182271073</v>
      </c>
      <c r="G36" s="665">
        <f>SUM(G9:G35)</f>
        <v>9650998.1748884618</v>
      </c>
      <c r="H36" s="665">
        <f>SUM(H9:H35)</f>
        <v>101565266.50715953</v>
      </c>
      <c r="M36" s="666">
        <f>SUM(L9:M35)</f>
        <v>0</v>
      </c>
    </row>
    <row r="38" spans="1:13" x14ac:dyDescent="0.35">
      <c r="H38" s="620">
        <v>1400</v>
      </c>
    </row>
    <row r="39" spans="1:13" x14ac:dyDescent="0.35">
      <c r="G39" s="667"/>
      <c r="H39" s="620">
        <f>+H36/H38</f>
        <v>72546.618933685386</v>
      </c>
      <c r="L39" s="668" t="s">
        <v>444</v>
      </c>
      <c r="M39" s="669">
        <f>+M36-H36</f>
        <v>-101565266.50715953</v>
      </c>
    </row>
    <row r="40" spans="1:13" x14ac:dyDescent="0.35">
      <c r="D40" s="670" t="s">
        <v>445</v>
      </c>
      <c r="E40" s="671">
        <f>SUM(E4:E5)</f>
        <v>1001404952.6</v>
      </c>
      <c r="F40" s="648"/>
      <c r="G40" s="634"/>
    </row>
    <row r="41" spans="1:13" x14ac:dyDescent="0.35">
      <c r="D41" s="670" t="s">
        <v>446</v>
      </c>
      <c r="E41" s="671">
        <f>SUMIF($B$9:$B$22,"0003-*",$E$9:$E$22)</f>
        <v>78062160.150000006</v>
      </c>
      <c r="F41" s="648"/>
      <c r="G41" s="672"/>
      <c r="H41" s="634"/>
      <c r="M41" s="662"/>
    </row>
    <row r="42" spans="1:13" x14ac:dyDescent="0.35">
      <c r="D42" s="670" t="s">
        <v>447</v>
      </c>
      <c r="E42" s="671">
        <f>SUMIF($B$9:$B$22,"",$E$9:$E$22)</f>
        <v>0</v>
      </c>
      <c r="F42" s="648"/>
      <c r="G42" s="634"/>
      <c r="H42" s="634"/>
    </row>
    <row r="43" spans="1:13" x14ac:dyDescent="0.35">
      <c r="D43" s="673" t="s">
        <v>448</v>
      </c>
      <c r="E43" s="674">
        <f>E40-E41-E42</f>
        <v>923342792.45000005</v>
      </c>
      <c r="G43" s="634"/>
    </row>
    <row r="44" spans="1:13" x14ac:dyDescent="0.35">
      <c r="G44" s="675"/>
    </row>
    <row r="45" spans="1:13" x14ac:dyDescent="0.35">
      <c r="E45" s="631"/>
    </row>
    <row r="46" spans="1:13" x14ac:dyDescent="0.35">
      <c r="C46" s="645" t="s">
        <v>449</v>
      </c>
    </row>
    <row r="48" spans="1:13" x14ac:dyDescent="0.35">
      <c r="C48" s="676" t="s">
        <v>431</v>
      </c>
      <c r="D48" s="676" t="s">
        <v>432</v>
      </c>
      <c r="E48" s="677" t="s">
        <v>436</v>
      </c>
      <c r="F48" s="677" t="s">
        <v>450</v>
      </c>
    </row>
    <row r="49" spans="3:7" x14ac:dyDescent="0.35">
      <c r="C49" s="678" t="s">
        <v>455</v>
      </c>
      <c r="D49" s="628" t="s">
        <v>435</v>
      </c>
      <c r="E49" s="679">
        <f>SUMIF($C$9:$C$35,C49,$E$9:$E$35)</f>
        <v>78062160.150000006</v>
      </c>
      <c r="F49" s="680">
        <f>SUMIF($C$4:$C$5,C49,$E$4:$E$5)-E49</f>
        <v>312248640.60000002</v>
      </c>
    </row>
    <row r="50" spans="3:7" x14ac:dyDescent="0.35">
      <c r="C50" s="682" t="s">
        <v>457</v>
      </c>
      <c r="D50" s="636" t="s">
        <v>437</v>
      </c>
      <c r="E50" s="679">
        <f>SUMIF($C$9:$C$35,C50,$E$9:$E$35)</f>
        <v>0</v>
      </c>
      <c r="F50" s="679">
        <f>SUMIF($C$4:$C$5,C50,$E$4:$E$5)-E50</f>
        <v>611094151.85000002</v>
      </c>
    </row>
    <row r="51" spans="3:7" x14ac:dyDescent="0.35">
      <c r="C51" s="683"/>
      <c r="D51" s="684"/>
      <c r="E51" s="685"/>
      <c r="F51" s="685"/>
    </row>
    <row r="52" spans="3:7" x14ac:dyDescent="0.35">
      <c r="E52" s="671">
        <f>SUM(E49:E51)</f>
        <v>78062160.150000006</v>
      </c>
      <c r="F52" s="671">
        <f>SUM(F49:F51)</f>
        <v>923342792.45000005</v>
      </c>
    </row>
    <row r="53" spans="3:7" x14ac:dyDescent="0.35">
      <c r="F53" s="686"/>
      <c r="G53" s="631"/>
    </row>
    <row r="54" spans="3:7" x14ac:dyDescent="0.35">
      <c r="F54" s="687"/>
      <c r="G54" s="687"/>
    </row>
    <row r="55" spans="3:7" x14ac:dyDescent="0.35">
      <c r="F55" s="686"/>
      <c r="G55" s="631"/>
    </row>
    <row r="56" spans="3:7" x14ac:dyDescent="0.35">
      <c r="F56" s="686"/>
      <c r="G56" s="631"/>
    </row>
    <row r="57" spans="3:7" x14ac:dyDescent="0.35">
      <c r="F57" s="686"/>
      <c r="G57" s="631"/>
    </row>
    <row r="58" spans="3:7" x14ac:dyDescent="0.35">
      <c r="F58" s="686"/>
      <c r="G58" s="631"/>
    </row>
    <row r="59" spans="3:7" x14ac:dyDescent="0.35">
      <c r="F59" s="686"/>
      <c r="G59" s="631"/>
    </row>
    <row r="60" spans="3:7" x14ac:dyDescent="0.35">
      <c r="F60" s="686"/>
      <c r="G60" s="631"/>
    </row>
    <row r="61" spans="3:7" x14ac:dyDescent="0.35">
      <c r="F61" s="686"/>
      <c r="G61" s="631"/>
    </row>
    <row r="62" spans="3:7" x14ac:dyDescent="0.35">
      <c r="F62" s="686"/>
      <c r="G62" s="631"/>
    </row>
    <row r="63" spans="3:7" x14ac:dyDescent="0.35">
      <c r="F63" s="686"/>
      <c r="G63" s="631"/>
    </row>
    <row r="64" spans="3:7" x14ac:dyDescent="0.35">
      <c r="F64" s="686"/>
      <c r="G64" s="631"/>
    </row>
  </sheetData>
  <mergeCells count="1">
    <mergeCell ref="K7:K8"/>
  </mergeCells>
  <dataValidations disablePrompts="1" count="1">
    <dataValidation type="list" allowBlank="1" showInputMessage="1" showErrorMessage="1" sqref="J20:J35" xr:uid="{FD5151DE-08C1-4572-BD3F-C3BBFC149B0E}">
      <formula1>$J$4:$J$5</formula1>
    </dataValidation>
  </dataValidations>
  <pageMargins left="0.19685039370078741" right="0.19685039370078741" top="0.39370078740157483" bottom="0.39370078740157483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E44C-55A3-4AE4-A19F-9F65D25C99D8}">
  <dimension ref="A1:P44"/>
  <sheetViews>
    <sheetView zoomScaleNormal="100" workbookViewId="0">
      <selection activeCell="D6" sqref="D6"/>
    </sheetView>
  </sheetViews>
  <sheetFormatPr defaultColWidth="11.453125" defaultRowHeight="14.5" x14ac:dyDescent="0.35"/>
  <cols>
    <col min="1" max="1" width="9.1796875" style="620" customWidth="1"/>
    <col min="2" max="2" width="8.7265625" style="620" customWidth="1"/>
    <col min="3" max="3" width="8.26953125" style="620" customWidth="1"/>
    <col min="4" max="4" width="30.81640625" style="620" customWidth="1"/>
    <col min="5" max="5" width="15.81640625" style="620" bestFit="1" customWidth="1"/>
    <col min="6" max="6" width="15.7265625" style="620" bestFit="1" customWidth="1"/>
    <col min="7" max="7" width="14" style="620" customWidth="1"/>
    <col min="8" max="8" width="15.1796875" style="620" customWidth="1"/>
    <col min="9" max="9" width="5.26953125" style="620" customWidth="1"/>
    <col min="10" max="10" width="8.26953125" style="620" customWidth="1"/>
    <col min="11" max="11" width="12.54296875" style="620" customWidth="1"/>
    <col min="12" max="12" width="9.81640625" style="620" customWidth="1"/>
    <col min="13" max="13" width="12" style="620" customWidth="1"/>
    <col min="14" max="14" width="11.453125" style="620"/>
    <col min="15" max="15" width="18.81640625" style="620" bestFit="1" customWidth="1"/>
    <col min="16" max="16" width="13.1796875" style="620" bestFit="1" customWidth="1"/>
    <col min="17" max="16384" width="11.453125" style="620"/>
  </cols>
  <sheetData>
    <row r="1" spans="1:16" ht="18.5" x14ac:dyDescent="0.35">
      <c r="A1" s="619" t="s">
        <v>676</v>
      </c>
    </row>
    <row r="2" spans="1:16" x14ac:dyDescent="0.35">
      <c r="A2" s="621"/>
      <c r="I2" s="1222">
        <f>'Indice CAC'!C6</f>
        <v>16521.3</v>
      </c>
      <c r="J2" s="1222"/>
      <c r="K2" s="1202" t="s">
        <v>667</v>
      </c>
    </row>
    <row r="3" spans="1:16" x14ac:dyDescent="0.35">
      <c r="B3" s="1114" t="s">
        <v>431</v>
      </c>
      <c r="C3" s="1114" t="s">
        <v>452</v>
      </c>
      <c r="D3" s="623" t="s">
        <v>432</v>
      </c>
      <c r="E3" s="623" t="s">
        <v>430</v>
      </c>
      <c r="F3" s="623" t="s">
        <v>433</v>
      </c>
      <c r="G3" s="623" t="s">
        <v>24</v>
      </c>
      <c r="I3" s="622"/>
    </row>
    <row r="4" spans="1:16" x14ac:dyDescent="0.35">
      <c r="B4" s="1115" t="s">
        <v>442</v>
      </c>
      <c r="C4" s="627" t="s">
        <v>455</v>
      </c>
      <c r="D4" s="688" t="s">
        <v>435</v>
      </c>
      <c r="E4" s="629">
        <f>'Preventivo Vta CH2171 '!G59*65%</f>
        <v>390310800.75</v>
      </c>
      <c r="F4" s="630">
        <f>+E4*0.105</f>
        <v>40982634.078749999</v>
      </c>
      <c r="G4" s="630">
        <f t="shared" ref="G4:G8" si="0">E4+F4</f>
        <v>431293434.82875001</v>
      </c>
      <c r="I4" s="1203"/>
      <c r="J4" s="1214">
        <v>0.2</v>
      </c>
      <c r="K4" s="1202" t="s">
        <v>665</v>
      </c>
      <c r="L4" s="1217" t="s">
        <v>675</v>
      </c>
      <c r="P4" s="631"/>
    </row>
    <row r="5" spans="1:16" x14ac:dyDescent="0.35">
      <c r="B5" s="1116" t="s">
        <v>442</v>
      </c>
      <c r="C5" s="689" t="s">
        <v>456</v>
      </c>
      <c r="D5" s="690" t="s">
        <v>435</v>
      </c>
      <c r="E5" s="637">
        <f>'Preventivo Vta CH2171 '!G59*35%</f>
        <v>210167354.25</v>
      </c>
      <c r="F5" s="638">
        <v>0</v>
      </c>
      <c r="G5" s="638">
        <f t="shared" si="0"/>
        <v>210167354.25</v>
      </c>
      <c r="I5" s="622"/>
      <c r="J5" s="632"/>
      <c r="P5" s="631"/>
    </row>
    <row r="6" spans="1:16" x14ac:dyDescent="0.35">
      <c r="B6" s="1116" t="s">
        <v>443</v>
      </c>
      <c r="C6" s="635" t="s">
        <v>457</v>
      </c>
      <c r="D6" s="690" t="s">
        <v>437</v>
      </c>
      <c r="E6" s="639">
        <f>'Preventivo Vta CH2171 '!G228*65%</f>
        <v>611094151.85000002</v>
      </c>
      <c r="F6" s="638">
        <f>+E6*0.105</f>
        <v>64164885.944250003</v>
      </c>
      <c r="G6" s="638">
        <f t="shared" si="0"/>
        <v>675259037.79425001</v>
      </c>
      <c r="I6" s="1203"/>
      <c r="J6" s="1202">
        <v>0.4</v>
      </c>
      <c r="K6" s="1202" t="s">
        <v>666</v>
      </c>
      <c r="P6" s="631"/>
    </row>
    <row r="7" spans="1:16" x14ac:dyDescent="0.35">
      <c r="B7" s="1116" t="s">
        <v>443</v>
      </c>
      <c r="C7" s="689" t="s">
        <v>458</v>
      </c>
      <c r="D7" s="690" t="s">
        <v>437</v>
      </c>
      <c r="E7" s="639">
        <f>'Preventivo Vta CH2171 '!G228*35%</f>
        <v>329050697.14999998</v>
      </c>
      <c r="F7" s="638">
        <v>0</v>
      </c>
      <c r="G7" s="638">
        <f t="shared" si="0"/>
        <v>329050697.14999998</v>
      </c>
      <c r="I7" s="622"/>
      <c r="J7" s="632"/>
      <c r="P7" s="631"/>
    </row>
    <row r="8" spans="1:16" x14ac:dyDescent="0.35">
      <c r="B8" s="1117" t="s">
        <v>636</v>
      </c>
      <c r="C8" s="1118" t="s">
        <v>669</v>
      </c>
      <c r="D8" s="1106" t="s">
        <v>635</v>
      </c>
      <c r="E8" s="1210">
        <f>'AING Gtos Desarrollo'!AF19</f>
        <v>104981.39054072408</v>
      </c>
      <c r="F8" s="638">
        <v>0</v>
      </c>
      <c r="G8" s="1210">
        <f t="shared" si="0"/>
        <v>104981.39054072408</v>
      </c>
      <c r="I8" s="622"/>
      <c r="J8" s="632"/>
      <c r="O8" s="634"/>
      <c r="P8" s="631"/>
    </row>
    <row r="9" spans="1:16" x14ac:dyDescent="0.35">
      <c r="B9" s="640"/>
      <c r="C9" s="640"/>
      <c r="D9" s="641" t="s">
        <v>438</v>
      </c>
      <c r="E9" s="642">
        <f>SUM(E4:E7)</f>
        <v>1540623004</v>
      </c>
      <c r="F9" s="642">
        <f>SUM(F4:F7)</f>
        <v>105147520.023</v>
      </c>
      <c r="G9" s="642">
        <f>SUM(G4:G7)</f>
        <v>1645770524.0230002</v>
      </c>
      <c r="O9" s="634"/>
    </row>
    <row r="10" spans="1:16" x14ac:dyDescent="0.35">
      <c r="B10" s="643"/>
      <c r="C10" s="644"/>
      <c r="D10" s="645"/>
      <c r="E10" s="646"/>
      <c r="F10" s="646"/>
      <c r="G10" s="648"/>
      <c r="H10" s="648"/>
      <c r="K10" s="643" t="s">
        <v>451</v>
      </c>
      <c r="L10" s="643" t="s">
        <v>1</v>
      </c>
      <c r="M10" s="643" t="s">
        <v>3</v>
      </c>
    </row>
    <row r="11" spans="1:16" x14ac:dyDescent="0.35">
      <c r="A11" s="623" t="s">
        <v>1</v>
      </c>
      <c r="B11" s="623" t="s">
        <v>431</v>
      </c>
      <c r="C11" s="623" t="s">
        <v>452</v>
      </c>
      <c r="D11" s="623" t="s">
        <v>432</v>
      </c>
      <c r="E11" s="623" t="s">
        <v>430</v>
      </c>
      <c r="F11" s="623" t="s">
        <v>4</v>
      </c>
      <c r="G11" s="623" t="s">
        <v>433</v>
      </c>
      <c r="H11" s="623" t="s">
        <v>24</v>
      </c>
      <c r="J11" s="691" t="s">
        <v>453</v>
      </c>
      <c r="K11" s="1205">
        <f>SUM(K12:K21)</f>
        <v>65481.125957173717</v>
      </c>
      <c r="L11" s="692"/>
      <c r="M11" s="693"/>
      <c r="P11" s="634"/>
    </row>
    <row r="12" spans="1:16" x14ac:dyDescent="0.35">
      <c r="A12" s="650">
        <v>46082</v>
      </c>
      <c r="B12" s="644" t="s">
        <v>442</v>
      </c>
      <c r="C12" s="694" t="s">
        <v>455</v>
      </c>
      <c r="D12" s="651" t="s">
        <v>664</v>
      </c>
      <c r="E12" s="695">
        <f>E4*$J$4</f>
        <v>78062160.150000006</v>
      </c>
      <c r="F12" s="652">
        <f>E12*((_xlfn.XLOOKUP(DATE(2026,2,1),'Indice CAC'!$B$6:$B$24,'Indice CAC'!$C$6:$C$24)/$I$2)-1)</f>
        <v>13852108.182271075</v>
      </c>
      <c r="G12" s="634">
        <f t="shared" ref="G12:G18" si="1">(F12+E12)*0.105</f>
        <v>9650998.1748884637</v>
      </c>
      <c r="H12" s="652">
        <f>SUM(E12:G12)</f>
        <v>101565266.50715955</v>
      </c>
      <c r="I12" s="653"/>
      <c r="J12" s="696"/>
      <c r="K12" s="1206"/>
      <c r="L12" s="697"/>
      <c r="M12" s="698"/>
    </row>
    <row r="13" spans="1:16" x14ac:dyDescent="0.35">
      <c r="A13" s="650">
        <v>46082</v>
      </c>
      <c r="B13" s="644" t="s">
        <v>442</v>
      </c>
      <c r="C13" s="694" t="s">
        <v>456</v>
      </c>
      <c r="D13" s="651" t="s">
        <v>664</v>
      </c>
      <c r="E13" s="695">
        <f>E5*$J$4</f>
        <v>42033470.850000001</v>
      </c>
      <c r="F13" s="652">
        <f>E13*((_xlfn.XLOOKUP(DATE(2026,2,1),'Indice CAC'!$B$6:$B$24,'Indice CAC'!$C$6:$C$24)/$I$2)-1)</f>
        <v>7458827.4827613477</v>
      </c>
      <c r="G13" s="634">
        <v>0</v>
      </c>
      <c r="H13" s="634">
        <f>SUM(E13:G13)</f>
        <v>49492298.332761347</v>
      </c>
      <c r="J13" s="696">
        <f>_xlfn.XLOOKUP($A13,'TC USD MEP'!B:B,'TC USD MEP'!C:C,0)</f>
        <v>1419.54</v>
      </c>
      <c r="K13" s="1207">
        <f>$H13/$J13</f>
        <v>34865.025524297555</v>
      </c>
      <c r="L13" s="697"/>
      <c r="M13" s="698"/>
    </row>
    <row r="14" spans="1:16" x14ac:dyDescent="0.35">
      <c r="A14" s="650">
        <v>46082</v>
      </c>
      <c r="B14" s="644" t="s">
        <v>636</v>
      </c>
      <c r="C14" s="694" t="s">
        <v>669</v>
      </c>
      <c r="D14" s="651" t="s">
        <v>668</v>
      </c>
      <c r="E14" s="695">
        <v>0</v>
      </c>
      <c r="F14" s="652">
        <v>0</v>
      </c>
      <c r="G14" s="634">
        <v>0</v>
      </c>
      <c r="H14" s="634">
        <f t="shared" ref="H14:H19" si="2">SUM(E14:G14)</f>
        <v>0</v>
      </c>
      <c r="J14" s="696">
        <f>_xlfn.XLOOKUP($A14,'TC USD MEP'!B:B,'TC USD MEP'!C:C,0)</f>
        <v>1419.54</v>
      </c>
      <c r="K14" s="1207">
        <f>_xlfn.XLOOKUP($A14,'AING Gtos Desarrollo'!$K$5:$AE$5,'AING Gtos Desarrollo'!$K$19:$AE$19,0)</f>
        <v>5249.069527036203</v>
      </c>
      <c r="L14" s="697"/>
      <c r="M14" s="698"/>
    </row>
    <row r="15" spans="1:16" x14ac:dyDescent="0.35">
      <c r="A15" s="650">
        <v>46142</v>
      </c>
      <c r="B15" s="659" t="s">
        <v>442</v>
      </c>
      <c r="C15" s="694" t="s">
        <v>455</v>
      </c>
      <c r="D15" s="651" t="s">
        <v>670</v>
      </c>
      <c r="E15" s="695">
        <f>51205725.464*65%</f>
        <v>33283721.551600002</v>
      </c>
      <c r="F15" s="652">
        <f>E15*((_xlfn.XLOOKUP($A12,'Indice CAC'!$B$6:$B$24,'Indice CAC'!$C$6:$C$24)/$I$2)-1)</f>
        <v>6547230.9485660894</v>
      </c>
      <c r="G15" s="634">
        <f t="shared" si="1"/>
        <v>4182250.0125174392</v>
      </c>
      <c r="H15" s="634">
        <f t="shared" si="2"/>
        <v>44013202.512683526</v>
      </c>
      <c r="J15" s="696"/>
      <c r="K15" s="1207"/>
      <c r="L15" s="697"/>
      <c r="M15" s="698"/>
      <c r="O15" s="634"/>
    </row>
    <row r="16" spans="1:16" x14ac:dyDescent="0.35">
      <c r="A16" s="650">
        <v>46142</v>
      </c>
      <c r="B16" s="644" t="s">
        <v>442</v>
      </c>
      <c r="C16" s="694" t="s">
        <v>456</v>
      </c>
      <c r="D16" s="651" t="s">
        <v>670</v>
      </c>
      <c r="E16" s="695">
        <f>51205725.464*35%</f>
        <v>17922003.9124</v>
      </c>
      <c r="F16" s="652">
        <f>E16*((_xlfn.XLOOKUP($A13,'Indice CAC'!$B$6:$B$24,'Indice CAC'!$C$6:$C$24)/$I$2)-1)</f>
        <v>3525432.0492278938</v>
      </c>
      <c r="G16" s="634">
        <v>0</v>
      </c>
      <c r="H16" s="634">
        <f t="shared" si="2"/>
        <v>21447435.961627893</v>
      </c>
      <c r="J16" s="696">
        <f>_xlfn.XLOOKUP($A16,'TC USD MEP'!B:B,'TC USD MEP'!C:C,0)</f>
        <v>1442.43</v>
      </c>
      <c r="K16" s="1207">
        <f>$H16/$J16</f>
        <v>14868.96137880375</v>
      </c>
      <c r="L16" s="697"/>
      <c r="M16" s="698"/>
      <c r="O16" s="634"/>
    </row>
    <row r="17" spans="1:15" x14ac:dyDescent="0.35">
      <c r="A17" s="650">
        <v>46142</v>
      </c>
      <c r="B17" s="659" t="s">
        <v>636</v>
      </c>
      <c r="C17" s="694" t="s">
        <v>669</v>
      </c>
      <c r="D17" s="651" t="s">
        <v>671</v>
      </c>
      <c r="E17" s="634"/>
      <c r="F17" s="652"/>
      <c r="G17" s="634">
        <v>0</v>
      </c>
      <c r="H17" s="634">
        <f t="shared" si="2"/>
        <v>0</v>
      </c>
      <c r="J17" s="696">
        <f>_xlfn.XLOOKUP($A17,'TC USD MEP'!B:B,'TC USD MEP'!C:C,0)</f>
        <v>1442.43</v>
      </c>
      <c r="K17" s="1207">
        <f>_xlfn.XLOOKUP(EOMONTH($A17,-1)+1,'AING Gtos Desarrollo'!$K$5:$AE$5,'AING Gtos Desarrollo'!$K$19:$AE$19,0)</f>
        <v>5249.069527036203</v>
      </c>
      <c r="L17" s="697"/>
      <c r="M17" s="698"/>
      <c r="O17" s="634"/>
    </row>
    <row r="18" spans="1:15" x14ac:dyDescent="0.35">
      <c r="A18" s="650">
        <v>46175</v>
      </c>
      <c r="B18" s="659" t="s">
        <v>442</v>
      </c>
      <c r="C18" s="694" t="s">
        <v>455</v>
      </c>
      <c r="D18" s="651" t="s">
        <v>681</v>
      </c>
      <c r="E18" s="634">
        <f>55124362*0.65</f>
        <v>35830835.300000004</v>
      </c>
      <c r="F18" s="652">
        <f>13252495*0.65</f>
        <v>8614121.75</v>
      </c>
      <c r="G18" s="634">
        <f t="shared" si="1"/>
        <v>4666720.4902500007</v>
      </c>
      <c r="H18" s="634">
        <f t="shared" si="2"/>
        <v>49111677.540250003</v>
      </c>
      <c r="J18" s="696"/>
      <c r="K18" s="1206"/>
      <c r="L18" s="697"/>
      <c r="M18" s="698"/>
      <c r="O18" s="634"/>
    </row>
    <row r="19" spans="1:15" x14ac:dyDescent="0.35">
      <c r="A19" s="650">
        <v>46175</v>
      </c>
      <c r="B19" s="644" t="s">
        <v>442</v>
      </c>
      <c r="C19" s="694" t="s">
        <v>456</v>
      </c>
      <c r="D19" s="651" t="s">
        <v>681</v>
      </c>
      <c r="E19" s="634">
        <f>55124362*0.35</f>
        <v>19293526.699999999</v>
      </c>
      <c r="F19" s="652">
        <f>13252495*0.35</f>
        <v>4638373.25</v>
      </c>
      <c r="G19" s="634">
        <v>0</v>
      </c>
      <c r="H19" s="634">
        <f t="shared" si="2"/>
        <v>23931899.949999999</v>
      </c>
      <c r="J19" s="696"/>
      <c r="K19" s="1207"/>
      <c r="L19" s="697"/>
      <c r="M19" s="698"/>
    </row>
    <row r="20" spans="1:15" x14ac:dyDescent="0.35">
      <c r="A20" s="650">
        <v>46175</v>
      </c>
      <c r="B20" s="659" t="s">
        <v>636</v>
      </c>
      <c r="C20" s="694" t="s">
        <v>669</v>
      </c>
      <c r="D20" s="651" t="s">
        <v>682</v>
      </c>
      <c r="E20" s="634"/>
      <c r="F20" s="652"/>
      <c r="G20" s="634"/>
      <c r="H20" s="634"/>
      <c r="J20" s="696"/>
      <c r="K20" s="1207">
        <v>5249</v>
      </c>
      <c r="L20" s="697"/>
      <c r="M20" s="698"/>
    </row>
    <row r="21" spans="1:15" x14ac:dyDescent="0.35">
      <c r="A21" s="650"/>
      <c r="B21" s="644"/>
      <c r="C21" s="659"/>
      <c r="D21" s="651"/>
      <c r="E21" s="652"/>
      <c r="F21" s="652"/>
      <c r="G21" s="652"/>
      <c r="H21" s="634"/>
      <c r="J21" s="696"/>
      <c r="K21" s="1207"/>
      <c r="L21" s="697"/>
      <c r="M21" s="698"/>
    </row>
    <row r="22" spans="1:15" x14ac:dyDescent="0.35">
      <c r="A22" s="663"/>
      <c r="B22" s="663"/>
      <c r="C22" s="663"/>
      <c r="D22" s="664" t="s">
        <v>438</v>
      </c>
      <c r="E22" s="665">
        <f>SUM(E12:E21)</f>
        <v>226425718.46400002</v>
      </c>
      <c r="F22" s="665">
        <f>SUM(F12:F21)</f>
        <v>44636093.662826404</v>
      </c>
      <c r="G22" s="665">
        <f>SUM(G12:G21)</f>
        <v>18499968.677655905</v>
      </c>
      <c r="H22" s="665">
        <f>SUM(H12:H21)</f>
        <v>289561780.80448228</v>
      </c>
      <c r="K22" s="1208">
        <f>SUM(K12:K21)</f>
        <v>65481.125957173717</v>
      </c>
      <c r="L22" s="665"/>
      <c r="M22" s="665">
        <f>SUM(M12:M21)</f>
        <v>0</v>
      </c>
    </row>
    <row r="24" spans="1:15" x14ac:dyDescent="0.35">
      <c r="K24" s="1215" t="s">
        <v>672</v>
      </c>
      <c r="L24" s="668"/>
      <c r="M24" s="1209">
        <f>K22-M22</f>
        <v>65481.125957173717</v>
      </c>
    </row>
    <row r="25" spans="1:15" x14ac:dyDescent="0.35">
      <c r="D25" s="670" t="s">
        <v>445</v>
      </c>
      <c r="E25" s="671">
        <f>SUM(E4:E7)</f>
        <v>1540623004</v>
      </c>
      <c r="F25" s="648"/>
    </row>
    <row r="26" spans="1:15" x14ac:dyDescent="0.35">
      <c r="D26" s="670" t="s">
        <v>446</v>
      </c>
      <c r="E26" s="671">
        <f>SUMIF($B$12:$B$21,"0003-*",$E$12:$E$21)</f>
        <v>0</v>
      </c>
      <c r="F26" s="648"/>
      <c r="H26" s="634"/>
      <c r="M26" s="620">
        <v>52882.142857142855</v>
      </c>
    </row>
    <row r="27" spans="1:15" x14ac:dyDescent="0.35">
      <c r="D27" s="670" t="s">
        <v>447</v>
      </c>
      <c r="E27" s="671">
        <f>SUMIF($B$12:$B$21,"",$E$12:$E$21)</f>
        <v>0</v>
      </c>
      <c r="F27" s="648"/>
      <c r="H27" s="634"/>
      <c r="M27" s="1219">
        <f>+M24+M26</f>
        <v>118363.26881431657</v>
      </c>
    </row>
    <row r="28" spans="1:15" x14ac:dyDescent="0.35">
      <c r="D28" s="673" t="s">
        <v>448</v>
      </c>
      <c r="E28" s="674">
        <f>E25-E26-E27</f>
        <v>1540623004</v>
      </c>
      <c r="G28" s="634"/>
      <c r="M28" s="620">
        <f>20000000/1400</f>
        <v>14285.714285714286</v>
      </c>
    </row>
    <row r="29" spans="1:15" x14ac:dyDescent="0.35">
      <c r="M29" s="1219">
        <f>M27+M28</f>
        <v>132648.98310003086</v>
      </c>
    </row>
    <row r="30" spans="1:15" x14ac:dyDescent="0.35">
      <c r="C30" s="676" t="s">
        <v>431</v>
      </c>
      <c r="D30" s="676" t="s">
        <v>432</v>
      </c>
      <c r="E30" s="677" t="s">
        <v>40</v>
      </c>
      <c r="F30" s="677" t="s">
        <v>450</v>
      </c>
      <c r="G30" s="699" t="s">
        <v>454</v>
      </c>
      <c r="M30" s="620">
        <v>150000</v>
      </c>
    </row>
    <row r="31" spans="1:15" x14ac:dyDescent="0.35">
      <c r="C31" s="678" t="s">
        <v>455</v>
      </c>
      <c r="D31" s="628" t="s">
        <v>435</v>
      </c>
      <c r="E31" s="679">
        <f>SUMIF($C$12:$C$21,C31,$E$12:$E$21)</f>
        <v>147176717.00160003</v>
      </c>
      <c r="F31" s="680">
        <f>SUMIF($C$4:$C$7,C31,$E$4:$E$7)-E31</f>
        <v>243134083.74839997</v>
      </c>
      <c r="G31" s="680">
        <f>+E31</f>
        <v>147176717.00160003</v>
      </c>
      <c r="M31" s="1219">
        <f>+M29-M30</f>
        <v>-17351.016899969138</v>
      </c>
    </row>
    <row r="32" spans="1:15" x14ac:dyDescent="0.35">
      <c r="C32" s="681" t="s">
        <v>456</v>
      </c>
      <c r="D32" s="636" t="s">
        <v>435</v>
      </c>
      <c r="E32" s="679">
        <f t="shared" ref="E32:E34" si="3">SUMIF($C$12:$C$21,C32,$E$12:$E$21)</f>
        <v>79249001.462400004</v>
      </c>
      <c r="F32" s="679">
        <f>SUMIF($C$4:$C$7,C32,$E$4:$E$7)-E32</f>
        <v>130918352.7876</v>
      </c>
      <c r="G32" s="679"/>
    </row>
    <row r="33" spans="3:8" x14ac:dyDescent="0.35">
      <c r="C33" s="681" t="s">
        <v>457</v>
      </c>
      <c r="D33" s="636" t="s">
        <v>437</v>
      </c>
      <c r="E33" s="679">
        <f t="shared" si="3"/>
        <v>0</v>
      </c>
      <c r="F33" s="679">
        <f>SUMIF($C$4:$C$7,C33,$E$4:$E$7)-E33</f>
        <v>611094151.85000002</v>
      </c>
      <c r="G33" s="679">
        <f>+E33</f>
        <v>0</v>
      </c>
    </row>
    <row r="34" spans="3:8" x14ac:dyDescent="0.35">
      <c r="C34" s="681" t="s">
        <v>458</v>
      </c>
      <c r="D34" s="636" t="s">
        <v>437</v>
      </c>
      <c r="E34" s="679">
        <f t="shared" si="3"/>
        <v>0</v>
      </c>
      <c r="F34" s="679">
        <f>SUMIF($C$4:$C$7,C34,$E$4:$E$7)-E34</f>
        <v>329050697.14999998</v>
      </c>
      <c r="G34" s="679"/>
      <c r="H34" s="661"/>
    </row>
    <row r="35" spans="3:8" x14ac:dyDescent="0.35">
      <c r="C35" s="700"/>
      <c r="D35" s="701"/>
      <c r="E35" s="679"/>
      <c r="F35" s="1211"/>
      <c r="G35" s="679"/>
    </row>
    <row r="36" spans="3:8" x14ac:dyDescent="0.35">
      <c r="C36" s="683"/>
      <c r="D36" s="684"/>
      <c r="E36" s="685"/>
      <c r="F36" s="685"/>
      <c r="G36" s="685"/>
    </row>
    <row r="37" spans="3:8" x14ac:dyDescent="0.35">
      <c r="E37" s="671">
        <f>SUM(E31:E36)</f>
        <v>226425718.46400005</v>
      </c>
      <c r="F37" s="671">
        <f>SUM(F31:F36)</f>
        <v>1314197285.5359998</v>
      </c>
      <c r="G37" s="702">
        <f>SUM(G31:G36)</f>
        <v>147176717.00160003</v>
      </c>
    </row>
    <row r="39" spans="3:8" x14ac:dyDescent="0.35">
      <c r="G39" s="661"/>
    </row>
    <row r="40" spans="3:8" x14ac:dyDescent="0.35">
      <c r="C40" s="676" t="s">
        <v>431</v>
      </c>
      <c r="D40" s="676" t="s">
        <v>432</v>
      </c>
      <c r="E40" s="677" t="s">
        <v>40</v>
      </c>
      <c r="F40" s="677" t="s">
        <v>450</v>
      </c>
      <c r="G40" s="699" t="s">
        <v>454</v>
      </c>
    </row>
    <row r="41" spans="3:8" x14ac:dyDescent="0.35">
      <c r="C41" s="678" t="s">
        <v>669</v>
      </c>
      <c r="D41" s="628" t="s">
        <v>635</v>
      </c>
      <c r="E41" s="679">
        <f>SUMIF($C$12:$C$21,C41,$K$12:$K$21)</f>
        <v>15747.139054072406</v>
      </c>
      <c r="F41" s="680">
        <f>SUMIF($C$4:$C$8,C41,$E$4:$E$8)-E41</f>
        <v>89234.251486651672</v>
      </c>
      <c r="G41" s="680"/>
    </row>
    <row r="42" spans="3:8" x14ac:dyDescent="0.35">
      <c r="C42" s="681"/>
      <c r="D42" s="636"/>
      <c r="E42" s="679">
        <f>SUMIF($B$12:$B$21,C42,$E$12:$E$21)</f>
        <v>0</v>
      </c>
      <c r="F42" s="679">
        <f>SUMIF($C$4:$C$7,C42,$E$4:$E$7)-E42</f>
        <v>0</v>
      </c>
      <c r="G42" s="679"/>
    </row>
    <row r="43" spans="3:8" x14ac:dyDescent="0.35">
      <c r="C43" s="1212"/>
      <c r="D43" s="1213"/>
      <c r="E43" s="685"/>
      <c r="F43" s="685"/>
      <c r="G43" s="685"/>
    </row>
    <row r="44" spans="3:8" x14ac:dyDescent="0.35">
      <c r="E44" s="671">
        <f>SUM(E41:E43)</f>
        <v>15747.139054072406</v>
      </c>
      <c r="F44" s="671">
        <f>SUM(F41:F43)</f>
        <v>89234.251486651672</v>
      </c>
      <c r="G44" s="702">
        <f>SUM(G41:G43)</f>
        <v>0</v>
      </c>
    </row>
  </sheetData>
  <mergeCells count="1">
    <mergeCell ref="I2:J2"/>
  </mergeCells>
  <dataValidations count="2">
    <dataValidation type="list" allowBlank="1" showInputMessage="1" showErrorMessage="1" sqref="B12:B21" xr:uid="{5F92E7B6-D76F-443A-999F-859C4B5938C2}">
      <formula1>$B$4:$B$8</formula1>
    </dataValidation>
    <dataValidation type="list" allowBlank="1" showInputMessage="1" showErrorMessage="1" sqref="C12:C21" xr:uid="{962BA09E-27FB-494B-AD90-E038E1D5A0B8}">
      <formula1>$C$4:$C$8</formula1>
    </dataValidation>
  </dataValidations>
  <pageMargins left="0.19685039370078741" right="0.19685039370078741" top="0.39370078740157483" bottom="0.39370078740157483" header="0.31496062992125984" footer="0.31496062992125984"/>
  <pageSetup paperSize="9" scale="7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81CD-4642-42E2-9D9C-010BB606D335}">
  <dimension ref="A1:K36"/>
  <sheetViews>
    <sheetView topLeftCell="A7" workbookViewId="0">
      <selection activeCell="F26" sqref="F26"/>
    </sheetView>
  </sheetViews>
  <sheetFormatPr defaultColWidth="11.453125" defaultRowHeight="14.5" x14ac:dyDescent="0.35"/>
  <cols>
    <col min="1" max="1" width="18.26953125" customWidth="1"/>
    <col min="2" max="2" width="28.54296875" bestFit="1" customWidth="1"/>
    <col min="3" max="3" width="15.26953125" customWidth="1"/>
    <col min="4" max="4" width="12.81640625" customWidth="1"/>
    <col min="5" max="5" width="15.453125" customWidth="1"/>
    <col min="6" max="6" width="14" bestFit="1" customWidth="1"/>
    <col min="7" max="8" width="14.1796875" bestFit="1" customWidth="1"/>
    <col min="10" max="10" width="13.1796875" bestFit="1" customWidth="1"/>
    <col min="11" max="11" width="14.1796875" bestFit="1" customWidth="1"/>
  </cols>
  <sheetData>
    <row r="1" spans="1:6" x14ac:dyDescent="0.35">
      <c r="A1" s="1" t="s">
        <v>7</v>
      </c>
    </row>
    <row r="2" spans="1:6" x14ac:dyDescent="0.35">
      <c r="A2" s="1" t="s">
        <v>0</v>
      </c>
    </row>
    <row r="3" spans="1:6" ht="14.25" customHeight="1" thickBot="1" x14ac:dyDescent="0.4"/>
    <row r="4" spans="1:6" x14ac:dyDescent="0.35">
      <c r="A4" s="21" t="s">
        <v>9</v>
      </c>
      <c r="B4" s="21"/>
      <c r="C4" s="21"/>
      <c r="D4" s="20" t="s">
        <v>8</v>
      </c>
      <c r="E4" s="21"/>
      <c r="F4" s="22"/>
    </row>
    <row r="5" spans="1:6" x14ac:dyDescent="0.35">
      <c r="A5" s="2" t="s">
        <v>1</v>
      </c>
      <c r="B5" s="3" t="s">
        <v>2</v>
      </c>
      <c r="C5" s="4" t="s">
        <v>3</v>
      </c>
      <c r="D5" s="4" t="s">
        <v>4</v>
      </c>
      <c r="E5" s="4" t="s">
        <v>5</v>
      </c>
      <c r="F5" s="5"/>
    </row>
    <row r="6" spans="1:6" x14ac:dyDescent="0.35">
      <c r="A6" s="6"/>
      <c r="B6" s="7" t="s">
        <v>6</v>
      </c>
      <c r="C6" s="8"/>
      <c r="D6" s="8"/>
      <c r="E6" s="9">
        <v>1040000</v>
      </c>
      <c r="F6" s="10"/>
    </row>
    <row r="7" spans="1:6" x14ac:dyDescent="0.35">
      <c r="A7" s="23">
        <v>46079</v>
      </c>
      <c r="B7" s="7" t="s">
        <v>37</v>
      </c>
      <c r="C7" s="9">
        <v>520000</v>
      </c>
      <c r="D7" s="8"/>
      <c r="E7" s="9"/>
      <c r="F7" s="10"/>
    </row>
    <row r="8" spans="1:6" x14ac:dyDescent="0.35">
      <c r="A8" s="23">
        <v>46125</v>
      </c>
      <c r="B8" s="7" t="s">
        <v>38</v>
      </c>
      <c r="C8" s="9">
        <v>520000</v>
      </c>
      <c r="D8" s="8"/>
      <c r="E8" s="9"/>
      <c r="F8" s="10"/>
    </row>
    <row r="9" spans="1:6" x14ac:dyDescent="0.35">
      <c r="A9" s="11"/>
      <c r="B9" s="13"/>
      <c r="C9" s="12"/>
      <c r="D9" s="12"/>
      <c r="E9" s="14"/>
      <c r="F9" s="15"/>
    </row>
    <row r="10" spans="1:6" ht="15" thickBot="1" x14ac:dyDescent="0.4">
      <c r="A10" s="16"/>
      <c r="B10" s="17"/>
      <c r="C10" s="31">
        <f>SUM(C7:C9)</f>
        <v>1040000</v>
      </c>
      <c r="D10" s="31">
        <f>SUM(D9:D9)</f>
        <v>0</v>
      </c>
      <c r="E10" s="31">
        <f>SUM(E6:E9)</f>
        <v>1040000</v>
      </c>
      <c r="F10" s="32">
        <f>+E10-C10</f>
        <v>0</v>
      </c>
    </row>
    <row r="11" spans="1:6" ht="15" thickBot="1" x14ac:dyDescent="0.4"/>
    <row r="12" spans="1:6" x14ac:dyDescent="0.35">
      <c r="A12" s="24" t="s">
        <v>10</v>
      </c>
      <c r="B12" s="24"/>
      <c r="C12" s="24"/>
      <c r="D12" s="25" t="s">
        <v>11</v>
      </c>
      <c r="E12" s="24"/>
      <c r="F12" s="26"/>
    </row>
    <row r="13" spans="1:6" x14ac:dyDescent="0.35">
      <c r="A13" s="2" t="s">
        <v>1</v>
      </c>
      <c r="B13" s="3" t="s">
        <v>2</v>
      </c>
      <c r="C13" s="4" t="s">
        <v>3</v>
      </c>
      <c r="D13" s="4" t="s">
        <v>4</v>
      </c>
      <c r="E13" s="4" t="s">
        <v>5</v>
      </c>
      <c r="F13" s="5"/>
    </row>
    <row r="14" spans="1:6" x14ac:dyDescent="0.35">
      <c r="A14" s="27">
        <v>46066</v>
      </c>
      <c r="B14" s="7" t="s">
        <v>6</v>
      </c>
      <c r="C14" s="8"/>
      <c r="D14" s="8"/>
      <c r="E14" s="9">
        <v>680000</v>
      </c>
      <c r="F14" s="10"/>
    </row>
    <row r="15" spans="1:6" x14ac:dyDescent="0.35">
      <c r="A15" s="23">
        <v>46086</v>
      </c>
      <c r="B15" s="7" t="s">
        <v>41</v>
      </c>
      <c r="C15" s="9">
        <v>380000</v>
      </c>
      <c r="D15" s="8"/>
      <c r="E15" s="9"/>
      <c r="F15" s="10"/>
    </row>
    <row r="16" spans="1:6" x14ac:dyDescent="0.35">
      <c r="A16" s="23">
        <v>46106</v>
      </c>
      <c r="B16" s="7" t="s">
        <v>41</v>
      </c>
      <c r="C16" s="9">
        <v>350000</v>
      </c>
      <c r="D16" s="8"/>
      <c r="E16" s="9"/>
      <c r="F16" s="10"/>
    </row>
    <row r="17" spans="1:11" x14ac:dyDescent="0.35">
      <c r="A17" s="11"/>
      <c r="B17" s="13"/>
      <c r="C17" s="12"/>
      <c r="D17" s="12"/>
      <c r="E17" s="14"/>
      <c r="F17" s="15"/>
    </row>
    <row r="18" spans="1:11" ht="15" thickBot="1" x14ac:dyDescent="0.4">
      <c r="A18" s="16"/>
      <c r="B18" s="17"/>
      <c r="C18" s="18">
        <f>SUM(C15:C17)</f>
        <v>730000</v>
      </c>
      <c r="D18" s="18">
        <f>SUM(D17:D17)</f>
        <v>0</v>
      </c>
      <c r="E18" s="18">
        <f>SUM(E14:E17)</f>
        <v>680000</v>
      </c>
      <c r="F18" s="19">
        <f>+E18-C18</f>
        <v>-50000</v>
      </c>
    </row>
    <row r="19" spans="1:11" ht="15" thickBot="1" x14ac:dyDescent="0.4"/>
    <row r="20" spans="1:11" x14ac:dyDescent="0.35">
      <c r="A20" s="28"/>
      <c r="B20" s="28"/>
      <c r="C20" s="28"/>
      <c r="D20" s="29" t="s">
        <v>12</v>
      </c>
      <c r="E20" s="28"/>
      <c r="F20" s="30"/>
      <c r="G20" s="1104">
        <v>0.2315232120722503</v>
      </c>
      <c r="H20" s="1104">
        <v>0.76847678792774965</v>
      </c>
      <c r="J20" s="1221"/>
      <c r="K20" s="1221"/>
    </row>
    <row r="21" spans="1:11" x14ac:dyDescent="0.35">
      <c r="A21" s="2" t="s">
        <v>1</v>
      </c>
      <c r="B21" s="3" t="s">
        <v>2</v>
      </c>
      <c r="C21" s="4" t="s">
        <v>3</v>
      </c>
      <c r="D21" s="4" t="s">
        <v>4</v>
      </c>
      <c r="E21" s="4" t="s">
        <v>5</v>
      </c>
      <c r="F21" s="5"/>
      <c r="G21" s="4" t="s">
        <v>493</v>
      </c>
      <c r="H21" s="4" t="s">
        <v>494</v>
      </c>
    </row>
    <row r="22" spans="1:11" x14ac:dyDescent="0.35">
      <c r="A22" s="23">
        <v>46084</v>
      </c>
      <c r="B22" s="7" t="s">
        <v>6</v>
      </c>
      <c r="C22" s="8"/>
      <c r="D22" s="8"/>
      <c r="E22" s="9">
        <v>55937600</v>
      </c>
      <c r="F22" s="10"/>
    </row>
    <row r="23" spans="1:11" x14ac:dyDescent="0.35">
      <c r="A23" s="23">
        <v>46094</v>
      </c>
      <c r="B23" s="7" t="s">
        <v>13</v>
      </c>
      <c r="C23" s="9">
        <v>16781280</v>
      </c>
      <c r="D23" s="8"/>
      <c r="E23" s="9"/>
      <c r="F23" s="10"/>
      <c r="H23" s="1221"/>
    </row>
    <row r="24" spans="1:11" x14ac:dyDescent="0.35">
      <c r="A24" s="23">
        <v>46142</v>
      </c>
      <c r="B24" s="7" t="s">
        <v>630</v>
      </c>
      <c r="C24" s="9">
        <v>10000000</v>
      </c>
      <c r="D24" s="8"/>
      <c r="E24" s="9"/>
      <c r="F24" s="10"/>
      <c r="H24" s="1221"/>
    </row>
    <row r="25" spans="1:11" x14ac:dyDescent="0.35">
      <c r="A25" s="23">
        <v>46142</v>
      </c>
      <c r="B25" s="7" t="s">
        <v>631</v>
      </c>
      <c r="C25" s="9">
        <f>16837217.6-C24</f>
        <v>6837217.6000000015</v>
      </c>
      <c r="D25" s="9">
        <v>492422.92</v>
      </c>
      <c r="E25" s="9"/>
      <c r="F25" s="10"/>
    </row>
    <row r="26" spans="1:11" x14ac:dyDescent="0.35">
      <c r="A26" s="23">
        <v>46163</v>
      </c>
      <c r="B26" s="7" t="s">
        <v>678</v>
      </c>
      <c r="C26" s="9">
        <f>17791840-D26</f>
        <v>17139093.34</v>
      </c>
      <c r="D26" s="9">
        <v>652746.66</v>
      </c>
      <c r="E26" s="9"/>
      <c r="F26" s="10"/>
      <c r="G26" s="79">
        <f>SUM(C26:D26)*G20</f>
        <v>4119223.9454755457</v>
      </c>
      <c r="H26" s="79">
        <f>SUM(C26:D26)*H20</f>
        <v>13672616.054524453</v>
      </c>
    </row>
    <row r="27" spans="1:11" x14ac:dyDescent="0.35">
      <c r="A27" s="23">
        <v>46162</v>
      </c>
      <c r="B27" s="7" t="s">
        <v>679</v>
      </c>
      <c r="C27" s="9">
        <v>5000000</v>
      </c>
      <c r="D27" s="9"/>
      <c r="E27" s="9"/>
      <c r="F27" s="10"/>
      <c r="G27" s="79"/>
      <c r="H27" s="79">
        <f>SUM(C27:D27)*H20</f>
        <v>3842383.9396387483</v>
      </c>
    </row>
    <row r="28" spans="1:11" x14ac:dyDescent="0.35">
      <c r="A28" s="23">
        <v>46162</v>
      </c>
      <c r="B28" s="7" t="s">
        <v>680</v>
      </c>
      <c r="C28" s="9">
        <v>180009</v>
      </c>
      <c r="D28" s="9"/>
      <c r="E28" s="9"/>
      <c r="F28" s="10"/>
    </row>
    <row r="29" spans="1:11" x14ac:dyDescent="0.35">
      <c r="A29" s="11"/>
      <c r="B29" s="13"/>
      <c r="C29" s="12"/>
      <c r="D29" s="12"/>
      <c r="E29" s="14"/>
      <c r="F29" s="15"/>
    </row>
    <row r="30" spans="1:11" ht="15" thickBot="1" x14ac:dyDescent="0.4">
      <c r="A30" s="16"/>
      <c r="B30" s="17"/>
      <c r="C30" s="33">
        <f>SUM(C22:C29)</f>
        <v>55937599.939999998</v>
      </c>
      <c r="D30" s="33">
        <f>SUM(D29:D29)</f>
        <v>0</v>
      </c>
      <c r="E30" s="33">
        <f>SUM(E22:E29)</f>
        <v>55937600</v>
      </c>
      <c r="F30" s="34">
        <f>+E30-C30</f>
        <v>6.0000002384185791E-2</v>
      </c>
    </row>
    <row r="31" spans="1:11" ht="15" thickBot="1" x14ac:dyDescent="0.4"/>
    <row r="32" spans="1:11" x14ac:dyDescent="0.35">
      <c r="A32" s="74" t="s">
        <v>39</v>
      </c>
      <c r="B32" s="74"/>
      <c r="C32" s="74"/>
      <c r="D32" s="75"/>
      <c r="E32" s="74"/>
      <c r="F32" s="76"/>
    </row>
    <row r="33" spans="1:6" x14ac:dyDescent="0.35">
      <c r="A33" s="2" t="s">
        <v>1</v>
      </c>
      <c r="B33" s="3" t="s">
        <v>2</v>
      </c>
      <c r="C33" s="4" t="s">
        <v>3</v>
      </c>
      <c r="D33" s="4" t="s">
        <v>4</v>
      </c>
      <c r="E33" s="4" t="s">
        <v>5</v>
      </c>
      <c r="F33" s="5"/>
    </row>
    <row r="34" spans="1:6" x14ac:dyDescent="0.35">
      <c r="A34" s="27"/>
      <c r="B34" s="7" t="s">
        <v>40</v>
      </c>
      <c r="C34" s="9">
        <v>1310000</v>
      </c>
      <c r="D34" s="8"/>
      <c r="E34" s="9">
        <v>1310000</v>
      </c>
      <c r="F34" s="10"/>
    </row>
    <row r="35" spans="1:6" x14ac:dyDescent="0.35">
      <c r="A35" s="11"/>
      <c r="B35" s="13"/>
      <c r="C35" s="12"/>
      <c r="D35" s="12"/>
      <c r="E35" s="14"/>
      <c r="F35" s="15"/>
    </row>
    <row r="36" spans="1:6" ht="15" thickBot="1" x14ac:dyDescent="0.4">
      <c r="A36" s="16"/>
      <c r="B36" s="17"/>
      <c r="C36" s="77">
        <f>SUM(C34:C35)</f>
        <v>1310000</v>
      </c>
      <c r="D36" s="77">
        <f>SUM(D35:D35)</f>
        <v>0</v>
      </c>
      <c r="E36" s="77">
        <f>SUM(E34:E35)</f>
        <v>1310000</v>
      </c>
      <c r="F36" s="78">
        <f>+E36-C36</f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3515-1B30-463E-A2E5-EDE12ED0B37D}">
  <dimension ref="A1:X30"/>
  <sheetViews>
    <sheetView topLeftCell="A8" workbookViewId="0">
      <selection activeCell="A18" sqref="A18"/>
    </sheetView>
  </sheetViews>
  <sheetFormatPr defaultColWidth="11.453125" defaultRowHeight="14.5" x14ac:dyDescent="0.35"/>
  <cols>
    <col min="2" max="2" width="6.1796875" customWidth="1"/>
    <col min="3" max="6" width="6.7265625" style="68" customWidth="1"/>
    <col min="7" max="7" width="3.453125" customWidth="1"/>
    <col min="8" max="8" width="12.81640625" bestFit="1" customWidth="1"/>
    <col min="9" max="9" width="10.453125" bestFit="1" customWidth="1"/>
    <col min="10" max="10" width="10.54296875" bestFit="1" customWidth="1"/>
    <col min="11" max="11" width="10.453125" bestFit="1" customWidth="1"/>
    <col min="12" max="12" width="14.1796875" bestFit="1" customWidth="1"/>
    <col min="13" max="13" width="11" bestFit="1" customWidth="1"/>
    <col min="14" max="14" width="3.81640625" customWidth="1"/>
    <col min="15" max="15" width="4.7265625" customWidth="1"/>
    <col min="16" max="16" width="5.81640625" customWidth="1"/>
    <col min="17" max="20" width="6.7265625" customWidth="1"/>
    <col min="21" max="21" width="6.26953125" customWidth="1"/>
    <col min="22" max="22" width="5.7265625" customWidth="1"/>
    <col min="23" max="23" width="4.54296875" customWidth="1"/>
    <col min="24" max="24" width="14.1796875" bestFit="1" customWidth="1"/>
    <col min="25" max="25" width="4.54296875" customWidth="1"/>
    <col min="26" max="26" width="11.54296875" bestFit="1" customWidth="1"/>
    <col min="27" max="27" width="14.7265625" customWidth="1"/>
  </cols>
  <sheetData>
    <row r="1" spans="1:21" x14ac:dyDescent="0.35">
      <c r="A1" s="1" t="s">
        <v>14</v>
      </c>
      <c r="B1" s="1"/>
      <c r="C1"/>
      <c r="D1"/>
      <c r="E1"/>
      <c r="F1"/>
      <c r="O1" s="35" t="s">
        <v>15</v>
      </c>
      <c r="P1" s="1224" t="s">
        <v>16</v>
      </c>
      <c r="Q1" s="1224"/>
    </row>
    <row r="2" spans="1:21" x14ac:dyDescent="0.35">
      <c r="A2" s="1" t="s">
        <v>17</v>
      </c>
      <c r="B2" s="1"/>
      <c r="C2"/>
      <c r="D2"/>
      <c r="E2"/>
      <c r="F2"/>
      <c r="O2" s="36" t="s">
        <v>18</v>
      </c>
      <c r="P2" s="1225" t="s">
        <v>5</v>
      </c>
      <c r="Q2" s="1225"/>
    </row>
    <row r="3" spans="1:21" ht="15" thickBot="1" x14ac:dyDescent="0.4">
      <c r="C3"/>
      <c r="D3"/>
      <c r="E3"/>
      <c r="F3"/>
    </row>
    <row r="4" spans="1:21" x14ac:dyDescent="0.35">
      <c r="C4" s="1226" t="s">
        <v>19</v>
      </c>
      <c r="D4" s="1227"/>
      <c r="E4" s="1227"/>
      <c r="F4" s="1228"/>
      <c r="G4" s="38"/>
      <c r="H4" s="39" t="s">
        <v>20</v>
      </c>
      <c r="I4" s="39" t="s">
        <v>21</v>
      </c>
      <c r="J4" s="39" t="s">
        <v>22</v>
      </c>
      <c r="K4" s="39" t="s">
        <v>23</v>
      </c>
      <c r="L4" s="37" t="s">
        <v>24</v>
      </c>
      <c r="M4" s="40" t="s">
        <v>25</v>
      </c>
      <c r="P4" s="1226" t="s">
        <v>26</v>
      </c>
      <c r="Q4" s="1227"/>
      <c r="R4" s="1227"/>
      <c r="S4" s="1227"/>
      <c r="T4" s="1227"/>
      <c r="U4" s="1228"/>
    </row>
    <row r="5" spans="1:21" x14ac:dyDescent="0.35">
      <c r="C5" s="41" t="s">
        <v>27</v>
      </c>
      <c r="D5" s="41" t="s">
        <v>28</v>
      </c>
      <c r="E5" s="41" t="s">
        <v>29</v>
      </c>
      <c r="F5" s="41" t="s">
        <v>30</v>
      </c>
      <c r="G5" s="42"/>
      <c r="H5" s="43"/>
      <c r="I5" s="43"/>
      <c r="J5" s="43"/>
      <c r="K5" s="43"/>
      <c r="L5" s="44"/>
      <c r="M5" s="45"/>
      <c r="P5" s="39" t="s">
        <v>31</v>
      </c>
      <c r="Q5" s="39" t="s">
        <v>27</v>
      </c>
      <c r="R5" s="39" t="s">
        <v>28</v>
      </c>
      <c r="S5" s="39" t="s">
        <v>29</v>
      </c>
      <c r="T5" s="39" t="s">
        <v>30</v>
      </c>
      <c r="U5" s="39" t="s">
        <v>32</v>
      </c>
    </row>
    <row r="6" spans="1:21" x14ac:dyDescent="0.35">
      <c r="C6" s="46"/>
      <c r="D6" s="46"/>
      <c r="E6" s="46"/>
      <c r="F6" s="46"/>
      <c r="G6" s="42"/>
      <c r="H6" s="49">
        <v>117452.65727664542</v>
      </c>
      <c r="I6" s="49">
        <v>97866.769866645438</v>
      </c>
      <c r="J6" s="49">
        <v>83614.940401645435</v>
      </c>
      <c r="K6" s="49">
        <v>78291.041771645439</v>
      </c>
      <c r="L6" s="50">
        <v>46023</v>
      </c>
      <c r="M6" s="47"/>
      <c r="P6" s="48"/>
      <c r="Q6" s="48"/>
      <c r="R6" s="48"/>
      <c r="S6" s="48"/>
      <c r="T6" s="48"/>
      <c r="U6" s="48"/>
    </row>
    <row r="7" spans="1:21" x14ac:dyDescent="0.35">
      <c r="C7" s="46"/>
      <c r="D7" s="46"/>
      <c r="E7" s="46"/>
      <c r="F7" s="46"/>
      <c r="G7" s="42"/>
      <c r="H7" s="49">
        <v>119406.33424664545</v>
      </c>
      <c r="I7" s="49">
        <v>99479.557976645432</v>
      </c>
      <c r="J7" s="49">
        <v>84948.749161645435</v>
      </c>
      <c r="K7" s="49">
        <v>79490.602471645427</v>
      </c>
      <c r="L7" s="50">
        <v>46054</v>
      </c>
      <c r="M7" s="47"/>
      <c r="P7" s="48"/>
      <c r="Q7" s="48"/>
      <c r="R7" s="48"/>
      <c r="S7" s="48"/>
      <c r="T7" s="48"/>
      <c r="U7" s="48"/>
    </row>
    <row r="8" spans="1:21" x14ac:dyDescent="0.35">
      <c r="C8" s="46"/>
      <c r="D8" s="46"/>
      <c r="E8" s="46"/>
      <c r="F8" s="46"/>
      <c r="G8" s="42"/>
      <c r="H8" s="49">
        <v>122445.79058664542</v>
      </c>
      <c r="I8" s="49">
        <v>102029.0668827818</v>
      </c>
      <c r="J8" s="49">
        <v>87100.469906645434</v>
      </c>
      <c r="K8" s="49">
        <v>81453.719334145426</v>
      </c>
      <c r="L8" s="50">
        <v>46082</v>
      </c>
      <c r="M8" s="47"/>
      <c r="P8" s="48"/>
      <c r="Q8" s="48"/>
      <c r="R8" s="48"/>
      <c r="S8" s="48"/>
      <c r="T8" s="48"/>
      <c r="U8" s="48"/>
    </row>
    <row r="9" spans="1:21" x14ac:dyDescent="0.35">
      <c r="C9" s="46"/>
      <c r="D9" s="46"/>
      <c r="E9" s="46"/>
      <c r="F9" s="46"/>
      <c r="G9" s="42"/>
      <c r="H9" s="49">
        <v>128780.86640664545</v>
      </c>
      <c r="I9" s="49">
        <v>106995.8620275545</v>
      </c>
      <c r="J9" s="49">
        <v>91265.84225414542</v>
      </c>
      <c r="K9" s="49">
        <v>85242.811911645418</v>
      </c>
      <c r="L9" s="50">
        <v>46113</v>
      </c>
      <c r="M9" s="47"/>
      <c r="P9" s="48"/>
      <c r="Q9" s="48"/>
      <c r="R9" s="48"/>
      <c r="S9" s="48"/>
      <c r="T9" s="48"/>
      <c r="U9" s="48"/>
    </row>
    <row r="10" spans="1:21" x14ac:dyDescent="0.35">
      <c r="C10" s="46"/>
      <c r="D10" s="46"/>
      <c r="E10" s="46"/>
      <c r="F10" s="46"/>
      <c r="G10" s="42"/>
      <c r="H10" s="49">
        <v>131727.58748664541</v>
      </c>
      <c r="I10" s="49">
        <v>109491.84762164543</v>
      </c>
      <c r="J10" s="49">
        <v>93345.065229145417</v>
      </c>
      <c r="K10" s="49">
        <v>87239.917379145438</v>
      </c>
      <c r="L10" s="50">
        <v>46143</v>
      </c>
      <c r="M10" s="47"/>
      <c r="P10" s="48"/>
      <c r="Q10" s="48"/>
      <c r="R10" s="48"/>
      <c r="S10" s="48"/>
      <c r="T10" s="48"/>
      <c r="U10" s="48"/>
    </row>
    <row r="11" spans="1:21" ht="18" customHeight="1" x14ac:dyDescent="0.35">
      <c r="A11" s="1107">
        <v>46054</v>
      </c>
      <c r="B11" s="1107" t="s">
        <v>33</v>
      </c>
      <c r="C11" s="1108">
        <v>0</v>
      </c>
      <c r="D11" s="1108">
        <v>0</v>
      </c>
      <c r="E11" s="1108">
        <v>0</v>
      </c>
      <c r="F11" s="1108">
        <v>5</v>
      </c>
      <c r="G11" s="42"/>
      <c r="H11" s="1109">
        <f t="shared" ref="H11:K12" si="0">C11*H$7</f>
        <v>0</v>
      </c>
      <c r="I11" s="1109">
        <f t="shared" si="0"/>
        <v>0</v>
      </c>
      <c r="J11" s="1109">
        <f t="shared" si="0"/>
        <v>0</v>
      </c>
      <c r="K11" s="1109">
        <f t="shared" si="0"/>
        <v>397453.01235822716</v>
      </c>
      <c r="L11" s="1110">
        <f t="shared" ref="L11:L12" si="1">SUM(H11:K11)</f>
        <v>397453.01235822716</v>
      </c>
      <c r="M11" s="1111">
        <f>L11</f>
        <v>397453.01235822716</v>
      </c>
      <c r="N11" s="58" t="s">
        <v>15</v>
      </c>
      <c r="P11" s="1108">
        <v>13</v>
      </c>
      <c r="Q11" s="1112">
        <f t="shared" ref="Q11:Q12" si="2">C11/P11</f>
        <v>0</v>
      </c>
      <c r="R11" s="1112">
        <f t="shared" ref="R11:R12" si="3">D11/P11</f>
        <v>0</v>
      </c>
      <c r="S11" s="1112">
        <f t="shared" ref="S11:S12" si="4">E11/P11</f>
        <v>0</v>
      </c>
      <c r="T11" s="1112">
        <f t="shared" ref="T11:T12" si="5">F11/P11</f>
        <v>0.38461538461538464</v>
      </c>
      <c r="U11" s="1112">
        <f t="shared" ref="U11:U12" si="6">SUM(Q11:T11)</f>
        <v>0.38461538461538464</v>
      </c>
    </row>
    <row r="12" spans="1:21" ht="18" customHeight="1" x14ac:dyDescent="0.35">
      <c r="A12" s="51">
        <v>46054</v>
      </c>
      <c r="B12" s="52" t="s">
        <v>34</v>
      </c>
      <c r="C12" s="53">
        <v>0</v>
      </c>
      <c r="D12" s="53">
        <v>0</v>
      </c>
      <c r="E12" s="53">
        <v>0</v>
      </c>
      <c r="F12" s="53">
        <v>0</v>
      </c>
      <c r="G12" s="42"/>
      <c r="H12" s="54">
        <f t="shared" si="0"/>
        <v>0</v>
      </c>
      <c r="I12" s="54">
        <f t="shared" si="0"/>
        <v>0</v>
      </c>
      <c r="J12" s="54">
        <f t="shared" si="0"/>
        <v>0</v>
      </c>
      <c r="K12" s="54">
        <f t="shared" si="0"/>
        <v>0</v>
      </c>
      <c r="L12" s="55">
        <f t="shared" si="1"/>
        <v>0</v>
      </c>
      <c r="M12" s="56">
        <f>L12</f>
        <v>0</v>
      </c>
      <c r="N12" s="58" t="s">
        <v>15</v>
      </c>
      <c r="P12" s="53">
        <v>14</v>
      </c>
      <c r="Q12" s="57">
        <f t="shared" si="2"/>
        <v>0</v>
      </c>
      <c r="R12" s="57">
        <f t="shared" si="3"/>
        <v>0</v>
      </c>
      <c r="S12" s="57">
        <f t="shared" si="4"/>
        <v>0</v>
      </c>
      <c r="T12" s="57">
        <f t="shared" si="5"/>
        <v>0</v>
      </c>
      <c r="U12" s="57">
        <f t="shared" si="6"/>
        <v>0</v>
      </c>
    </row>
    <row r="13" spans="1:21" ht="18" customHeight="1" x14ac:dyDescent="0.35">
      <c r="A13" s="51">
        <v>46082</v>
      </c>
      <c r="B13" s="52" t="s">
        <v>33</v>
      </c>
      <c r="C13" s="53">
        <v>12.5</v>
      </c>
      <c r="D13" s="53">
        <v>21</v>
      </c>
      <c r="E13" s="53">
        <v>0</v>
      </c>
      <c r="F13" s="53">
        <v>0</v>
      </c>
      <c r="G13" s="42"/>
      <c r="H13" s="54">
        <f>C13*H$8</f>
        <v>1530572.3823330677</v>
      </c>
      <c r="I13" s="54">
        <f t="shared" ref="I13:K14" si="7">D13*I$8</f>
        <v>2142610.4045384177</v>
      </c>
      <c r="J13" s="54">
        <f t="shared" si="7"/>
        <v>0</v>
      </c>
      <c r="K13" s="54">
        <f t="shared" si="7"/>
        <v>0</v>
      </c>
      <c r="L13" s="55">
        <f t="shared" ref="L13:L14" si="8">SUM(H13:K13)</f>
        <v>3673182.7868714854</v>
      </c>
      <c r="M13" s="56">
        <f t="shared" ref="M13:M14" si="9">L13</f>
        <v>3673182.7868714854</v>
      </c>
      <c r="N13" s="58" t="s">
        <v>15</v>
      </c>
      <c r="P13" s="53">
        <v>12</v>
      </c>
      <c r="Q13" s="57">
        <f t="shared" ref="Q13:Q14" si="10">C13/P13</f>
        <v>1.0416666666666667</v>
      </c>
      <c r="R13" s="57">
        <f t="shared" ref="R13:R14" si="11">D13/P13</f>
        <v>1.75</v>
      </c>
      <c r="S13" s="57">
        <f t="shared" ref="S13:S14" si="12">E13/P13</f>
        <v>0</v>
      </c>
      <c r="T13" s="57">
        <f t="shared" ref="T13:T14" si="13">F13/P13</f>
        <v>0</v>
      </c>
      <c r="U13" s="57">
        <f t="shared" ref="U13:U14" si="14">SUM(Q13:T13)</f>
        <v>2.791666666666667</v>
      </c>
    </row>
    <row r="14" spans="1:21" ht="18" customHeight="1" x14ac:dyDescent="0.35">
      <c r="A14" s="51">
        <v>46082</v>
      </c>
      <c r="B14" s="52" t="s">
        <v>34</v>
      </c>
      <c r="C14" s="53">
        <v>7</v>
      </c>
      <c r="D14" s="53">
        <v>17.5</v>
      </c>
      <c r="E14" s="53">
        <v>0</v>
      </c>
      <c r="F14" s="53">
        <v>0</v>
      </c>
      <c r="G14" s="42"/>
      <c r="H14" s="54">
        <f>C14*H$8</f>
        <v>857120.53410651791</v>
      </c>
      <c r="I14" s="54">
        <f t="shared" si="7"/>
        <v>1785508.6704486816</v>
      </c>
      <c r="J14" s="54">
        <f t="shared" si="7"/>
        <v>0</v>
      </c>
      <c r="K14" s="54">
        <f t="shared" si="7"/>
        <v>0</v>
      </c>
      <c r="L14" s="55">
        <f t="shared" si="8"/>
        <v>2642629.2045551995</v>
      </c>
      <c r="M14" s="56">
        <f t="shared" si="9"/>
        <v>2642629.2045551995</v>
      </c>
      <c r="N14" s="58" t="s">
        <v>15</v>
      </c>
      <c r="P14" s="53">
        <v>13</v>
      </c>
      <c r="Q14" s="57">
        <f t="shared" si="10"/>
        <v>0.53846153846153844</v>
      </c>
      <c r="R14" s="57">
        <f t="shared" si="11"/>
        <v>1.3461538461538463</v>
      </c>
      <c r="S14" s="57">
        <f t="shared" si="12"/>
        <v>0</v>
      </c>
      <c r="T14" s="57">
        <f t="shared" si="13"/>
        <v>0</v>
      </c>
      <c r="U14" s="57">
        <f t="shared" si="14"/>
        <v>1.8846153846153846</v>
      </c>
    </row>
    <row r="15" spans="1:21" ht="18" customHeight="1" x14ac:dyDescent="0.35">
      <c r="A15" s="51">
        <v>46113</v>
      </c>
      <c r="B15" s="52" t="s">
        <v>33</v>
      </c>
      <c r="C15" s="53">
        <v>11</v>
      </c>
      <c r="D15" s="53">
        <v>16</v>
      </c>
      <c r="E15" s="53">
        <v>0</v>
      </c>
      <c r="F15" s="53">
        <v>0</v>
      </c>
      <c r="G15" s="42"/>
      <c r="H15" s="54">
        <f>C15*H$9</f>
        <v>1416589.5304731</v>
      </c>
      <c r="I15" s="54">
        <f t="shared" ref="I15:K15" si="15">D15*I$9</f>
        <v>1711933.7924408719</v>
      </c>
      <c r="J15" s="54">
        <f t="shared" si="15"/>
        <v>0</v>
      </c>
      <c r="K15" s="54">
        <f t="shared" si="15"/>
        <v>0</v>
      </c>
      <c r="L15" s="55">
        <f t="shared" ref="L15:L16" si="16">SUM(H15:K15)</f>
        <v>3128523.3229139717</v>
      </c>
      <c r="M15" s="56">
        <f t="shared" ref="M15:M16" si="17">L15</f>
        <v>3128523.3229139717</v>
      </c>
      <c r="N15" s="58" t="s">
        <v>15</v>
      </c>
      <c r="P15" s="53">
        <v>13</v>
      </c>
      <c r="Q15" s="57">
        <f t="shared" ref="Q15:Q18" si="18">C15/P15</f>
        <v>0.84615384615384615</v>
      </c>
      <c r="R15" s="57">
        <f t="shared" ref="R15:R18" si="19">D15/P15</f>
        <v>1.2307692307692308</v>
      </c>
      <c r="S15" s="57">
        <f t="shared" ref="S15:S18" si="20">E15/P15</f>
        <v>0</v>
      </c>
      <c r="T15" s="57">
        <f t="shared" ref="T15:T18" si="21">F15/P15</f>
        <v>0</v>
      </c>
      <c r="U15" s="57">
        <f t="shared" ref="U15:U18" si="22">SUM(Q15:T15)</f>
        <v>2.0769230769230771</v>
      </c>
    </row>
    <row r="16" spans="1:21" ht="18" customHeight="1" x14ac:dyDescent="0.35">
      <c r="A16" s="51">
        <v>46113</v>
      </c>
      <c r="B16" s="52" t="s">
        <v>34</v>
      </c>
      <c r="C16" s="53">
        <v>15</v>
      </c>
      <c r="D16" s="53">
        <v>12</v>
      </c>
      <c r="E16" s="53">
        <v>0</v>
      </c>
      <c r="F16" s="53">
        <v>0</v>
      </c>
      <c r="G16" s="42"/>
      <c r="H16" s="54">
        <f>C16*H$9</f>
        <v>1931712.9960996818</v>
      </c>
      <c r="I16" s="54">
        <f t="shared" ref="I16" si="23">D16*I$9</f>
        <v>1283950.344330654</v>
      </c>
      <c r="J16" s="54">
        <f t="shared" ref="J16" si="24">E16*J$9</f>
        <v>0</v>
      </c>
      <c r="K16" s="54">
        <f t="shared" ref="K16" si="25">F16*K$9</f>
        <v>0</v>
      </c>
      <c r="L16" s="55">
        <f t="shared" si="16"/>
        <v>3215663.3404303361</v>
      </c>
      <c r="M16" s="56">
        <f t="shared" si="17"/>
        <v>3215663.3404303361</v>
      </c>
      <c r="N16" s="58" t="s">
        <v>15</v>
      </c>
      <c r="P16" s="53">
        <v>13</v>
      </c>
      <c r="Q16" s="57">
        <f t="shared" si="18"/>
        <v>1.1538461538461537</v>
      </c>
      <c r="R16" s="57">
        <f t="shared" si="19"/>
        <v>0.92307692307692313</v>
      </c>
      <c r="S16" s="57">
        <f t="shared" si="20"/>
        <v>0</v>
      </c>
      <c r="T16" s="57">
        <f t="shared" si="21"/>
        <v>0</v>
      </c>
      <c r="U16" s="57">
        <f t="shared" si="22"/>
        <v>2.0769230769230766</v>
      </c>
    </row>
    <row r="17" spans="1:24" ht="18" customHeight="1" x14ac:dyDescent="0.35">
      <c r="A17" s="51">
        <v>46143</v>
      </c>
      <c r="B17" s="52" t="s">
        <v>33</v>
      </c>
      <c r="C17" s="53">
        <v>12.5</v>
      </c>
      <c r="D17" s="53">
        <v>22.5</v>
      </c>
      <c r="E17" s="53">
        <v>10</v>
      </c>
      <c r="F17" s="53">
        <v>11</v>
      </c>
      <c r="G17" s="42"/>
      <c r="H17" s="54">
        <f>C17*H$10</f>
        <v>1646594.8435830676</v>
      </c>
      <c r="I17" s="54">
        <f t="shared" ref="I17:K18" si="26">D17*I$10</f>
        <v>2463566.5714870221</v>
      </c>
      <c r="J17" s="54">
        <f t="shared" si="26"/>
        <v>933450.65229145414</v>
      </c>
      <c r="K17" s="54">
        <f t="shared" si="26"/>
        <v>959639.0911705998</v>
      </c>
      <c r="L17" s="55">
        <f t="shared" ref="L17:L18" si="27">SUM(H17:K17)</f>
        <v>6003251.1585321436</v>
      </c>
      <c r="M17" s="56">
        <f t="shared" ref="M17:M18" si="28">L17</f>
        <v>6003251.1585321436</v>
      </c>
      <c r="N17" s="58" t="s">
        <v>15</v>
      </c>
      <c r="P17" s="53">
        <v>12</v>
      </c>
      <c r="Q17" s="57">
        <f t="shared" si="18"/>
        <v>1.0416666666666667</v>
      </c>
      <c r="R17" s="57">
        <f t="shared" si="19"/>
        <v>1.875</v>
      </c>
      <c r="S17" s="57">
        <f t="shared" si="20"/>
        <v>0.83333333333333337</v>
      </c>
      <c r="T17" s="57">
        <f t="shared" si="21"/>
        <v>0.91666666666666663</v>
      </c>
      <c r="U17" s="57">
        <f t="shared" si="22"/>
        <v>4.666666666666667</v>
      </c>
      <c r="X17" s="1221"/>
    </row>
    <row r="18" spans="1:24" ht="18" customHeight="1" x14ac:dyDescent="0.35">
      <c r="A18" s="51">
        <v>46143</v>
      </c>
      <c r="B18" s="52" t="s">
        <v>34</v>
      </c>
      <c r="C18" s="53">
        <v>11</v>
      </c>
      <c r="D18" s="53">
        <v>36</v>
      </c>
      <c r="E18" s="53">
        <v>6.5</v>
      </c>
      <c r="F18" s="53">
        <v>10</v>
      </c>
      <c r="G18" s="42"/>
      <c r="H18" s="54">
        <f>C18*H$10</f>
        <v>1449003.4623530996</v>
      </c>
      <c r="I18" s="54">
        <f t="shared" si="26"/>
        <v>3941706.5143792355</v>
      </c>
      <c r="J18" s="54">
        <f t="shared" si="26"/>
        <v>606742.9239894452</v>
      </c>
      <c r="K18" s="54">
        <f t="shared" si="26"/>
        <v>872399.17379145441</v>
      </c>
      <c r="L18" s="55">
        <f t="shared" si="27"/>
        <v>6869852.0745132342</v>
      </c>
      <c r="M18" s="56">
        <f t="shared" si="28"/>
        <v>6869852.0745132342</v>
      </c>
      <c r="N18" s="58" t="s">
        <v>15</v>
      </c>
      <c r="P18" s="53">
        <v>12</v>
      </c>
      <c r="Q18" s="57">
        <f t="shared" si="18"/>
        <v>0.91666666666666663</v>
      </c>
      <c r="R18" s="57">
        <f t="shared" si="19"/>
        <v>3</v>
      </c>
      <c r="S18" s="57">
        <f t="shared" si="20"/>
        <v>0.54166666666666663</v>
      </c>
      <c r="T18" s="57">
        <f t="shared" si="21"/>
        <v>0.83333333333333337</v>
      </c>
      <c r="U18" s="57">
        <f t="shared" si="22"/>
        <v>5.2916666666666661</v>
      </c>
    </row>
    <row r="19" spans="1:24" ht="18" customHeight="1" x14ac:dyDescent="0.35">
      <c r="A19" s="51"/>
      <c r="B19" s="52"/>
      <c r="C19" s="53"/>
      <c r="D19" s="53"/>
      <c r="E19" s="53"/>
      <c r="F19" s="53"/>
      <c r="G19" s="42"/>
      <c r="H19" s="54"/>
      <c r="I19" s="54"/>
      <c r="J19" s="54"/>
      <c r="K19" s="54"/>
      <c r="L19" s="55"/>
      <c r="M19" s="59"/>
      <c r="N19" s="60"/>
      <c r="P19" s="53"/>
      <c r="Q19" s="61"/>
      <c r="R19" s="61"/>
      <c r="S19" s="61"/>
      <c r="T19" s="61"/>
      <c r="U19" s="61"/>
      <c r="X19" s="62"/>
    </row>
    <row r="20" spans="1:24" ht="18" customHeight="1" thickBot="1" x14ac:dyDescent="0.4">
      <c r="A20" s="63"/>
      <c r="B20" s="63"/>
      <c r="C20" s="64"/>
      <c r="D20" s="64"/>
      <c r="E20" s="64"/>
      <c r="F20" s="64"/>
      <c r="G20" s="42"/>
      <c r="H20" s="63"/>
      <c r="I20" s="63"/>
      <c r="J20" s="63"/>
      <c r="K20" s="63"/>
      <c r="L20" s="65">
        <f>SUM(L11:L19)</f>
        <v>25930554.900174599</v>
      </c>
      <c r="M20" s="66">
        <f>SUM(M11:M19)</f>
        <v>25930554.900174599</v>
      </c>
      <c r="N20" s="67"/>
      <c r="P20" s="1113">
        <f t="shared" ref="P20:U20" si="29">SUM(P11:P19)</f>
        <v>102</v>
      </c>
      <c r="Q20" s="1113">
        <f t="shared" si="29"/>
        <v>5.5384615384615392</v>
      </c>
      <c r="R20" s="1113">
        <f t="shared" si="29"/>
        <v>10.125</v>
      </c>
      <c r="S20" s="1113">
        <f t="shared" si="29"/>
        <v>1.375</v>
      </c>
      <c r="T20" s="1113">
        <f t="shared" si="29"/>
        <v>2.1346153846153846</v>
      </c>
      <c r="U20" s="1113">
        <f t="shared" si="29"/>
        <v>19.17307692307692</v>
      </c>
    </row>
    <row r="21" spans="1:24" x14ac:dyDescent="0.35">
      <c r="P21" s="68"/>
      <c r="Q21" s="68"/>
      <c r="R21" s="68"/>
      <c r="S21" s="68"/>
      <c r="T21" s="68"/>
      <c r="U21" s="68"/>
    </row>
    <row r="23" spans="1:24" x14ac:dyDescent="0.35">
      <c r="L23" s="69" t="s">
        <v>35</v>
      </c>
      <c r="M23" s="70">
        <f>SUM(M11:M19)</f>
        <v>25930554.900174599</v>
      </c>
    </row>
    <row r="24" spans="1:24" x14ac:dyDescent="0.35">
      <c r="L24" s="71" t="s">
        <v>36</v>
      </c>
      <c r="M24" s="72"/>
    </row>
    <row r="25" spans="1:24" x14ac:dyDescent="0.35">
      <c r="M25" s="73">
        <f>+M24+M23</f>
        <v>25930554.900174599</v>
      </c>
    </row>
    <row r="30" spans="1:24" x14ac:dyDescent="0.35">
      <c r="L30" s="79"/>
    </row>
  </sheetData>
  <mergeCells count="4">
    <mergeCell ref="P1:Q1"/>
    <mergeCell ref="P2:Q2"/>
    <mergeCell ref="C4:F4"/>
    <mergeCell ref="P4:U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16FC-D3E2-4AD3-9675-00DD2FF732C2}">
  <dimension ref="A1:X24"/>
  <sheetViews>
    <sheetView workbookViewId="0">
      <selection activeCell="A20" sqref="A20"/>
    </sheetView>
  </sheetViews>
  <sheetFormatPr defaultColWidth="11.453125" defaultRowHeight="14.5" x14ac:dyDescent="0.35"/>
  <cols>
    <col min="2" max="2" width="6.1796875" customWidth="1"/>
    <col min="3" max="6" width="6.7265625" style="68" customWidth="1"/>
    <col min="7" max="7" width="3.453125" customWidth="1"/>
    <col min="8" max="8" width="12.81640625" bestFit="1" customWidth="1"/>
    <col min="9" max="9" width="10.453125" bestFit="1" customWidth="1"/>
    <col min="10" max="10" width="10.54296875" bestFit="1" customWidth="1"/>
    <col min="11" max="11" width="10.453125" bestFit="1" customWidth="1"/>
    <col min="12" max="12" width="14.1796875" bestFit="1" customWidth="1"/>
    <col min="13" max="13" width="11" bestFit="1" customWidth="1"/>
    <col min="14" max="14" width="3.81640625" customWidth="1"/>
    <col min="15" max="15" width="4.7265625" customWidth="1"/>
    <col min="16" max="16" width="5.81640625" customWidth="1"/>
    <col min="17" max="20" width="6.7265625" customWidth="1"/>
    <col min="21" max="21" width="6.26953125" customWidth="1"/>
    <col min="22" max="22" width="5.7265625" customWidth="1"/>
    <col min="23" max="23" width="4.54296875" customWidth="1"/>
    <col min="24" max="24" width="11.54296875" bestFit="1" customWidth="1"/>
    <col min="25" max="25" width="4.54296875" customWidth="1"/>
    <col min="26" max="26" width="11.54296875" bestFit="1" customWidth="1"/>
    <col min="27" max="27" width="14.7265625" customWidth="1"/>
  </cols>
  <sheetData>
    <row r="1" spans="1:24" x14ac:dyDescent="0.35">
      <c r="A1" s="1" t="s">
        <v>14</v>
      </c>
      <c r="B1" s="1"/>
      <c r="C1"/>
      <c r="D1"/>
      <c r="E1"/>
      <c r="F1"/>
      <c r="O1" s="35" t="s">
        <v>15</v>
      </c>
      <c r="P1" s="1224" t="s">
        <v>16</v>
      </c>
      <c r="Q1" s="1224"/>
    </row>
    <row r="2" spans="1:24" x14ac:dyDescent="0.35">
      <c r="A2" s="1" t="s">
        <v>17</v>
      </c>
      <c r="B2" s="1"/>
      <c r="C2"/>
      <c r="D2"/>
      <c r="E2"/>
      <c r="F2"/>
      <c r="O2" s="36" t="s">
        <v>18</v>
      </c>
      <c r="P2" s="1225" t="s">
        <v>5</v>
      </c>
      <c r="Q2" s="1225"/>
    </row>
    <row r="3" spans="1:24" ht="15" thickBot="1" x14ac:dyDescent="0.4">
      <c r="C3"/>
      <c r="D3"/>
      <c r="E3"/>
      <c r="F3"/>
    </row>
    <row r="4" spans="1:24" x14ac:dyDescent="0.35">
      <c r="C4" s="1226" t="s">
        <v>19</v>
      </c>
      <c r="D4" s="1227"/>
      <c r="E4" s="1227"/>
      <c r="F4" s="1228"/>
      <c r="G4" s="38"/>
      <c r="H4" s="39" t="s">
        <v>20</v>
      </c>
      <c r="I4" s="39" t="s">
        <v>21</v>
      </c>
      <c r="J4" s="39" t="s">
        <v>22</v>
      </c>
      <c r="K4" s="39" t="s">
        <v>23</v>
      </c>
      <c r="L4" s="37" t="s">
        <v>24</v>
      </c>
      <c r="M4" s="40" t="s">
        <v>25</v>
      </c>
      <c r="P4" s="1226" t="s">
        <v>26</v>
      </c>
      <c r="Q4" s="1227"/>
      <c r="R4" s="1227"/>
      <c r="S4" s="1227"/>
      <c r="T4" s="1227"/>
      <c r="U4" s="1228"/>
    </row>
    <row r="5" spans="1:24" x14ac:dyDescent="0.35">
      <c r="C5" s="41" t="s">
        <v>27</v>
      </c>
      <c r="D5" s="41" t="s">
        <v>28</v>
      </c>
      <c r="E5" s="41" t="s">
        <v>29</v>
      </c>
      <c r="F5" s="41" t="s">
        <v>30</v>
      </c>
      <c r="G5" s="42"/>
      <c r="H5" s="43"/>
      <c r="I5" s="43"/>
      <c r="J5" s="43"/>
      <c r="K5" s="43"/>
      <c r="L5" s="44"/>
      <c r="M5" s="45"/>
      <c r="P5" s="39" t="s">
        <v>31</v>
      </c>
      <c r="Q5" s="39" t="s">
        <v>27</v>
      </c>
      <c r="R5" s="39" t="s">
        <v>28</v>
      </c>
      <c r="S5" s="39" t="s">
        <v>29</v>
      </c>
      <c r="T5" s="39" t="s">
        <v>30</v>
      </c>
      <c r="U5" s="39" t="s">
        <v>32</v>
      </c>
    </row>
    <row r="6" spans="1:24" x14ac:dyDescent="0.35">
      <c r="C6" s="46"/>
      <c r="D6" s="46"/>
      <c r="E6" s="46"/>
      <c r="F6" s="46"/>
      <c r="G6" s="42"/>
      <c r="H6" s="49">
        <v>117452.65727664542</v>
      </c>
      <c r="I6" s="49">
        <v>97866.769866645438</v>
      </c>
      <c r="J6" s="49">
        <v>83614.940401645435</v>
      </c>
      <c r="K6" s="49">
        <v>78291.041771645439</v>
      </c>
      <c r="L6" s="50">
        <v>46023</v>
      </c>
      <c r="M6" s="47"/>
      <c r="P6" s="48"/>
      <c r="Q6" s="48"/>
      <c r="R6" s="48"/>
      <c r="S6" s="48"/>
      <c r="T6" s="48"/>
      <c r="U6" s="48"/>
    </row>
    <row r="7" spans="1:24" x14ac:dyDescent="0.35">
      <c r="C7" s="46"/>
      <c r="D7" s="46"/>
      <c r="E7" s="46"/>
      <c r="F7" s="46"/>
      <c r="G7" s="42"/>
      <c r="H7" s="49">
        <v>119406.33424664545</v>
      </c>
      <c r="I7" s="49">
        <v>99479.557976645432</v>
      </c>
      <c r="J7" s="49">
        <v>84948.749161645435</v>
      </c>
      <c r="K7" s="49">
        <v>79490.602471645427</v>
      </c>
      <c r="L7" s="50">
        <v>46054</v>
      </c>
      <c r="M7" s="47"/>
      <c r="P7" s="48"/>
      <c r="Q7" s="48"/>
      <c r="R7" s="48"/>
      <c r="S7" s="48"/>
      <c r="T7" s="48"/>
      <c r="U7" s="48"/>
    </row>
    <row r="8" spans="1:24" x14ac:dyDescent="0.35">
      <c r="C8" s="46"/>
      <c r="D8" s="46"/>
      <c r="E8" s="46"/>
      <c r="F8" s="46"/>
      <c r="G8" s="42"/>
      <c r="H8" s="49">
        <v>122445.79058664542</v>
      </c>
      <c r="I8" s="49">
        <v>102029.0668827818</v>
      </c>
      <c r="J8" s="49">
        <v>87100.469906645434</v>
      </c>
      <c r="K8" s="49">
        <v>81453.719334145426</v>
      </c>
      <c r="L8" s="50">
        <v>46082</v>
      </c>
      <c r="M8" s="47"/>
      <c r="P8" s="48"/>
      <c r="Q8" s="48"/>
      <c r="R8" s="48"/>
      <c r="S8" s="48"/>
      <c r="T8" s="48"/>
      <c r="U8" s="48"/>
    </row>
    <row r="9" spans="1:24" x14ac:dyDescent="0.35">
      <c r="C9" s="46"/>
      <c r="D9" s="46"/>
      <c r="E9" s="46"/>
      <c r="F9" s="46"/>
      <c r="G9" s="42"/>
      <c r="H9" s="49">
        <v>128780.86640664545</v>
      </c>
      <c r="I9" s="49">
        <v>106995.8620275545</v>
      </c>
      <c r="J9" s="49">
        <v>91265.84225414542</v>
      </c>
      <c r="K9" s="49">
        <v>85242.811911645418</v>
      </c>
      <c r="L9" s="50">
        <v>46113</v>
      </c>
      <c r="M9" s="47"/>
      <c r="P9" s="48"/>
      <c r="Q9" s="48"/>
      <c r="R9" s="48"/>
      <c r="S9" s="48"/>
      <c r="T9" s="48"/>
      <c r="U9" s="48"/>
    </row>
    <row r="10" spans="1:24" x14ac:dyDescent="0.35">
      <c r="C10" s="46"/>
      <c r="D10" s="46"/>
      <c r="E10" s="46"/>
      <c r="F10" s="46"/>
      <c r="G10" s="42"/>
      <c r="H10" s="49">
        <v>131727.58748664541</v>
      </c>
      <c r="I10" s="49">
        <v>109491.84762164543</v>
      </c>
      <c r="J10" s="49">
        <v>93345.065229145417</v>
      </c>
      <c r="K10" s="49">
        <v>87239.917379145438</v>
      </c>
      <c r="L10" s="50">
        <v>46143</v>
      </c>
      <c r="M10" s="47"/>
      <c r="P10" s="48"/>
      <c r="Q10" s="48"/>
      <c r="R10" s="48"/>
      <c r="S10" s="48"/>
      <c r="T10" s="48"/>
      <c r="U10" s="48"/>
    </row>
    <row r="11" spans="1:24" ht="18" customHeight="1" x14ac:dyDescent="0.35">
      <c r="A11" s="51">
        <v>46113</v>
      </c>
      <c r="B11" s="52" t="s">
        <v>33</v>
      </c>
      <c r="C11" s="53">
        <v>0</v>
      </c>
      <c r="D11" s="53">
        <v>12</v>
      </c>
      <c r="E11" s="53">
        <v>0</v>
      </c>
      <c r="F11" s="53">
        <v>0</v>
      </c>
      <c r="G11" s="42"/>
      <c r="H11" s="54">
        <f>C11*H$9</f>
        <v>0</v>
      </c>
      <c r="I11" s="54">
        <f t="shared" ref="I11:K11" si="0">D11*I$8</f>
        <v>1224348.8025933816</v>
      </c>
      <c r="J11" s="54">
        <f t="shared" si="0"/>
        <v>0</v>
      </c>
      <c r="K11" s="54">
        <f t="shared" si="0"/>
        <v>0</v>
      </c>
      <c r="L11" s="55">
        <f t="shared" ref="L11:L12" si="1">SUM(H11:K11)</f>
        <v>1224348.8025933816</v>
      </c>
      <c r="M11" s="56">
        <f t="shared" ref="M11:M12" si="2">L11</f>
        <v>1224348.8025933816</v>
      </c>
      <c r="N11" s="58" t="s">
        <v>15</v>
      </c>
      <c r="P11" s="53">
        <v>13</v>
      </c>
      <c r="Q11" s="57">
        <f t="shared" ref="Q11:Q12" si="3">C11/P11</f>
        <v>0</v>
      </c>
      <c r="R11" s="57">
        <f t="shared" ref="R11:R12" si="4">D11/P11</f>
        <v>0.92307692307692313</v>
      </c>
      <c r="S11" s="57">
        <f t="shared" ref="S11:S12" si="5">E11/P11</f>
        <v>0</v>
      </c>
      <c r="T11" s="57">
        <f t="shared" ref="T11:T12" si="6">F11/P11</f>
        <v>0</v>
      </c>
      <c r="U11" s="57">
        <f t="shared" ref="U11:U12" si="7">SUM(Q11:T11)</f>
        <v>0.92307692307692313</v>
      </c>
    </row>
    <row r="12" spans="1:24" ht="18" customHeight="1" x14ac:dyDescent="0.35">
      <c r="A12" s="51">
        <v>46113</v>
      </c>
      <c r="B12" s="52" t="s">
        <v>34</v>
      </c>
      <c r="C12" s="53">
        <v>0</v>
      </c>
      <c r="D12" s="53">
        <v>8</v>
      </c>
      <c r="E12" s="53">
        <v>0</v>
      </c>
      <c r="F12" s="53">
        <v>0</v>
      </c>
      <c r="G12" s="42"/>
      <c r="H12" s="54">
        <f>C12*H$9</f>
        <v>0</v>
      </c>
      <c r="I12" s="54">
        <f t="shared" ref="I12:K12" si="8">D12*I$9</f>
        <v>855966.89622043597</v>
      </c>
      <c r="J12" s="54">
        <f t="shared" si="8"/>
        <v>0</v>
      </c>
      <c r="K12" s="54">
        <f t="shared" si="8"/>
        <v>0</v>
      </c>
      <c r="L12" s="55">
        <f t="shared" si="1"/>
        <v>855966.89622043597</v>
      </c>
      <c r="M12" s="56">
        <f t="shared" si="2"/>
        <v>855966.89622043597</v>
      </c>
      <c r="N12" s="58" t="s">
        <v>15</v>
      </c>
      <c r="P12" s="53">
        <v>13</v>
      </c>
      <c r="Q12" s="57">
        <f t="shared" si="3"/>
        <v>0</v>
      </c>
      <c r="R12" s="57">
        <f t="shared" si="4"/>
        <v>0.61538461538461542</v>
      </c>
      <c r="S12" s="57">
        <f t="shared" si="5"/>
        <v>0</v>
      </c>
      <c r="T12" s="57">
        <f t="shared" si="6"/>
        <v>0</v>
      </c>
      <c r="U12" s="57">
        <f t="shared" si="7"/>
        <v>0.61538461538461542</v>
      </c>
    </row>
    <row r="13" spans="1:24" ht="18" customHeight="1" x14ac:dyDescent="0.35">
      <c r="A13" s="51"/>
      <c r="B13" s="52"/>
      <c r="C13" s="53"/>
      <c r="D13" s="53"/>
      <c r="E13" s="53"/>
      <c r="F13" s="53"/>
      <c r="G13" s="42"/>
      <c r="H13" s="54"/>
      <c r="I13" s="54"/>
      <c r="J13" s="54"/>
      <c r="K13" s="54"/>
      <c r="L13" s="55"/>
      <c r="M13" s="59"/>
      <c r="N13" s="60"/>
      <c r="P13" s="53"/>
      <c r="Q13" s="61"/>
      <c r="R13" s="61"/>
      <c r="S13" s="61"/>
      <c r="T13" s="61"/>
      <c r="U13" s="61"/>
      <c r="X13" s="62"/>
    </row>
    <row r="14" spans="1:24" ht="18" customHeight="1" thickBot="1" x14ac:dyDescent="0.4">
      <c r="A14" s="63"/>
      <c r="B14" s="63"/>
      <c r="C14" s="64"/>
      <c r="D14" s="64"/>
      <c r="E14" s="64"/>
      <c r="F14" s="64"/>
      <c r="G14" s="42"/>
      <c r="H14" s="63"/>
      <c r="I14" s="63"/>
      <c r="J14" s="63"/>
      <c r="K14" s="63"/>
      <c r="L14" s="65">
        <f>SUM(L11:L13)</f>
        <v>2080315.6988138175</v>
      </c>
      <c r="M14" s="66">
        <f>SUM(M11:M13)</f>
        <v>2080315.6988138175</v>
      </c>
      <c r="N14" s="67"/>
      <c r="P14" s="1113">
        <f t="shared" ref="P14:U14" si="9">SUM(P11:P13)</f>
        <v>26</v>
      </c>
      <c r="Q14" s="1113">
        <f t="shared" si="9"/>
        <v>0</v>
      </c>
      <c r="R14" s="1113">
        <f t="shared" si="9"/>
        <v>1.5384615384615385</v>
      </c>
      <c r="S14" s="1113">
        <f t="shared" si="9"/>
        <v>0</v>
      </c>
      <c r="T14" s="1113">
        <f t="shared" si="9"/>
        <v>0</v>
      </c>
      <c r="U14" s="1113">
        <f t="shared" si="9"/>
        <v>1.5384615384615385</v>
      </c>
    </row>
    <row r="15" spans="1:24" x14ac:dyDescent="0.35">
      <c r="P15" s="68"/>
      <c r="Q15" s="68"/>
      <c r="R15" s="68"/>
      <c r="S15" s="68"/>
      <c r="T15" s="68"/>
      <c r="U15" s="68"/>
    </row>
    <row r="17" spans="12:13" x14ac:dyDescent="0.35">
      <c r="L17" s="69" t="s">
        <v>35</v>
      </c>
      <c r="M17" s="70">
        <f>SUM(M11:M13)</f>
        <v>2080315.6988138175</v>
      </c>
    </row>
    <row r="18" spans="12:13" x14ac:dyDescent="0.35">
      <c r="L18" s="71" t="s">
        <v>36</v>
      </c>
      <c r="M18" s="72"/>
    </row>
    <row r="19" spans="12:13" x14ac:dyDescent="0.35">
      <c r="M19" s="73">
        <f>+M18+M17</f>
        <v>2080315.6988138175</v>
      </c>
    </row>
    <row r="24" spans="12:13" x14ac:dyDescent="0.35">
      <c r="L24" s="79"/>
    </row>
  </sheetData>
  <mergeCells count="4">
    <mergeCell ref="P1:Q1"/>
    <mergeCell ref="P2:Q2"/>
    <mergeCell ref="C4:F4"/>
    <mergeCell ref="P4:U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F44E-ECAF-4530-BD23-1A57882BAC92}">
  <dimension ref="A1:X24"/>
  <sheetViews>
    <sheetView workbookViewId="0">
      <selection activeCell="O4" sqref="O4"/>
    </sheetView>
  </sheetViews>
  <sheetFormatPr defaultColWidth="11.453125" defaultRowHeight="14.5" x14ac:dyDescent="0.35"/>
  <cols>
    <col min="2" max="2" width="6.1796875" customWidth="1"/>
    <col min="3" max="6" width="6.7265625" style="68" customWidth="1"/>
    <col min="7" max="7" width="3.453125" customWidth="1"/>
    <col min="8" max="8" width="12.81640625" bestFit="1" customWidth="1"/>
    <col min="9" max="9" width="10.453125" bestFit="1" customWidth="1"/>
    <col min="10" max="10" width="10.54296875" bestFit="1" customWidth="1"/>
    <col min="11" max="11" width="10.453125" bestFit="1" customWidth="1"/>
    <col min="12" max="12" width="14.1796875" bestFit="1" customWidth="1"/>
    <col min="13" max="13" width="11" bestFit="1" customWidth="1"/>
    <col min="14" max="14" width="3.81640625" customWidth="1"/>
    <col min="15" max="15" width="4.7265625" customWidth="1"/>
    <col min="16" max="16" width="5.81640625" customWidth="1"/>
    <col min="17" max="20" width="6.7265625" customWidth="1"/>
    <col min="21" max="21" width="6.26953125" customWidth="1"/>
    <col min="22" max="22" width="5.7265625" customWidth="1"/>
    <col min="23" max="23" width="4.54296875" customWidth="1"/>
    <col min="24" max="24" width="11.54296875" bestFit="1" customWidth="1"/>
    <col min="25" max="25" width="4.54296875" customWidth="1"/>
    <col min="26" max="26" width="11.54296875" bestFit="1" customWidth="1"/>
    <col min="27" max="27" width="14.7265625" customWidth="1"/>
  </cols>
  <sheetData>
    <row r="1" spans="1:24" x14ac:dyDescent="0.35">
      <c r="A1" s="1" t="s">
        <v>14</v>
      </c>
      <c r="B1" s="1"/>
      <c r="C1"/>
      <c r="D1"/>
      <c r="E1"/>
      <c r="F1"/>
      <c r="O1" s="35" t="s">
        <v>15</v>
      </c>
      <c r="P1" s="1224" t="s">
        <v>16</v>
      </c>
      <c r="Q1" s="1224"/>
    </row>
    <row r="2" spans="1:24" x14ac:dyDescent="0.35">
      <c r="A2" s="1" t="s">
        <v>17</v>
      </c>
      <c r="B2" s="1"/>
      <c r="C2"/>
      <c r="D2"/>
      <c r="E2"/>
      <c r="F2"/>
      <c r="O2" s="36" t="s">
        <v>18</v>
      </c>
      <c r="P2" s="1225" t="s">
        <v>5</v>
      </c>
      <c r="Q2" s="1225"/>
    </row>
    <row r="3" spans="1:24" ht="15" thickBot="1" x14ac:dyDescent="0.4">
      <c r="C3"/>
      <c r="D3"/>
      <c r="E3"/>
      <c r="F3"/>
    </row>
    <row r="4" spans="1:24" x14ac:dyDescent="0.35">
      <c r="C4" s="1226" t="s">
        <v>19</v>
      </c>
      <c r="D4" s="1227"/>
      <c r="E4" s="1227"/>
      <c r="F4" s="1228"/>
      <c r="G4" s="38"/>
      <c r="H4" s="39" t="s">
        <v>20</v>
      </c>
      <c r="I4" s="39" t="s">
        <v>21</v>
      </c>
      <c r="J4" s="39" t="s">
        <v>22</v>
      </c>
      <c r="K4" s="39" t="s">
        <v>23</v>
      </c>
      <c r="L4" s="37" t="s">
        <v>24</v>
      </c>
      <c r="M4" s="40" t="s">
        <v>25</v>
      </c>
      <c r="P4" s="1226" t="s">
        <v>26</v>
      </c>
      <c r="Q4" s="1227"/>
      <c r="R4" s="1227"/>
      <c r="S4" s="1227"/>
      <c r="T4" s="1227"/>
      <c r="U4" s="1228"/>
    </row>
    <row r="5" spans="1:24" x14ac:dyDescent="0.35">
      <c r="C5" s="41" t="s">
        <v>27</v>
      </c>
      <c r="D5" s="41" t="s">
        <v>28</v>
      </c>
      <c r="E5" s="41" t="s">
        <v>29</v>
      </c>
      <c r="F5" s="41" t="s">
        <v>30</v>
      </c>
      <c r="G5" s="42"/>
      <c r="H5" s="43"/>
      <c r="I5" s="43"/>
      <c r="J5" s="43"/>
      <c r="K5" s="43"/>
      <c r="L5" s="44"/>
      <c r="M5" s="45"/>
      <c r="P5" s="39" t="s">
        <v>31</v>
      </c>
      <c r="Q5" s="39" t="s">
        <v>27</v>
      </c>
      <c r="R5" s="39" t="s">
        <v>28</v>
      </c>
      <c r="S5" s="39" t="s">
        <v>29</v>
      </c>
      <c r="T5" s="39" t="s">
        <v>30</v>
      </c>
      <c r="U5" s="39" t="s">
        <v>32</v>
      </c>
    </row>
    <row r="6" spans="1:24" x14ac:dyDescent="0.35">
      <c r="C6" s="46"/>
      <c r="D6" s="46"/>
      <c r="E6" s="46"/>
      <c r="F6" s="46"/>
      <c r="G6" s="42"/>
      <c r="H6" s="49">
        <v>117452.65727664542</v>
      </c>
      <c r="I6" s="49">
        <v>97866.769866645438</v>
      </c>
      <c r="J6" s="49">
        <v>83614.940401645435</v>
      </c>
      <c r="K6" s="49">
        <v>78291.041771645439</v>
      </c>
      <c r="L6" s="50">
        <v>46023</v>
      </c>
      <c r="M6" s="47"/>
      <c r="P6" s="48"/>
      <c r="Q6" s="48"/>
      <c r="R6" s="48"/>
      <c r="S6" s="48"/>
      <c r="T6" s="48"/>
      <c r="U6" s="48"/>
    </row>
    <row r="7" spans="1:24" x14ac:dyDescent="0.35">
      <c r="C7" s="46"/>
      <c r="D7" s="46"/>
      <c r="E7" s="46"/>
      <c r="F7" s="46"/>
      <c r="G7" s="42"/>
      <c r="H7" s="49">
        <v>119406.33424664545</v>
      </c>
      <c r="I7" s="49">
        <v>99479.557976645432</v>
      </c>
      <c r="J7" s="49">
        <v>84948.749161645435</v>
      </c>
      <c r="K7" s="49">
        <v>79490.602471645427</v>
      </c>
      <c r="L7" s="50">
        <v>46054</v>
      </c>
      <c r="M7" s="47"/>
      <c r="P7" s="48"/>
      <c r="Q7" s="48"/>
      <c r="R7" s="48"/>
      <c r="S7" s="48"/>
      <c r="T7" s="48"/>
      <c r="U7" s="48"/>
    </row>
    <row r="8" spans="1:24" x14ac:dyDescent="0.35">
      <c r="C8" s="46"/>
      <c r="D8" s="46"/>
      <c r="E8" s="46"/>
      <c r="F8" s="46"/>
      <c r="G8" s="42"/>
      <c r="H8" s="49">
        <v>122445.79058664542</v>
      </c>
      <c r="I8" s="49">
        <v>102029.0668827818</v>
      </c>
      <c r="J8" s="49">
        <v>87100.469906645434</v>
      </c>
      <c r="K8" s="49">
        <v>81453.719334145426</v>
      </c>
      <c r="L8" s="50">
        <v>46082</v>
      </c>
      <c r="M8" s="47"/>
      <c r="P8" s="48"/>
      <c r="Q8" s="48"/>
      <c r="R8" s="48"/>
      <c r="S8" s="48"/>
      <c r="T8" s="48"/>
      <c r="U8" s="48"/>
    </row>
    <row r="9" spans="1:24" ht="18" customHeight="1" x14ac:dyDescent="0.35">
      <c r="A9" s="51">
        <v>46054</v>
      </c>
      <c r="B9" s="52" t="s">
        <v>33</v>
      </c>
      <c r="C9" s="53"/>
      <c r="D9" s="53"/>
      <c r="E9" s="53"/>
      <c r="F9" s="53"/>
      <c r="G9" s="42"/>
      <c r="H9" s="54">
        <f t="shared" ref="H9:K10" si="0">C9*H$7</f>
        <v>0</v>
      </c>
      <c r="I9" s="54">
        <f t="shared" si="0"/>
        <v>0</v>
      </c>
      <c r="J9" s="54">
        <f t="shared" si="0"/>
        <v>0</v>
      </c>
      <c r="K9" s="54">
        <f t="shared" si="0"/>
        <v>0</v>
      </c>
      <c r="L9" s="55">
        <f t="shared" ref="L9:L12" si="1">SUM(H9:K9)</f>
        <v>0</v>
      </c>
      <c r="M9" s="56">
        <f>L9</f>
        <v>0</v>
      </c>
      <c r="N9" s="58" t="s">
        <v>15</v>
      </c>
      <c r="P9" s="53">
        <v>13</v>
      </c>
      <c r="Q9" s="57">
        <f t="shared" ref="Q9:Q12" si="2">C9/P9</f>
        <v>0</v>
      </c>
      <c r="R9" s="57">
        <f t="shared" ref="R9:R12" si="3">D9/P9</f>
        <v>0</v>
      </c>
      <c r="S9" s="57">
        <f t="shared" ref="S9:S12" si="4">E9/P9</f>
        <v>0</v>
      </c>
      <c r="T9" s="57">
        <f t="shared" ref="T9:T12" si="5">F9/P9</f>
        <v>0</v>
      </c>
      <c r="U9" s="57">
        <f t="shared" ref="U9:U12" si="6">SUM(Q9:T9)</f>
        <v>0</v>
      </c>
    </row>
    <row r="10" spans="1:24" ht="18" customHeight="1" x14ac:dyDescent="0.35">
      <c r="A10" s="51">
        <v>46054</v>
      </c>
      <c r="B10" s="52" t="s">
        <v>34</v>
      </c>
      <c r="C10" s="53"/>
      <c r="D10" s="53"/>
      <c r="E10" s="53"/>
      <c r="F10" s="53"/>
      <c r="G10" s="42"/>
      <c r="H10" s="54">
        <f t="shared" si="0"/>
        <v>0</v>
      </c>
      <c r="I10" s="54">
        <f t="shared" si="0"/>
        <v>0</v>
      </c>
      <c r="J10" s="54">
        <f t="shared" si="0"/>
        <v>0</v>
      </c>
      <c r="K10" s="54">
        <f t="shared" si="0"/>
        <v>0</v>
      </c>
      <c r="L10" s="55">
        <f t="shared" si="1"/>
        <v>0</v>
      </c>
      <c r="M10" s="56">
        <f>L10</f>
        <v>0</v>
      </c>
      <c r="N10" s="58" t="s">
        <v>15</v>
      </c>
      <c r="P10" s="53">
        <v>14</v>
      </c>
      <c r="Q10" s="57">
        <f t="shared" si="2"/>
        <v>0</v>
      </c>
      <c r="R10" s="57">
        <f t="shared" si="3"/>
        <v>0</v>
      </c>
      <c r="S10" s="57">
        <f t="shared" si="4"/>
        <v>0</v>
      </c>
      <c r="T10" s="57">
        <f t="shared" si="5"/>
        <v>0</v>
      </c>
      <c r="U10" s="57">
        <f t="shared" si="6"/>
        <v>0</v>
      </c>
    </row>
    <row r="11" spans="1:24" ht="18" customHeight="1" x14ac:dyDescent="0.35">
      <c r="A11" s="51">
        <v>46082</v>
      </c>
      <c r="B11" s="52" t="s">
        <v>33</v>
      </c>
      <c r="C11" s="53"/>
      <c r="D11" s="53"/>
      <c r="E11" s="53"/>
      <c r="F11" s="53"/>
      <c r="G11" s="42"/>
      <c r="H11" s="54">
        <f>C11*H$8</f>
        <v>0</v>
      </c>
      <c r="I11" s="54">
        <f t="shared" ref="I11:K12" si="7">D11*I$8</f>
        <v>0</v>
      </c>
      <c r="J11" s="54">
        <f t="shared" si="7"/>
        <v>0</v>
      </c>
      <c r="K11" s="54">
        <f t="shared" si="7"/>
        <v>0</v>
      </c>
      <c r="L11" s="55">
        <f t="shared" si="1"/>
        <v>0</v>
      </c>
      <c r="M11" s="56">
        <f t="shared" ref="M11:M12" si="8">L11</f>
        <v>0</v>
      </c>
      <c r="N11" s="58" t="s">
        <v>15</v>
      </c>
      <c r="P11" s="53">
        <v>12</v>
      </c>
      <c r="Q11" s="57">
        <f t="shared" si="2"/>
        <v>0</v>
      </c>
      <c r="R11" s="57">
        <f t="shared" si="3"/>
        <v>0</v>
      </c>
      <c r="S11" s="57">
        <f t="shared" si="4"/>
        <v>0</v>
      </c>
      <c r="T11" s="57">
        <f t="shared" si="5"/>
        <v>0</v>
      </c>
      <c r="U11" s="57">
        <f t="shared" si="6"/>
        <v>0</v>
      </c>
    </row>
    <row r="12" spans="1:24" ht="18" customHeight="1" x14ac:dyDescent="0.35">
      <c r="A12" s="51">
        <v>46082</v>
      </c>
      <c r="B12" s="52" t="s">
        <v>34</v>
      </c>
      <c r="C12" s="53"/>
      <c r="D12" s="53"/>
      <c r="E12" s="53"/>
      <c r="F12" s="53"/>
      <c r="G12" s="42"/>
      <c r="H12" s="54">
        <f>C12*H$8</f>
        <v>0</v>
      </c>
      <c r="I12" s="54">
        <f t="shared" si="7"/>
        <v>0</v>
      </c>
      <c r="J12" s="54">
        <f t="shared" si="7"/>
        <v>0</v>
      </c>
      <c r="K12" s="54">
        <f t="shared" si="7"/>
        <v>0</v>
      </c>
      <c r="L12" s="55">
        <f t="shared" si="1"/>
        <v>0</v>
      </c>
      <c r="M12" s="56">
        <f t="shared" si="8"/>
        <v>0</v>
      </c>
      <c r="N12" s="58" t="s">
        <v>15</v>
      </c>
      <c r="P12" s="53">
        <v>13</v>
      </c>
      <c r="Q12" s="57">
        <f t="shared" si="2"/>
        <v>0</v>
      </c>
      <c r="R12" s="57">
        <f t="shared" si="3"/>
        <v>0</v>
      </c>
      <c r="S12" s="57">
        <f t="shared" si="4"/>
        <v>0</v>
      </c>
      <c r="T12" s="57">
        <f t="shared" si="5"/>
        <v>0</v>
      </c>
      <c r="U12" s="57">
        <f t="shared" si="6"/>
        <v>0</v>
      </c>
    </row>
    <row r="13" spans="1:24" ht="18" customHeight="1" x14ac:dyDescent="0.35">
      <c r="A13" s="51"/>
      <c r="B13" s="52"/>
      <c r="C13" s="53"/>
      <c r="D13" s="53"/>
      <c r="E13" s="53"/>
      <c r="F13" s="53"/>
      <c r="G13" s="42"/>
      <c r="H13" s="54"/>
      <c r="I13" s="54"/>
      <c r="J13" s="54"/>
      <c r="K13" s="54"/>
      <c r="L13" s="55"/>
      <c r="M13" s="59"/>
      <c r="N13" s="60"/>
      <c r="P13" s="53"/>
      <c r="Q13" s="61"/>
      <c r="R13" s="61"/>
      <c r="S13" s="61"/>
      <c r="T13" s="61"/>
      <c r="U13" s="61"/>
      <c r="X13" s="62"/>
    </row>
    <row r="14" spans="1:24" ht="18" customHeight="1" thickBot="1" x14ac:dyDescent="0.4">
      <c r="A14" s="63"/>
      <c r="B14" s="63"/>
      <c r="C14" s="64"/>
      <c r="D14" s="64"/>
      <c r="E14" s="64"/>
      <c r="F14" s="64"/>
      <c r="G14" s="42"/>
      <c r="H14" s="63"/>
      <c r="I14" s="63"/>
      <c r="J14" s="63"/>
      <c r="K14" s="63"/>
      <c r="L14" s="65">
        <f>SUM(L9:L13)</f>
        <v>0</v>
      </c>
      <c r="M14" s="66">
        <f>SUM(M9:M13)</f>
        <v>0</v>
      </c>
      <c r="N14" s="67"/>
      <c r="P14" s="64"/>
      <c r="Q14" s="64"/>
      <c r="R14" s="64"/>
      <c r="S14" s="64"/>
      <c r="T14" s="64"/>
      <c r="U14" s="64"/>
    </row>
    <row r="15" spans="1:24" x14ac:dyDescent="0.35">
      <c r="P15" s="68"/>
      <c r="Q15" s="68"/>
      <c r="R15" s="68"/>
      <c r="S15" s="68"/>
      <c r="T15" s="68"/>
      <c r="U15" s="68"/>
    </row>
    <row r="17" spans="12:13" x14ac:dyDescent="0.35">
      <c r="L17" s="69" t="s">
        <v>35</v>
      </c>
      <c r="M17" s="70">
        <f>SUM(M9:M13)</f>
        <v>0</v>
      </c>
    </row>
    <row r="18" spans="12:13" x14ac:dyDescent="0.35">
      <c r="L18" s="71" t="s">
        <v>36</v>
      </c>
      <c r="M18" s="72"/>
    </row>
    <row r="19" spans="12:13" x14ac:dyDescent="0.35">
      <c r="M19" s="73">
        <f>+M18+M17</f>
        <v>0</v>
      </c>
    </row>
    <row r="24" spans="12:13" x14ac:dyDescent="0.35">
      <c r="L24" s="79"/>
    </row>
  </sheetData>
  <mergeCells count="4">
    <mergeCell ref="P1:Q1"/>
    <mergeCell ref="P2:Q2"/>
    <mergeCell ref="C4:F4"/>
    <mergeCell ref="P4:U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D837-126B-4C90-A99F-E507124B6EB5}">
  <sheetPr>
    <tabColor rgb="FFFFCCCC"/>
  </sheetPr>
  <dimension ref="A2:S95"/>
  <sheetViews>
    <sheetView workbookViewId="0"/>
  </sheetViews>
  <sheetFormatPr defaultColWidth="10.7265625" defaultRowHeight="14.5" x14ac:dyDescent="0.35"/>
  <cols>
    <col min="1" max="1" width="4.1796875" style="856" bestFit="1" customWidth="1"/>
    <col min="2" max="2" width="43.26953125" style="859" bestFit="1" customWidth="1"/>
    <col min="3" max="3" width="4.54296875" style="856" bestFit="1" customWidth="1"/>
    <col min="4" max="4" width="6.26953125" style="860" bestFit="1" customWidth="1"/>
    <col min="5" max="5" width="5.54296875" style="860" bestFit="1" customWidth="1"/>
    <col min="6" max="6" width="13.453125" style="861" bestFit="1" customWidth="1"/>
    <col min="7" max="7" width="16.26953125" style="860" customWidth="1"/>
    <col min="8" max="8" width="14.7265625" style="860" customWidth="1"/>
    <col min="9" max="9" width="13.453125" style="860" bestFit="1" customWidth="1"/>
    <col min="10" max="10" width="15.81640625" style="862" bestFit="1" customWidth="1"/>
    <col min="11" max="11" width="16.7265625" style="862" bestFit="1" customWidth="1"/>
    <col min="12" max="12" width="14.7265625" style="860" customWidth="1"/>
    <col min="13" max="13" width="21.7265625" style="856" bestFit="1" customWidth="1"/>
    <col min="14" max="14" width="7" style="856" bestFit="1" customWidth="1"/>
    <col min="15" max="15" width="9.1796875" style="856" bestFit="1" customWidth="1"/>
    <col min="16" max="16" width="17.26953125" style="856" bestFit="1" customWidth="1"/>
    <col min="17" max="17" width="14.453125" style="856" bestFit="1" customWidth="1"/>
    <col min="18" max="18" width="27.54296875" style="856" bestFit="1" customWidth="1"/>
    <col min="19" max="19" width="14.81640625" style="856" bestFit="1" customWidth="1"/>
    <col min="20" max="16384" width="10.7265625" style="856"/>
  </cols>
  <sheetData>
    <row r="2" spans="1:19" s="108" customFormat="1" ht="13" x14ac:dyDescent="0.3">
      <c r="A2" s="835"/>
      <c r="B2" s="836"/>
      <c r="C2" s="100"/>
      <c r="D2" s="837"/>
      <c r="E2" s="837"/>
      <c r="F2" s="838"/>
      <c r="G2" s="839"/>
      <c r="H2" s="840">
        <v>45846</v>
      </c>
      <c r="I2" s="841"/>
      <c r="J2" s="839"/>
      <c r="K2" s="839"/>
      <c r="M2" s="841"/>
      <c r="N2" s="842"/>
      <c r="O2" s="842">
        <v>24</v>
      </c>
      <c r="P2" s="842"/>
      <c r="Q2" s="839"/>
      <c r="R2" s="843"/>
      <c r="S2" s="844"/>
    </row>
    <row r="3" spans="1:19" s="108" customFormat="1" ht="15" customHeight="1" x14ac:dyDescent="0.3">
      <c r="A3" s="835"/>
      <c r="B3" s="845"/>
      <c r="C3" s="100"/>
      <c r="D3" s="837"/>
      <c r="E3" s="837"/>
      <c r="F3" s="846" t="s">
        <v>558</v>
      </c>
      <c r="G3" s="847" t="s">
        <v>44</v>
      </c>
      <c r="H3" s="847" t="s">
        <v>45</v>
      </c>
      <c r="I3" s="842"/>
      <c r="J3" s="842"/>
      <c r="K3" s="842"/>
      <c r="M3" s="847" t="s">
        <v>559</v>
      </c>
      <c r="N3" s="848" t="s">
        <v>560</v>
      </c>
      <c r="O3" s="848" t="s">
        <v>561</v>
      </c>
      <c r="Q3" s="839"/>
      <c r="R3" s="841"/>
      <c r="S3" s="849"/>
    </row>
    <row r="4" spans="1:19" s="108" customFormat="1" ht="15" customHeight="1" x14ac:dyDescent="0.35">
      <c r="A4" s="835"/>
      <c r="B4" s="845" t="s">
        <v>562</v>
      </c>
      <c r="C4" s="100"/>
      <c r="D4" s="837"/>
      <c r="E4" s="837"/>
      <c r="F4" s="850">
        <f>+ROUNDUP(N21,0)</f>
        <v>19</v>
      </c>
      <c r="G4" s="851">
        <v>1280</v>
      </c>
      <c r="H4" s="851">
        <v>1276</v>
      </c>
      <c r="I4" s="852"/>
      <c r="J4" s="852"/>
      <c r="K4" s="853"/>
      <c r="M4" s="854" t="s">
        <v>563</v>
      </c>
      <c r="N4" s="855">
        <v>0.5</v>
      </c>
      <c r="O4" s="855">
        <f>+N4*$O$2</f>
        <v>12</v>
      </c>
      <c r="P4" s="856"/>
      <c r="Q4" s="857" t="s">
        <v>564</v>
      </c>
      <c r="R4" s="853"/>
      <c r="S4" s="858"/>
    </row>
    <row r="5" spans="1:19" x14ac:dyDescent="0.35">
      <c r="M5" s="863" t="s">
        <v>565</v>
      </c>
      <c r="N5" s="864">
        <v>2</v>
      </c>
      <c r="O5" s="864">
        <f>+N5*$O$2</f>
        <v>48</v>
      </c>
      <c r="P5" s="860"/>
      <c r="Q5" s="865">
        <f>+ROUNDUP(SUM(N6),0)</f>
        <v>1</v>
      </c>
    </row>
    <row r="6" spans="1:19" s="860" customFormat="1" x14ac:dyDescent="0.35">
      <c r="B6" s="866" t="s">
        <v>566</v>
      </c>
      <c r="C6" s="867" t="s">
        <v>567</v>
      </c>
      <c r="D6" s="868" t="s">
        <v>93</v>
      </c>
      <c r="E6" s="868" t="s">
        <v>60</v>
      </c>
      <c r="F6" s="869" t="s">
        <v>568</v>
      </c>
      <c r="G6" s="869" t="s">
        <v>25</v>
      </c>
      <c r="H6" s="870">
        <f>SUM(G7:G10)</f>
        <v>3040000</v>
      </c>
      <c r="I6" s="871"/>
      <c r="J6" s="871"/>
      <c r="K6" s="359"/>
      <c r="M6" s="872" t="s">
        <v>569</v>
      </c>
      <c r="N6" s="864">
        <v>1</v>
      </c>
      <c r="O6" s="864">
        <f t="shared" ref="O6:O20" si="0">+N6*$O$2</f>
        <v>24</v>
      </c>
      <c r="Q6" s="873"/>
    </row>
    <row r="7" spans="1:19" s="860" customFormat="1" x14ac:dyDescent="0.35">
      <c r="B7" s="874" t="s">
        <v>514</v>
      </c>
      <c r="C7" s="875" t="s">
        <v>77</v>
      </c>
      <c r="D7" s="876">
        <f>+$F$4</f>
        <v>19</v>
      </c>
      <c r="E7" s="876">
        <v>0</v>
      </c>
      <c r="F7" s="877">
        <f>E7*I7+J7</f>
        <v>0</v>
      </c>
      <c r="G7" s="878">
        <f>+F7*D7*E7</f>
        <v>0</v>
      </c>
      <c r="H7" s="871"/>
      <c r="I7" s="879"/>
      <c r="J7" s="871"/>
      <c r="K7" s="359"/>
      <c r="M7" s="880" t="s">
        <v>570</v>
      </c>
      <c r="N7" s="864">
        <v>1</v>
      </c>
      <c r="O7" s="864">
        <f t="shared" si="0"/>
        <v>24</v>
      </c>
      <c r="Q7" s="873"/>
    </row>
    <row r="8" spans="1:19" s="860" customFormat="1" x14ac:dyDescent="0.35">
      <c r="B8" s="881" t="s">
        <v>515</v>
      </c>
      <c r="C8" s="882" t="s">
        <v>77</v>
      </c>
      <c r="D8" s="876">
        <f>+$F$4</f>
        <v>19</v>
      </c>
      <c r="E8" s="883">
        <v>0</v>
      </c>
      <c r="F8" s="877">
        <f>E8*I8+J8</f>
        <v>0</v>
      </c>
      <c r="G8" s="878">
        <f t="shared" ref="G8:G19" si="1">+F8*D8*E8</f>
        <v>0</v>
      </c>
      <c r="H8" s="871"/>
      <c r="I8" s="879"/>
      <c r="J8" s="871"/>
      <c r="M8" s="880" t="s">
        <v>571</v>
      </c>
      <c r="N8" s="864">
        <v>0.75</v>
      </c>
      <c r="O8" s="864">
        <f t="shared" si="0"/>
        <v>18</v>
      </c>
      <c r="Q8" s="873"/>
    </row>
    <row r="9" spans="1:19" s="860" customFormat="1" x14ac:dyDescent="0.35">
      <c r="B9" s="881" t="s">
        <v>516</v>
      </c>
      <c r="C9" s="882" t="s">
        <v>77</v>
      </c>
      <c r="D9" s="876">
        <f>+$F$4</f>
        <v>19</v>
      </c>
      <c r="E9" s="883">
        <v>0</v>
      </c>
      <c r="F9" s="877">
        <v>180000</v>
      </c>
      <c r="G9" s="878">
        <f t="shared" si="1"/>
        <v>0</v>
      </c>
      <c r="H9" s="871"/>
      <c r="I9" s="871"/>
      <c r="J9" s="871"/>
      <c r="M9" s="880" t="s">
        <v>572</v>
      </c>
      <c r="N9" s="864">
        <v>0.75</v>
      </c>
      <c r="O9" s="864">
        <f t="shared" si="0"/>
        <v>18</v>
      </c>
      <c r="Q9" s="873"/>
    </row>
    <row r="10" spans="1:19" s="860" customFormat="1" x14ac:dyDescent="0.35">
      <c r="B10" s="881" t="s">
        <v>517</v>
      </c>
      <c r="C10" s="882" t="s">
        <v>77</v>
      </c>
      <c r="D10" s="876">
        <f>+$F$4</f>
        <v>19</v>
      </c>
      <c r="E10" s="884">
        <v>2</v>
      </c>
      <c r="F10" s="877">
        <v>80000</v>
      </c>
      <c r="G10" s="878">
        <f t="shared" si="1"/>
        <v>3040000</v>
      </c>
      <c r="H10" s="871"/>
      <c r="I10" s="871"/>
      <c r="J10" s="871"/>
      <c r="M10" s="880" t="s">
        <v>573</v>
      </c>
      <c r="N10" s="864">
        <v>0.75</v>
      </c>
      <c r="O10" s="864">
        <f t="shared" si="0"/>
        <v>18</v>
      </c>
      <c r="Q10" s="873"/>
    </row>
    <row r="11" spans="1:19" s="860" customFormat="1" x14ac:dyDescent="0.35">
      <c r="B11" s="866" t="s">
        <v>566</v>
      </c>
      <c r="C11" s="885"/>
      <c r="D11" s="886"/>
      <c r="E11" s="886"/>
      <c r="F11" s="887"/>
      <c r="G11" s="887"/>
      <c r="H11" s="870">
        <f>SUM(G12:G19)</f>
        <v>39866834.742689103</v>
      </c>
      <c r="I11" s="871"/>
      <c r="J11" s="871"/>
      <c r="K11" s="359"/>
      <c r="M11" s="880" t="s">
        <v>574</v>
      </c>
      <c r="N11" s="864">
        <v>0.75</v>
      </c>
      <c r="O11" s="864">
        <f t="shared" si="0"/>
        <v>18</v>
      </c>
      <c r="P11" s="860" t="s">
        <v>575</v>
      </c>
      <c r="Q11" s="873" t="s">
        <v>576</v>
      </c>
      <c r="R11" s="860" t="s">
        <v>577</v>
      </c>
    </row>
    <row r="12" spans="1:19" s="860" customFormat="1" x14ac:dyDescent="0.35">
      <c r="B12" s="888" t="s">
        <v>518</v>
      </c>
      <c r="C12" s="889" t="s">
        <v>77</v>
      </c>
      <c r="D12" s="890">
        <f>+Q5</f>
        <v>1</v>
      </c>
      <c r="E12" s="890">
        <v>1</v>
      </c>
      <c r="F12" s="891"/>
      <c r="G12" s="877">
        <f>+F12*D12*E12</f>
        <v>0</v>
      </c>
      <c r="H12" s="871"/>
      <c r="J12" s="892">
        <f>+'[7]P.MO 06.25'!C9/2</f>
        <v>1623254.4601415317</v>
      </c>
      <c r="K12" s="876">
        <f>+J12*D12*E12</f>
        <v>1623254.4601415317</v>
      </c>
      <c r="M12" s="880" t="s">
        <v>578</v>
      </c>
      <c r="N12" s="864">
        <v>0.75</v>
      </c>
      <c r="O12" s="864">
        <f t="shared" si="0"/>
        <v>18</v>
      </c>
      <c r="Q12" s="873">
        <f>+SUM(N6:N15)</f>
        <v>7.5</v>
      </c>
      <c r="R12" s="860">
        <f>+ROUNDUP(Q12/3,0)</f>
        <v>3</v>
      </c>
    </row>
    <row r="13" spans="1:19" s="860" customFormat="1" x14ac:dyDescent="0.35">
      <c r="B13" s="881" t="s">
        <v>579</v>
      </c>
      <c r="C13" s="882" t="s">
        <v>77</v>
      </c>
      <c r="D13" s="883">
        <f t="shared" ref="D13:D19" si="2">+$F$4</f>
        <v>19</v>
      </c>
      <c r="E13" s="883">
        <v>1</v>
      </c>
      <c r="F13" s="877"/>
      <c r="G13" s="877">
        <f>+F13*D13*E13</f>
        <v>0</v>
      </c>
      <c r="H13" s="871"/>
      <c r="J13" s="893">
        <v>300000</v>
      </c>
      <c r="K13" s="877">
        <f>+J13*D13*E13</f>
        <v>5700000</v>
      </c>
      <c r="M13" s="880" t="s">
        <v>580</v>
      </c>
      <c r="N13" s="864">
        <v>0.75</v>
      </c>
      <c r="O13" s="864">
        <f t="shared" si="0"/>
        <v>18</v>
      </c>
    </row>
    <row r="14" spans="1:19" s="860" customFormat="1" x14ac:dyDescent="0.35">
      <c r="B14" s="881" t="s">
        <v>519</v>
      </c>
      <c r="C14" s="882" t="s">
        <v>77</v>
      </c>
      <c r="D14" s="883">
        <f t="shared" si="2"/>
        <v>19</v>
      </c>
      <c r="E14" s="883">
        <v>0.5</v>
      </c>
      <c r="F14" s="877">
        <v>200000</v>
      </c>
      <c r="G14" s="877">
        <f t="shared" si="1"/>
        <v>1900000</v>
      </c>
      <c r="H14" s="871"/>
      <c r="I14" s="871"/>
      <c r="J14" s="359"/>
      <c r="K14" s="359"/>
      <c r="M14" s="880" t="s">
        <v>581</v>
      </c>
      <c r="N14" s="864">
        <v>0.5</v>
      </c>
      <c r="O14" s="864">
        <f t="shared" si="0"/>
        <v>12</v>
      </c>
    </row>
    <row r="15" spans="1:19" s="860" customFormat="1" x14ac:dyDescent="0.35">
      <c r="B15" s="881" t="s">
        <v>520</v>
      </c>
      <c r="C15" s="882" t="s">
        <v>77</v>
      </c>
      <c r="D15" s="883">
        <f t="shared" si="2"/>
        <v>19</v>
      </c>
      <c r="E15" s="883">
        <v>1</v>
      </c>
      <c r="F15" s="877">
        <v>300000</v>
      </c>
      <c r="G15" s="877">
        <f t="shared" si="1"/>
        <v>5700000</v>
      </c>
      <c r="H15" s="871"/>
      <c r="I15" s="871"/>
      <c r="J15" s="359"/>
      <c r="K15" s="359"/>
      <c r="M15" s="894" t="s">
        <v>582</v>
      </c>
      <c r="N15" s="864">
        <v>0.5</v>
      </c>
      <c r="O15" s="864">
        <f t="shared" si="0"/>
        <v>12</v>
      </c>
    </row>
    <row r="16" spans="1:19" s="860" customFormat="1" x14ac:dyDescent="0.35">
      <c r="B16" s="881" t="s">
        <v>583</v>
      </c>
      <c r="C16" s="882" t="s">
        <v>77</v>
      </c>
      <c r="D16" s="895">
        <f t="shared" si="2"/>
        <v>19</v>
      </c>
      <c r="E16" s="895">
        <v>1</v>
      </c>
      <c r="F16" s="896">
        <v>75000</v>
      </c>
      <c r="G16" s="896">
        <f t="shared" si="1"/>
        <v>1425000</v>
      </c>
      <c r="H16" s="871"/>
      <c r="I16" s="871"/>
      <c r="J16" s="359"/>
      <c r="K16" s="359"/>
      <c r="M16" s="863" t="s">
        <v>584</v>
      </c>
      <c r="N16" s="864">
        <v>2</v>
      </c>
      <c r="O16" s="864">
        <f t="shared" si="0"/>
        <v>48</v>
      </c>
    </row>
    <row r="17" spans="2:15" s="860" customFormat="1" x14ac:dyDescent="0.35">
      <c r="B17" s="881" t="s">
        <v>585</v>
      </c>
      <c r="C17" s="882" t="s">
        <v>77</v>
      </c>
      <c r="D17" s="883">
        <f t="shared" si="2"/>
        <v>19</v>
      </c>
      <c r="E17" s="883">
        <v>0</v>
      </c>
      <c r="F17" s="877">
        <v>10000</v>
      </c>
      <c r="G17" s="877">
        <f t="shared" si="1"/>
        <v>0</v>
      </c>
      <c r="H17" s="871"/>
      <c r="I17" s="871"/>
      <c r="J17" s="359"/>
      <c r="K17" s="359"/>
      <c r="M17" s="863" t="s">
        <v>586</v>
      </c>
      <c r="N17" s="864">
        <v>2</v>
      </c>
      <c r="O17" s="864">
        <f t="shared" si="0"/>
        <v>48</v>
      </c>
    </row>
    <row r="18" spans="2:15" s="860" customFormat="1" x14ac:dyDescent="0.35">
      <c r="B18" s="881" t="s">
        <v>587</v>
      </c>
      <c r="C18" s="882" t="s">
        <v>77</v>
      </c>
      <c r="D18" s="883">
        <f t="shared" si="2"/>
        <v>19</v>
      </c>
      <c r="E18" s="883">
        <v>0</v>
      </c>
      <c r="F18" s="896">
        <f>+'[7]P.MO 06.25'!C9</f>
        <v>3246508.9202830633</v>
      </c>
      <c r="G18" s="877">
        <f t="shared" si="1"/>
        <v>0</v>
      </c>
      <c r="H18" s="871"/>
      <c r="K18" s="359"/>
      <c r="L18" s="897"/>
      <c r="M18" s="863" t="s">
        <v>588</v>
      </c>
      <c r="N18" s="864">
        <v>2</v>
      </c>
      <c r="O18" s="864">
        <f t="shared" si="0"/>
        <v>48</v>
      </c>
    </row>
    <row r="19" spans="2:15" s="860" customFormat="1" x14ac:dyDescent="0.35">
      <c r="B19" s="881" t="s">
        <v>521</v>
      </c>
      <c r="C19" s="882" t="s">
        <v>77</v>
      </c>
      <c r="D19" s="883">
        <f t="shared" si="2"/>
        <v>19</v>
      </c>
      <c r="E19" s="895">
        <v>0.5</v>
      </c>
      <c r="F19" s="896">
        <f>+'[7]P.MO 06.25'!C9</f>
        <v>3246508.9202830633</v>
      </c>
      <c r="G19" s="877">
        <f t="shared" si="1"/>
        <v>30841834.742689103</v>
      </c>
      <c r="H19" s="871"/>
      <c r="I19" s="871"/>
      <c r="J19" s="359"/>
      <c r="K19" s="359"/>
      <c r="L19" s="897"/>
      <c r="M19" s="863" t="s">
        <v>473</v>
      </c>
      <c r="N19" s="898">
        <v>2</v>
      </c>
      <c r="O19" s="864">
        <f t="shared" si="0"/>
        <v>48</v>
      </c>
    </row>
    <row r="20" spans="2:15" s="860" customFormat="1" x14ac:dyDescent="0.35">
      <c r="B20" s="866" t="s">
        <v>498</v>
      </c>
      <c r="C20" s="885"/>
      <c r="D20" s="886"/>
      <c r="E20" s="886"/>
      <c r="F20" s="887"/>
      <c r="G20" s="887"/>
      <c r="H20" s="870">
        <f>SUM(G21:G30)</f>
        <v>89942566.324217141</v>
      </c>
      <c r="I20" s="871"/>
      <c r="J20" s="359"/>
      <c r="K20" s="359"/>
      <c r="M20" s="899" t="s">
        <v>589</v>
      </c>
      <c r="N20" s="900">
        <v>1</v>
      </c>
      <c r="O20" s="901">
        <f t="shared" si="0"/>
        <v>24</v>
      </c>
    </row>
    <row r="21" spans="2:15" s="860" customFormat="1" x14ac:dyDescent="0.35">
      <c r="B21" s="888" t="s">
        <v>522</v>
      </c>
      <c r="C21" s="889" t="s">
        <v>77</v>
      </c>
      <c r="D21" s="890">
        <f>+$F$4</f>
        <v>19</v>
      </c>
      <c r="E21" s="902">
        <v>0.15</v>
      </c>
      <c r="F21" s="891">
        <f>+'[7]P.MO 06.25'!C11</f>
        <v>5688802.4480278417</v>
      </c>
      <c r="G21" s="891">
        <f>+F21*D21*E21</f>
        <v>16213086.976879347</v>
      </c>
      <c r="H21" s="871"/>
      <c r="I21" s="871"/>
      <c r="J21" s="871"/>
      <c r="K21" s="359"/>
      <c r="N21" s="903">
        <f>SUM(N4:N20)</f>
        <v>19</v>
      </c>
      <c r="O21" s="903">
        <f>SUM(O4:O20)</f>
        <v>456</v>
      </c>
    </row>
    <row r="22" spans="2:15" s="860" customFormat="1" x14ac:dyDescent="0.35">
      <c r="B22" s="881" t="s">
        <v>590</v>
      </c>
      <c r="C22" s="882" t="s">
        <v>77</v>
      </c>
      <c r="D22" s="883">
        <f>+$F$4</f>
        <v>19</v>
      </c>
      <c r="E22" s="883">
        <v>0.2</v>
      </c>
      <c r="F22" s="893">
        <f>+'[7]P.MO 06.25'!C10</f>
        <v>4716669.3590301629</v>
      </c>
      <c r="G22" s="891">
        <f>+F22*D22*E22</f>
        <v>17923343.564314619</v>
      </c>
      <c r="H22" s="871"/>
      <c r="K22" s="877"/>
    </row>
    <row r="23" spans="2:15" s="860" customFormat="1" x14ac:dyDescent="0.35">
      <c r="B23" s="881" t="s">
        <v>523</v>
      </c>
      <c r="C23" s="882" t="s">
        <v>77</v>
      </c>
      <c r="D23" s="883">
        <f t="shared" ref="D23:D30" si="3">+$F$4</f>
        <v>19</v>
      </c>
      <c r="E23" s="884">
        <v>1</v>
      </c>
      <c r="G23" s="877">
        <f>+F23*D23*E23</f>
        <v>0</v>
      </c>
      <c r="H23" s="871"/>
      <c r="I23" s="904"/>
      <c r="J23" s="893">
        <f>+'[7]P.MO 06.25'!C9</f>
        <v>3246508.9202830633</v>
      </c>
      <c r="K23" s="877">
        <f>+J23*D23*E23</f>
        <v>61683669.485378206</v>
      </c>
    </row>
    <row r="24" spans="2:15" s="860" customFormat="1" x14ac:dyDescent="0.35">
      <c r="B24" s="881" t="s">
        <v>591</v>
      </c>
      <c r="C24" s="882" t="s">
        <v>77</v>
      </c>
      <c r="D24" s="883">
        <f t="shared" si="3"/>
        <v>19</v>
      </c>
      <c r="E24" s="884">
        <v>0</v>
      </c>
      <c r="F24" s="877">
        <f>+J23</f>
        <v>3246508.9202830633</v>
      </c>
      <c r="G24" s="877">
        <f t="shared" ref="G24:G29" si="4">+F24*D24*E24</f>
        <v>0</v>
      </c>
      <c r="H24" s="871"/>
      <c r="I24" s="904"/>
      <c r="J24" s="904"/>
      <c r="K24" s="359"/>
      <c r="L24" s="905"/>
    </row>
    <row r="25" spans="2:15" s="860" customFormat="1" x14ac:dyDescent="0.35">
      <c r="B25" s="881" t="s">
        <v>524</v>
      </c>
      <c r="C25" s="882" t="s">
        <v>77</v>
      </c>
      <c r="D25" s="883">
        <f t="shared" si="3"/>
        <v>19</v>
      </c>
      <c r="E25" s="884">
        <v>0.5</v>
      </c>
      <c r="F25" s="877">
        <f>+'[7]P.MO 06.25'!C12</f>
        <v>3874330.0824234933</v>
      </c>
      <c r="G25" s="877">
        <f t="shared" si="4"/>
        <v>36806135.783023186</v>
      </c>
      <c r="H25" s="871"/>
      <c r="I25" s="904"/>
      <c r="J25" s="904"/>
      <c r="K25" s="359"/>
    </row>
    <row r="26" spans="2:15" s="860" customFormat="1" x14ac:dyDescent="0.35">
      <c r="B26" s="881" t="s">
        <v>525</v>
      </c>
      <c r="C26" s="882" t="s">
        <v>77</v>
      </c>
      <c r="D26" s="883">
        <f t="shared" si="3"/>
        <v>19</v>
      </c>
      <c r="E26" s="895">
        <v>1</v>
      </c>
      <c r="F26" s="877">
        <v>500000</v>
      </c>
      <c r="G26" s="877">
        <f t="shared" si="4"/>
        <v>9500000</v>
      </c>
      <c r="H26" s="871"/>
      <c r="I26" s="904"/>
      <c r="J26" s="904"/>
      <c r="K26" s="359"/>
    </row>
    <row r="27" spans="2:15" s="860" customFormat="1" x14ac:dyDescent="0.35">
      <c r="B27" s="881" t="s">
        <v>526</v>
      </c>
      <c r="C27" s="882" t="s">
        <v>77</v>
      </c>
      <c r="D27" s="883">
        <f t="shared" si="3"/>
        <v>19</v>
      </c>
      <c r="E27" s="883">
        <v>1</v>
      </c>
      <c r="F27" s="877">
        <f>F26</f>
        <v>500000</v>
      </c>
      <c r="G27" s="877">
        <f>+F27*D27*E27</f>
        <v>9500000</v>
      </c>
      <c r="H27" s="871"/>
      <c r="I27" s="904"/>
      <c r="J27" s="904"/>
      <c r="K27" s="359"/>
    </row>
    <row r="28" spans="2:15" s="860" customFormat="1" x14ac:dyDescent="0.35">
      <c r="B28" s="881" t="s">
        <v>592</v>
      </c>
      <c r="C28" s="882" t="s">
        <v>77</v>
      </c>
      <c r="D28" s="883">
        <f t="shared" si="3"/>
        <v>19</v>
      </c>
      <c r="E28" s="883">
        <v>1</v>
      </c>
      <c r="F28" s="894"/>
      <c r="G28" s="877">
        <f>+F28*D28*E28</f>
        <v>0</v>
      </c>
      <c r="H28" s="871"/>
      <c r="J28" s="893">
        <f>F26</f>
        <v>500000</v>
      </c>
      <c r="K28" s="877">
        <f>+J28*D28*E28</f>
        <v>9500000</v>
      </c>
      <c r="M28" s="856"/>
      <c r="N28" s="856"/>
    </row>
    <row r="29" spans="2:15" s="860" customFormat="1" x14ac:dyDescent="0.35">
      <c r="B29" s="881" t="s">
        <v>593</v>
      </c>
      <c r="C29" s="882" t="s">
        <v>77</v>
      </c>
      <c r="D29" s="883">
        <f t="shared" si="3"/>
        <v>19</v>
      </c>
      <c r="E29" s="883">
        <v>1</v>
      </c>
      <c r="F29" s="896"/>
      <c r="G29" s="877">
        <f t="shared" si="4"/>
        <v>0</v>
      </c>
      <c r="H29" s="871"/>
      <c r="K29" s="359"/>
      <c r="M29" s="856"/>
      <c r="N29" s="856"/>
    </row>
    <row r="30" spans="2:15" s="860" customFormat="1" x14ac:dyDescent="0.35">
      <c r="B30" s="881" t="s">
        <v>594</v>
      </c>
      <c r="C30" s="882" t="s">
        <v>77</v>
      </c>
      <c r="D30" s="883">
        <f t="shared" si="3"/>
        <v>19</v>
      </c>
      <c r="E30" s="883">
        <v>1</v>
      </c>
      <c r="F30" s="894"/>
      <c r="G30" s="894"/>
      <c r="H30" s="871"/>
      <c r="J30" s="893">
        <f>+'[7]P.MO 06.25'!C7/2</f>
        <v>806885.98632321146</v>
      </c>
      <c r="K30" s="877">
        <f>+J30*D30*E30</f>
        <v>15330833.740141017</v>
      </c>
    </row>
    <row r="31" spans="2:15" s="860" customFormat="1" x14ac:dyDescent="0.35">
      <c r="B31" s="866" t="s">
        <v>495</v>
      </c>
      <c r="C31" s="885"/>
      <c r="D31" s="886"/>
      <c r="E31" s="886"/>
      <c r="F31" s="887"/>
      <c r="G31" s="887"/>
      <c r="H31" s="870">
        <f>SUM(G32:G36)</f>
        <v>0</v>
      </c>
      <c r="I31" s="871"/>
      <c r="J31" s="359"/>
      <c r="K31" s="359"/>
    </row>
    <row r="32" spans="2:15" s="860" customFormat="1" x14ac:dyDescent="0.35">
      <c r="B32" s="888" t="s">
        <v>595</v>
      </c>
      <c r="C32" s="889" t="s">
        <v>77</v>
      </c>
      <c r="D32" s="890"/>
      <c r="E32" s="890"/>
      <c r="F32" s="891">
        <v>130000</v>
      </c>
      <c r="G32" s="891">
        <f>+F32*D32</f>
        <v>0</v>
      </c>
      <c r="H32" s="871"/>
      <c r="I32" s="871"/>
      <c r="J32" s="359"/>
      <c r="K32" s="359"/>
    </row>
    <row r="33" spans="1:15" s="860" customFormat="1" x14ac:dyDescent="0.35">
      <c r="B33" s="881" t="s">
        <v>596</v>
      </c>
      <c r="C33" s="882" t="s">
        <v>77</v>
      </c>
      <c r="D33" s="883"/>
      <c r="E33" s="883"/>
      <c r="F33" s="877">
        <v>100000</v>
      </c>
      <c r="G33" s="877">
        <f>+F33*D33</f>
        <v>0</v>
      </c>
      <c r="H33" s="871"/>
      <c r="I33" s="871"/>
      <c r="J33" s="359"/>
      <c r="K33" s="359"/>
    </row>
    <row r="34" spans="1:15" s="860" customFormat="1" x14ac:dyDescent="0.35">
      <c r="B34" s="881" t="s">
        <v>597</v>
      </c>
      <c r="C34" s="882" t="s">
        <v>77</v>
      </c>
      <c r="D34" s="883"/>
      <c r="E34" s="883"/>
      <c r="F34" s="877">
        <v>33600</v>
      </c>
      <c r="G34" s="877">
        <f>+F34*D34</f>
        <v>0</v>
      </c>
      <c r="H34" s="871"/>
      <c r="I34" s="871"/>
      <c r="J34" s="359"/>
      <c r="K34" s="359"/>
    </row>
    <row r="35" spans="1:15" s="860" customFormat="1" x14ac:dyDescent="0.35">
      <c r="B35" s="881" t="s">
        <v>598</v>
      </c>
      <c r="C35" s="882" t="s">
        <v>77</v>
      </c>
      <c r="D35" s="883"/>
      <c r="E35" s="883"/>
      <c r="F35" s="877">
        <v>89000</v>
      </c>
      <c r="G35" s="877">
        <f>+F35*D35</f>
        <v>0</v>
      </c>
      <c r="H35" s="871"/>
      <c r="I35" s="871"/>
      <c r="J35" s="359"/>
      <c r="K35" s="359"/>
    </row>
    <row r="36" spans="1:15" s="860" customFormat="1" x14ac:dyDescent="0.35">
      <c r="B36" s="906" t="s">
        <v>599</v>
      </c>
      <c r="C36" s="907" t="s">
        <v>77</v>
      </c>
      <c r="D36" s="908"/>
      <c r="E36" s="908"/>
      <c r="F36" s="909">
        <v>70000</v>
      </c>
      <c r="G36" s="909">
        <f>+F36*D36</f>
        <v>0</v>
      </c>
      <c r="H36" s="871"/>
      <c r="I36" s="871"/>
      <c r="J36" s="359"/>
      <c r="K36" s="359"/>
    </row>
    <row r="37" spans="1:15" s="860" customFormat="1" x14ac:dyDescent="0.35">
      <c r="B37" s="866" t="s">
        <v>499</v>
      </c>
      <c r="C37" s="885"/>
      <c r="D37" s="886"/>
      <c r="E37" s="886"/>
      <c r="F37" s="887"/>
      <c r="G37" s="887"/>
      <c r="H37" s="870">
        <f>SUM(G38:G42)</f>
        <v>94164834.742689103</v>
      </c>
      <c r="I37" s="871"/>
      <c r="J37" s="359"/>
      <c r="K37" s="359"/>
    </row>
    <row r="38" spans="1:15" s="860" customFormat="1" x14ac:dyDescent="0.35">
      <c r="B38" s="874" t="s">
        <v>600</v>
      </c>
      <c r="C38" s="910" t="s">
        <v>77</v>
      </c>
      <c r="D38" s="911">
        <f>+$F$4</f>
        <v>19</v>
      </c>
      <c r="E38" s="912">
        <v>0.5</v>
      </c>
      <c r="F38" s="878">
        <f>'[7]P.MO 06.25'!C9</f>
        <v>3246508.9202830633</v>
      </c>
      <c r="G38" s="878">
        <f>+F38*D38*E38</f>
        <v>30841834.742689103</v>
      </c>
      <c r="H38" s="871"/>
      <c r="I38" s="871"/>
      <c r="J38" s="359"/>
      <c r="K38" s="359"/>
    </row>
    <row r="39" spans="1:15" s="860" customFormat="1" x14ac:dyDescent="0.35">
      <c r="B39" s="881" t="s">
        <v>601</v>
      </c>
      <c r="C39" s="913" t="s">
        <v>69</v>
      </c>
      <c r="D39" s="914">
        <f>+D38</f>
        <v>19</v>
      </c>
      <c r="E39" s="914">
        <v>1</v>
      </c>
      <c r="F39" s="877">
        <v>250000</v>
      </c>
      <c r="G39" s="877">
        <f>+F39*D39</f>
        <v>4750000</v>
      </c>
      <c r="H39" s="871"/>
      <c r="I39" s="871"/>
      <c r="J39" s="359"/>
      <c r="K39" s="359"/>
    </row>
    <row r="40" spans="1:15" s="860" customFormat="1" x14ac:dyDescent="0.35">
      <c r="B40" s="915" t="s">
        <v>602</v>
      </c>
      <c r="C40" s="913" t="s">
        <v>69</v>
      </c>
      <c r="D40" s="914">
        <v>0.04</v>
      </c>
      <c r="E40" s="914">
        <v>0.7</v>
      </c>
      <c r="F40" s="916">
        <v>1550000000</v>
      </c>
      <c r="G40" s="877">
        <f>+F40*D40*E40</f>
        <v>43400000</v>
      </c>
      <c r="H40" s="871"/>
      <c r="I40" s="871"/>
      <c r="J40" s="359"/>
      <c r="K40" s="917"/>
    </row>
    <row r="41" spans="1:15" s="860" customFormat="1" x14ac:dyDescent="0.35">
      <c r="B41" s="881" t="s">
        <v>603</v>
      </c>
      <c r="C41" s="913" t="s">
        <v>69</v>
      </c>
      <c r="D41" s="914">
        <f>1.2/100</f>
        <v>1.2E-2</v>
      </c>
      <c r="E41" s="914">
        <f>+E40</f>
        <v>0.7</v>
      </c>
      <c r="F41" s="877">
        <f>+F40*1.15</f>
        <v>1782499999.9999998</v>
      </c>
      <c r="G41" s="877">
        <f>+F41*D41*E41</f>
        <v>14972999.999999996</v>
      </c>
      <c r="H41" s="871"/>
      <c r="I41" s="871"/>
      <c r="J41" s="359"/>
      <c r="K41" s="871"/>
    </row>
    <row r="42" spans="1:15" s="860" customFormat="1" x14ac:dyDescent="0.35">
      <c r="B42" s="906" t="s">
        <v>604</v>
      </c>
      <c r="C42" s="918" t="s">
        <v>69</v>
      </c>
      <c r="D42" s="919">
        <v>1</v>
      </c>
      <c r="E42" s="919">
        <v>1</v>
      </c>
      <c r="F42" s="909">
        <v>200000</v>
      </c>
      <c r="G42" s="909">
        <f>+F42*D42*E42</f>
        <v>200000</v>
      </c>
      <c r="H42" s="871"/>
      <c r="I42" s="871"/>
      <c r="J42" s="359"/>
      <c r="K42" s="871"/>
      <c r="M42" s="871"/>
    </row>
    <row r="43" spans="1:15" s="860" customFormat="1" x14ac:dyDescent="0.35">
      <c r="B43" s="866"/>
      <c r="C43" s="920"/>
      <c r="D43" s="921"/>
      <c r="E43" s="921"/>
      <c r="F43" s="922"/>
      <c r="G43" s="921">
        <f>SUM(G7:G42)</f>
        <v>227014235.80959535</v>
      </c>
      <c r="H43" s="923">
        <f>SUM(H6:H42)</f>
        <v>227014235.80959535</v>
      </c>
      <c r="I43" s="871"/>
      <c r="J43" s="871"/>
      <c r="K43" s="924">
        <f>SUM(K6:K42)</f>
        <v>93837757.685660765</v>
      </c>
      <c r="L43" s="925">
        <f>+H43+K43</f>
        <v>320851993.49525613</v>
      </c>
      <c r="M43" s="359"/>
      <c r="N43" s="926"/>
      <c r="O43" s="926"/>
    </row>
    <row r="44" spans="1:15" s="860" customFormat="1" x14ac:dyDescent="0.35">
      <c r="B44" s="927" t="s">
        <v>605</v>
      </c>
      <c r="C44" s="856"/>
      <c r="D44" s="928"/>
      <c r="E44" s="928"/>
      <c r="F44" s="861"/>
      <c r="G44" s="928"/>
      <c r="H44" s="929"/>
      <c r="I44" s="928"/>
      <c r="K44" s="873" t="s">
        <v>606</v>
      </c>
      <c r="L44" s="930" t="s">
        <v>607</v>
      </c>
      <c r="M44" s="359"/>
      <c r="N44" s="926"/>
      <c r="O44" s="926"/>
    </row>
    <row r="45" spans="1:15" s="860" customFormat="1" x14ac:dyDescent="0.35">
      <c r="B45" s="927" t="s">
        <v>608</v>
      </c>
      <c r="C45" s="856"/>
      <c r="D45" s="928"/>
      <c r="E45" s="928"/>
      <c r="F45" s="861"/>
      <c r="G45" s="928"/>
      <c r="H45" s="928">
        <f>+H44+H43</f>
        <v>227014235.80959535</v>
      </c>
      <c r="I45" s="928"/>
      <c r="L45" s="931">
        <f>+L43/G53</f>
        <v>0.28250184817864665</v>
      </c>
      <c r="M45" s="359"/>
      <c r="N45" s="926"/>
      <c r="O45" s="926"/>
    </row>
    <row r="46" spans="1:15" s="926" customFormat="1" ht="13" x14ac:dyDescent="0.3">
      <c r="A46" s="932"/>
      <c r="B46" s="933"/>
      <c r="D46" s="934"/>
      <c r="E46" s="934"/>
      <c r="F46" s="935"/>
      <c r="G46" s="934"/>
      <c r="H46" s="934"/>
      <c r="M46" s="359"/>
    </row>
    <row r="47" spans="1:15" s="926" customFormat="1" ht="13" x14ac:dyDescent="0.3">
      <c r="A47" s="932"/>
      <c r="B47" s="933" t="s">
        <v>61</v>
      </c>
      <c r="D47" s="934"/>
      <c r="E47" s="934"/>
      <c r="F47" s="935"/>
      <c r="G47" s="359">
        <f>+'[7]01'!N213</f>
        <v>288798727.90028393</v>
      </c>
      <c r="H47" s="936">
        <f>+G47/$H$4</f>
        <v>226331.29145790276</v>
      </c>
      <c r="J47" s="937"/>
      <c r="M47" s="359"/>
    </row>
    <row r="48" spans="1:15" s="926" customFormat="1" ht="13" x14ac:dyDescent="0.3">
      <c r="B48" s="933" t="s">
        <v>460</v>
      </c>
      <c r="F48" s="935"/>
      <c r="G48" s="359">
        <f>+'[7]01'!O213</f>
        <v>92831284.446023241</v>
      </c>
      <c r="H48" s="936">
        <f>+G48/$H$4</f>
        <v>72751.79031820003</v>
      </c>
      <c r="J48" s="938"/>
      <c r="M48" s="359"/>
    </row>
    <row r="49" spans="1:15" s="926" customFormat="1" ht="13" x14ac:dyDescent="0.3">
      <c r="B49" s="933" t="s">
        <v>609</v>
      </c>
      <c r="F49" s="935"/>
      <c r="G49" s="359">
        <f>+'[7]01'!P213</f>
        <v>508757512.39327759</v>
      </c>
      <c r="H49" s="936">
        <f>+G49/$H$4</f>
        <v>398712.78400727082</v>
      </c>
      <c r="I49" s="938"/>
      <c r="J49" s="938"/>
    </row>
    <row r="50" spans="1:15" s="926" customFormat="1" ht="13" x14ac:dyDescent="0.3">
      <c r="B50" s="933" t="s">
        <v>610</v>
      </c>
      <c r="F50" s="935"/>
      <c r="G50" s="359">
        <f>+'[7]01'!Q213</f>
        <v>219547445.33957821</v>
      </c>
      <c r="H50" s="936">
        <f>+G50/$H$4</f>
        <v>172059.1264416757</v>
      </c>
      <c r="I50" s="938"/>
      <c r="J50" s="938"/>
    </row>
    <row r="51" spans="1:15" s="926" customFormat="1" ht="13" x14ac:dyDescent="0.3">
      <c r="B51" s="933" t="s">
        <v>495</v>
      </c>
      <c r="F51" s="935"/>
      <c r="G51" s="359">
        <f>+'[7]01'!R213</f>
        <v>25816868.586182464</v>
      </c>
      <c r="H51" s="936">
        <f>+G51/$H$4</f>
        <v>20232.655631804439</v>
      </c>
      <c r="I51" s="938"/>
      <c r="J51" s="938"/>
    </row>
    <row r="52" spans="1:15" s="926" customFormat="1" ht="13" x14ac:dyDescent="0.3">
      <c r="B52" s="933"/>
      <c r="F52" s="935"/>
      <c r="G52" s="359"/>
      <c r="H52" s="936"/>
      <c r="J52" s="938"/>
      <c r="M52" s="939"/>
    </row>
    <row r="53" spans="1:15" s="926" customFormat="1" ht="13" x14ac:dyDescent="0.3">
      <c r="A53" s="940" t="s">
        <v>349</v>
      </c>
      <c r="B53" s="941"/>
      <c r="C53" s="942"/>
      <c r="D53" s="942"/>
      <c r="E53" s="942"/>
      <c r="F53" s="943"/>
      <c r="G53" s="944">
        <f>SUM(G47:G52)</f>
        <v>1135751838.6653452</v>
      </c>
      <c r="H53" s="945">
        <f>SUM(H47:H52)</f>
        <v>890087.64785685379</v>
      </c>
      <c r="I53" s="938"/>
      <c r="M53" s="172"/>
    </row>
    <row r="54" spans="1:15" s="926" customFormat="1" ht="13" x14ac:dyDescent="0.3">
      <c r="A54" s="946"/>
      <c r="B54" s="933"/>
      <c r="F54" s="935"/>
      <c r="G54" s="947"/>
      <c r="H54" s="948"/>
      <c r="J54" s="949">
        <f>+G53-G51</f>
        <v>1109934970.0791628</v>
      </c>
      <c r="L54" s="950"/>
    </row>
    <row r="55" spans="1:15" s="926" customFormat="1" ht="13" x14ac:dyDescent="0.3">
      <c r="A55" s="946"/>
      <c r="B55" s="933" t="s">
        <v>611</v>
      </c>
      <c r="E55" s="949"/>
      <c r="F55" s="951">
        <f>+H45/G53</f>
        <v>0.19988013937654403</v>
      </c>
      <c r="G55" s="949">
        <f>+F55*$G$53</f>
        <v>227014235.80959535</v>
      </c>
      <c r="H55" s="936">
        <f>+G55/$H$4</f>
        <v>177910.84311096813</v>
      </c>
      <c r="J55" s="949">
        <f>+J54*K55</f>
        <v>33298049.102374885</v>
      </c>
      <c r="K55" s="172">
        <v>0.03</v>
      </c>
    </row>
    <row r="56" spans="1:15" s="926" customFormat="1" ht="13" x14ac:dyDescent="0.3">
      <c r="A56" s="946"/>
      <c r="B56" s="933" t="s">
        <v>495</v>
      </c>
      <c r="E56" s="949">
        <v>3</v>
      </c>
      <c r="F56" s="952">
        <f>+G56/G53</f>
        <v>6.5869851683302335E-3</v>
      </c>
      <c r="G56" s="949">
        <f>+J56</f>
        <v>7481180.5161924213</v>
      </c>
      <c r="H56" s="936">
        <f>+G56/$H$4</f>
        <v>5862.9941349470382</v>
      </c>
      <c r="J56" s="953">
        <f>+J55-G51</f>
        <v>7481180.5161924213</v>
      </c>
    </row>
    <row r="57" spans="1:15" s="926" customFormat="1" ht="13" x14ac:dyDescent="0.3">
      <c r="A57" s="946"/>
      <c r="B57" s="933" t="s">
        <v>612</v>
      </c>
      <c r="E57" s="949">
        <v>5</v>
      </c>
      <c r="F57" s="952">
        <v>0.05</v>
      </c>
      <c r="G57" s="949">
        <f>+F57*$G$53</f>
        <v>56787591.933267266</v>
      </c>
      <c r="H57" s="936">
        <f>+G57/$H$4</f>
        <v>44504.382392842686</v>
      </c>
      <c r="I57" s="954"/>
      <c r="K57" s="939"/>
    </row>
    <row r="58" spans="1:15" s="926" customFormat="1" ht="13" x14ac:dyDescent="0.3">
      <c r="A58" s="946"/>
      <c r="B58" s="933" t="s">
        <v>613</v>
      </c>
      <c r="E58" s="949">
        <v>9</v>
      </c>
      <c r="F58" s="951">
        <v>0.1</v>
      </c>
      <c r="G58" s="949">
        <f>+F58*$G$53</f>
        <v>113575183.86653453</v>
      </c>
      <c r="H58" s="936">
        <f>+G58/$H$4</f>
        <v>89008.764785685373</v>
      </c>
      <c r="I58" s="938"/>
    </row>
    <row r="59" spans="1:15" s="926" customFormat="1" ht="13" x14ac:dyDescent="0.3">
      <c r="A59" s="940" t="s">
        <v>420</v>
      </c>
      <c r="B59" s="941"/>
      <c r="C59" s="942"/>
      <c r="D59" s="942"/>
      <c r="E59" s="955"/>
      <c r="F59" s="955">
        <f>SUM(F55:F58)</f>
        <v>0.35646712454487428</v>
      </c>
      <c r="G59" s="956">
        <f>SUM(G55:G58)</f>
        <v>404858192.12558955</v>
      </c>
      <c r="H59" s="945">
        <f>+G59/$H$4</f>
        <v>317286.98442444322</v>
      </c>
      <c r="I59" s="938"/>
    </row>
    <row r="60" spans="1:15" s="926" customFormat="1" ht="13" x14ac:dyDescent="0.3">
      <c r="A60" s="946"/>
      <c r="B60" s="933"/>
      <c r="E60" s="949"/>
      <c r="F60" s="949"/>
      <c r="G60" s="949"/>
      <c r="H60" s="948"/>
    </row>
    <row r="61" spans="1:15" s="926" customFormat="1" ht="13" x14ac:dyDescent="0.3">
      <c r="A61" s="940" t="s">
        <v>614</v>
      </c>
      <c r="B61" s="941"/>
      <c r="C61" s="942"/>
      <c r="D61" s="942"/>
      <c r="E61" s="955"/>
      <c r="F61" s="956">
        <f>1+F59</f>
        <v>1.3564671245448743</v>
      </c>
      <c r="G61" s="955">
        <f>+G53*F61</f>
        <v>1540610030.7909348</v>
      </c>
      <c r="H61" s="957"/>
      <c r="I61" s="359"/>
      <c r="J61" s="359"/>
      <c r="M61" s="958"/>
      <c r="N61" s="958"/>
      <c r="O61" s="938"/>
    </row>
    <row r="62" spans="1:15" s="926" customFormat="1" ht="13" x14ac:dyDescent="0.3">
      <c r="B62" s="933"/>
      <c r="E62" s="949"/>
      <c r="F62" s="949"/>
      <c r="G62" s="949"/>
      <c r="H62" s="948"/>
      <c r="M62" s="958"/>
      <c r="N62" s="958"/>
      <c r="O62" s="938"/>
    </row>
    <row r="63" spans="1:15" s="926" customFormat="1" ht="13" x14ac:dyDescent="0.3">
      <c r="A63" s="940" t="s">
        <v>615</v>
      </c>
      <c r="B63" s="941"/>
      <c r="C63" s="942"/>
      <c r="D63" s="942"/>
      <c r="E63" s="955"/>
      <c r="F63" s="955"/>
      <c r="G63" s="955">
        <f>+G53+G59</f>
        <v>1540610030.7909348</v>
      </c>
      <c r="H63" s="945">
        <f>+G63/$H$4</f>
        <v>1207374.6322812969</v>
      </c>
      <c r="I63" s="959"/>
      <c r="J63" s="949"/>
    </row>
    <row r="64" spans="1:15" s="926" customFormat="1" ht="13" x14ac:dyDescent="0.3">
      <c r="B64" s="933"/>
      <c r="E64" s="949"/>
      <c r="F64" s="949"/>
      <c r="G64" s="949"/>
      <c r="H64" s="960"/>
      <c r="J64" s="949"/>
      <c r="N64" s="954"/>
      <c r="O64" s="954"/>
    </row>
    <row r="65" spans="2:16" s="926" customFormat="1" ht="13" x14ac:dyDescent="0.3">
      <c r="B65" s="933"/>
      <c r="F65" s="935"/>
      <c r="G65" s="947"/>
      <c r="H65" s="948"/>
      <c r="I65" s="958"/>
      <c r="M65" s="860"/>
      <c r="N65" s="961"/>
      <c r="O65" s="961"/>
    </row>
    <row r="66" spans="2:16" s="926" customFormat="1" ht="13" x14ac:dyDescent="0.3">
      <c r="B66" s="933"/>
      <c r="F66" s="962"/>
      <c r="G66" s="963"/>
      <c r="H66" s="963"/>
      <c r="I66" s="958"/>
      <c r="M66" s="860"/>
      <c r="N66" s="961"/>
      <c r="O66" s="961"/>
    </row>
    <row r="67" spans="2:16" s="926" customFormat="1" ht="13" x14ac:dyDescent="0.3">
      <c r="B67" s="933"/>
      <c r="F67" s="964"/>
      <c r="G67" s="963"/>
      <c r="H67" s="965"/>
      <c r="I67" s="958"/>
      <c r="M67" s="860"/>
      <c r="N67" s="961"/>
      <c r="O67" s="961"/>
    </row>
    <row r="68" spans="2:16" s="926" customFormat="1" ht="13" x14ac:dyDescent="0.3">
      <c r="B68" s="933"/>
      <c r="F68" s="935"/>
      <c r="G68" s="947"/>
      <c r="H68" s="948"/>
      <c r="I68" s="958"/>
      <c r="M68" s="860"/>
      <c r="N68" s="961"/>
      <c r="O68" s="961"/>
    </row>
    <row r="69" spans="2:16" s="926" customFormat="1" ht="13" x14ac:dyDescent="0.3">
      <c r="B69" s="933"/>
      <c r="F69" s="935"/>
      <c r="G69" s="947"/>
      <c r="H69" s="936"/>
      <c r="K69" s="937"/>
      <c r="M69" s="966"/>
      <c r="N69" s="967"/>
      <c r="O69" s="860"/>
    </row>
    <row r="70" spans="2:16" s="926" customFormat="1" ht="13" x14ac:dyDescent="0.3">
      <c r="B70" s="933"/>
      <c r="F70" s="935"/>
      <c r="L70" s="968"/>
      <c r="M70" s="966"/>
      <c r="N70" s="966"/>
      <c r="O70" s="860"/>
      <c r="P70" s="954"/>
    </row>
    <row r="71" spans="2:16" s="860" customFormat="1" x14ac:dyDescent="0.35">
      <c r="B71" s="859"/>
      <c r="C71" s="856"/>
      <c r="D71" s="928"/>
      <c r="E71" s="928"/>
      <c r="F71" s="861"/>
      <c r="G71" s="928"/>
      <c r="H71" s="928"/>
      <c r="I71" s="928"/>
      <c r="K71" s="966"/>
      <c r="L71" s="969"/>
      <c r="M71" s="966"/>
      <c r="N71" s="966"/>
      <c r="P71" s="970"/>
    </row>
    <row r="72" spans="2:16" s="860" customFormat="1" x14ac:dyDescent="0.35">
      <c r="B72" s="927"/>
      <c r="C72" s="856"/>
      <c r="D72" s="928"/>
      <c r="E72" s="928"/>
      <c r="F72" s="861"/>
      <c r="G72" s="928"/>
      <c r="H72" s="928"/>
      <c r="I72" s="928"/>
      <c r="K72" s="966"/>
      <c r="L72" s="969"/>
      <c r="M72" s="966"/>
      <c r="N72" s="966"/>
    </row>
    <row r="73" spans="2:16" s="860" customFormat="1" x14ac:dyDescent="0.35">
      <c r="B73" s="927"/>
      <c r="C73" s="856"/>
      <c r="D73" s="928"/>
      <c r="E73" s="928"/>
      <c r="F73" s="861"/>
      <c r="G73" s="928"/>
      <c r="H73" s="928"/>
      <c r="I73" s="928"/>
      <c r="K73" s="966"/>
      <c r="L73" s="971"/>
      <c r="M73" s="966"/>
      <c r="N73" s="966"/>
    </row>
    <row r="74" spans="2:16" s="860" customFormat="1" x14ac:dyDescent="0.35">
      <c r="B74" s="859"/>
      <c r="C74" s="856"/>
      <c r="D74" s="928"/>
      <c r="E74" s="928"/>
      <c r="F74" s="861"/>
      <c r="G74" s="928"/>
      <c r="H74" s="928"/>
      <c r="I74" s="928"/>
      <c r="K74" s="966"/>
      <c r="L74" s="969"/>
      <c r="M74" s="966"/>
      <c r="N74" s="966"/>
    </row>
    <row r="75" spans="2:16" s="860" customFormat="1" x14ac:dyDescent="0.35">
      <c r="B75" s="859"/>
      <c r="C75" s="856"/>
      <c r="D75" s="928"/>
      <c r="E75" s="928"/>
      <c r="F75" s="861"/>
      <c r="G75" s="928"/>
      <c r="H75" s="928"/>
      <c r="I75" s="928"/>
      <c r="K75" s="966"/>
      <c r="L75" s="971"/>
      <c r="M75" s="966"/>
      <c r="N75" s="966"/>
    </row>
    <row r="76" spans="2:16" s="860" customFormat="1" x14ac:dyDescent="0.35">
      <c r="B76" s="859"/>
      <c r="F76" s="861"/>
      <c r="G76" s="928"/>
      <c r="H76" s="928"/>
      <c r="I76" s="928"/>
      <c r="K76" s="972"/>
      <c r="L76" s="904"/>
      <c r="M76" s="966"/>
      <c r="N76" s="966"/>
    </row>
    <row r="77" spans="2:16" s="860" customFormat="1" x14ac:dyDescent="0.35">
      <c r="B77" s="859"/>
      <c r="C77" s="856"/>
      <c r="D77" s="928"/>
      <c r="E77" s="928"/>
      <c r="F77" s="861"/>
      <c r="G77" s="928"/>
      <c r="H77" s="928"/>
      <c r="I77" s="928"/>
      <c r="K77" s="966"/>
      <c r="L77" s="904"/>
      <c r="M77" s="966"/>
      <c r="N77" s="966"/>
    </row>
    <row r="78" spans="2:16" s="860" customFormat="1" x14ac:dyDescent="0.35">
      <c r="B78" s="859"/>
      <c r="C78" s="856"/>
      <c r="D78" s="928"/>
      <c r="E78" s="928"/>
      <c r="F78" s="861"/>
      <c r="G78" s="928"/>
      <c r="H78" s="928"/>
      <c r="I78" s="928"/>
      <c r="K78" s="966"/>
      <c r="L78" s="973"/>
      <c r="M78" s="966"/>
      <c r="N78" s="966"/>
    </row>
    <row r="79" spans="2:16" s="860" customFormat="1" x14ac:dyDescent="0.35">
      <c r="B79" s="859"/>
      <c r="C79" s="856"/>
      <c r="D79" s="928"/>
      <c r="E79" s="928"/>
      <c r="F79" s="861"/>
      <c r="G79" s="928"/>
      <c r="H79" s="928"/>
      <c r="I79" s="928"/>
      <c r="K79" s="966"/>
      <c r="L79" s="966"/>
      <c r="M79" s="966"/>
      <c r="N79" s="966"/>
    </row>
    <row r="80" spans="2:16" s="860" customFormat="1" x14ac:dyDescent="0.35">
      <c r="B80" s="859"/>
      <c r="C80" s="856"/>
      <c r="D80" s="928"/>
      <c r="E80" s="928"/>
      <c r="F80" s="861"/>
      <c r="G80" s="928"/>
      <c r="H80" s="928"/>
      <c r="I80" s="928"/>
      <c r="K80" s="966"/>
      <c r="L80" s="974"/>
      <c r="M80" s="966"/>
      <c r="N80" s="966"/>
    </row>
    <row r="81" spans="1:16" s="860" customFormat="1" x14ac:dyDescent="0.35">
      <c r="B81" s="859"/>
      <c r="C81" s="856"/>
      <c r="D81" s="928"/>
      <c r="E81" s="928"/>
      <c r="F81" s="861"/>
      <c r="G81" s="928"/>
      <c r="H81" s="928"/>
      <c r="I81" s="928"/>
      <c r="K81" s="966"/>
      <c r="L81" s="966"/>
      <c r="M81" s="966"/>
      <c r="N81" s="966"/>
    </row>
    <row r="82" spans="1:16" s="860" customFormat="1" x14ac:dyDescent="0.35">
      <c r="B82" s="859"/>
      <c r="C82" s="856"/>
      <c r="D82" s="928"/>
      <c r="E82" s="928"/>
      <c r="F82" s="861"/>
      <c r="G82" s="928"/>
      <c r="H82" s="928"/>
      <c r="I82" s="928"/>
      <c r="K82" s="966"/>
      <c r="L82" s="974"/>
      <c r="M82" s="966"/>
      <c r="N82" s="966"/>
    </row>
    <row r="83" spans="1:16" s="860" customFormat="1" x14ac:dyDescent="0.35">
      <c r="B83" s="859"/>
      <c r="C83" s="856"/>
      <c r="D83" s="928"/>
      <c r="E83" s="928"/>
      <c r="F83" s="861"/>
      <c r="G83" s="928"/>
      <c r="H83" s="928"/>
      <c r="I83" s="928"/>
    </row>
    <row r="84" spans="1:16" s="860" customFormat="1" x14ac:dyDescent="0.35">
      <c r="B84" s="859"/>
      <c r="C84" s="856"/>
      <c r="D84" s="928"/>
      <c r="E84" s="928"/>
      <c r="F84" s="861"/>
      <c r="G84" s="928"/>
      <c r="H84" s="928"/>
      <c r="I84" s="928"/>
    </row>
    <row r="85" spans="1:16" s="860" customFormat="1" x14ac:dyDescent="0.35">
      <c r="B85" s="859"/>
      <c r="C85" s="856"/>
      <c r="D85" s="928"/>
      <c r="E85" s="928"/>
      <c r="F85" s="861"/>
      <c r="G85" s="928"/>
      <c r="H85" s="928"/>
      <c r="I85" s="928"/>
    </row>
    <row r="86" spans="1:16" x14ac:dyDescent="0.35">
      <c r="A86" s="860"/>
      <c r="D86" s="928"/>
      <c r="E86" s="928"/>
      <c r="G86" s="928"/>
      <c r="H86" s="928"/>
      <c r="I86" s="928"/>
      <c r="J86" s="860"/>
      <c r="K86" s="860"/>
      <c r="M86" s="860"/>
      <c r="N86" s="860"/>
      <c r="O86" s="860"/>
      <c r="P86" s="860"/>
    </row>
    <row r="87" spans="1:16" x14ac:dyDescent="0.35">
      <c r="A87" s="860"/>
      <c r="D87" s="928"/>
      <c r="E87" s="928"/>
      <c r="G87" s="928"/>
      <c r="H87" s="928"/>
      <c r="I87" s="928"/>
      <c r="J87" s="860"/>
      <c r="K87" s="860"/>
      <c r="M87" s="860"/>
      <c r="N87" s="860"/>
      <c r="O87" s="860"/>
      <c r="P87" s="860"/>
    </row>
    <row r="88" spans="1:16" x14ac:dyDescent="0.35">
      <c r="A88" s="860"/>
      <c r="D88" s="928"/>
      <c r="E88" s="928"/>
      <c r="G88" s="928"/>
      <c r="H88" s="928"/>
      <c r="I88" s="928"/>
      <c r="J88" s="860"/>
      <c r="K88" s="860"/>
      <c r="M88" s="860"/>
      <c r="N88" s="860"/>
      <c r="O88" s="860"/>
      <c r="P88" s="860"/>
    </row>
    <row r="89" spans="1:16" x14ac:dyDescent="0.35">
      <c r="A89" s="860"/>
      <c r="D89" s="928"/>
      <c r="E89" s="928"/>
      <c r="G89" s="928"/>
      <c r="H89" s="928"/>
      <c r="I89" s="928"/>
      <c r="J89" s="860"/>
      <c r="K89" s="860"/>
      <c r="M89" s="860"/>
      <c r="N89" s="860"/>
      <c r="O89" s="860"/>
      <c r="P89" s="860"/>
    </row>
    <row r="90" spans="1:16" x14ac:dyDescent="0.35">
      <c r="A90" s="860"/>
      <c r="D90" s="928"/>
      <c r="E90" s="928"/>
      <c r="G90" s="928"/>
      <c r="H90" s="928"/>
      <c r="I90" s="928"/>
      <c r="J90" s="860"/>
      <c r="K90" s="860"/>
      <c r="M90" s="860"/>
      <c r="N90" s="860"/>
      <c r="O90" s="860"/>
      <c r="P90" s="860"/>
    </row>
    <row r="91" spans="1:16" x14ac:dyDescent="0.35">
      <c r="A91" s="860"/>
      <c r="D91" s="928"/>
      <c r="E91" s="928"/>
      <c r="G91" s="928"/>
      <c r="H91" s="928"/>
      <c r="I91" s="928"/>
      <c r="J91" s="860"/>
      <c r="K91" s="860"/>
      <c r="M91" s="860"/>
      <c r="N91" s="860"/>
      <c r="O91" s="860"/>
      <c r="P91" s="860"/>
    </row>
    <row r="92" spans="1:16" x14ac:dyDescent="0.35">
      <c r="A92" s="860"/>
      <c r="D92" s="928"/>
      <c r="E92" s="928"/>
      <c r="G92" s="928"/>
      <c r="H92" s="928"/>
      <c r="I92" s="928"/>
      <c r="J92" s="860"/>
      <c r="K92" s="860"/>
      <c r="P92" s="860"/>
    </row>
    <row r="93" spans="1:16" x14ac:dyDescent="0.35">
      <c r="A93" s="860"/>
      <c r="D93" s="928"/>
      <c r="E93" s="928"/>
      <c r="G93" s="928"/>
      <c r="H93" s="928"/>
      <c r="I93" s="928"/>
      <c r="J93" s="860"/>
      <c r="K93" s="860"/>
      <c r="P93" s="860"/>
    </row>
    <row r="94" spans="1:16" x14ac:dyDescent="0.35">
      <c r="A94" s="860"/>
      <c r="D94" s="928"/>
      <c r="E94" s="928"/>
      <c r="G94" s="928"/>
      <c r="H94" s="928"/>
      <c r="I94" s="928"/>
      <c r="J94" s="860"/>
      <c r="K94" s="860"/>
      <c r="P94" s="860"/>
    </row>
    <row r="95" spans="1:16" x14ac:dyDescent="0.35">
      <c r="H95" s="975"/>
      <c r="I95" s="975"/>
      <c r="J95" s="976"/>
    </row>
  </sheetData>
  <conditionalFormatting sqref="C2:C4">
    <cfRule type="cellIs" dxfId="57" priority="3" operator="equal">
      <formula>"x"</formula>
    </cfRule>
  </conditionalFormatting>
  <conditionalFormatting sqref="G21:G29 E21:E30 K28 K30">
    <cfRule type="cellIs" dxfId="56" priority="2" operator="equal">
      <formula>0</formula>
    </cfRule>
  </conditionalFormatting>
  <conditionalFormatting sqref="K22:K23">
    <cfRule type="cellIs" dxfId="55" priority="1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838B-06F4-4929-9F24-3CF53B390E87}">
  <dimension ref="A1:AO269"/>
  <sheetViews>
    <sheetView zoomScaleNormal="100" workbookViewId="0">
      <pane xSplit="9" ySplit="6" topLeftCell="J59" activePane="bottomRight" state="frozen"/>
      <selection pane="topRight" activeCell="J1" sqref="J1"/>
      <selection pane="bottomLeft" activeCell="A7" sqref="A7"/>
      <selection pane="bottomRight" activeCell="F64" sqref="F64"/>
    </sheetView>
  </sheetViews>
  <sheetFormatPr defaultColWidth="11.54296875" defaultRowHeight="13" outlineLevelRow="2" x14ac:dyDescent="0.3"/>
  <cols>
    <col min="1" max="1" width="6.54296875" style="442" bestFit="1" customWidth="1"/>
    <col min="2" max="2" width="69.453125" style="443" customWidth="1"/>
    <col min="3" max="3" width="5.26953125" style="444" bestFit="1" customWidth="1"/>
    <col min="4" max="4" width="6.54296875" style="445" bestFit="1" customWidth="1"/>
    <col min="5" max="5" width="11" style="446" bestFit="1" customWidth="1"/>
    <col min="6" max="6" width="12" style="446" bestFit="1" customWidth="1"/>
    <col min="7" max="7" width="14" style="471" bestFit="1" customWidth="1"/>
    <col min="8" max="8" width="5.26953125" style="448" bestFit="1" customWidth="1"/>
    <col min="9" max="9" width="1.1796875" style="448" customWidth="1"/>
    <col min="10" max="10" width="11.7265625" style="449" bestFit="1" customWidth="1"/>
    <col min="11" max="11" width="15.81640625" style="449" bestFit="1" customWidth="1"/>
    <col min="12" max="12" width="15.81640625" style="450" bestFit="1" customWidth="1"/>
    <col min="13" max="15" width="11.54296875" style="449"/>
    <col min="16" max="16384" width="11.54296875" style="448"/>
  </cols>
  <sheetData>
    <row r="1" spans="1:15" ht="14.5" customHeight="1" x14ac:dyDescent="0.3">
      <c r="F1" s="447" t="s">
        <v>44</v>
      </c>
      <c r="G1" s="447" t="s">
        <v>45</v>
      </c>
    </row>
    <row r="2" spans="1:15" ht="14.5" customHeight="1" x14ac:dyDescent="0.3">
      <c r="F2" s="451">
        <f>+[8]GGBB!G4</f>
        <v>1280</v>
      </c>
      <c r="G2" s="451">
        <f>+[8]GGBB!H4</f>
        <v>1276</v>
      </c>
    </row>
    <row r="3" spans="1:15" s="457" customFormat="1" ht="14.5" customHeight="1" x14ac:dyDescent="0.35">
      <c r="A3" s="452"/>
      <c r="B3" s="453"/>
      <c r="C3" s="454"/>
      <c r="D3" s="455"/>
      <c r="E3" s="455"/>
      <c r="F3" s="455"/>
      <c r="G3" s="456"/>
      <c r="L3" s="458"/>
    </row>
    <row r="4" spans="1:15" s="457" customFormat="1" ht="14.5" customHeight="1" x14ac:dyDescent="0.35">
      <c r="A4" s="452"/>
      <c r="B4" s="453"/>
      <c r="C4" s="454"/>
      <c r="D4" s="455"/>
      <c r="E4" s="455"/>
      <c r="F4" s="459">
        <v>45817</v>
      </c>
      <c r="G4" s="456"/>
      <c r="L4" s="458"/>
    </row>
    <row r="5" spans="1:15" s="457" customFormat="1" ht="14.5" customHeight="1" x14ac:dyDescent="0.35">
      <c r="A5" s="452"/>
      <c r="B5" s="461" t="s">
        <v>52</v>
      </c>
      <c r="C5" s="454"/>
      <c r="D5" s="455"/>
      <c r="E5" s="462"/>
      <c r="F5" s="462"/>
      <c r="G5" s="456"/>
      <c r="L5" s="458"/>
    </row>
    <row r="6" spans="1:15" s="457" customFormat="1" ht="14.5" customHeight="1" x14ac:dyDescent="0.35">
      <c r="A6" s="452"/>
      <c r="B6" s="461" t="s">
        <v>55</v>
      </c>
      <c r="C6" s="463"/>
      <c r="D6" s="464"/>
      <c r="E6" s="465"/>
      <c r="F6" s="465"/>
      <c r="G6" s="456"/>
      <c r="L6" s="458"/>
    </row>
    <row r="7" spans="1:15" ht="14.5" customHeight="1" x14ac:dyDescent="0.3">
      <c r="A7" s="466" t="s">
        <v>56</v>
      </c>
      <c r="B7" s="467" t="s">
        <v>58</v>
      </c>
      <c r="C7" s="468" t="s">
        <v>59</v>
      </c>
      <c r="D7" s="469" t="s">
        <v>60</v>
      </c>
      <c r="E7" s="470" t="s">
        <v>66</v>
      </c>
      <c r="F7" s="470" t="s">
        <v>25</v>
      </c>
    </row>
    <row r="8" spans="1:15" ht="14.5" customHeight="1" x14ac:dyDescent="0.3">
      <c r="A8" s="472">
        <v>1</v>
      </c>
      <c r="B8" s="473" t="s">
        <v>67</v>
      </c>
      <c r="C8" s="474"/>
      <c r="D8" s="475"/>
      <c r="E8" s="475"/>
      <c r="F8" s="475"/>
      <c r="G8" s="476">
        <f>SUM(F9:F17)</f>
        <v>23341584</v>
      </c>
      <c r="H8" s="477">
        <f>+G8/$G$228</f>
        <v>2.4827646532156876E-2</v>
      </c>
      <c r="J8" s="478"/>
      <c r="K8" s="478"/>
      <c r="L8" s="479"/>
      <c r="M8" s="478"/>
      <c r="N8" s="478"/>
      <c r="O8" s="478"/>
    </row>
    <row r="9" spans="1:15" ht="14.5" customHeight="1" outlineLevel="1" x14ac:dyDescent="0.3">
      <c r="A9" s="480">
        <v>1.01</v>
      </c>
      <c r="B9" s="481" t="s">
        <v>344</v>
      </c>
      <c r="C9" s="482" t="s">
        <v>69</v>
      </c>
      <c r="D9" s="483">
        <v>0</v>
      </c>
      <c r="E9" s="484">
        <v>0</v>
      </c>
      <c r="F9" s="484">
        <f t="shared" ref="F9:F17" si="0">+E9*D9</f>
        <v>0</v>
      </c>
      <c r="H9" s="477"/>
    </row>
    <row r="10" spans="1:15" ht="14.5" customHeight="1" outlineLevel="1" x14ac:dyDescent="0.3">
      <c r="A10" s="485">
        <v>1.02</v>
      </c>
      <c r="B10" s="486" t="s">
        <v>70</v>
      </c>
      <c r="C10" s="487" t="s">
        <v>71</v>
      </c>
      <c r="D10" s="488">
        <v>4</v>
      </c>
      <c r="E10" s="489">
        <v>422179</v>
      </c>
      <c r="F10" s="489">
        <f t="shared" si="0"/>
        <v>1688716</v>
      </c>
      <c r="H10" s="477"/>
      <c r="K10" s="450"/>
    </row>
    <row r="11" spans="1:15" ht="14.5" customHeight="1" outlineLevel="1" x14ac:dyDescent="0.3">
      <c r="A11" s="485">
        <v>1.03</v>
      </c>
      <c r="B11" s="486" t="s">
        <v>345</v>
      </c>
      <c r="C11" s="490" t="s">
        <v>69</v>
      </c>
      <c r="D11" s="491">
        <v>1</v>
      </c>
      <c r="E11" s="489">
        <v>0</v>
      </c>
      <c r="F11" s="489">
        <f t="shared" si="0"/>
        <v>0</v>
      </c>
      <c r="H11" s="477"/>
      <c r="K11" s="450"/>
    </row>
    <row r="12" spans="1:15" ht="14.5" customHeight="1" outlineLevel="1" x14ac:dyDescent="0.3">
      <c r="A12" s="485">
        <v>1.04</v>
      </c>
      <c r="B12" s="486" t="s">
        <v>346</v>
      </c>
      <c r="C12" s="487" t="s">
        <v>74</v>
      </c>
      <c r="D12" s="488">
        <v>10</v>
      </c>
      <c r="E12" s="489">
        <v>290244</v>
      </c>
      <c r="F12" s="489">
        <f t="shared" si="0"/>
        <v>2902440</v>
      </c>
      <c r="H12" s="477"/>
      <c r="K12" s="450"/>
    </row>
    <row r="13" spans="1:15" ht="14.5" customHeight="1" outlineLevel="1" x14ac:dyDescent="0.3">
      <c r="A13" s="485">
        <v>1.05</v>
      </c>
      <c r="B13" s="486" t="s">
        <v>75</v>
      </c>
      <c r="C13" s="487" t="s">
        <v>69</v>
      </c>
      <c r="D13" s="488">
        <v>1</v>
      </c>
      <c r="E13" s="489">
        <v>11833114</v>
      </c>
      <c r="F13" s="489">
        <f t="shared" si="0"/>
        <v>11833114</v>
      </c>
      <c r="H13" s="477"/>
      <c r="K13" s="450"/>
    </row>
    <row r="14" spans="1:15" ht="14.5" customHeight="1" outlineLevel="1" x14ac:dyDescent="0.3">
      <c r="A14" s="485">
        <v>1.06</v>
      </c>
      <c r="B14" s="486" t="s">
        <v>76</v>
      </c>
      <c r="C14" s="487" t="s">
        <v>77</v>
      </c>
      <c r="D14" s="488">
        <v>4</v>
      </c>
      <c r="E14" s="489">
        <v>352682</v>
      </c>
      <c r="F14" s="489">
        <f t="shared" si="0"/>
        <v>1410728</v>
      </c>
      <c r="H14" s="477"/>
      <c r="K14" s="450"/>
    </row>
    <row r="15" spans="1:15" ht="14.5" customHeight="1" outlineLevel="1" x14ac:dyDescent="0.3">
      <c r="A15" s="485">
        <v>1.07</v>
      </c>
      <c r="B15" s="486" t="s">
        <v>78</v>
      </c>
      <c r="C15" s="487" t="s">
        <v>69</v>
      </c>
      <c r="D15" s="488">
        <v>1</v>
      </c>
      <c r="E15" s="489">
        <v>2824239</v>
      </c>
      <c r="F15" s="489">
        <f t="shared" si="0"/>
        <v>2824239</v>
      </c>
      <c r="H15" s="477"/>
      <c r="K15" s="450"/>
    </row>
    <row r="16" spans="1:15" ht="14.5" customHeight="1" outlineLevel="1" x14ac:dyDescent="0.3">
      <c r="A16" s="485">
        <v>1.08</v>
      </c>
      <c r="B16" s="486" t="s">
        <v>79</v>
      </c>
      <c r="C16" s="487" t="s">
        <v>69</v>
      </c>
      <c r="D16" s="488">
        <v>1</v>
      </c>
      <c r="E16" s="489">
        <v>2027179</v>
      </c>
      <c r="F16" s="489">
        <f t="shared" si="0"/>
        <v>2027179</v>
      </c>
      <c r="H16" s="477"/>
      <c r="K16" s="450"/>
    </row>
    <row r="17" spans="1:15" ht="14.5" customHeight="1" outlineLevel="1" x14ac:dyDescent="0.3">
      <c r="A17" s="485">
        <v>1.0900000000000001</v>
      </c>
      <c r="B17" s="486" t="s">
        <v>80</v>
      </c>
      <c r="C17" s="487" t="s">
        <v>69</v>
      </c>
      <c r="D17" s="488">
        <v>1</v>
      </c>
      <c r="E17" s="489">
        <v>655168</v>
      </c>
      <c r="F17" s="489">
        <f t="shared" si="0"/>
        <v>655168</v>
      </c>
      <c r="H17" s="477"/>
      <c r="K17" s="450"/>
    </row>
    <row r="18" spans="1:15" ht="14.5" customHeight="1" x14ac:dyDescent="0.3">
      <c r="A18" s="472">
        <v>2</v>
      </c>
      <c r="B18" s="473" t="s">
        <v>81</v>
      </c>
      <c r="C18" s="474"/>
      <c r="D18" s="475"/>
      <c r="E18" s="475"/>
      <c r="F18" s="475"/>
      <c r="G18" s="476">
        <f>SUM(F19:F22)</f>
        <v>16821282</v>
      </c>
      <c r="H18" s="477">
        <f>+G18/$G$228</f>
        <v>1.7892223754554657E-2</v>
      </c>
      <c r="J18" s="478"/>
      <c r="K18" s="450"/>
      <c r="L18" s="479"/>
      <c r="M18" s="478"/>
      <c r="N18" s="478"/>
      <c r="O18" s="478"/>
    </row>
    <row r="19" spans="1:15" ht="14.5" customHeight="1" outlineLevel="1" x14ac:dyDescent="0.3">
      <c r="A19" s="485">
        <v>2.0099999999999998</v>
      </c>
      <c r="B19" s="492" t="s">
        <v>82</v>
      </c>
      <c r="C19" s="493" t="s">
        <v>83</v>
      </c>
      <c r="D19" s="494">
        <v>219</v>
      </c>
      <c r="E19" s="489">
        <v>39308</v>
      </c>
      <c r="F19" s="489">
        <f>+E19*D19</f>
        <v>8608452</v>
      </c>
      <c r="H19" s="477"/>
      <c r="K19" s="450"/>
    </row>
    <row r="20" spans="1:15" ht="14.5" customHeight="1" outlineLevel="1" x14ac:dyDescent="0.3">
      <c r="A20" s="485">
        <v>2.02</v>
      </c>
      <c r="B20" s="492" t="s">
        <v>84</v>
      </c>
      <c r="C20" s="493" t="s">
        <v>85</v>
      </c>
      <c r="D20" s="494">
        <v>100</v>
      </c>
      <c r="E20" s="489">
        <v>42908</v>
      </c>
      <c r="F20" s="489">
        <f>+E20*D20</f>
        <v>4290800</v>
      </c>
      <c r="H20" s="477"/>
      <c r="K20" s="450"/>
    </row>
    <row r="21" spans="1:15" ht="14.5" customHeight="1" outlineLevel="1" x14ac:dyDescent="0.3">
      <c r="A21" s="485">
        <v>2.0299999999999998</v>
      </c>
      <c r="B21" s="492" t="s">
        <v>86</v>
      </c>
      <c r="C21" s="493" t="s">
        <v>85</v>
      </c>
      <c r="D21" s="494">
        <v>43</v>
      </c>
      <c r="E21" s="489">
        <v>91210</v>
      </c>
      <c r="F21" s="489">
        <f>+E21*D21</f>
        <v>3922030</v>
      </c>
      <c r="H21" s="477"/>
      <c r="K21" s="450"/>
    </row>
    <row r="22" spans="1:15" ht="14.5" customHeight="1" outlineLevel="1" x14ac:dyDescent="0.3">
      <c r="A22" s="485">
        <v>2.04</v>
      </c>
      <c r="B22" s="495" t="s">
        <v>347</v>
      </c>
      <c r="C22" s="487" t="s">
        <v>69</v>
      </c>
      <c r="D22" s="496">
        <v>0</v>
      </c>
      <c r="E22" s="489">
        <v>0</v>
      </c>
      <c r="F22" s="489">
        <f>+E22*D22</f>
        <v>0</v>
      </c>
      <c r="H22" s="477"/>
      <c r="K22" s="450"/>
    </row>
    <row r="23" spans="1:15" ht="14.5" customHeight="1" x14ac:dyDescent="0.3">
      <c r="A23" s="472">
        <v>3</v>
      </c>
      <c r="B23" s="473" t="s">
        <v>88</v>
      </c>
      <c r="C23" s="474"/>
      <c r="D23" s="475"/>
      <c r="E23" s="475"/>
      <c r="F23" s="475"/>
      <c r="G23" s="476">
        <f>SUM(F24:F45)</f>
        <v>452634067</v>
      </c>
      <c r="H23" s="477">
        <f>+G23/$G$228</f>
        <v>0.48145141408948994</v>
      </c>
      <c r="K23" s="450"/>
    </row>
    <row r="24" spans="1:15" ht="14.5" customHeight="1" outlineLevel="1" x14ac:dyDescent="0.3">
      <c r="A24" s="480">
        <v>3.01</v>
      </c>
      <c r="B24" s="497" t="s">
        <v>90</v>
      </c>
      <c r="C24" s="498" t="s">
        <v>85</v>
      </c>
      <c r="D24" s="499">
        <v>3</v>
      </c>
      <c r="E24" s="489">
        <v>379273</v>
      </c>
      <c r="F24" s="489">
        <f t="shared" ref="F24:F45" si="1">+E24*D24</f>
        <v>1137819</v>
      </c>
      <c r="H24" s="477"/>
      <c r="J24" s="478"/>
      <c r="K24" s="450"/>
      <c r="L24" s="479"/>
      <c r="M24" s="478"/>
      <c r="N24" s="478"/>
      <c r="O24" s="478"/>
    </row>
    <row r="25" spans="1:15" ht="14.5" customHeight="1" outlineLevel="1" x14ac:dyDescent="0.3">
      <c r="A25" s="485">
        <v>3.02</v>
      </c>
      <c r="B25" s="500" t="s">
        <v>92</v>
      </c>
      <c r="C25" s="490" t="s">
        <v>69</v>
      </c>
      <c r="D25" s="491">
        <v>1</v>
      </c>
      <c r="E25" s="489">
        <v>65949869</v>
      </c>
      <c r="F25" s="489">
        <f t="shared" si="1"/>
        <v>65949869</v>
      </c>
      <c r="H25" s="477"/>
      <c r="K25" s="450"/>
    </row>
    <row r="26" spans="1:15" ht="14.5" customHeight="1" outlineLevel="1" x14ac:dyDescent="0.3">
      <c r="A26" s="485">
        <v>3.03</v>
      </c>
      <c r="B26" s="500" t="s">
        <v>94</v>
      </c>
      <c r="C26" s="490" t="s">
        <v>85</v>
      </c>
      <c r="D26" s="491">
        <v>7</v>
      </c>
      <c r="E26" s="489">
        <v>798655</v>
      </c>
      <c r="F26" s="489">
        <f t="shared" si="1"/>
        <v>5590585</v>
      </c>
      <c r="H26" s="477"/>
      <c r="K26" s="450"/>
    </row>
    <row r="27" spans="1:15" ht="14.5" customHeight="1" outlineLevel="1" x14ac:dyDescent="0.3">
      <c r="A27" s="485">
        <v>3.04</v>
      </c>
      <c r="B27" s="500" t="s">
        <v>96</v>
      </c>
      <c r="C27" s="490" t="s">
        <v>85</v>
      </c>
      <c r="D27" s="491">
        <v>4</v>
      </c>
      <c r="E27" s="489">
        <v>1185296</v>
      </c>
      <c r="F27" s="489">
        <f t="shared" si="1"/>
        <v>4741184</v>
      </c>
      <c r="H27" s="477"/>
      <c r="K27" s="450"/>
    </row>
    <row r="28" spans="1:15" ht="14.5" customHeight="1" outlineLevel="1" x14ac:dyDescent="0.3">
      <c r="A28" s="485">
        <v>3.05</v>
      </c>
      <c r="B28" s="500" t="s">
        <v>97</v>
      </c>
      <c r="C28" s="490" t="s">
        <v>85</v>
      </c>
      <c r="D28" s="491">
        <v>2</v>
      </c>
      <c r="E28" s="489">
        <v>798655</v>
      </c>
      <c r="F28" s="489">
        <f t="shared" si="1"/>
        <v>1597310</v>
      </c>
      <c r="H28" s="477"/>
      <c r="K28" s="450"/>
    </row>
    <row r="29" spans="1:15" ht="14.5" customHeight="1" outlineLevel="1" x14ac:dyDescent="0.3">
      <c r="A29" s="485">
        <v>3.06</v>
      </c>
      <c r="B29" s="500" t="s">
        <v>98</v>
      </c>
      <c r="C29" s="490" t="s">
        <v>85</v>
      </c>
      <c r="D29" s="491">
        <v>11</v>
      </c>
      <c r="E29" s="489">
        <v>847449</v>
      </c>
      <c r="F29" s="489">
        <f t="shared" si="1"/>
        <v>9321939</v>
      </c>
      <c r="H29" s="477"/>
      <c r="K29" s="450"/>
    </row>
    <row r="30" spans="1:15" ht="14.5" customHeight="1" outlineLevel="1" x14ac:dyDescent="0.3">
      <c r="A30" s="485">
        <v>3.07</v>
      </c>
      <c r="B30" s="500" t="s">
        <v>99</v>
      </c>
      <c r="C30" s="490" t="s">
        <v>85</v>
      </c>
      <c r="D30" s="491">
        <v>9</v>
      </c>
      <c r="E30" s="489">
        <v>1185296</v>
      </c>
      <c r="F30" s="489">
        <f t="shared" si="1"/>
        <v>10667664</v>
      </c>
      <c r="H30" s="477"/>
      <c r="K30" s="450"/>
    </row>
    <row r="31" spans="1:15" ht="14.5" customHeight="1" outlineLevel="1" x14ac:dyDescent="0.3">
      <c r="A31" s="485">
        <v>3.08</v>
      </c>
      <c r="B31" s="500" t="s">
        <v>100</v>
      </c>
      <c r="C31" s="490" t="s">
        <v>85</v>
      </c>
      <c r="D31" s="491">
        <v>9</v>
      </c>
      <c r="E31" s="489">
        <v>1083664</v>
      </c>
      <c r="F31" s="489">
        <f t="shared" si="1"/>
        <v>9752976</v>
      </c>
      <c r="H31" s="477"/>
      <c r="K31" s="450"/>
    </row>
    <row r="32" spans="1:15" ht="14.5" customHeight="1" outlineLevel="1" x14ac:dyDescent="0.3">
      <c r="A32" s="485">
        <v>3.09</v>
      </c>
      <c r="B32" s="500" t="s">
        <v>102</v>
      </c>
      <c r="C32" s="490" t="s">
        <v>85</v>
      </c>
      <c r="D32" s="491">
        <v>1</v>
      </c>
      <c r="E32" s="489">
        <v>1244979</v>
      </c>
      <c r="F32" s="489">
        <f t="shared" si="1"/>
        <v>1244979</v>
      </c>
      <c r="H32" s="477"/>
      <c r="K32" s="450"/>
    </row>
    <row r="33" spans="1:15" ht="14.5" customHeight="1" outlineLevel="1" x14ac:dyDescent="0.3">
      <c r="A33" s="485">
        <v>3.1</v>
      </c>
      <c r="B33" s="500" t="s">
        <v>103</v>
      </c>
      <c r="C33" s="490" t="s">
        <v>85</v>
      </c>
      <c r="D33" s="491">
        <v>32</v>
      </c>
      <c r="E33" s="489">
        <v>1391362</v>
      </c>
      <c r="F33" s="489">
        <f t="shared" si="1"/>
        <v>44523584</v>
      </c>
      <c r="H33" s="477"/>
      <c r="K33" s="450"/>
    </row>
    <row r="34" spans="1:15" ht="14.5" customHeight="1" outlineLevel="1" x14ac:dyDescent="0.3">
      <c r="A34" s="485">
        <v>3.11</v>
      </c>
      <c r="B34" s="500" t="s">
        <v>104</v>
      </c>
      <c r="C34" s="490" t="s">
        <v>85</v>
      </c>
      <c r="D34" s="491">
        <v>30</v>
      </c>
      <c r="E34" s="489">
        <v>1156856</v>
      </c>
      <c r="F34" s="489">
        <f t="shared" si="1"/>
        <v>34705680</v>
      </c>
      <c r="H34" s="477"/>
      <c r="K34" s="450"/>
    </row>
    <row r="35" spans="1:15" ht="14.5" customHeight="1" outlineLevel="1" x14ac:dyDescent="0.3">
      <c r="A35" s="485">
        <v>3.12</v>
      </c>
      <c r="B35" s="500" t="s">
        <v>105</v>
      </c>
      <c r="C35" s="490" t="s">
        <v>85</v>
      </c>
      <c r="D35" s="491">
        <v>7</v>
      </c>
      <c r="E35" s="489">
        <v>1725658</v>
      </c>
      <c r="F35" s="489">
        <f t="shared" si="1"/>
        <v>12079606</v>
      </c>
      <c r="H35" s="477"/>
      <c r="K35" s="450"/>
    </row>
    <row r="36" spans="1:15" ht="14.5" customHeight="1" outlineLevel="1" x14ac:dyDescent="0.3">
      <c r="A36" s="485">
        <v>3.13</v>
      </c>
      <c r="B36" s="500" t="s">
        <v>106</v>
      </c>
      <c r="C36" s="490" t="s">
        <v>85</v>
      </c>
      <c r="D36" s="491">
        <v>12</v>
      </c>
      <c r="E36" s="489">
        <v>1879834</v>
      </c>
      <c r="F36" s="489">
        <f t="shared" si="1"/>
        <v>22558008</v>
      </c>
      <c r="H36" s="477"/>
      <c r="K36" s="450"/>
    </row>
    <row r="37" spans="1:15" ht="14.5" customHeight="1" outlineLevel="1" x14ac:dyDescent="0.3">
      <c r="A37" s="485">
        <v>3.14</v>
      </c>
      <c r="B37" s="500" t="s">
        <v>107</v>
      </c>
      <c r="C37" s="490" t="s">
        <v>85</v>
      </c>
      <c r="D37" s="491">
        <v>41</v>
      </c>
      <c r="E37" s="489">
        <v>1516746</v>
      </c>
      <c r="F37" s="489">
        <f t="shared" si="1"/>
        <v>62186586</v>
      </c>
      <c r="H37" s="477"/>
      <c r="K37" s="450"/>
    </row>
    <row r="38" spans="1:15" ht="14.5" customHeight="1" outlineLevel="1" x14ac:dyDescent="0.3">
      <c r="A38" s="485">
        <v>3.15</v>
      </c>
      <c r="B38" s="500" t="s">
        <v>108</v>
      </c>
      <c r="C38" s="490" t="s">
        <v>85</v>
      </c>
      <c r="D38" s="491">
        <v>135</v>
      </c>
      <c r="E38" s="489">
        <v>847011</v>
      </c>
      <c r="F38" s="489">
        <f t="shared" si="1"/>
        <v>114346485</v>
      </c>
      <c r="H38" s="477"/>
      <c r="K38" s="450"/>
    </row>
    <row r="39" spans="1:15" ht="14.5" customHeight="1" outlineLevel="1" x14ac:dyDescent="0.3">
      <c r="A39" s="485">
        <v>3.16</v>
      </c>
      <c r="B39" s="486" t="s">
        <v>109</v>
      </c>
      <c r="C39" s="493" t="s">
        <v>85</v>
      </c>
      <c r="D39" s="491">
        <v>13</v>
      </c>
      <c r="E39" s="489">
        <v>943167</v>
      </c>
      <c r="F39" s="489">
        <f t="shared" si="1"/>
        <v>12261171</v>
      </c>
      <c r="H39" s="477"/>
      <c r="K39" s="450"/>
    </row>
    <row r="40" spans="1:15" ht="14.5" customHeight="1" outlineLevel="1" x14ac:dyDescent="0.3">
      <c r="A40" s="485">
        <v>3.17</v>
      </c>
      <c r="B40" s="486" t="s">
        <v>110</v>
      </c>
      <c r="C40" s="493" t="s">
        <v>85</v>
      </c>
      <c r="D40" s="491">
        <v>14</v>
      </c>
      <c r="E40" s="489">
        <v>1067478</v>
      </c>
      <c r="F40" s="489">
        <f t="shared" si="1"/>
        <v>14944692</v>
      </c>
      <c r="H40" s="477"/>
      <c r="K40" s="450"/>
    </row>
    <row r="41" spans="1:15" ht="14.5" customHeight="1" outlineLevel="1" x14ac:dyDescent="0.3">
      <c r="A41" s="485">
        <v>3.18</v>
      </c>
      <c r="B41" s="486" t="s">
        <v>111</v>
      </c>
      <c r="C41" s="493" t="s">
        <v>85</v>
      </c>
      <c r="D41" s="491">
        <v>2</v>
      </c>
      <c r="E41" s="489">
        <v>1725658</v>
      </c>
      <c r="F41" s="489">
        <f t="shared" si="1"/>
        <v>3451316</v>
      </c>
      <c r="H41" s="477"/>
      <c r="K41" s="450"/>
    </row>
    <row r="42" spans="1:15" ht="14.5" customHeight="1" outlineLevel="1" x14ac:dyDescent="0.3">
      <c r="A42" s="485">
        <v>3.19</v>
      </c>
      <c r="B42" s="501" t="s">
        <v>112</v>
      </c>
      <c r="C42" s="493" t="s">
        <v>69</v>
      </c>
      <c r="D42" s="494">
        <v>1</v>
      </c>
      <c r="E42" s="489">
        <v>14358189</v>
      </c>
      <c r="F42" s="489">
        <f t="shared" si="1"/>
        <v>14358189</v>
      </c>
      <c r="H42" s="477"/>
      <c r="K42" s="450"/>
    </row>
    <row r="43" spans="1:15" ht="14.5" customHeight="1" outlineLevel="1" x14ac:dyDescent="0.3">
      <c r="A43" s="485">
        <v>3.2</v>
      </c>
      <c r="B43" s="501" t="s">
        <v>113</v>
      </c>
      <c r="C43" s="493" t="s">
        <v>114</v>
      </c>
      <c r="D43" s="494">
        <v>13</v>
      </c>
      <c r="E43" s="489">
        <v>334969</v>
      </c>
      <c r="F43" s="489">
        <f t="shared" si="1"/>
        <v>4354597</v>
      </c>
      <c r="H43" s="477"/>
      <c r="K43" s="450"/>
    </row>
    <row r="44" spans="1:15" ht="14.5" customHeight="1" outlineLevel="1" x14ac:dyDescent="0.3">
      <c r="A44" s="485">
        <v>3.21</v>
      </c>
      <c r="B44" s="501" t="s">
        <v>115</v>
      </c>
      <c r="C44" s="493" t="s">
        <v>69</v>
      </c>
      <c r="D44" s="494">
        <v>3</v>
      </c>
      <c r="E44" s="489">
        <v>74606</v>
      </c>
      <c r="F44" s="489">
        <f t="shared" si="1"/>
        <v>223818</v>
      </c>
      <c r="H44" s="477"/>
      <c r="K44" s="450"/>
    </row>
    <row r="45" spans="1:15" ht="14.5" customHeight="1" outlineLevel="1" x14ac:dyDescent="0.3">
      <c r="A45" s="485">
        <v>3.22</v>
      </c>
      <c r="B45" s="502" t="s">
        <v>348</v>
      </c>
      <c r="C45" s="503" t="s">
        <v>83</v>
      </c>
      <c r="D45" s="504">
        <v>65</v>
      </c>
      <c r="E45" s="489">
        <v>40554</v>
      </c>
      <c r="F45" s="489">
        <f t="shared" si="1"/>
        <v>2636010</v>
      </c>
      <c r="H45" s="477"/>
      <c r="K45" s="450"/>
    </row>
    <row r="46" spans="1:15" ht="14.5" customHeight="1" x14ac:dyDescent="0.3">
      <c r="A46" s="472">
        <v>24</v>
      </c>
      <c r="B46" s="473" t="s">
        <v>284</v>
      </c>
      <c r="C46" s="474"/>
      <c r="D46" s="475"/>
      <c r="E46" s="475"/>
      <c r="F46" s="475"/>
      <c r="G46" s="476">
        <f>SUM(F47:F55)</f>
        <v>56861052</v>
      </c>
      <c r="H46" s="505">
        <f>+G46/$G$228</f>
        <v>6.048116102585805E-2</v>
      </c>
    </row>
    <row r="47" spans="1:15" ht="14.5" customHeight="1" outlineLevel="1" x14ac:dyDescent="0.3">
      <c r="A47" s="480">
        <v>24.01</v>
      </c>
      <c r="B47" s="506" t="s">
        <v>285</v>
      </c>
      <c r="C47" s="482" t="s">
        <v>77</v>
      </c>
      <c r="D47" s="488">
        <v>10</v>
      </c>
      <c r="E47" s="489">
        <v>1094515</v>
      </c>
      <c r="F47" s="489">
        <f t="shared" ref="F47:F55" si="2">+E47*D47</f>
        <v>10945150</v>
      </c>
      <c r="J47" s="478"/>
      <c r="K47" s="450"/>
      <c r="L47" s="479"/>
      <c r="M47" s="478"/>
      <c r="N47" s="478"/>
      <c r="O47" s="478"/>
    </row>
    <row r="48" spans="1:15" ht="14.5" customHeight="1" outlineLevel="1" x14ac:dyDescent="0.3">
      <c r="A48" s="507">
        <v>24.02</v>
      </c>
      <c r="B48" s="508" t="s">
        <v>286</v>
      </c>
      <c r="C48" s="509" t="s">
        <v>77</v>
      </c>
      <c r="D48" s="510">
        <v>1</v>
      </c>
      <c r="E48" s="489">
        <v>2201892</v>
      </c>
      <c r="F48" s="489">
        <f t="shared" si="2"/>
        <v>2201892</v>
      </c>
      <c r="J48" s="478"/>
      <c r="K48" s="450"/>
      <c r="L48" s="479"/>
      <c r="M48" s="478"/>
      <c r="N48" s="478"/>
      <c r="O48" s="478"/>
    </row>
    <row r="49" spans="1:15" ht="14.5" customHeight="1" outlineLevel="1" x14ac:dyDescent="0.3">
      <c r="A49" s="485">
        <v>24.03</v>
      </c>
      <c r="B49" s="511" t="s">
        <v>287</v>
      </c>
      <c r="C49" s="487" t="s">
        <v>77</v>
      </c>
      <c r="D49" s="488">
        <v>10</v>
      </c>
      <c r="E49" s="489">
        <v>406941</v>
      </c>
      <c r="F49" s="489">
        <f t="shared" si="2"/>
        <v>4069410</v>
      </c>
      <c r="J49" s="478"/>
      <c r="K49" s="450"/>
      <c r="L49" s="479"/>
      <c r="M49" s="478"/>
      <c r="N49" s="478"/>
      <c r="O49" s="478"/>
    </row>
    <row r="50" spans="1:15" ht="14.5" customHeight="1" outlineLevel="1" x14ac:dyDescent="0.3">
      <c r="A50" s="507">
        <v>24.04</v>
      </c>
      <c r="B50" s="511" t="s">
        <v>288</v>
      </c>
      <c r="C50" s="487" t="s">
        <v>69</v>
      </c>
      <c r="D50" s="488">
        <v>1</v>
      </c>
      <c r="E50" s="489">
        <v>13322590</v>
      </c>
      <c r="F50" s="489">
        <f t="shared" si="2"/>
        <v>13322590</v>
      </c>
      <c r="J50" s="478"/>
      <c r="K50" s="450"/>
      <c r="L50" s="479"/>
      <c r="M50" s="478"/>
      <c r="N50" s="478"/>
      <c r="O50" s="478"/>
    </row>
    <row r="51" spans="1:15" s="514" customFormat="1" ht="14.5" customHeight="1" outlineLevel="1" x14ac:dyDescent="0.3">
      <c r="A51" s="485">
        <v>24.05</v>
      </c>
      <c r="B51" s="511" t="s">
        <v>291</v>
      </c>
      <c r="C51" s="512" t="s">
        <v>77</v>
      </c>
      <c r="D51" s="488">
        <v>10</v>
      </c>
      <c r="E51" s="489">
        <v>973794</v>
      </c>
      <c r="F51" s="489">
        <f t="shared" si="2"/>
        <v>9737940</v>
      </c>
      <c r="G51" s="513"/>
      <c r="H51" s="505"/>
      <c r="J51" s="478"/>
      <c r="K51" s="450"/>
      <c r="L51" s="479"/>
      <c r="M51" s="478"/>
      <c r="N51" s="478"/>
      <c r="O51" s="478"/>
    </row>
    <row r="52" spans="1:15" s="514" customFormat="1" ht="14.5" customHeight="1" outlineLevel="1" x14ac:dyDescent="0.3">
      <c r="A52" s="507">
        <v>24.06</v>
      </c>
      <c r="B52" s="511" t="s">
        <v>292</v>
      </c>
      <c r="C52" s="512" t="s">
        <v>77</v>
      </c>
      <c r="D52" s="488">
        <v>10</v>
      </c>
      <c r="E52" s="489">
        <v>883525</v>
      </c>
      <c r="F52" s="489">
        <f t="shared" si="2"/>
        <v>8835250</v>
      </c>
      <c r="G52" s="513"/>
      <c r="H52" s="505"/>
      <c r="J52" s="478"/>
      <c r="K52" s="450"/>
      <c r="L52" s="479"/>
      <c r="M52" s="478"/>
      <c r="N52" s="478"/>
      <c r="O52" s="478"/>
    </row>
    <row r="53" spans="1:15" s="514" customFormat="1" ht="14.5" customHeight="1" outlineLevel="1" x14ac:dyDescent="0.3">
      <c r="A53" s="485">
        <v>24.07</v>
      </c>
      <c r="B53" s="511" t="s">
        <v>293</v>
      </c>
      <c r="C53" s="512" t="s">
        <v>69</v>
      </c>
      <c r="D53" s="488">
        <v>0</v>
      </c>
      <c r="E53" s="489">
        <v>6243068</v>
      </c>
      <c r="F53" s="489">
        <f t="shared" si="2"/>
        <v>0</v>
      </c>
      <c r="G53" s="513"/>
      <c r="H53" s="505"/>
      <c r="J53" s="478"/>
      <c r="K53" s="450"/>
      <c r="L53" s="479"/>
      <c r="M53" s="478"/>
      <c r="N53" s="478"/>
      <c r="O53" s="478"/>
    </row>
    <row r="54" spans="1:15" s="514" customFormat="1" ht="14.5" customHeight="1" outlineLevel="1" x14ac:dyDescent="0.3">
      <c r="A54" s="507">
        <v>24.08</v>
      </c>
      <c r="B54" s="511" t="s">
        <v>294</v>
      </c>
      <c r="C54" s="512" t="s">
        <v>77</v>
      </c>
      <c r="D54" s="488">
        <v>10</v>
      </c>
      <c r="E54" s="489">
        <v>406941</v>
      </c>
      <c r="F54" s="489">
        <f t="shared" si="2"/>
        <v>4069410</v>
      </c>
      <c r="G54" s="513"/>
      <c r="H54" s="505"/>
      <c r="J54" s="478"/>
      <c r="K54" s="450"/>
      <c r="L54" s="479"/>
      <c r="M54" s="478"/>
      <c r="N54" s="478"/>
      <c r="O54" s="478"/>
    </row>
    <row r="55" spans="1:15" s="518" customFormat="1" ht="14.5" customHeight="1" outlineLevel="1" x14ac:dyDescent="0.3">
      <c r="A55" s="485">
        <v>24.09</v>
      </c>
      <c r="B55" s="515" t="s">
        <v>295</v>
      </c>
      <c r="C55" s="516" t="s">
        <v>77</v>
      </c>
      <c r="D55" s="488">
        <v>10</v>
      </c>
      <c r="E55" s="517">
        <v>367941</v>
      </c>
      <c r="F55" s="517">
        <f t="shared" si="2"/>
        <v>3679410</v>
      </c>
      <c r="G55" s="513"/>
      <c r="H55" s="505"/>
      <c r="J55" s="478"/>
      <c r="K55" s="450"/>
      <c r="L55" s="479"/>
      <c r="M55" s="478"/>
      <c r="N55" s="478"/>
      <c r="O55" s="478"/>
    </row>
    <row r="56" spans="1:15" ht="14.5" customHeight="1" x14ac:dyDescent="0.3">
      <c r="A56" s="472">
        <v>25</v>
      </c>
      <c r="B56" s="473" t="s">
        <v>296</v>
      </c>
      <c r="C56" s="474"/>
      <c r="D56" s="475"/>
      <c r="E56" s="475"/>
      <c r="F56" s="475"/>
      <c r="G56" s="476">
        <f>SUM(F57:F58)</f>
        <v>50820170</v>
      </c>
      <c r="H56" s="505">
        <f>+G56/$G$228</f>
        <v>5.4055680945394403E-2</v>
      </c>
      <c r="J56" s="478"/>
      <c r="K56" s="450"/>
      <c r="L56" s="479"/>
      <c r="M56" s="478"/>
      <c r="N56" s="478"/>
      <c r="O56" s="478"/>
    </row>
    <row r="57" spans="1:15" s="523" customFormat="1" ht="14.5" customHeight="1" outlineLevel="1" x14ac:dyDescent="0.3">
      <c r="A57" s="480">
        <v>25.01</v>
      </c>
      <c r="B57" s="481" t="s">
        <v>297</v>
      </c>
      <c r="C57" s="519" t="s">
        <v>77</v>
      </c>
      <c r="D57" s="488">
        <v>10</v>
      </c>
      <c r="E57" s="520">
        <v>4403783</v>
      </c>
      <c r="F57" s="521">
        <f>+E57*D57</f>
        <v>44037830</v>
      </c>
      <c r="G57" s="522"/>
      <c r="J57" s="478"/>
      <c r="K57" s="450"/>
      <c r="L57" s="479"/>
      <c r="M57" s="478"/>
      <c r="N57" s="478"/>
      <c r="O57" s="478"/>
    </row>
    <row r="58" spans="1:15" s="523" customFormat="1" ht="14.5" customHeight="1" outlineLevel="1" x14ac:dyDescent="0.3">
      <c r="A58" s="524">
        <v>25.02</v>
      </c>
      <c r="B58" s="502" t="s">
        <v>298</v>
      </c>
      <c r="C58" s="525" t="s">
        <v>77</v>
      </c>
      <c r="D58" s="488">
        <v>10</v>
      </c>
      <c r="E58" s="520">
        <v>678234</v>
      </c>
      <c r="F58" s="489">
        <f>+E58*D58</f>
        <v>6782340</v>
      </c>
      <c r="G58" s="526"/>
      <c r="J58" s="478"/>
      <c r="K58" s="450"/>
      <c r="L58" s="479"/>
      <c r="M58" s="478"/>
      <c r="N58" s="478"/>
      <c r="O58" s="478"/>
    </row>
    <row r="59" spans="1:15" ht="14.5" customHeight="1" x14ac:dyDescent="0.3">
      <c r="A59" s="472" t="s">
        <v>349</v>
      </c>
      <c r="B59" s="473" t="s">
        <v>350</v>
      </c>
      <c r="C59" s="474"/>
      <c r="D59" s="475"/>
      <c r="E59" s="475"/>
      <c r="F59" s="475">
        <f>SUM(F8:F58)</f>
        <v>600478155</v>
      </c>
      <c r="G59" s="476">
        <f>SUM(G8:G58)</f>
        <v>600478155</v>
      </c>
      <c r="H59" s="505"/>
      <c r="J59" s="527" t="s">
        <v>351</v>
      </c>
      <c r="K59" s="528" t="e">
        <f>SUM(#REF!)</f>
        <v>#REF!</v>
      </c>
      <c r="L59" s="479" t="e">
        <f>+K59-G59</f>
        <v>#REF!</v>
      </c>
      <c r="M59" s="478"/>
      <c r="N59" s="478"/>
      <c r="O59" s="478"/>
    </row>
    <row r="60" spans="1:15" s="523" customFormat="1" ht="14.5" customHeight="1" outlineLevel="1" x14ac:dyDescent="0.3">
      <c r="A60" s="529"/>
      <c r="B60" s="530"/>
      <c r="C60" s="531"/>
      <c r="D60" s="532"/>
      <c r="E60" s="533"/>
      <c r="F60" s="533"/>
      <c r="G60" s="534"/>
      <c r="J60" s="478"/>
      <c r="K60" s="450"/>
      <c r="L60" s="479"/>
      <c r="M60" s="478"/>
      <c r="N60" s="478"/>
      <c r="O60" s="478"/>
    </row>
    <row r="61" spans="1:15" ht="14.5" customHeight="1" x14ac:dyDescent="0.3">
      <c r="A61" s="472">
        <v>4</v>
      </c>
      <c r="B61" s="473" t="s">
        <v>117</v>
      </c>
      <c r="C61" s="474"/>
      <c r="D61" s="475"/>
      <c r="E61" s="475"/>
      <c r="F61" s="475"/>
      <c r="G61" s="476">
        <f>SUM(F62:F67)</f>
        <v>81027619</v>
      </c>
      <c r="H61" s="477">
        <f>+G61/$G$228</f>
        <v>8.6186313828327962E-2</v>
      </c>
      <c r="J61" s="478"/>
      <c r="K61" s="450"/>
      <c r="L61" s="479"/>
      <c r="M61" s="478"/>
      <c r="N61" s="478"/>
      <c r="O61" s="478"/>
    </row>
    <row r="62" spans="1:15" s="523" customFormat="1" ht="14.5" customHeight="1" outlineLevel="1" x14ac:dyDescent="0.3">
      <c r="A62" s="480">
        <v>4.01</v>
      </c>
      <c r="B62" s="481" t="s">
        <v>118</v>
      </c>
      <c r="C62" s="519" t="s">
        <v>83</v>
      </c>
      <c r="D62" s="535">
        <v>437</v>
      </c>
      <c r="E62" s="484">
        <v>28582</v>
      </c>
      <c r="F62" s="484">
        <f t="shared" ref="F62:F67" si="3">+E62*D62</f>
        <v>12490334</v>
      </c>
      <c r="G62" s="536"/>
      <c r="H62" s="477"/>
      <c r="J62" s="449"/>
      <c r="K62" s="450"/>
      <c r="L62" s="450"/>
      <c r="M62" s="449"/>
      <c r="N62" s="449"/>
      <c r="O62" s="449"/>
    </row>
    <row r="63" spans="1:15" s="523" customFormat="1" ht="26" outlineLevel="1" x14ac:dyDescent="0.3">
      <c r="A63" s="485">
        <v>4.0199999999999996</v>
      </c>
      <c r="B63" s="537" t="s">
        <v>119</v>
      </c>
      <c r="C63" s="493" t="s">
        <v>83</v>
      </c>
      <c r="D63" s="494">
        <v>723</v>
      </c>
      <c r="E63" s="521">
        <v>39642</v>
      </c>
      <c r="F63" s="489">
        <f t="shared" si="3"/>
        <v>28661166</v>
      </c>
      <c r="G63" s="536"/>
      <c r="H63" s="477"/>
      <c r="J63" s="478"/>
      <c r="K63" s="450"/>
      <c r="L63" s="479"/>
      <c r="M63" s="478"/>
      <c r="N63" s="478"/>
      <c r="O63" s="478"/>
    </row>
    <row r="64" spans="1:15" s="523" customFormat="1" ht="14.5" customHeight="1" outlineLevel="1" x14ac:dyDescent="0.3">
      <c r="A64" s="485">
        <v>4.03</v>
      </c>
      <c r="B64" s="486" t="s">
        <v>120</v>
      </c>
      <c r="C64" s="493" t="s">
        <v>83</v>
      </c>
      <c r="D64" s="494">
        <v>1008</v>
      </c>
      <c r="E64" s="521">
        <v>31853</v>
      </c>
      <c r="F64" s="489">
        <f t="shared" si="3"/>
        <v>32107824</v>
      </c>
      <c r="G64" s="536"/>
      <c r="H64" s="477"/>
      <c r="J64" s="478"/>
      <c r="K64" s="450"/>
      <c r="L64" s="479"/>
      <c r="M64" s="478"/>
      <c r="N64" s="478"/>
      <c r="O64" s="478"/>
    </row>
    <row r="65" spans="1:15" s="523" customFormat="1" ht="14.5" customHeight="1" outlineLevel="1" x14ac:dyDescent="0.3">
      <c r="A65" s="485">
        <v>4.04</v>
      </c>
      <c r="B65" s="486" t="s">
        <v>352</v>
      </c>
      <c r="C65" s="493" t="s">
        <v>83</v>
      </c>
      <c r="D65" s="494">
        <v>199</v>
      </c>
      <c r="E65" s="521">
        <v>15879</v>
      </c>
      <c r="F65" s="489">
        <f t="shared" si="3"/>
        <v>3159921</v>
      </c>
      <c r="G65" s="536"/>
      <c r="H65" s="477"/>
      <c r="J65" s="478"/>
      <c r="K65" s="450"/>
      <c r="L65" s="479"/>
      <c r="M65" s="478"/>
      <c r="N65" s="478"/>
      <c r="O65" s="478"/>
    </row>
    <row r="66" spans="1:15" s="523" customFormat="1" ht="14.5" customHeight="1" outlineLevel="1" x14ac:dyDescent="0.3">
      <c r="A66" s="485">
        <v>4.05</v>
      </c>
      <c r="B66" s="486" t="s">
        <v>122</v>
      </c>
      <c r="C66" s="493" t="s">
        <v>83</v>
      </c>
      <c r="D66" s="494">
        <v>34</v>
      </c>
      <c r="E66" s="521">
        <v>77459</v>
      </c>
      <c r="F66" s="489">
        <f t="shared" si="3"/>
        <v>2633606</v>
      </c>
      <c r="G66" s="536"/>
      <c r="H66" s="477"/>
      <c r="J66" s="478"/>
      <c r="K66" s="450"/>
      <c r="L66" s="479"/>
      <c r="M66" s="478"/>
      <c r="N66" s="478"/>
      <c r="O66" s="478"/>
    </row>
    <row r="67" spans="1:15" s="523" customFormat="1" ht="14.5" customHeight="1" outlineLevel="1" x14ac:dyDescent="0.3">
      <c r="A67" s="485">
        <v>4.0599999999999996</v>
      </c>
      <c r="B67" s="486" t="s">
        <v>353</v>
      </c>
      <c r="C67" s="493" t="s">
        <v>74</v>
      </c>
      <c r="D67" s="494">
        <v>24</v>
      </c>
      <c r="E67" s="521">
        <v>82282</v>
      </c>
      <c r="F67" s="489">
        <f t="shared" si="3"/>
        <v>1974768</v>
      </c>
      <c r="G67" s="536"/>
      <c r="H67" s="477"/>
      <c r="J67" s="478"/>
      <c r="K67" s="450"/>
      <c r="L67" s="479"/>
      <c r="M67" s="478"/>
      <c r="N67" s="478"/>
      <c r="O67" s="478"/>
    </row>
    <row r="68" spans="1:15" ht="14.5" customHeight="1" x14ac:dyDescent="0.3">
      <c r="A68" s="472">
        <v>5</v>
      </c>
      <c r="B68" s="473" t="s">
        <v>124</v>
      </c>
      <c r="C68" s="474"/>
      <c r="D68" s="475"/>
      <c r="E68" s="475"/>
      <c r="F68" s="475"/>
      <c r="G68" s="476">
        <f>SUM(F69:F74)</f>
        <v>16565287</v>
      </c>
      <c r="H68" s="477">
        <f>+G68/$G$228</f>
        <v>1.7619930607097333E-2</v>
      </c>
      <c r="J68" s="538"/>
      <c r="K68" s="450"/>
      <c r="L68" s="539"/>
      <c r="M68" s="538"/>
      <c r="N68" s="538"/>
      <c r="O68" s="538"/>
    </row>
    <row r="69" spans="1:15" s="523" customFormat="1" ht="14.5" customHeight="1" outlineLevel="1" x14ac:dyDescent="0.3">
      <c r="A69" s="480">
        <v>5.01</v>
      </c>
      <c r="B69" s="481" t="s">
        <v>354</v>
      </c>
      <c r="C69" s="519" t="s">
        <v>83</v>
      </c>
      <c r="D69" s="535">
        <v>79</v>
      </c>
      <c r="E69" s="520">
        <v>39406</v>
      </c>
      <c r="F69" s="521">
        <f t="shared" ref="F69:F74" si="4">+E69*D69</f>
        <v>3113074</v>
      </c>
      <c r="G69" s="536"/>
      <c r="H69" s="477"/>
      <c r="J69" s="538"/>
      <c r="K69" s="450"/>
      <c r="L69" s="539"/>
      <c r="M69" s="538"/>
      <c r="N69" s="538"/>
      <c r="O69" s="538"/>
    </row>
    <row r="70" spans="1:15" s="523" customFormat="1" ht="14.5" customHeight="1" outlineLevel="1" x14ac:dyDescent="0.3">
      <c r="A70" s="507">
        <v>5.0199999999999996</v>
      </c>
      <c r="B70" s="540" t="s">
        <v>355</v>
      </c>
      <c r="C70" s="541" t="s">
        <v>74</v>
      </c>
      <c r="D70" s="542">
        <v>113</v>
      </c>
      <c r="E70" s="520">
        <v>7174</v>
      </c>
      <c r="F70" s="489">
        <f t="shared" si="4"/>
        <v>810662</v>
      </c>
      <c r="G70" s="536"/>
      <c r="H70" s="477"/>
      <c r="J70" s="478"/>
      <c r="K70" s="450"/>
      <c r="L70" s="479"/>
      <c r="M70" s="478"/>
      <c r="N70" s="478"/>
      <c r="O70" s="478"/>
    </row>
    <row r="71" spans="1:15" s="523" customFormat="1" ht="14.5" customHeight="1" outlineLevel="1" x14ac:dyDescent="0.3">
      <c r="A71" s="507">
        <v>5.03</v>
      </c>
      <c r="B71" s="486" t="s">
        <v>356</v>
      </c>
      <c r="C71" s="493" t="s">
        <v>83</v>
      </c>
      <c r="D71" s="494">
        <v>207</v>
      </c>
      <c r="E71" s="520">
        <v>7174</v>
      </c>
      <c r="F71" s="489">
        <f t="shared" si="4"/>
        <v>1485018</v>
      </c>
      <c r="G71" s="536"/>
      <c r="H71" s="477"/>
      <c r="J71" s="538"/>
      <c r="K71" s="450"/>
      <c r="L71" s="539"/>
      <c r="M71" s="538"/>
      <c r="N71" s="538"/>
      <c r="O71" s="538"/>
    </row>
    <row r="72" spans="1:15" s="523" customFormat="1" ht="14.5" customHeight="1" outlineLevel="1" x14ac:dyDescent="0.3">
      <c r="A72" s="485">
        <v>5.04</v>
      </c>
      <c r="B72" s="486" t="s">
        <v>128</v>
      </c>
      <c r="C72" s="493" t="s">
        <v>83</v>
      </c>
      <c r="D72" s="494">
        <v>165</v>
      </c>
      <c r="E72" s="520">
        <v>4800</v>
      </c>
      <c r="F72" s="489">
        <f t="shared" si="4"/>
        <v>792000</v>
      </c>
      <c r="G72" s="536"/>
      <c r="H72" s="477"/>
      <c r="J72" s="449"/>
      <c r="K72" s="450"/>
      <c r="L72" s="450"/>
      <c r="M72" s="449"/>
      <c r="N72" s="449"/>
      <c r="O72" s="449"/>
    </row>
    <row r="73" spans="1:15" s="523" customFormat="1" ht="14.5" customHeight="1" outlineLevel="1" x14ac:dyDescent="0.3">
      <c r="A73" s="507">
        <v>5.05</v>
      </c>
      <c r="B73" s="486" t="s">
        <v>129</v>
      </c>
      <c r="C73" s="493" t="s">
        <v>83</v>
      </c>
      <c r="D73" s="494">
        <v>165</v>
      </c>
      <c r="E73" s="520">
        <v>4641</v>
      </c>
      <c r="F73" s="489">
        <f t="shared" si="4"/>
        <v>765765</v>
      </c>
      <c r="G73" s="536"/>
      <c r="H73" s="477"/>
      <c r="J73" s="478"/>
      <c r="K73" s="450"/>
      <c r="L73" s="479"/>
      <c r="M73" s="478"/>
      <c r="N73" s="478"/>
      <c r="O73" s="478"/>
    </row>
    <row r="74" spans="1:15" s="514" customFormat="1" ht="14.5" customHeight="1" outlineLevel="1" x14ac:dyDescent="0.3">
      <c r="A74" s="485">
        <v>5.0599999999999996</v>
      </c>
      <c r="B74" s="486" t="s">
        <v>357</v>
      </c>
      <c r="C74" s="543" t="s">
        <v>83</v>
      </c>
      <c r="D74" s="494">
        <v>274</v>
      </c>
      <c r="E74" s="520">
        <v>35032</v>
      </c>
      <c r="F74" s="489">
        <f t="shared" si="4"/>
        <v>9598768</v>
      </c>
      <c r="G74" s="526"/>
      <c r="H74" s="477"/>
      <c r="J74" s="478"/>
      <c r="K74" s="450"/>
      <c r="L74" s="479"/>
      <c r="M74" s="478"/>
      <c r="N74" s="478"/>
      <c r="O74" s="478"/>
    </row>
    <row r="75" spans="1:15" ht="14.5" customHeight="1" x14ac:dyDescent="0.3">
      <c r="A75" s="472">
        <v>6</v>
      </c>
      <c r="B75" s="473" t="s">
        <v>131</v>
      </c>
      <c r="C75" s="474"/>
      <c r="D75" s="475"/>
      <c r="E75" s="475"/>
      <c r="F75" s="475"/>
      <c r="G75" s="476">
        <f>SUM(F76:F76)</f>
        <v>1479500</v>
      </c>
      <c r="H75" s="477">
        <f>+G75/$G$228</f>
        <v>1.5736936723885619E-3</v>
      </c>
      <c r="J75" s="478"/>
      <c r="K75" s="450"/>
      <c r="L75" s="479"/>
      <c r="M75" s="478"/>
      <c r="N75" s="478"/>
      <c r="O75" s="478"/>
    </row>
    <row r="76" spans="1:15" s="514" customFormat="1" ht="14.5" customHeight="1" outlineLevel="1" x14ac:dyDescent="0.3">
      <c r="A76" s="496">
        <v>6.01</v>
      </c>
      <c r="B76" s="502" t="s">
        <v>132</v>
      </c>
      <c r="C76" s="544" t="s">
        <v>74</v>
      </c>
      <c r="D76" s="545">
        <v>44</v>
      </c>
      <c r="E76" s="489">
        <v>33625</v>
      </c>
      <c r="F76" s="489">
        <f>+E76*D76</f>
        <v>1479500</v>
      </c>
      <c r="G76" s="526"/>
      <c r="H76" s="477"/>
      <c r="J76" s="478"/>
      <c r="K76" s="450"/>
      <c r="L76" s="479"/>
      <c r="M76" s="478"/>
      <c r="N76" s="478"/>
      <c r="O76" s="478"/>
    </row>
    <row r="77" spans="1:15" ht="14.5" customHeight="1" x14ac:dyDescent="0.3">
      <c r="A77" s="472">
        <v>7</v>
      </c>
      <c r="B77" s="473" t="s">
        <v>133</v>
      </c>
      <c r="C77" s="474"/>
      <c r="D77" s="475"/>
      <c r="E77" s="475"/>
      <c r="F77" s="475"/>
      <c r="G77" s="476">
        <f>SUM(F78:F85)</f>
        <v>151616626</v>
      </c>
      <c r="H77" s="477">
        <f>+G77/$G$228</f>
        <v>0.16126943221703488</v>
      </c>
      <c r="J77" s="478"/>
      <c r="K77" s="450"/>
      <c r="L77" s="479"/>
      <c r="M77" s="478"/>
      <c r="N77" s="478"/>
      <c r="O77" s="478"/>
    </row>
    <row r="78" spans="1:15" s="523" customFormat="1" ht="14.5" customHeight="1" outlineLevel="1" x14ac:dyDescent="0.3">
      <c r="A78" s="480">
        <v>7.01</v>
      </c>
      <c r="B78" s="546" t="s">
        <v>134</v>
      </c>
      <c r="C78" s="519" t="s">
        <v>83</v>
      </c>
      <c r="D78" s="535">
        <v>663</v>
      </c>
      <c r="E78" s="484">
        <v>21829</v>
      </c>
      <c r="F78" s="484">
        <f t="shared" ref="F78:F85" si="5">+E78*D78</f>
        <v>14472627</v>
      </c>
      <c r="G78" s="522"/>
      <c r="H78" s="477"/>
      <c r="J78" s="478"/>
      <c r="K78" s="450"/>
      <c r="L78" s="479"/>
      <c r="M78" s="478"/>
      <c r="N78" s="478"/>
      <c r="O78" s="478"/>
    </row>
    <row r="79" spans="1:15" s="523" customFormat="1" ht="14.5" customHeight="1" outlineLevel="1" x14ac:dyDescent="0.3">
      <c r="A79" s="485">
        <v>7.02</v>
      </c>
      <c r="B79" s="547" t="s">
        <v>358</v>
      </c>
      <c r="C79" s="493" t="s">
        <v>83</v>
      </c>
      <c r="D79" s="494">
        <v>1164</v>
      </c>
      <c r="E79" s="489">
        <v>29490</v>
      </c>
      <c r="F79" s="489">
        <f t="shared" si="5"/>
        <v>34326360</v>
      </c>
      <c r="G79" s="526"/>
      <c r="H79" s="477"/>
      <c r="J79" s="478"/>
      <c r="K79" s="450"/>
      <c r="L79" s="479"/>
      <c r="M79" s="478"/>
      <c r="N79" s="478"/>
      <c r="O79" s="478"/>
    </row>
    <row r="80" spans="1:15" s="523" customFormat="1" ht="14.5" customHeight="1" outlineLevel="1" x14ac:dyDescent="0.3">
      <c r="A80" s="485">
        <v>7.03</v>
      </c>
      <c r="B80" s="547" t="s">
        <v>359</v>
      </c>
      <c r="C80" s="493" t="s">
        <v>74</v>
      </c>
      <c r="D80" s="494">
        <v>500</v>
      </c>
      <c r="E80" s="489">
        <v>15088</v>
      </c>
      <c r="F80" s="489">
        <f t="shared" si="5"/>
        <v>7544000</v>
      </c>
      <c r="G80" s="526"/>
      <c r="H80" s="477"/>
      <c r="J80" s="478"/>
      <c r="K80" s="450"/>
      <c r="L80" s="479"/>
      <c r="M80" s="478"/>
      <c r="N80" s="478"/>
      <c r="O80" s="478"/>
    </row>
    <row r="81" spans="1:15" s="523" customFormat="1" ht="14.5" customHeight="1" outlineLevel="1" x14ac:dyDescent="0.3">
      <c r="A81" s="485">
        <v>7.04</v>
      </c>
      <c r="B81" s="486" t="s">
        <v>137</v>
      </c>
      <c r="C81" s="493" t="s">
        <v>83</v>
      </c>
      <c r="D81" s="494">
        <v>521</v>
      </c>
      <c r="E81" s="489">
        <v>35962</v>
      </c>
      <c r="F81" s="489">
        <f t="shared" si="5"/>
        <v>18736202</v>
      </c>
      <c r="G81" s="526"/>
      <c r="H81" s="477"/>
      <c r="J81" s="478"/>
      <c r="K81" s="450"/>
      <c r="L81" s="479"/>
      <c r="M81" s="478"/>
      <c r="N81" s="478"/>
      <c r="O81" s="478"/>
    </row>
    <row r="82" spans="1:15" s="523" customFormat="1" ht="14.5" customHeight="1" outlineLevel="1" x14ac:dyDescent="0.3">
      <c r="A82" s="485">
        <v>7.05</v>
      </c>
      <c r="B82" s="486" t="s">
        <v>138</v>
      </c>
      <c r="C82" s="493" t="s">
        <v>83</v>
      </c>
      <c r="D82" s="494">
        <v>2180</v>
      </c>
      <c r="E82" s="489">
        <v>24829</v>
      </c>
      <c r="F82" s="489">
        <f t="shared" si="5"/>
        <v>54127220</v>
      </c>
      <c r="G82" s="526"/>
      <c r="H82" s="477"/>
      <c r="J82" s="478"/>
      <c r="K82" s="450"/>
      <c r="L82" s="479"/>
      <c r="M82" s="478"/>
      <c r="N82" s="478"/>
      <c r="O82" s="478"/>
    </row>
    <row r="83" spans="1:15" s="523" customFormat="1" ht="14.5" customHeight="1" outlineLevel="1" x14ac:dyDescent="0.3">
      <c r="A83" s="485">
        <v>7.06</v>
      </c>
      <c r="B83" s="548" t="s">
        <v>139</v>
      </c>
      <c r="C83" s="493" t="s">
        <v>74</v>
      </c>
      <c r="D83" s="494">
        <v>255</v>
      </c>
      <c r="E83" s="489">
        <v>18098</v>
      </c>
      <c r="F83" s="489">
        <f t="shared" si="5"/>
        <v>4614990</v>
      </c>
      <c r="G83" s="526"/>
      <c r="H83" s="477"/>
      <c r="J83" s="478"/>
      <c r="K83" s="450"/>
      <c r="L83" s="479"/>
      <c r="M83" s="478"/>
      <c r="N83" s="478"/>
      <c r="O83" s="478"/>
    </row>
    <row r="84" spans="1:15" s="523" customFormat="1" ht="14.5" customHeight="1" outlineLevel="1" x14ac:dyDescent="0.3">
      <c r="A84" s="485">
        <v>7.07</v>
      </c>
      <c r="B84" s="548" t="s">
        <v>140</v>
      </c>
      <c r="C84" s="493" t="s">
        <v>114</v>
      </c>
      <c r="D84" s="494">
        <v>102</v>
      </c>
      <c r="E84" s="489">
        <v>21446</v>
      </c>
      <c r="F84" s="489">
        <f t="shared" si="5"/>
        <v>2187492</v>
      </c>
      <c r="G84" s="526"/>
      <c r="H84" s="477"/>
      <c r="J84" s="478"/>
      <c r="K84" s="450"/>
      <c r="L84" s="479"/>
      <c r="M84" s="478"/>
      <c r="N84" s="478"/>
      <c r="O84" s="478"/>
    </row>
    <row r="85" spans="1:15" s="523" customFormat="1" ht="14.5" customHeight="1" outlineLevel="1" x14ac:dyDescent="0.3">
      <c r="A85" s="485">
        <v>7.08</v>
      </c>
      <c r="B85" s="486" t="s">
        <v>141</v>
      </c>
      <c r="C85" s="493" t="s">
        <v>83</v>
      </c>
      <c r="D85" s="494">
        <v>715</v>
      </c>
      <c r="E85" s="489">
        <v>21829</v>
      </c>
      <c r="F85" s="489">
        <f t="shared" si="5"/>
        <v>15607735</v>
      </c>
      <c r="G85" s="526"/>
      <c r="H85" s="477"/>
      <c r="J85" s="478"/>
      <c r="K85" s="450"/>
      <c r="L85" s="479"/>
      <c r="M85" s="478"/>
      <c r="N85" s="478"/>
      <c r="O85" s="478"/>
    </row>
    <row r="86" spans="1:15" ht="14.5" customHeight="1" x14ac:dyDescent="0.3">
      <c r="A86" s="472">
        <v>8</v>
      </c>
      <c r="B86" s="473" t="s">
        <v>142</v>
      </c>
      <c r="C86" s="474"/>
      <c r="D86" s="475"/>
      <c r="E86" s="475"/>
      <c r="F86" s="475"/>
      <c r="G86" s="476">
        <f>SUM(F87:F94)</f>
        <v>49859719</v>
      </c>
      <c r="H86" s="477">
        <f>+G86/$G$228</f>
        <v>5.3034081985381384E-2</v>
      </c>
      <c r="J86" s="478"/>
      <c r="K86" s="450"/>
      <c r="L86" s="479"/>
      <c r="M86" s="478"/>
      <c r="N86" s="478"/>
      <c r="O86" s="478"/>
    </row>
    <row r="87" spans="1:15" s="523" customFormat="1" ht="14.5" customHeight="1" outlineLevel="1" x14ac:dyDescent="0.3">
      <c r="A87" s="480">
        <v>8.01</v>
      </c>
      <c r="B87" s="481" t="s">
        <v>143</v>
      </c>
      <c r="C87" s="519" t="s">
        <v>83</v>
      </c>
      <c r="D87" s="535">
        <v>21</v>
      </c>
      <c r="E87" s="521">
        <v>45843</v>
      </c>
      <c r="F87" s="521">
        <f t="shared" ref="F87:F94" si="6">+E87*D87</f>
        <v>962703</v>
      </c>
      <c r="G87" s="536"/>
      <c r="H87" s="477"/>
      <c r="J87" s="478"/>
      <c r="K87" s="450"/>
      <c r="L87" s="479"/>
      <c r="M87" s="478"/>
      <c r="N87" s="478"/>
      <c r="O87" s="478"/>
    </row>
    <row r="88" spans="1:15" s="523" customFormat="1" ht="14.5" customHeight="1" outlineLevel="1" x14ac:dyDescent="0.3">
      <c r="A88" s="485">
        <v>8.02</v>
      </c>
      <c r="B88" s="486" t="s">
        <v>144</v>
      </c>
      <c r="C88" s="493" t="s">
        <v>83</v>
      </c>
      <c r="D88" s="494">
        <v>201</v>
      </c>
      <c r="E88" s="521">
        <v>54692</v>
      </c>
      <c r="F88" s="521">
        <f t="shared" si="6"/>
        <v>10993092</v>
      </c>
      <c r="G88" s="536"/>
      <c r="H88" s="477"/>
      <c r="J88" s="478"/>
      <c r="K88" s="450"/>
      <c r="L88" s="479"/>
      <c r="M88" s="478"/>
      <c r="N88" s="478"/>
      <c r="O88" s="478"/>
    </row>
    <row r="89" spans="1:15" s="523" customFormat="1" ht="14.5" customHeight="1" outlineLevel="1" x14ac:dyDescent="0.3">
      <c r="A89" s="485">
        <v>8.0299999999999994</v>
      </c>
      <c r="B89" s="486" t="s">
        <v>145</v>
      </c>
      <c r="C89" s="493" t="s">
        <v>83</v>
      </c>
      <c r="D89" s="494">
        <v>107</v>
      </c>
      <c r="E89" s="489">
        <v>45843</v>
      </c>
      <c r="F89" s="489">
        <f t="shared" si="6"/>
        <v>4905201</v>
      </c>
      <c r="G89" s="536"/>
      <c r="H89" s="477"/>
      <c r="J89" s="449"/>
      <c r="K89" s="450"/>
      <c r="L89" s="450"/>
      <c r="M89" s="449"/>
      <c r="N89" s="449"/>
      <c r="O89" s="449"/>
    </row>
    <row r="90" spans="1:15" s="523" customFormat="1" ht="14.5" customHeight="1" outlineLevel="1" x14ac:dyDescent="0.3">
      <c r="A90" s="485">
        <v>8.0399999999999991</v>
      </c>
      <c r="B90" s="486" t="s">
        <v>146</v>
      </c>
      <c r="C90" s="493" t="s">
        <v>83</v>
      </c>
      <c r="D90" s="494">
        <v>850</v>
      </c>
      <c r="E90" s="489">
        <v>24408</v>
      </c>
      <c r="F90" s="489">
        <f t="shared" si="6"/>
        <v>20746800</v>
      </c>
      <c r="G90" s="536"/>
      <c r="H90" s="477"/>
      <c r="J90" s="449"/>
      <c r="K90" s="450"/>
      <c r="L90" s="450"/>
      <c r="M90" s="449"/>
      <c r="N90" s="449"/>
      <c r="O90" s="449"/>
    </row>
    <row r="91" spans="1:15" s="523" customFormat="1" ht="14.5" customHeight="1" outlineLevel="1" x14ac:dyDescent="0.3">
      <c r="A91" s="485">
        <v>8.0500000000000007</v>
      </c>
      <c r="B91" s="486" t="s">
        <v>147</v>
      </c>
      <c r="C91" s="493" t="s">
        <v>83</v>
      </c>
      <c r="D91" s="494">
        <v>365</v>
      </c>
      <c r="E91" s="489">
        <v>16212</v>
      </c>
      <c r="F91" s="489">
        <f t="shared" si="6"/>
        <v>5917380</v>
      </c>
      <c r="G91" s="536"/>
      <c r="H91" s="477"/>
      <c r="J91" s="449"/>
      <c r="K91" s="450"/>
      <c r="L91" s="450"/>
      <c r="M91" s="449"/>
      <c r="N91" s="449"/>
      <c r="O91" s="449"/>
    </row>
    <row r="92" spans="1:15" s="523" customFormat="1" ht="14.5" customHeight="1" outlineLevel="1" x14ac:dyDescent="0.3">
      <c r="A92" s="485">
        <v>8.06</v>
      </c>
      <c r="B92" s="486" t="s">
        <v>148</v>
      </c>
      <c r="C92" s="493" t="s">
        <v>83</v>
      </c>
      <c r="D92" s="494">
        <v>357</v>
      </c>
      <c r="E92" s="489">
        <v>16212</v>
      </c>
      <c r="F92" s="489">
        <f t="shared" si="6"/>
        <v>5787684</v>
      </c>
      <c r="G92" s="536"/>
      <c r="H92" s="477"/>
      <c r="J92" s="449"/>
      <c r="K92" s="450"/>
      <c r="L92" s="450"/>
      <c r="M92" s="449"/>
      <c r="N92" s="449"/>
      <c r="O92" s="449"/>
    </row>
    <row r="93" spans="1:15" s="523" customFormat="1" ht="14.5" customHeight="1" outlineLevel="1" x14ac:dyDescent="0.3">
      <c r="A93" s="485">
        <v>8.07</v>
      </c>
      <c r="B93" s="486" t="s">
        <v>360</v>
      </c>
      <c r="C93" s="493" t="s">
        <v>69</v>
      </c>
      <c r="D93" s="494">
        <v>0</v>
      </c>
      <c r="E93" s="489">
        <v>0</v>
      </c>
      <c r="F93" s="489">
        <f t="shared" si="6"/>
        <v>0</v>
      </c>
      <c r="G93" s="536"/>
      <c r="H93" s="477"/>
      <c r="J93" s="449"/>
      <c r="K93" s="450"/>
      <c r="L93" s="450"/>
      <c r="M93" s="449"/>
      <c r="N93" s="449"/>
      <c r="O93" s="449"/>
    </row>
    <row r="94" spans="1:15" s="523" customFormat="1" ht="14.5" customHeight="1" outlineLevel="1" x14ac:dyDescent="0.3">
      <c r="A94" s="485">
        <v>8.08</v>
      </c>
      <c r="B94" s="502" t="s">
        <v>150</v>
      </c>
      <c r="C94" s="525" t="s">
        <v>69</v>
      </c>
      <c r="D94" s="504">
        <v>1</v>
      </c>
      <c r="E94" s="489">
        <v>546859</v>
      </c>
      <c r="F94" s="489">
        <f t="shared" si="6"/>
        <v>546859</v>
      </c>
      <c r="G94" s="536"/>
      <c r="H94" s="477"/>
      <c r="J94" s="449"/>
      <c r="K94" s="450"/>
      <c r="L94" s="450"/>
      <c r="M94" s="449"/>
      <c r="N94" s="449"/>
      <c r="O94" s="449"/>
    </row>
    <row r="95" spans="1:15" ht="14.5" customHeight="1" x14ac:dyDescent="0.3">
      <c r="A95" s="472">
        <v>9</v>
      </c>
      <c r="B95" s="473" t="s">
        <v>151</v>
      </c>
      <c r="C95" s="474"/>
      <c r="D95" s="475"/>
      <c r="E95" s="475"/>
      <c r="F95" s="475"/>
      <c r="G95" s="476">
        <f>SUM(F96:F98)</f>
        <v>7973948</v>
      </c>
      <c r="H95" s="477">
        <f>+G95/$G$228</f>
        <v>8.4816164322780857E-3</v>
      </c>
      <c r="K95" s="450"/>
    </row>
    <row r="96" spans="1:15" ht="14.5" customHeight="1" outlineLevel="1" x14ac:dyDescent="0.3">
      <c r="A96" s="507">
        <v>9.01</v>
      </c>
      <c r="B96" s="540" t="s">
        <v>152</v>
      </c>
      <c r="C96" s="549" t="s">
        <v>69</v>
      </c>
      <c r="D96" s="542">
        <v>1</v>
      </c>
      <c r="E96" s="489">
        <v>3403852</v>
      </c>
      <c r="F96" s="489">
        <f>+E96*D96</f>
        <v>3403852</v>
      </c>
      <c r="G96" s="534"/>
      <c r="H96" s="550"/>
      <c r="J96" s="478"/>
      <c r="K96" s="450"/>
      <c r="L96" s="479"/>
      <c r="M96" s="478"/>
      <c r="N96" s="478"/>
      <c r="O96" s="478"/>
    </row>
    <row r="97" spans="1:15" ht="14.5" customHeight="1" outlineLevel="1" x14ac:dyDescent="0.3">
      <c r="A97" s="507">
        <v>9.02</v>
      </c>
      <c r="B97" s="540" t="s">
        <v>153</v>
      </c>
      <c r="C97" s="549" t="s">
        <v>69</v>
      </c>
      <c r="D97" s="542">
        <v>1</v>
      </c>
      <c r="E97" s="489">
        <v>3083650</v>
      </c>
      <c r="F97" s="489">
        <f>+E97*D97</f>
        <v>3083650</v>
      </c>
      <c r="G97" s="534"/>
      <c r="H97" s="550"/>
      <c r="J97" s="478"/>
      <c r="K97" s="450"/>
      <c r="L97" s="479"/>
      <c r="M97" s="478"/>
      <c r="N97" s="478"/>
      <c r="O97" s="478"/>
    </row>
    <row r="98" spans="1:15" ht="14.5" customHeight="1" outlineLevel="1" x14ac:dyDescent="0.3">
      <c r="A98" s="485">
        <v>9.0299999999999994</v>
      </c>
      <c r="B98" s="486" t="s">
        <v>361</v>
      </c>
      <c r="C98" s="551" t="s">
        <v>74</v>
      </c>
      <c r="D98" s="494">
        <v>114</v>
      </c>
      <c r="E98" s="489">
        <v>13039</v>
      </c>
      <c r="F98" s="489">
        <f>+E98*D98</f>
        <v>1486446</v>
      </c>
      <c r="G98" s="534"/>
      <c r="H98" s="550"/>
      <c r="K98" s="450"/>
    </row>
    <row r="99" spans="1:15" ht="14.5" customHeight="1" x14ac:dyDescent="0.3">
      <c r="A99" s="472">
        <v>10</v>
      </c>
      <c r="B99" s="473" t="s">
        <v>362</v>
      </c>
      <c r="C99" s="474"/>
      <c r="D99" s="475"/>
      <c r="E99" s="475"/>
      <c r="F99" s="475"/>
      <c r="G99" s="476">
        <f>SUM(F100:F102)</f>
        <v>6490071</v>
      </c>
      <c r="H99" s="477">
        <f>+G99/$G$228</f>
        <v>6.9032670943241E-3</v>
      </c>
      <c r="K99" s="450"/>
    </row>
    <row r="100" spans="1:15" ht="14.5" customHeight="1" outlineLevel="1" x14ac:dyDescent="0.3">
      <c r="A100" s="480">
        <v>10.01</v>
      </c>
      <c r="B100" s="481" t="s">
        <v>156</v>
      </c>
      <c r="C100" s="552" t="s">
        <v>69</v>
      </c>
      <c r="D100" s="483">
        <v>1</v>
      </c>
      <c r="E100" s="489">
        <v>2633974</v>
      </c>
      <c r="F100" s="489">
        <f>+E100*D100</f>
        <v>2633974</v>
      </c>
      <c r="H100" s="477"/>
      <c r="K100" s="450"/>
    </row>
    <row r="101" spans="1:15" ht="14.5" customHeight="1" outlineLevel="1" x14ac:dyDescent="0.3">
      <c r="A101" s="485">
        <v>10.02</v>
      </c>
      <c r="B101" s="486" t="s">
        <v>157</v>
      </c>
      <c r="C101" s="553" t="s">
        <v>69</v>
      </c>
      <c r="D101" s="488">
        <v>1</v>
      </c>
      <c r="E101" s="489">
        <v>2633974</v>
      </c>
      <c r="F101" s="489">
        <f>+E101*D101</f>
        <v>2633974</v>
      </c>
      <c r="G101" s="554"/>
      <c r="H101" s="477"/>
      <c r="J101" s="478"/>
      <c r="K101" s="450"/>
      <c r="L101" s="479"/>
      <c r="M101" s="478"/>
      <c r="N101" s="478"/>
      <c r="O101" s="478"/>
    </row>
    <row r="102" spans="1:15" s="523" customFormat="1" ht="14.5" customHeight="1" outlineLevel="1" x14ac:dyDescent="0.3">
      <c r="A102" s="524">
        <v>10.029999999999999</v>
      </c>
      <c r="B102" s="502" t="s">
        <v>363</v>
      </c>
      <c r="C102" s="525" t="s">
        <v>114</v>
      </c>
      <c r="D102" s="504">
        <v>7</v>
      </c>
      <c r="E102" s="489">
        <v>174589</v>
      </c>
      <c r="F102" s="489">
        <f>+E102*D102</f>
        <v>1222123</v>
      </c>
      <c r="G102" s="536"/>
      <c r="H102" s="477"/>
      <c r="J102" s="449"/>
      <c r="K102" s="450"/>
      <c r="L102" s="450"/>
      <c r="M102" s="449"/>
      <c r="N102" s="449"/>
      <c r="O102" s="449"/>
    </row>
    <row r="103" spans="1:15" ht="14.5" customHeight="1" x14ac:dyDescent="0.3">
      <c r="A103" s="472">
        <v>11</v>
      </c>
      <c r="B103" s="473" t="s">
        <v>364</v>
      </c>
      <c r="C103" s="474"/>
      <c r="D103" s="475"/>
      <c r="E103" s="475"/>
      <c r="F103" s="475"/>
      <c r="G103" s="476">
        <f>SUM(F104:F110)</f>
        <v>37065194</v>
      </c>
      <c r="H103" s="477">
        <f>+G103/$G$228</f>
        <v>3.9424982266748558E-2</v>
      </c>
      <c r="J103" s="478"/>
      <c r="K103" s="450"/>
      <c r="L103" s="479"/>
      <c r="M103" s="478"/>
      <c r="N103" s="478"/>
      <c r="O103" s="478"/>
    </row>
    <row r="104" spans="1:15" ht="14.5" customHeight="1" outlineLevel="1" x14ac:dyDescent="0.3">
      <c r="A104" s="480">
        <v>11.01</v>
      </c>
      <c r="B104" s="481" t="s">
        <v>365</v>
      </c>
      <c r="C104" s="555" t="s">
        <v>83</v>
      </c>
      <c r="D104" s="535">
        <v>101</v>
      </c>
      <c r="E104" s="489">
        <v>27090</v>
      </c>
      <c r="F104" s="489">
        <f t="shared" ref="F104:F110" si="7">+E104*D104</f>
        <v>2736090</v>
      </c>
      <c r="G104" s="526"/>
      <c r="H104" s="550"/>
      <c r="K104" s="450"/>
    </row>
    <row r="105" spans="1:15" ht="14.5" customHeight="1" outlineLevel="1" x14ac:dyDescent="0.3">
      <c r="A105" s="485">
        <v>11.02</v>
      </c>
      <c r="B105" s="486" t="s">
        <v>366</v>
      </c>
      <c r="C105" s="551" t="s">
        <v>83</v>
      </c>
      <c r="D105" s="494">
        <v>898</v>
      </c>
      <c r="E105" s="489">
        <v>27090</v>
      </c>
      <c r="F105" s="489">
        <f t="shared" si="7"/>
        <v>24326820</v>
      </c>
      <c r="G105" s="534"/>
      <c r="H105" s="550"/>
      <c r="K105" s="450"/>
    </row>
    <row r="106" spans="1:15" ht="14.5" customHeight="1" outlineLevel="1" x14ac:dyDescent="0.3">
      <c r="A106" s="485">
        <v>11.03</v>
      </c>
      <c r="B106" s="486" t="s">
        <v>367</v>
      </c>
      <c r="C106" s="551" t="s">
        <v>83</v>
      </c>
      <c r="D106" s="494">
        <v>88</v>
      </c>
      <c r="E106" s="489">
        <v>32396</v>
      </c>
      <c r="F106" s="489">
        <f t="shared" si="7"/>
        <v>2850848</v>
      </c>
      <c r="G106" s="534"/>
      <c r="H106" s="550"/>
      <c r="K106" s="450"/>
    </row>
    <row r="107" spans="1:15" ht="14.5" customHeight="1" outlineLevel="1" x14ac:dyDescent="0.3">
      <c r="A107" s="485">
        <v>11.04</v>
      </c>
      <c r="B107" s="556" t="s">
        <v>368</v>
      </c>
      <c r="C107" s="551" t="s">
        <v>83</v>
      </c>
      <c r="D107" s="494">
        <v>63</v>
      </c>
      <c r="E107" s="489">
        <v>27090</v>
      </c>
      <c r="F107" s="489">
        <f t="shared" si="7"/>
        <v>1706670</v>
      </c>
      <c r="G107" s="534"/>
      <c r="H107" s="550"/>
      <c r="K107" s="450"/>
    </row>
    <row r="108" spans="1:15" ht="14.5" customHeight="1" outlineLevel="1" x14ac:dyDescent="0.3">
      <c r="A108" s="485">
        <v>11.05</v>
      </c>
      <c r="B108" s="486" t="s">
        <v>369</v>
      </c>
      <c r="C108" s="551" t="s">
        <v>83</v>
      </c>
      <c r="D108" s="494">
        <v>25</v>
      </c>
      <c r="E108" s="489">
        <v>0</v>
      </c>
      <c r="F108" s="489">
        <f t="shared" si="7"/>
        <v>0</v>
      </c>
      <c r="G108" s="534"/>
      <c r="H108" s="550"/>
      <c r="K108" s="450"/>
    </row>
    <row r="109" spans="1:15" s="523" customFormat="1" ht="14.5" customHeight="1" outlineLevel="1" x14ac:dyDescent="0.3">
      <c r="A109" s="485">
        <v>11.06</v>
      </c>
      <c r="B109" s="486" t="s">
        <v>165</v>
      </c>
      <c r="C109" s="493" t="s">
        <v>83</v>
      </c>
      <c r="D109" s="494">
        <v>27</v>
      </c>
      <c r="E109" s="489">
        <v>21058</v>
      </c>
      <c r="F109" s="489">
        <f t="shared" si="7"/>
        <v>568566</v>
      </c>
      <c r="G109" s="536"/>
      <c r="H109" s="477"/>
      <c r="J109" s="478"/>
      <c r="K109" s="450"/>
      <c r="L109" s="479"/>
      <c r="M109" s="478"/>
      <c r="N109" s="478"/>
      <c r="O109" s="478"/>
    </row>
    <row r="110" spans="1:15" ht="14.5" customHeight="1" outlineLevel="1" x14ac:dyDescent="0.3">
      <c r="A110" s="485">
        <v>11.07</v>
      </c>
      <c r="B110" s="486" t="s">
        <v>370</v>
      </c>
      <c r="C110" s="551" t="s">
        <v>83</v>
      </c>
      <c r="D110" s="494">
        <v>180</v>
      </c>
      <c r="E110" s="489">
        <v>27090</v>
      </c>
      <c r="F110" s="489">
        <f t="shared" si="7"/>
        <v>4876200</v>
      </c>
      <c r="G110" s="526"/>
      <c r="H110" s="550"/>
      <c r="K110" s="450"/>
    </row>
    <row r="111" spans="1:15" ht="14.5" customHeight="1" x14ac:dyDescent="0.3">
      <c r="A111" s="472">
        <v>12</v>
      </c>
      <c r="B111" s="473" t="s">
        <v>371</v>
      </c>
      <c r="C111" s="474"/>
      <c r="D111" s="475"/>
      <c r="E111" s="475"/>
      <c r="F111" s="475"/>
      <c r="G111" s="476">
        <f>SUM(F112:F115)</f>
        <v>15472374</v>
      </c>
      <c r="H111" s="477">
        <f>+G111/$G$228</f>
        <v>1.6457436337025552E-2</v>
      </c>
      <c r="K111" s="450"/>
    </row>
    <row r="112" spans="1:15" ht="14.5" customHeight="1" outlineLevel="1" x14ac:dyDescent="0.3">
      <c r="A112" s="480">
        <v>12.01</v>
      </c>
      <c r="B112" s="481" t="s">
        <v>168</v>
      </c>
      <c r="C112" s="555" t="s">
        <v>74</v>
      </c>
      <c r="D112" s="535">
        <v>792</v>
      </c>
      <c r="E112" s="489">
        <v>13042</v>
      </c>
      <c r="F112" s="489">
        <f>+E112*D112</f>
        <v>10329264</v>
      </c>
      <c r="H112" s="477"/>
      <c r="K112" s="450"/>
    </row>
    <row r="113" spans="1:15" ht="14.5" customHeight="1" outlineLevel="1" x14ac:dyDescent="0.3">
      <c r="A113" s="507">
        <v>12.02</v>
      </c>
      <c r="B113" s="540" t="s">
        <v>372</v>
      </c>
      <c r="C113" s="549" t="s">
        <v>74</v>
      </c>
      <c r="D113" s="542">
        <v>282</v>
      </c>
      <c r="E113" s="489">
        <v>9023</v>
      </c>
      <c r="F113" s="489">
        <f>+E113*D113</f>
        <v>2544486</v>
      </c>
      <c r="H113" s="477"/>
      <c r="J113" s="478"/>
      <c r="K113" s="450"/>
      <c r="L113" s="479"/>
      <c r="M113" s="478"/>
      <c r="N113" s="478"/>
      <c r="O113" s="478"/>
    </row>
    <row r="114" spans="1:15" ht="14.5" customHeight="1" outlineLevel="1" x14ac:dyDescent="0.3">
      <c r="A114" s="507">
        <v>12.03</v>
      </c>
      <c r="B114" s="557" t="s">
        <v>373</v>
      </c>
      <c r="C114" s="549" t="s">
        <v>74</v>
      </c>
      <c r="D114" s="542">
        <v>263</v>
      </c>
      <c r="E114" s="489">
        <v>9023</v>
      </c>
      <c r="F114" s="489">
        <f>+E114*D114</f>
        <v>2373049</v>
      </c>
      <c r="H114" s="477"/>
      <c r="K114" s="450"/>
    </row>
    <row r="115" spans="1:15" ht="14.5" customHeight="1" outlineLevel="1" x14ac:dyDescent="0.3">
      <c r="A115" s="524">
        <v>12.04</v>
      </c>
      <c r="B115" s="502" t="s">
        <v>374</v>
      </c>
      <c r="C115" s="558" t="s">
        <v>74</v>
      </c>
      <c r="D115" s="504">
        <v>25</v>
      </c>
      <c r="E115" s="489">
        <v>9023</v>
      </c>
      <c r="F115" s="489">
        <f>+E115*D115</f>
        <v>225575</v>
      </c>
      <c r="H115" s="477"/>
      <c r="K115" s="450"/>
    </row>
    <row r="116" spans="1:15" ht="14.5" customHeight="1" x14ac:dyDescent="0.3">
      <c r="A116" s="472">
        <v>13</v>
      </c>
      <c r="B116" s="473" t="s">
        <v>375</v>
      </c>
      <c r="C116" s="474"/>
      <c r="D116" s="475"/>
      <c r="E116" s="475"/>
      <c r="F116" s="475"/>
      <c r="G116" s="476">
        <f>SUM(F117:F119)</f>
        <v>19999196</v>
      </c>
      <c r="H116" s="477">
        <f>+G116/$G$228</f>
        <v>2.1272462452219424E-2</v>
      </c>
      <c r="K116" s="450"/>
    </row>
    <row r="117" spans="1:15" ht="14.5" customHeight="1" outlineLevel="1" x14ac:dyDescent="0.3">
      <c r="A117" s="496">
        <v>13.01</v>
      </c>
      <c r="B117" s="556" t="s">
        <v>376</v>
      </c>
      <c r="C117" s="553" t="s">
        <v>83</v>
      </c>
      <c r="D117" s="488">
        <v>493</v>
      </c>
      <c r="E117" s="489">
        <v>32396</v>
      </c>
      <c r="F117" s="489">
        <f>+E117*D117</f>
        <v>15971228</v>
      </c>
      <c r="H117" s="477"/>
      <c r="K117" s="450"/>
    </row>
    <row r="118" spans="1:15" ht="14.5" customHeight="1" outlineLevel="1" x14ac:dyDescent="0.3">
      <c r="A118" s="496">
        <v>13.02</v>
      </c>
      <c r="B118" s="556" t="s">
        <v>377</v>
      </c>
      <c r="C118" s="553" t="s">
        <v>83</v>
      </c>
      <c r="D118" s="488">
        <v>82</v>
      </c>
      <c r="E118" s="489">
        <v>32396</v>
      </c>
      <c r="F118" s="489">
        <f>+E118*D118</f>
        <v>2656472</v>
      </c>
      <c r="H118" s="477"/>
      <c r="J118" s="478"/>
      <c r="K118" s="450"/>
      <c r="L118" s="479"/>
      <c r="M118" s="478"/>
      <c r="N118" s="478"/>
      <c r="O118" s="478"/>
    </row>
    <row r="119" spans="1:15" ht="14.5" customHeight="1" outlineLevel="1" x14ac:dyDescent="0.3">
      <c r="A119" s="496">
        <v>13.03</v>
      </c>
      <c r="B119" s="502" t="s">
        <v>378</v>
      </c>
      <c r="C119" s="559" t="s">
        <v>74</v>
      </c>
      <c r="D119" s="545">
        <v>152</v>
      </c>
      <c r="E119" s="517">
        <v>9023</v>
      </c>
      <c r="F119" s="517">
        <f>+E119*D119</f>
        <v>1371496</v>
      </c>
      <c r="H119" s="477"/>
      <c r="K119" s="450"/>
    </row>
    <row r="120" spans="1:15" s="523" customFormat="1" ht="14.5" customHeight="1" x14ac:dyDescent="0.3">
      <c r="A120" s="472">
        <v>14</v>
      </c>
      <c r="B120" s="473" t="s">
        <v>176</v>
      </c>
      <c r="C120" s="474"/>
      <c r="D120" s="475"/>
      <c r="E120" s="475"/>
      <c r="F120" s="475"/>
      <c r="G120" s="476">
        <f>SUM(F121:F128)</f>
        <v>47824730</v>
      </c>
      <c r="H120" s="477">
        <f>+G120/$G$228</f>
        <v>5.0869533615877947E-2</v>
      </c>
      <c r="J120" s="449"/>
      <c r="K120" s="450"/>
      <c r="L120" s="450"/>
      <c r="M120" s="449"/>
      <c r="N120" s="449"/>
      <c r="O120" s="449"/>
    </row>
    <row r="121" spans="1:15" ht="14.5" customHeight="1" outlineLevel="1" x14ac:dyDescent="0.3">
      <c r="A121" s="480">
        <f>+A120+0.01</f>
        <v>14.01</v>
      </c>
      <c r="B121" s="481" t="s">
        <v>177</v>
      </c>
      <c r="C121" s="552" t="s">
        <v>83</v>
      </c>
      <c r="D121" s="483">
        <v>146</v>
      </c>
      <c r="E121" s="489">
        <v>38605</v>
      </c>
      <c r="F121" s="489">
        <f t="shared" ref="F121:F128" si="8">+E121*D121</f>
        <v>5636330</v>
      </c>
      <c r="H121" s="477"/>
      <c r="K121" s="450"/>
    </row>
    <row r="122" spans="1:15" ht="14.5" customHeight="1" outlineLevel="1" x14ac:dyDescent="0.3">
      <c r="A122" s="485">
        <v>14.02</v>
      </c>
      <c r="B122" s="486" t="s">
        <v>178</v>
      </c>
      <c r="C122" s="553" t="s">
        <v>83</v>
      </c>
      <c r="D122" s="488">
        <v>89</v>
      </c>
      <c r="E122" s="489">
        <v>44142</v>
      </c>
      <c r="F122" s="489">
        <f t="shared" si="8"/>
        <v>3928638</v>
      </c>
      <c r="H122" s="477"/>
      <c r="K122" s="450"/>
    </row>
    <row r="123" spans="1:15" ht="14.5" customHeight="1" outlineLevel="1" x14ac:dyDescent="0.3">
      <c r="A123" s="485">
        <v>14.03</v>
      </c>
      <c r="B123" s="486" t="s">
        <v>179</v>
      </c>
      <c r="C123" s="553" t="s">
        <v>74</v>
      </c>
      <c r="D123" s="488">
        <v>62</v>
      </c>
      <c r="E123" s="489">
        <v>48707</v>
      </c>
      <c r="F123" s="489">
        <f t="shared" si="8"/>
        <v>3019834</v>
      </c>
      <c r="H123" s="477"/>
      <c r="K123" s="450"/>
    </row>
    <row r="124" spans="1:15" ht="14.5" customHeight="1" outlineLevel="1" x14ac:dyDescent="0.3">
      <c r="A124" s="485">
        <v>14.04</v>
      </c>
      <c r="B124" s="486" t="s">
        <v>180</v>
      </c>
      <c r="C124" s="553" t="s">
        <v>74</v>
      </c>
      <c r="D124" s="488">
        <v>689</v>
      </c>
      <c r="E124" s="489">
        <v>10102</v>
      </c>
      <c r="F124" s="489">
        <f t="shared" si="8"/>
        <v>6960278</v>
      </c>
      <c r="H124" s="477"/>
      <c r="K124" s="450"/>
    </row>
    <row r="125" spans="1:15" s="523" customFormat="1" ht="14.5" customHeight="1" outlineLevel="1" x14ac:dyDescent="0.3">
      <c r="A125" s="485">
        <v>14.05</v>
      </c>
      <c r="B125" s="486" t="s">
        <v>181</v>
      </c>
      <c r="C125" s="553" t="s">
        <v>83</v>
      </c>
      <c r="D125" s="488">
        <v>668</v>
      </c>
      <c r="E125" s="489">
        <v>25840</v>
      </c>
      <c r="F125" s="489">
        <f t="shared" si="8"/>
        <v>17261120</v>
      </c>
      <c r="G125" s="536"/>
      <c r="H125" s="477"/>
      <c r="J125" s="449"/>
      <c r="K125" s="450"/>
      <c r="L125" s="450"/>
      <c r="M125" s="449"/>
      <c r="N125" s="449"/>
      <c r="O125" s="449"/>
    </row>
    <row r="126" spans="1:15" s="523" customFormat="1" ht="14.5" customHeight="1" outlineLevel="1" x14ac:dyDescent="0.3">
      <c r="A126" s="485">
        <v>14.06</v>
      </c>
      <c r="B126" s="486" t="s">
        <v>182</v>
      </c>
      <c r="C126" s="553" t="s">
        <v>74</v>
      </c>
      <c r="D126" s="488">
        <v>446</v>
      </c>
      <c r="E126" s="489">
        <v>18098</v>
      </c>
      <c r="F126" s="489">
        <f t="shared" si="8"/>
        <v>8071708</v>
      </c>
      <c r="G126" s="536"/>
      <c r="H126" s="477"/>
      <c r="J126" s="478"/>
      <c r="K126" s="450"/>
      <c r="L126" s="479"/>
      <c r="M126" s="478"/>
      <c r="N126" s="478"/>
      <c r="O126" s="478"/>
    </row>
    <row r="127" spans="1:15" s="523" customFormat="1" ht="14.5" customHeight="1" outlineLevel="1" x14ac:dyDescent="0.3">
      <c r="A127" s="485">
        <v>14.07</v>
      </c>
      <c r="B127" s="486" t="s">
        <v>139</v>
      </c>
      <c r="C127" s="560" t="s">
        <v>74</v>
      </c>
      <c r="D127" s="561">
        <v>2</v>
      </c>
      <c r="E127" s="489">
        <v>17831</v>
      </c>
      <c r="F127" s="489">
        <f t="shared" si="8"/>
        <v>35662</v>
      </c>
      <c r="G127" s="536"/>
      <c r="H127" s="477"/>
      <c r="J127" s="478"/>
      <c r="K127" s="450"/>
      <c r="L127" s="479"/>
      <c r="M127" s="478"/>
      <c r="N127" s="478"/>
      <c r="O127" s="478"/>
    </row>
    <row r="128" spans="1:15" ht="14.5" customHeight="1" outlineLevel="1" x14ac:dyDescent="0.3">
      <c r="A128" s="485">
        <v>14.08</v>
      </c>
      <c r="B128" s="502" t="s">
        <v>183</v>
      </c>
      <c r="C128" s="559" t="s">
        <v>83</v>
      </c>
      <c r="D128" s="545">
        <v>370</v>
      </c>
      <c r="E128" s="489">
        <v>7868</v>
      </c>
      <c r="F128" s="489">
        <f t="shared" si="8"/>
        <v>2911160</v>
      </c>
      <c r="H128" s="477"/>
      <c r="J128" s="478"/>
      <c r="K128" s="450"/>
      <c r="L128" s="479"/>
      <c r="M128" s="478"/>
      <c r="N128" s="478"/>
      <c r="O128" s="478"/>
    </row>
    <row r="129" spans="1:15" ht="14.5" customHeight="1" x14ac:dyDescent="0.3">
      <c r="A129" s="472">
        <v>15</v>
      </c>
      <c r="B129" s="473" t="s">
        <v>184</v>
      </c>
      <c r="C129" s="474"/>
      <c r="D129" s="475"/>
      <c r="E129" s="475"/>
      <c r="F129" s="475"/>
      <c r="G129" s="476">
        <f>SUM(F130:F141)</f>
        <v>123253570</v>
      </c>
      <c r="H129" s="477">
        <f>+G129/$G$228</f>
        <v>0.13110061724116301</v>
      </c>
      <c r="J129" s="478"/>
      <c r="K129" s="450"/>
      <c r="L129" s="479"/>
      <c r="M129" s="478"/>
      <c r="N129" s="478"/>
      <c r="O129" s="478"/>
    </row>
    <row r="130" spans="1:15" ht="14.5" customHeight="1" outlineLevel="1" x14ac:dyDescent="0.3">
      <c r="A130" s="485">
        <v>15.01</v>
      </c>
      <c r="B130" s="486" t="s">
        <v>379</v>
      </c>
      <c r="C130" s="551" t="s">
        <v>83</v>
      </c>
      <c r="D130" s="494">
        <v>2180</v>
      </c>
      <c r="E130" s="489">
        <v>10437</v>
      </c>
      <c r="F130" s="489">
        <f t="shared" ref="F130:F141" si="9">+E130*D130</f>
        <v>22752660</v>
      </c>
      <c r="H130" s="477"/>
      <c r="J130" s="478"/>
      <c r="K130" s="450"/>
      <c r="L130" s="479"/>
      <c r="M130" s="478"/>
      <c r="N130" s="478"/>
      <c r="O130" s="478"/>
    </row>
    <row r="131" spans="1:15" ht="14.5" customHeight="1" outlineLevel="1" x14ac:dyDescent="0.3">
      <c r="A131" s="485">
        <v>15.02</v>
      </c>
      <c r="B131" s="486" t="s">
        <v>380</v>
      </c>
      <c r="C131" s="551" t="s">
        <v>83</v>
      </c>
      <c r="D131" s="494">
        <v>525</v>
      </c>
      <c r="E131" s="489">
        <v>8838</v>
      </c>
      <c r="F131" s="489">
        <f t="shared" si="9"/>
        <v>4639950</v>
      </c>
      <c r="H131" s="477"/>
      <c r="J131" s="478"/>
      <c r="K131" s="450"/>
      <c r="L131" s="479"/>
      <c r="M131" s="478"/>
      <c r="N131" s="478"/>
      <c r="O131" s="478"/>
    </row>
    <row r="132" spans="1:15" ht="14.5" customHeight="1" outlineLevel="1" x14ac:dyDescent="0.3">
      <c r="A132" s="485">
        <v>15.03</v>
      </c>
      <c r="B132" s="556" t="s">
        <v>381</v>
      </c>
      <c r="C132" s="551" t="s">
        <v>83</v>
      </c>
      <c r="D132" s="494">
        <v>136</v>
      </c>
      <c r="E132" s="489">
        <v>19014</v>
      </c>
      <c r="F132" s="489">
        <f t="shared" si="9"/>
        <v>2585904</v>
      </c>
      <c r="H132" s="477"/>
      <c r="J132" s="478"/>
      <c r="K132" s="450"/>
      <c r="L132" s="479"/>
      <c r="M132" s="478"/>
      <c r="N132" s="478"/>
      <c r="O132" s="478"/>
    </row>
    <row r="133" spans="1:15" ht="14.5" customHeight="1" outlineLevel="1" x14ac:dyDescent="0.3">
      <c r="A133" s="485">
        <v>15.04</v>
      </c>
      <c r="B133" s="486" t="s">
        <v>382</v>
      </c>
      <c r="C133" s="551" t="s">
        <v>83</v>
      </c>
      <c r="D133" s="494">
        <v>296</v>
      </c>
      <c r="E133" s="489">
        <v>19014</v>
      </c>
      <c r="F133" s="489">
        <f t="shared" si="9"/>
        <v>5628144</v>
      </c>
      <c r="H133" s="477"/>
      <c r="K133" s="450"/>
    </row>
    <row r="134" spans="1:15" ht="14.5" customHeight="1" outlineLevel="1" x14ac:dyDescent="0.3">
      <c r="A134" s="485">
        <v>15.05</v>
      </c>
      <c r="B134" s="556" t="s">
        <v>383</v>
      </c>
      <c r="C134" s="551" t="s">
        <v>83</v>
      </c>
      <c r="D134" s="494">
        <v>668</v>
      </c>
      <c r="E134" s="489">
        <v>10437</v>
      </c>
      <c r="F134" s="489">
        <f t="shared" si="9"/>
        <v>6971916</v>
      </c>
      <c r="H134" s="477"/>
      <c r="K134" s="450"/>
    </row>
    <row r="135" spans="1:15" ht="14.5" customHeight="1" outlineLevel="1" x14ac:dyDescent="0.3">
      <c r="A135" s="485">
        <v>15.06</v>
      </c>
      <c r="B135" s="486" t="s">
        <v>384</v>
      </c>
      <c r="C135" s="551" t="s">
        <v>83</v>
      </c>
      <c r="D135" s="494">
        <v>281</v>
      </c>
      <c r="E135" s="489">
        <v>8838</v>
      </c>
      <c r="F135" s="489">
        <f t="shared" si="9"/>
        <v>2483478</v>
      </c>
      <c r="H135" s="477"/>
      <c r="K135" s="450"/>
    </row>
    <row r="136" spans="1:15" ht="14.5" customHeight="1" outlineLevel="1" x14ac:dyDescent="0.3">
      <c r="A136" s="485">
        <v>15.07</v>
      </c>
      <c r="B136" s="486" t="s">
        <v>385</v>
      </c>
      <c r="C136" s="551" t="s">
        <v>83</v>
      </c>
      <c r="D136" s="494">
        <v>752</v>
      </c>
      <c r="E136" s="489">
        <v>26421</v>
      </c>
      <c r="F136" s="489">
        <f t="shared" si="9"/>
        <v>19868592</v>
      </c>
      <c r="H136" s="477"/>
      <c r="K136" s="450"/>
    </row>
    <row r="137" spans="1:15" ht="14.5" customHeight="1" outlineLevel="1" x14ac:dyDescent="0.3">
      <c r="A137" s="485">
        <v>15.08</v>
      </c>
      <c r="B137" s="556" t="s">
        <v>386</v>
      </c>
      <c r="C137" s="551" t="s">
        <v>83</v>
      </c>
      <c r="D137" s="494">
        <v>433</v>
      </c>
      <c r="E137" s="489">
        <v>33123</v>
      </c>
      <c r="F137" s="489">
        <f t="shared" si="9"/>
        <v>14342259</v>
      </c>
      <c r="H137" s="477"/>
      <c r="K137" s="450"/>
    </row>
    <row r="138" spans="1:15" ht="14.5" customHeight="1" outlineLevel="1" x14ac:dyDescent="0.3">
      <c r="A138" s="485">
        <v>15.09</v>
      </c>
      <c r="B138" s="486" t="s">
        <v>387</v>
      </c>
      <c r="C138" s="551" t="s">
        <v>83</v>
      </c>
      <c r="D138" s="494">
        <v>219</v>
      </c>
      <c r="E138" s="489">
        <v>28893</v>
      </c>
      <c r="F138" s="489">
        <f t="shared" si="9"/>
        <v>6327567</v>
      </c>
      <c r="H138" s="477"/>
      <c r="K138" s="450"/>
    </row>
    <row r="139" spans="1:15" ht="14.5" customHeight="1" outlineLevel="1" x14ac:dyDescent="0.3">
      <c r="A139" s="485">
        <v>15.1</v>
      </c>
      <c r="B139" s="556" t="s">
        <v>388</v>
      </c>
      <c r="C139" s="551" t="s">
        <v>83</v>
      </c>
      <c r="D139" s="494">
        <v>861</v>
      </c>
      <c r="E139" s="489">
        <v>17544</v>
      </c>
      <c r="F139" s="489">
        <f t="shared" si="9"/>
        <v>15105384</v>
      </c>
      <c r="H139" s="477"/>
      <c r="K139" s="450"/>
    </row>
    <row r="140" spans="1:15" ht="14.5" customHeight="1" outlineLevel="1" x14ac:dyDescent="0.3">
      <c r="A140" s="485">
        <v>15.11</v>
      </c>
      <c r="B140" s="486" t="s">
        <v>195</v>
      </c>
      <c r="C140" s="551" t="s">
        <v>71</v>
      </c>
      <c r="D140" s="494">
        <v>88</v>
      </c>
      <c r="E140" s="489">
        <v>147316</v>
      </c>
      <c r="F140" s="489">
        <f t="shared" si="9"/>
        <v>12963808</v>
      </c>
      <c r="H140" s="477"/>
      <c r="J140" s="478"/>
      <c r="K140" s="450"/>
      <c r="L140" s="479"/>
      <c r="M140" s="478"/>
      <c r="N140" s="478"/>
      <c r="O140" s="478"/>
    </row>
    <row r="141" spans="1:15" ht="26" outlineLevel="1" x14ac:dyDescent="0.3">
      <c r="A141" s="485">
        <v>15.12</v>
      </c>
      <c r="B141" s="562" t="s">
        <v>389</v>
      </c>
      <c r="C141" s="558" t="s">
        <v>69</v>
      </c>
      <c r="D141" s="504">
        <v>1</v>
      </c>
      <c r="E141" s="489">
        <v>9583908</v>
      </c>
      <c r="F141" s="489">
        <f t="shared" si="9"/>
        <v>9583908</v>
      </c>
      <c r="H141" s="477"/>
      <c r="J141" s="478"/>
      <c r="K141" s="450"/>
      <c r="L141" s="479"/>
      <c r="M141" s="478"/>
      <c r="N141" s="478"/>
      <c r="O141" s="478"/>
    </row>
    <row r="142" spans="1:15" ht="14.5" customHeight="1" x14ac:dyDescent="0.3">
      <c r="A142" s="472">
        <v>16</v>
      </c>
      <c r="B142" s="563" t="s">
        <v>390</v>
      </c>
      <c r="C142" s="474"/>
      <c r="D142" s="475"/>
      <c r="E142" s="475"/>
      <c r="F142" s="475"/>
      <c r="G142" s="476">
        <f>SUM(F143:F143)</f>
        <v>0</v>
      </c>
      <c r="H142" s="477">
        <f>+G142/$G$228</f>
        <v>0</v>
      </c>
      <c r="J142" s="478"/>
      <c r="K142" s="450"/>
      <c r="L142" s="479"/>
      <c r="M142" s="478"/>
      <c r="N142" s="478"/>
      <c r="O142" s="478"/>
    </row>
    <row r="143" spans="1:15" s="523" customFormat="1" ht="14.5" customHeight="1" outlineLevel="1" x14ac:dyDescent="0.3">
      <c r="A143" s="480"/>
      <c r="B143" s="481"/>
      <c r="C143" s="519"/>
      <c r="D143" s="535"/>
      <c r="E143" s="520">
        <v>0</v>
      </c>
      <c r="F143" s="521">
        <f>+E143*D143</f>
        <v>0</v>
      </c>
      <c r="G143" s="526"/>
      <c r="H143" s="550"/>
      <c r="J143" s="478"/>
      <c r="K143" s="450"/>
      <c r="L143" s="479"/>
      <c r="M143" s="478"/>
      <c r="N143" s="478"/>
      <c r="O143" s="478"/>
    </row>
    <row r="144" spans="1:15" s="523" customFormat="1" ht="14.5" customHeight="1" x14ac:dyDescent="0.3">
      <c r="A144" s="472">
        <v>17</v>
      </c>
      <c r="B144" s="473" t="s">
        <v>391</v>
      </c>
      <c r="C144" s="474"/>
      <c r="D144" s="475"/>
      <c r="E144" s="475"/>
      <c r="F144" s="475"/>
      <c r="G144" s="476">
        <f>SUM(F145:F148)</f>
        <v>12294387</v>
      </c>
      <c r="H144" s="477">
        <f>+G144/$G$228</f>
        <v>1.3077119991751398E-2</v>
      </c>
      <c r="J144" s="478"/>
      <c r="K144" s="450"/>
      <c r="L144" s="479"/>
      <c r="M144" s="478"/>
      <c r="N144" s="478"/>
      <c r="O144" s="478"/>
    </row>
    <row r="145" spans="1:15" s="523" customFormat="1" ht="14.5" customHeight="1" outlineLevel="1" x14ac:dyDescent="0.3">
      <c r="A145" s="480">
        <f>+A144+0.01</f>
        <v>17.010000000000002</v>
      </c>
      <c r="B145" s="564" t="s">
        <v>392</v>
      </c>
      <c r="C145" s="565" t="s">
        <v>114</v>
      </c>
      <c r="D145" s="494">
        <v>43</v>
      </c>
      <c r="E145" s="484">
        <v>88275</v>
      </c>
      <c r="F145" s="484">
        <f>+E145*D145</f>
        <v>3795825</v>
      </c>
      <c r="G145" s="536"/>
      <c r="H145" s="477"/>
      <c r="J145" s="478"/>
      <c r="K145" s="450"/>
      <c r="L145" s="479"/>
      <c r="M145" s="478"/>
      <c r="N145" s="478"/>
      <c r="O145" s="478"/>
    </row>
    <row r="146" spans="1:15" s="523" customFormat="1" ht="14.5" customHeight="1" outlineLevel="1" x14ac:dyDescent="0.3">
      <c r="A146" s="485">
        <v>17.02</v>
      </c>
      <c r="B146" s="566" t="s">
        <v>393</v>
      </c>
      <c r="C146" s="567" t="s">
        <v>114</v>
      </c>
      <c r="D146" s="494">
        <v>38</v>
      </c>
      <c r="E146" s="489">
        <v>88275</v>
      </c>
      <c r="F146" s="489">
        <f>+E146*D146</f>
        <v>3354450</v>
      </c>
      <c r="G146" s="536"/>
      <c r="H146" s="477"/>
      <c r="J146" s="449"/>
      <c r="K146" s="450"/>
      <c r="L146" s="450"/>
      <c r="M146" s="449"/>
      <c r="N146" s="450"/>
      <c r="O146" s="450"/>
    </row>
    <row r="147" spans="1:15" s="523" customFormat="1" ht="14.5" customHeight="1" outlineLevel="1" x14ac:dyDescent="0.3">
      <c r="A147" s="485">
        <v>17.03</v>
      </c>
      <c r="B147" s="566" t="s">
        <v>394</v>
      </c>
      <c r="C147" s="567" t="s">
        <v>114</v>
      </c>
      <c r="D147" s="494">
        <v>72</v>
      </c>
      <c r="E147" s="489">
        <v>57076</v>
      </c>
      <c r="F147" s="489">
        <f>+E147*D147</f>
        <v>4109472</v>
      </c>
      <c r="G147" s="536"/>
      <c r="H147" s="477"/>
      <c r="J147" s="449"/>
      <c r="K147" s="450"/>
      <c r="L147" s="450"/>
      <c r="M147" s="449"/>
      <c r="N147" s="450"/>
      <c r="O147" s="450"/>
    </row>
    <row r="148" spans="1:15" s="523" customFormat="1" ht="14.5" customHeight="1" outlineLevel="1" x14ac:dyDescent="0.3">
      <c r="A148" s="485">
        <v>17.04</v>
      </c>
      <c r="B148" s="502" t="s">
        <v>395</v>
      </c>
      <c r="C148" s="525" t="s">
        <v>114</v>
      </c>
      <c r="D148" s="504">
        <v>8</v>
      </c>
      <c r="E148" s="489">
        <v>129330</v>
      </c>
      <c r="F148" s="489">
        <f>+E148*D148</f>
        <v>1034640</v>
      </c>
      <c r="G148" s="536"/>
      <c r="H148" s="477"/>
      <c r="J148" s="449"/>
      <c r="K148" s="450"/>
      <c r="L148" s="450"/>
      <c r="M148" s="449"/>
      <c r="N148" s="450"/>
      <c r="O148" s="450"/>
    </row>
    <row r="149" spans="1:15" ht="14.5" customHeight="1" x14ac:dyDescent="0.3">
      <c r="A149" s="472">
        <v>18</v>
      </c>
      <c r="B149" s="473" t="s">
        <v>203</v>
      </c>
      <c r="C149" s="474"/>
      <c r="D149" s="475"/>
      <c r="E149" s="475"/>
      <c r="F149" s="475"/>
      <c r="G149" s="476">
        <f>SUM(F150:F176)</f>
        <v>137114765</v>
      </c>
      <c r="H149" s="477">
        <f>+G149/$G$228</f>
        <v>0.14584429744612684</v>
      </c>
      <c r="K149" s="450"/>
      <c r="N149" s="450"/>
      <c r="O149" s="450"/>
    </row>
    <row r="150" spans="1:15" ht="14.5" customHeight="1" outlineLevel="1" x14ac:dyDescent="0.3">
      <c r="A150" s="568">
        <v>18.010000000000002</v>
      </c>
      <c r="B150" s="569" t="s">
        <v>209</v>
      </c>
      <c r="C150" s="570" t="s">
        <v>114</v>
      </c>
      <c r="D150" s="571">
        <v>222</v>
      </c>
      <c r="E150" s="484">
        <v>95330</v>
      </c>
      <c r="F150" s="484">
        <f t="shared" ref="F150:F176" si="10">+E150*D150</f>
        <v>21163260</v>
      </c>
      <c r="H150" s="477"/>
      <c r="K150" s="450"/>
      <c r="N150" s="450"/>
      <c r="O150" s="450"/>
    </row>
    <row r="151" spans="1:15" ht="14.5" customHeight="1" outlineLevel="1" x14ac:dyDescent="0.3">
      <c r="A151" s="572">
        <v>18.02</v>
      </c>
      <c r="B151" s="573" t="s">
        <v>210</v>
      </c>
      <c r="C151" s="574" t="s">
        <v>114</v>
      </c>
      <c r="D151" s="575">
        <v>67</v>
      </c>
      <c r="E151" s="489">
        <v>93718</v>
      </c>
      <c r="F151" s="489">
        <f t="shared" si="10"/>
        <v>6279106</v>
      </c>
      <c r="H151" s="477"/>
      <c r="K151" s="450"/>
      <c r="N151" s="450"/>
      <c r="O151" s="450"/>
    </row>
    <row r="152" spans="1:15" ht="14.5" customHeight="1" outlineLevel="1" x14ac:dyDescent="0.3">
      <c r="A152" s="572">
        <v>18.03</v>
      </c>
      <c r="B152" s="573" t="s">
        <v>211</v>
      </c>
      <c r="C152" s="574" t="s">
        <v>114</v>
      </c>
      <c r="D152" s="575">
        <v>23</v>
      </c>
      <c r="E152" s="489">
        <v>93718</v>
      </c>
      <c r="F152" s="489">
        <f t="shared" si="10"/>
        <v>2155514</v>
      </c>
      <c r="H152" s="477"/>
      <c r="K152" s="450"/>
      <c r="N152" s="450"/>
      <c r="O152" s="450"/>
    </row>
    <row r="153" spans="1:15" ht="14.5" customHeight="1" outlineLevel="1" x14ac:dyDescent="0.3">
      <c r="A153" s="572">
        <v>18.04</v>
      </c>
      <c r="B153" s="573" t="s">
        <v>212</v>
      </c>
      <c r="C153" s="574" t="s">
        <v>114</v>
      </c>
      <c r="D153" s="575">
        <v>11</v>
      </c>
      <c r="E153" s="489">
        <v>93718</v>
      </c>
      <c r="F153" s="489">
        <f t="shared" si="10"/>
        <v>1030898</v>
      </c>
      <c r="H153" s="477"/>
      <c r="K153" s="450"/>
      <c r="N153" s="450"/>
      <c r="O153" s="450"/>
    </row>
    <row r="154" spans="1:15" ht="14.5" customHeight="1" outlineLevel="1" x14ac:dyDescent="0.3">
      <c r="A154" s="572">
        <v>18.05</v>
      </c>
      <c r="B154" s="573" t="s">
        <v>213</v>
      </c>
      <c r="C154" s="574" t="s">
        <v>114</v>
      </c>
      <c r="D154" s="575">
        <v>313</v>
      </c>
      <c r="E154" s="489">
        <v>91393</v>
      </c>
      <c r="F154" s="489">
        <f t="shared" si="10"/>
        <v>28606009</v>
      </c>
      <c r="H154" s="477"/>
      <c r="K154" s="450"/>
      <c r="N154" s="450"/>
      <c r="O154" s="450"/>
    </row>
    <row r="155" spans="1:15" ht="14.5" customHeight="1" outlineLevel="1" x14ac:dyDescent="0.3">
      <c r="A155" s="572">
        <v>18.059999999999999</v>
      </c>
      <c r="B155" s="573" t="s">
        <v>214</v>
      </c>
      <c r="C155" s="574" t="s">
        <v>114</v>
      </c>
      <c r="D155" s="575">
        <v>40</v>
      </c>
      <c r="E155" s="489">
        <v>116079</v>
      </c>
      <c r="F155" s="489">
        <f t="shared" si="10"/>
        <v>4643160</v>
      </c>
      <c r="H155" s="477"/>
      <c r="K155" s="450"/>
      <c r="N155" s="450"/>
      <c r="O155" s="450"/>
    </row>
    <row r="156" spans="1:15" ht="14.5" customHeight="1" outlineLevel="1" x14ac:dyDescent="0.3">
      <c r="A156" s="572">
        <v>18.07</v>
      </c>
      <c r="B156" s="573" t="s">
        <v>215</v>
      </c>
      <c r="C156" s="574" t="s">
        <v>114</v>
      </c>
      <c r="D156" s="575">
        <v>50</v>
      </c>
      <c r="E156" s="489">
        <v>116079</v>
      </c>
      <c r="F156" s="489">
        <f t="shared" si="10"/>
        <v>5803950</v>
      </c>
      <c r="H156" s="477"/>
      <c r="K156" s="450"/>
      <c r="N156" s="450"/>
      <c r="O156" s="450"/>
    </row>
    <row r="157" spans="1:15" ht="14.5" customHeight="1" outlineLevel="1" x14ac:dyDescent="0.3">
      <c r="A157" s="572">
        <v>18.079999999999998</v>
      </c>
      <c r="B157" s="573" t="s">
        <v>216</v>
      </c>
      <c r="C157" s="574" t="s">
        <v>114</v>
      </c>
      <c r="D157" s="575">
        <v>0</v>
      </c>
      <c r="E157" s="489">
        <v>91393</v>
      </c>
      <c r="F157" s="489">
        <f t="shared" si="10"/>
        <v>0</v>
      </c>
      <c r="H157" s="477"/>
      <c r="K157" s="450"/>
      <c r="N157" s="450"/>
      <c r="O157" s="450"/>
    </row>
    <row r="158" spans="1:15" ht="14.5" customHeight="1" outlineLevel="1" x14ac:dyDescent="0.3">
      <c r="A158" s="572">
        <v>18.09</v>
      </c>
      <c r="B158" s="573" t="s">
        <v>217</v>
      </c>
      <c r="C158" s="574" t="s">
        <v>114</v>
      </c>
      <c r="D158" s="575">
        <v>40</v>
      </c>
      <c r="E158" s="489">
        <v>59711</v>
      </c>
      <c r="F158" s="489">
        <f t="shared" si="10"/>
        <v>2388440</v>
      </c>
      <c r="H158" s="477"/>
      <c r="K158" s="450"/>
      <c r="N158" s="450"/>
      <c r="O158" s="450"/>
    </row>
    <row r="159" spans="1:15" ht="14.5" customHeight="1" outlineLevel="1" x14ac:dyDescent="0.3">
      <c r="A159" s="572">
        <v>18.100000000000001</v>
      </c>
      <c r="B159" s="573" t="s">
        <v>218</v>
      </c>
      <c r="C159" s="574" t="s">
        <v>114</v>
      </c>
      <c r="D159" s="575">
        <v>0</v>
      </c>
      <c r="E159" s="489">
        <v>59711</v>
      </c>
      <c r="F159" s="489">
        <f t="shared" si="10"/>
        <v>0</v>
      </c>
      <c r="H159" s="477"/>
      <c r="K159" s="450"/>
      <c r="N159" s="450"/>
      <c r="O159" s="450"/>
    </row>
    <row r="160" spans="1:15" ht="14.5" customHeight="1" outlineLevel="1" x14ac:dyDescent="0.3">
      <c r="A160" s="572">
        <v>18.11</v>
      </c>
      <c r="B160" s="573" t="s">
        <v>219</v>
      </c>
      <c r="C160" s="574" t="s">
        <v>114</v>
      </c>
      <c r="D160" s="575">
        <v>1</v>
      </c>
      <c r="E160" s="489">
        <v>2538008</v>
      </c>
      <c r="F160" s="489">
        <f t="shared" si="10"/>
        <v>2538008</v>
      </c>
      <c r="H160" s="477"/>
      <c r="K160" s="450"/>
      <c r="N160" s="450"/>
      <c r="O160" s="450"/>
    </row>
    <row r="161" spans="1:15" ht="14.5" customHeight="1" outlineLevel="1" x14ac:dyDescent="0.3">
      <c r="A161" s="572">
        <v>18.12</v>
      </c>
      <c r="B161" s="573" t="s">
        <v>220</v>
      </c>
      <c r="C161" s="574" t="s">
        <v>114</v>
      </c>
      <c r="D161" s="575">
        <v>1</v>
      </c>
      <c r="E161" s="489">
        <v>1239198</v>
      </c>
      <c r="F161" s="489">
        <f t="shared" si="10"/>
        <v>1239198</v>
      </c>
      <c r="H161" s="477"/>
      <c r="K161" s="450"/>
      <c r="N161" s="450"/>
      <c r="O161" s="450"/>
    </row>
    <row r="162" spans="1:15" ht="14.5" customHeight="1" outlineLevel="1" x14ac:dyDescent="0.3">
      <c r="A162" s="572">
        <v>18.13</v>
      </c>
      <c r="B162" s="573" t="s">
        <v>221</v>
      </c>
      <c r="C162" s="574" t="s">
        <v>114</v>
      </c>
      <c r="D162" s="575">
        <v>1</v>
      </c>
      <c r="E162" s="489">
        <v>799085</v>
      </c>
      <c r="F162" s="489">
        <f t="shared" si="10"/>
        <v>799085</v>
      </c>
      <c r="H162" s="477"/>
      <c r="K162" s="450"/>
      <c r="N162" s="450"/>
      <c r="O162" s="450"/>
    </row>
    <row r="163" spans="1:15" ht="14.5" customHeight="1" outlineLevel="1" x14ac:dyDescent="0.3">
      <c r="A163" s="572">
        <v>18.14</v>
      </c>
      <c r="B163" s="573" t="s">
        <v>222</v>
      </c>
      <c r="C163" s="574" t="s">
        <v>114</v>
      </c>
      <c r="D163" s="575">
        <v>1</v>
      </c>
      <c r="E163" s="489">
        <v>1091077</v>
      </c>
      <c r="F163" s="489">
        <f t="shared" si="10"/>
        <v>1091077</v>
      </c>
      <c r="H163" s="477"/>
      <c r="K163" s="450"/>
      <c r="N163" s="450"/>
      <c r="O163" s="450"/>
    </row>
    <row r="164" spans="1:15" ht="14.5" customHeight="1" outlineLevel="1" x14ac:dyDescent="0.3">
      <c r="A164" s="572">
        <v>18.149999999999999</v>
      </c>
      <c r="B164" s="511" t="s">
        <v>223</v>
      </c>
      <c r="C164" s="574" t="s">
        <v>114</v>
      </c>
      <c r="D164" s="575">
        <v>11</v>
      </c>
      <c r="E164" s="489">
        <v>586570</v>
      </c>
      <c r="F164" s="489">
        <f t="shared" si="10"/>
        <v>6452270</v>
      </c>
      <c r="H164" s="477"/>
      <c r="K164" s="450"/>
      <c r="N164" s="450"/>
      <c r="O164" s="450"/>
    </row>
    <row r="165" spans="1:15" ht="14.5" customHeight="1" outlineLevel="1" x14ac:dyDescent="0.3">
      <c r="A165" s="572">
        <v>18.16</v>
      </c>
      <c r="B165" s="573" t="s">
        <v>224</v>
      </c>
      <c r="C165" s="574" t="s">
        <v>114</v>
      </c>
      <c r="D165" s="575">
        <v>14</v>
      </c>
      <c r="E165" s="489">
        <v>689077</v>
      </c>
      <c r="F165" s="489">
        <f t="shared" si="10"/>
        <v>9647078</v>
      </c>
      <c r="H165" s="477"/>
      <c r="K165" s="450"/>
      <c r="N165" s="450"/>
      <c r="O165" s="450"/>
    </row>
    <row r="166" spans="1:15" ht="14.5" customHeight="1" outlineLevel="1" x14ac:dyDescent="0.3">
      <c r="A166" s="572">
        <v>18.170000000000002</v>
      </c>
      <c r="B166" s="573" t="s">
        <v>225</v>
      </c>
      <c r="C166" s="574" t="s">
        <v>69</v>
      </c>
      <c r="D166" s="575">
        <v>1</v>
      </c>
      <c r="E166" s="489">
        <v>14059125</v>
      </c>
      <c r="F166" s="489">
        <f t="shared" si="10"/>
        <v>14059125</v>
      </c>
      <c r="H166" s="477"/>
      <c r="K166" s="450"/>
      <c r="N166" s="450"/>
      <c r="O166" s="450"/>
    </row>
    <row r="167" spans="1:15" ht="14.5" customHeight="1" outlineLevel="1" x14ac:dyDescent="0.3">
      <c r="A167" s="572">
        <v>18.18</v>
      </c>
      <c r="B167" s="573" t="s">
        <v>226</v>
      </c>
      <c r="C167" s="574" t="s">
        <v>69</v>
      </c>
      <c r="D167" s="575">
        <v>1</v>
      </c>
      <c r="E167" s="489">
        <v>3485549</v>
      </c>
      <c r="F167" s="489">
        <f t="shared" si="10"/>
        <v>3485549</v>
      </c>
      <c r="H167" s="477"/>
      <c r="K167" s="450"/>
      <c r="N167" s="450"/>
      <c r="O167" s="450"/>
    </row>
    <row r="168" spans="1:15" ht="14.5" customHeight="1" outlineLevel="1" x14ac:dyDescent="0.3">
      <c r="A168" s="572">
        <v>18.190000000000001</v>
      </c>
      <c r="B168" s="573" t="s">
        <v>227</v>
      </c>
      <c r="C168" s="574" t="s">
        <v>69</v>
      </c>
      <c r="D168" s="575">
        <v>0</v>
      </c>
      <c r="E168" s="489">
        <v>0</v>
      </c>
      <c r="F168" s="489">
        <f t="shared" si="10"/>
        <v>0</v>
      </c>
      <c r="H168" s="477"/>
      <c r="K168" s="450"/>
      <c r="N168" s="450"/>
      <c r="O168" s="450"/>
    </row>
    <row r="169" spans="1:15" ht="14.5" customHeight="1" outlineLevel="1" x14ac:dyDescent="0.3">
      <c r="A169" s="572">
        <v>18.2</v>
      </c>
      <c r="B169" s="573" t="s">
        <v>396</v>
      </c>
      <c r="C169" s="574" t="s">
        <v>114</v>
      </c>
      <c r="D169" s="575">
        <v>119</v>
      </c>
      <c r="E169" s="489">
        <v>13184</v>
      </c>
      <c r="F169" s="489">
        <f t="shared" si="10"/>
        <v>1568896</v>
      </c>
      <c r="H169" s="477"/>
      <c r="K169" s="450"/>
      <c r="N169" s="450"/>
      <c r="O169" s="450"/>
    </row>
    <row r="170" spans="1:15" ht="14.5" customHeight="1" outlineLevel="1" x14ac:dyDescent="0.3">
      <c r="A170" s="572">
        <v>18.21</v>
      </c>
      <c r="B170" s="573" t="s">
        <v>397</v>
      </c>
      <c r="C170" s="574" t="s">
        <v>114</v>
      </c>
      <c r="D170" s="575">
        <v>16</v>
      </c>
      <c r="E170" s="489">
        <v>13184</v>
      </c>
      <c r="F170" s="489">
        <f t="shared" si="10"/>
        <v>210944</v>
      </c>
      <c r="H170" s="477"/>
      <c r="K170" s="450"/>
      <c r="N170" s="450"/>
      <c r="O170" s="450"/>
    </row>
    <row r="171" spans="1:15" ht="14.5" customHeight="1" outlineLevel="1" x14ac:dyDescent="0.3">
      <c r="A171" s="572">
        <v>18.22</v>
      </c>
      <c r="B171" s="573" t="s">
        <v>398</v>
      </c>
      <c r="C171" s="574" t="s">
        <v>114</v>
      </c>
      <c r="D171" s="575">
        <v>363</v>
      </c>
      <c r="E171" s="489">
        <v>13184</v>
      </c>
      <c r="F171" s="489">
        <f t="shared" si="10"/>
        <v>4785792</v>
      </c>
      <c r="H171" s="477"/>
      <c r="K171" s="450"/>
      <c r="N171" s="450"/>
      <c r="O171" s="450"/>
    </row>
    <row r="172" spans="1:15" ht="26" outlineLevel="1" x14ac:dyDescent="0.3">
      <c r="A172" s="572">
        <v>18.23</v>
      </c>
      <c r="B172" s="573" t="s">
        <v>399</v>
      </c>
      <c r="C172" s="574" t="s">
        <v>114</v>
      </c>
      <c r="D172" s="575">
        <v>119</v>
      </c>
      <c r="E172" s="489">
        <v>20231</v>
      </c>
      <c r="F172" s="489">
        <f t="shared" si="10"/>
        <v>2407489</v>
      </c>
      <c r="H172" s="477"/>
      <c r="K172" s="450"/>
      <c r="N172" s="450"/>
      <c r="O172" s="450"/>
    </row>
    <row r="173" spans="1:15" ht="14.5" customHeight="1" outlineLevel="1" x14ac:dyDescent="0.3">
      <c r="A173" s="572">
        <v>18.239999999999998</v>
      </c>
      <c r="B173" s="573" t="s">
        <v>400</v>
      </c>
      <c r="C173" s="574" t="s">
        <v>114</v>
      </c>
      <c r="D173" s="575">
        <v>25</v>
      </c>
      <c r="E173" s="489">
        <v>20231</v>
      </c>
      <c r="F173" s="489">
        <f t="shared" si="10"/>
        <v>505775</v>
      </c>
      <c r="H173" s="477"/>
      <c r="K173" s="450"/>
      <c r="N173" s="450"/>
      <c r="O173" s="450"/>
    </row>
    <row r="174" spans="1:15" ht="26" outlineLevel="1" x14ac:dyDescent="0.3">
      <c r="A174" s="572">
        <v>18.25</v>
      </c>
      <c r="B174" s="573" t="s">
        <v>233</v>
      </c>
      <c r="C174" s="574" t="s">
        <v>69</v>
      </c>
      <c r="D174" s="575">
        <v>1</v>
      </c>
      <c r="E174" s="489">
        <v>14090365</v>
      </c>
      <c r="F174" s="489">
        <f t="shared" si="10"/>
        <v>14090365</v>
      </c>
      <c r="H174" s="477"/>
      <c r="K174" s="450"/>
      <c r="N174" s="450"/>
      <c r="O174" s="450"/>
    </row>
    <row r="175" spans="1:15" ht="14.5" customHeight="1" outlineLevel="1" x14ac:dyDescent="0.3">
      <c r="A175" s="572">
        <v>18.260000000000002</v>
      </c>
      <c r="B175" s="573" t="s">
        <v>234</v>
      </c>
      <c r="C175" s="574" t="s">
        <v>69</v>
      </c>
      <c r="D175" s="575">
        <v>1</v>
      </c>
      <c r="E175" s="489">
        <v>2010122</v>
      </c>
      <c r="F175" s="489">
        <f t="shared" si="10"/>
        <v>2010122</v>
      </c>
      <c r="H175" s="477"/>
      <c r="K175" s="450"/>
      <c r="N175" s="450"/>
      <c r="O175" s="450"/>
    </row>
    <row r="176" spans="1:15" ht="14.5" customHeight="1" outlineLevel="1" x14ac:dyDescent="0.3">
      <c r="A176" s="572">
        <v>18.27</v>
      </c>
      <c r="B176" s="576" t="s">
        <v>235</v>
      </c>
      <c r="C176" s="577" t="s">
        <v>69</v>
      </c>
      <c r="D176" s="578">
        <v>1</v>
      </c>
      <c r="E176" s="517">
        <v>153655</v>
      </c>
      <c r="F176" s="517">
        <f t="shared" si="10"/>
        <v>153655</v>
      </c>
      <c r="H176" s="477"/>
      <c r="K176" s="450"/>
      <c r="N176" s="450"/>
      <c r="O176" s="450"/>
    </row>
    <row r="177" spans="1:15" ht="14.5" customHeight="1" x14ac:dyDescent="0.3">
      <c r="A177" s="472">
        <v>19</v>
      </c>
      <c r="B177" s="473" t="s">
        <v>236</v>
      </c>
      <c r="C177" s="474"/>
      <c r="D177" s="475"/>
      <c r="E177" s="579"/>
      <c r="F177" s="579"/>
      <c r="G177" s="580"/>
      <c r="K177" s="450"/>
      <c r="N177" s="450"/>
      <c r="O177" s="450"/>
    </row>
    <row r="178" spans="1:15" ht="14.5" customHeight="1" outlineLevel="1" x14ac:dyDescent="0.3">
      <c r="A178" s="472"/>
      <c r="B178" s="473" t="s">
        <v>237</v>
      </c>
      <c r="C178" s="474"/>
      <c r="D178" s="475"/>
      <c r="E178" s="475"/>
      <c r="F178" s="475"/>
      <c r="G178" s="476">
        <f>SUM(F179:F181)</f>
        <v>23221932</v>
      </c>
      <c r="H178" s="477">
        <f>+G178/$G$228</f>
        <v>2.4700376782046275E-2</v>
      </c>
      <c r="K178" s="450"/>
      <c r="N178" s="450"/>
      <c r="O178" s="450"/>
    </row>
    <row r="179" spans="1:15" ht="14.5" customHeight="1" outlineLevel="2" x14ac:dyDescent="0.3">
      <c r="A179" s="480">
        <v>19.010000000000002</v>
      </c>
      <c r="B179" s="497" t="s">
        <v>243</v>
      </c>
      <c r="C179" s="498" t="s">
        <v>69</v>
      </c>
      <c r="D179" s="499">
        <v>1</v>
      </c>
      <c r="E179" s="521">
        <v>2053727</v>
      </c>
      <c r="F179" s="521">
        <f>+E179*D179</f>
        <v>2053727</v>
      </c>
      <c r="H179" s="477"/>
      <c r="K179" s="450"/>
      <c r="N179" s="450"/>
      <c r="O179" s="450"/>
    </row>
    <row r="180" spans="1:15" ht="14.5" customHeight="1" outlineLevel="2" x14ac:dyDescent="0.3">
      <c r="A180" s="485">
        <v>19.02</v>
      </c>
      <c r="B180" s="500" t="s">
        <v>245</v>
      </c>
      <c r="C180" s="490" t="s">
        <v>69</v>
      </c>
      <c r="D180" s="491">
        <v>1</v>
      </c>
      <c r="E180" s="489">
        <v>16176425</v>
      </c>
      <c r="F180" s="489">
        <f>+E180*D180</f>
        <v>16176425</v>
      </c>
      <c r="H180" s="477"/>
      <c r="K180" s="450"/>
      <c r="N180" s="450"/>
      <c r="O180" s="450"/>
    </row>
    <row r="181" spans="1:15" ht="14.5" customHeight="1" outlineLevel="2" x14ac:dyDescent="0.3">
      <c r="A181" s="524">
        <v>19.03</v>
      </c>
      <c r="B181" s="581" t="s">
        <v>247</v>
      </c>
      <c r="C181" s="582" t="s">
        <v>69</v>
      </c>
      <c r="D181" s="583">
        <v>1</v>
      </c>
      <c r="E181" s="489">
        <v>4991780</v>
      </c>
      <c r="F181" s="489">
        <f>+E181*D181</f>
        <v>4991780</v>
      </c>
      <c r="H181" s="477"/>
      <c r="K181" s="450"/>
      <c r="N181" s="450"/>
      <c r="O181" s="450"/>
    </row>
    <row r="182" spans="1:15" ht="14.5" customHeight="1" outlineLevel="1" x14ac:dyDescent="0.3">
      <c r="A182" s="529"/>
      <c r="B182" s="584" t="s">
        <v>249</v>
      </c>
      <c r="C182" s="463"/>
      <c r="D182" s="464"/>
      <c r="E182" s="475"/>
      <c r="F182" s="475"/>
      <c r="G182" s="476">
        <f>SUM(F183:F184)</f>
        <v>9685536</v>
      </c>
      <c r="H182" s="477">
        <f>+G182/$G$228</f>
        <v>1.0302174191883489E-2</v>
      </c>
      <c r="K182" s="450"/>
      <c r="N182" s="450"/>
      <c r="O182" s="450"/>
    </row>
    <row r="183" spans="1:15" ht="14.5" customHeight="1" outlineLevel="2" x14ac:dyDescent="0.3">
      <c r="A183" s="480">
        <v>19.04</v>
      </c>
      <c r="B183" s="497" t="s">
        <v>251</v>
      </c>
      <c r="C183" s="498" t="s">
        <v>69</v>
      </c>
      <c r="D183" s="499">
        <v>1</v>
      </c>
      <c r="E183" s="489">
        <v>1917056</v>
      </c>
      <c r="F183" s="489">
        <f>+E183*D183</f>
        <v>1917056</v>
      </c>
      <c r="H183" s="477"/>
      <c r="K183" s="450"/>
      <c r="N183" s="450"/>
      <c r="O183" s="450"/>
    </row>
    <row r="184" spans="1:15" ht="14.5" customHeight="1" outlineLevel="2" x14ac:dyDescent="0.3">
      <c r="A184" s="485">
        <v>19.05</v>
      </c>
      <c r="B184" s="500" t="s">
        <v>253</v>
      </c>
      <c r="C184" s="490" t="s">
        <v>69</v>
      </c>
      <c r="D184" s="491">
        <v>1</v>
      </c>
      <c r="E184" s="489">
        <v>7768480</v>
      </c>
      <c r="F184" s="489">
        <f>+E184*D184</f>
        <v>7768480</v>
      </c>
      <c r="H184" s="477"/>
      <c r="K184" s="450"/>
      <c r="N184" s="450"/>
      <c r="O184" s="450"/>
    </row>
    <row r="185" spans="1:15" ht="14.5" customHeight="1" outlineLevel="1" x14ac:dyDescent="0.3">
      <c r="A185" s="472"/>
      <c r="B185" s="473" t="s">
        <v>254</v>
      </c>
      <c r="C185" s="474"/>
      <c r="D185" s="475"/>
      <c r="E185" s="475"/>
      <c r="F185" s="475"/>
      <c r="G185" s="476">
        <f>SUM(F186:F193)</f>
        <v>47359743</v>
      </c>
      <c r="H185" s="477">
        <f>+G185/$G$228</f>
        <v>5.0374942808413981E-2</v>
      </c>
      <c r="K185" s="450"/>
      <c r="N185" s="450"/>
      <c r="O185" s="450"/>
    </row>
    <row r="186" spans="1:15" ht="26" outlineLevel="2" x14ac:dyDescent="0.3">
      <c r="A186" s="585">
        <v>19.059999999999999</v>
      </c>
      <c r="B186" s="586" t="s">
        <v>401</v>
      </c>
      <c r="C186" s="498" t="s">
        <v>69</v>
      </c>
      <c r="D186" s="499">
        <v>1</v>
      </c>
      <c r="E186" s="484">
        <v>3518336</v>
      </c>
      <c r="F186" s="484">
        <f t="shared" ref="F186:F193" si="11">+E186*D186</f>
        <v>3518336</v>
      </c>
      <c r="H186" s="477"/>
      <c r="J186" s="587"/>
      <c r="K186" s="450"/>
      <c r="N186" s="450"/>
      <c r="O186" s="450"/>
    </row>
    <row r="187" spans="1:15" ht="26" outlineLevel="2" x14ac:dyDescent="0.3">
      <c r="A187" s="588">
        <v>19.07</v>
      </c>
      <c r="B187" s="589" t="s">
        <v>402</v>
      </c>
      <c r="C187" s="490" t="s">
        <v>69</v>
      </c>
      <c r="D187" s="491">
        <v>1</v>
      </c>
      <c r="E187" s="489">
        <v>7579766</v>
      </c>
      <c r="F187" s="489">
        <f t="shared" si="11"/>
        <v>7579766</v>
      </c>
      <c r="H187" s="477"/>
      <c r="K187" s="450"/>
      <c r="N187" s="450"/>
      <c r="O187" s="450"/>
    </row>
    <row r="188" spans="1:15" ht="14.5" customHeight="1" outlineLevel="2" x14ac:dyDescent="0.3">
      <c r="A188" s="588">
        <v>19.079999999999998</v>
      </c>
      <c r="B188" s="589" t="s">
        <v>403</v>
      </c>
      <c r="C188" s="490" t="s">
        <v>69</v>
      </c>
      <c r="D188" s="491">
        <v>1</v>
      </c>
      <c r="E188" s="489">
        <v>5418581</v>
      </c>
      <c r="F188" s="489">
        <f t="shared" si="11"/>
        <v>5418581</v>
      </c>
      <c r="H188" s="477"/>
      <c r="K188" s="450"/>
      <c r="N188" s="450"/>
      <c r="O188" s="450"/>
    </row>
    <row r="189" spans="1:15" ht="26" outlineLevel="2" x14ac:dyDescent="0.3">
      <c r="A189" s="588">
        <v>19.09</v>
      </c>
      <c r="B189" s="589" t="s">
        <v>404</v>
      </c>
      <c r="C189" s="490" t="s">
        <v>69</v>
      </c>
      <c r="D189" s="491">
        <v>1</v>
      </c>
      <c r="E189" s="489">
        <v>2490125</v>
      </c>
      <c r="F189" s="489">
        <f t="shared" si="11"/>
        <v>2490125</v>
      </c>
      <c r="H189" s="477"/>
      <c r="K189" s="450"/>
      <c r="N189" s="450"/>
      <c r="O189" s="450"/>
    </row>
    <row r="190" spans="1:15" ht="14.5" customHeight="1" outlineLevel="2" x14ac:dyDescent="0.3">
      <c r="A190" s="588">
        <v>19.100000000000001</v>
      </c>
      <c r="B190" s="590" t="s">
        <v>259</v>
      </c>
      <c r="C190" s="490" t="s">
        <v>69</v>
      </c>
      <c r="D190" s="491">
        <v>1</v>
      </c>
      <c r="E190" s="489">
        <v>16561177</v>
      </c>
      <c r="F190" s="489">
        <f t="shared" si="11"/>
        <v>16561177</v>
      </c>
      <c r="H190" s="477"/>
      <c r="K190" s="450"/>
      <c r="N190" s="450"/>
      <c r="O190" s="450"/>
    </row>
    <row r="191" spans="1:15" ht="26" outlineLevel="2" x14ac:dyDescent="0.3">
      <c r="A191" s="588">
        <v>19.11</v>
      </c>
      <c r="B191" s="589" t="s">
        <v>405</v>
      </c>
      <c r="C191" s="490" t="s">
        <v>69</v>
      </c>
      <c r="D191" s="491">
        <v>0</v>
      </c>
      <c r="E191" s="489">
        <v>0</v>
      </c>
      <c r="F191" s="489">
        <f t="shared" si="11"/>
        <v>0</v>
      </c>
      <c r="H191" s="477"/>
      <c r="K191" s="450"/>
      <c r="N191" s="450"/>
      <c r="O191" s="450"/>
    </row>
    <row r="192" spans="1:15" ht="26" outlineLevel="2" x14ac:dyDescent="0.3">
      <c r="A192" s="588">
        <v>19.12</v>
      </c>
      <c r="B192" s="500" t="s">
        <v>406</v>
      </c>
      <c r="C192" s="490" t="s">
        <v>69</v>
      </c>
      <c r="D192" s="491">
        <v>1</v>
      </c>
      <c r="E192" s="489">
        <v>10437112</v>
      </c>
      <c r="F192" s="489">
        <f t="shared" si="11"/>
        <v>10437112</v>
      </c>
      <c r="H192" s="477"/>
      <c r="K192" s="450"/>
      <c r="N192" s="450"/>
      <c r="O192" s="450"/>
    </row>
    <row r="193" spans="1:15" ht="26" outlineLevel="2" x14ac:dyDescent="0.3">
      <c r="A193" s="591">
        <v>19.13</v>
      </c>
      <c r="B193" s="581" t="s">
        <v>407</v>
      </c>
      <c r="C193" s="582" t="s">
        <v>69</v>
      </c>
      <c r="D193" s="583">
        <v>1</v>
      </c>
      <c r="E193" s="517">
        <v>1354646</v>
      </c>
      <c r="F193" s="517">
        <f t="shared" si="11"/>
        <v>1354646</v>
      </c>
      <c r="H193" s="477"/>
      <c r="K193" s="450"/>
      <c r="N193" s="450"/>
      <c r="O193" s="450"/>
    </row>
    <row r="194" spans="1:15" ht="14.5" customHeight="1" outlineLevel="1" x14ac:dyDescent="0.3">
      <c r="A194" s="472"/>
      <c r="B194" s="473" t="s">
        <v>263</v>
      </c>
      <c r="C194" s="474"/>
      <c r="D194" s="475"/>
      <c r="E194" s="475"/>
      <c r="F194" s="475"/>
      <c r="G194" s="476">
        <f>SUM(F195)</f>
        <v>3282809</v>
      </c>
      <c r="H194" s="477">
        <f>+G194/$G$228</f>
        <v>3.4918119303550001E-3</v>
      </c>
      <c r="K194" s="450"/>
      <c r="N194" s="450"/>
      <c r="O194" s="450"/>
    </row>
    <row r="195" spans="1:15" outlineLevel="2" x14ac:dyDescent="0.3">
      <c r="A195" s="485">
        <v>19.14</v>
      </c>
      <c r="B195" s="500" t="s">
        <v>408</v>
      </c>
      <c r="C195" s="490" t="s">
        <v>69</v>
      </c>
      <c r="D195" s="491">
        <v>1</v>
      </c>
      <c r="E195" s="489">
        <v>3282809</v>
      </c>
      <c r="F195" s="489">
        <f>+E195*D195</f>
        <v>3282809</v>
      </c>
      <c r="H195" s="477"/>
      <c r="K195" s="450"/>
      <c r="N195" s="450"/>
      <c r="O195" s="450"/>
    </row>
    <row r="196" spans="1:15" ht="14.5" customHeight="1" x14ac:dyDescent="0.3">
      <c r="A196" s="472"/>
      <c r="B196" s="473" t="s">
        <v>265</v>
      </c>
      <c r="C196" s="474"/>
      <c r="D196" s="475"/>
      <c r="E196" s="475"/>
      <c r="F196" s="475"/>
      <c r="G196" s="476">
        <f>SUM(F197:F197)</f>
        <v>9903236</v>
      </c>
      <c r="H196" s="477">
        <f>+G196/$G$228</f>
        <v>1.0533734254390411E-2</v>
      </c>
      <c r="K196" s="450"/>
      <c r="N196" s="450"/>
      <c r="O196" s="450"/>
    </row>
    <row r="197" spans="1:15" ht="26" outlineLevel="1" x14ac:dyDescent="0.3">
      <c r="A197" s="480">
        <v>19.149999999999999</v>
      </c>
      <c r="B197" s="569" t="s">
        <v>409</v>
      </c>
      <c r="C197" s="498" t="s">
        <v>69</v>
      </c>
      <c r="D197" s="499">
        <v>1</v>
      </c>
      <c r="E197" s="489">
        <v>9903236</v>
      </c>
      <c r="F197" s="489">
        <f>+E197*D197</f>
        <v>9903236</v>
      </c>
      <c r="H197" s="477"/>
      <c r="K197" s="450"/>
      <c r="N197" s="450"/>
      <c r="O197" s="450"/>
    </row>
    <row r="198" spans="1:15" ht="14.5" customHeight="1" x14ac:dyDescent="0.3">
      <c r="A198" s="472"/>
      <c r="B198" s="473" t="s">
        <v>267</v>
      </c>
      <c r="C198" s="474"/>
      <c r="D198" s="475"/>
      <c r="E198" s="475"/>
      <c r="F198" s="475"/>
      <c r="G198" s="476">
        <f>SUM(F199:F202)</f>
        <v>13508928</v>
      </c>
      <c r="H198" s="477">
        <f>+G198/$G$228</f>
        <v>1.4368985815716573E-2</v>
      </c>
      <c r="K198" s="450"/>
      <c r="N198" s="450"/>
      <c r="O198" s="450"/>
    </row>
    <row r="199" spans="1:15" outlineLevel="1" x14ac:dyDescent="0.3">
      <c r="A199" s="592">
        <v>19.16</v>
      </c>
      <c r="B199" s="593" t="s">
        <v>268</v>
      </c>
      <c r="C199" s="498" t="s">
        <v>69</v>
      </c>
      <c r="D199" s="499">
        <v>1</v>
      </c>
      <c r="E199" s="489">
        <v>8963712</v>
      </c>
      <c r="F199" s="489">
        <f>+E199*D199</f>
        <v>8963712</v>
      </c>
      <c r="H199" s="477"/>
      <c r="K199" s="450"/>
      <c r="N199" s="450"/>
      <c r="O199" s="450"/>
    </row>
    <row r="200" spans="1:15" ht="14.5" customHeight="1" outlineLevel="1" x14ac:dyDescent="0.3">
      <c r="A200" s="594">
        <v>19.170000000000002</v>
      </c>
      <c r="B200" s="590" t="s">
        <v>410</v>
      </c>
      <c r="C200" s="490" t="s">
        <v>69</v>
      </c>
      <c r="D200" s="491">
        <v>1</v>
      </c>
      <c r="E200" s="489">
        <v>747108</v>
      </c>
      <c r="F200" s="489">
        <f>+E200*D200</f>
        <v>747108</v>
      </c>
      <c r="H200" s="477"/>
      <c r="K200" s="450"/>
      <c r="N200" s="450"/>
      <c r="O200" s="450"/>
    </row>
    <row r="201" spans="1:15" ht="14.5" customHeight="1" outlineLevel="1" x14ac:dyDescent="0.3">
      <c r="A201" s="595">
        <v>19.18</v>
      </c>
      <c r="B201" s="590" t="s">
        <v>270</v>
      </c>
      <c r="C201" s="490" t="s">
        <v>69</v>
      </c>
      <c r="D201" s="491">
        <v>1</v>
      </c>
      <c r="E201" s="489">
        <v>1899054</v>
      </c>
      <c r="F201" s="489">
        <f>+E201*D201</f>
        <v>1899054</v>
      </c>
      <c r="H201" s="477"/>
      <c r="K201" s="450"/>
      <c r="N201" s="450"/>
      <c r="O201" s="450"/>
    </row>
    <row r="202" spans="1:15" ht="14.5" customHeight="1" outlineLevel="1" x14ac:dyDescent="0.3">
      <c r="A202" s="596">
        <v>19.190000000000001</v>
      </c>
      <c r="B202" s="597" t="s">
        <v>271</v>
      </c>
      <c r="C202" s="582" t="s">
        <v>69</v>
      </c>
      <c r="D202" s="583">
        <v>1</v>
      </c>
      <c r="E202" s="489">
        <v>1899054</v>
      </c>
      <c r="F202" s="489">
        <f>+E202*D202</f>
        <v>1899054</v>
      </c>
      <c r="H202" s="477"/>
      <c r="K202" s="450"/>
      <c r="N202" s="450"/>
      <c r="O202" s="450"/>
    </row>
    <row r="203" spans="1:15" ht="14.5" customHeight="1" x14ac:dyDescent="0.3">
      <c r="A203" s="472">
        <v>20</v>
      </c>
      <c r="B203" s="473" t="s">
        <v>411</v>
      </c>
      <c r="C203" s="474"/>
      <c r="D203" s="475"/>
      <c r="E203" s="475"/>
      <c r="F203" s="475"/>
      <c r="G203" s="476">
        <f>SUM(F204:F205)</f>
        <v>25908560</v>
      </c>
      <c r="H203" s="477">
        <f>+G203/$G$228</f>
        <v>2.7558051323216898E-2</v>
      </c>
      <c r="K203" s="450"/>
      <c r="N203" s="450"/>
      <c r="O203" s="450"/>
    </row>
    <row r="204" spans="1:15" ht="14.5" customHeight="1" outlineLevel="1" x14ac:dyDescent="0.3">
      <c r="A204" s="507">
        <v>20.010000000000002</v>
      </c>
      <c r="B204" s="540" t="s">
        <v>273</v>
      </c>
      <c r="C204" s="598" t="s">
        <v>114</v>
      </c>
      <c r="D204" s="510">
        <v>40</v>
      </c>
      <c r="E204" s="521">
        <v>647714</v>
      </c>
      <c r="F204" s="521">
        <f>+E204*D204</f>
        <v>25908560</v>
      </c>
      <c r="H204" s="477"/>
      <c r="K204" s="450"/>
      <c r="N204" s="450"/>
      <c r="O204" s="450"/>
    </row>
    <row r="205" spans="1:15" ht="14.5" customHeight="1" outlineLevel="1" x14ac:dyDescent="0.3">
      <c r="A205" s="485">
        <v>20.02</v>
      </c>
      <c r="B205" s="556" t="s">
        <v>412</v>
      </c>
      <c r="C205" s="553" t="s">
        <v>114</v>
      </c>
      <c r="D205" s="510">
        <v>0</v>
      </c>
      <c r="E205" s="489">
        <v>0</v>
      </c>
      <c r="F205" s="489">
        <f>+E205*D205</f>
        <v>0</v>
      </c>
      <c r="H205" s="477"/>
      <c r="K205" s="450"/>
      <c r="N205" s="450"/>
      <c r="O205" s="450"/>
    </row>
    <row r="206" spans="1:15" ht="14.5" customHeight="1" x14ac:dyDescent="0.3">
      <c r="A206" s="472">
        <v>21</v>
      </c>
      <c r="B206" s="473" t="s">
        <v>413</v>
      </c>
      <c r="C206" s="474"/>
      <c r="D206" s="475"/>
      <c r="E206" s="475"/>
      <c r="F206" s="475"/>
      <c r="G206" s="476">
        <f>SUM(F207)</f>
        <v>0</v>
      </c>
      <c r="H206" s="477">
        <f>+G206/$G$228</f>
        <v>0</v>
      </c>
      <c r="K206" s="450"/>
      <c r="N206" s="450"/>
      <c r="O206" s="450"/>
    </row>
    <row r="207" spans="1:15" s="523" customFormat="1" ht="14.5" customHeight="1" outlineLevel="1" x14ac:dyDescent="0.3">
      <c r="A207" s="599">
        <v>21.01</v>
      </c>
      <c r="B207" s="600" t="s">
        <v>414</v>
      </c>
      <c r="C207" s="601" t="s">
        <v>69</v>
      </c>
      <c r="D207" s="602">
        <v>0</v>
      </c>
      <c r="E207" s="520">
        <v>0</v>
      </c>
      <c r="F207" s="489">
        <f>+E207*D207</f>
        <v>0</v>
      </c>
      <c r="G207" s="536"/>
      <c r="H207" s="477"/>
      <c r="J207" s="449"/>
      <c r="K207" s="450"/>
      <c r="L207" s="450"/>
      <c r="M207" s="449"/>
      <c r="N207" s="450"/>
      <c r="O207" s="450"/>
    </row>
    <row r="208" spans="1:15" s="523" customFormat="1" ht="14.5" customHeight="1" x14ac:dyDescent="0.3">
      <c r="A208" s="472">
        <v>22</v>
      </c>
      <c r="B208" s="473" t="s">
        <v>415</v>
      </c>
      <c r="C208" s="474"/>
      <c r="D208" s="475"/>
      <c r="E208" s="475"/>
      <c r="F208" s="475"/>
      <c r="G208" s="476">
        <f>SUM(F209:F210)</f>
        <v>4038900</v>
      </c>
      <c r="H208" s="477">
        <f>+G208/$G$228</f>
        <v>4.2960401307267065E-3</v>
      </c>
      <c r="J208" s="449"/>
      <c r="K208" s="450"/>
      <c r="L208" s="450"/>
      <c r="M208" s="449"/>
      <c r="N208" s="450"/>
      <c r="O208" s="450"/>
    </row>
    <row r="209" spans="1:15" ht="14.5" customHeight="1" outlineLevel="1" x14ac:dyDescent="0.3">
      <c r="A209" s="603">
        <v>22.01</v>
      </c>
      <c r="B209" s="569" t="s">
        <v>416</v>
      </c>
      <c r="C209" s="570" t="s">
        <v>114</v>
      </c>
      <c r="D209" s="491">
        <v>50</v>
      </c>
      <c r="E209" s="520">
        <v>80778</v>
      </c>
      <c r="F209" s="521">
        <f>+E209*D209</f>
        <v>4038900</v>
      </c>
      <c r="H209" s="477"/>
      <c r="K209" s="450"/>
      <c r="N209" s="450"/>
      <c r="O209" s="450"/>
    </row>
    <row r="210" spans="1:15" ht="14.5" customHeight="1" outlineLevel="1" x14ac:dyDescent="0.3">
      <c r="A210" s="496">
        <v>22.02</v>
      </c>
      <c r="B210" s="573" t="s">
        <v>417</v>
      </c>
      <c r="C210" s="574" t="s">
        <v>114</v>
      </c>
      <c r="D210" s="494">
        <v>0</v>
      </c>
      <c r="E210" s="520">
        <v>0</v>
      </c>
      <c r="F210" s="521">
        <f>+E210*D210</f>
        <v>0</v>
      </c>
      <c r="H210" s="477"/>
      <c r="K210" s="450"/>
    </row>
    <row r="211" spans="1:15" ht="14.5" customHeight="1" x14ac:dyDescent="0.3">
      <c r="A211" s="472">
        <v>23</v>
      </c>
      <c r="B211" s="473" t="s">
        <v>280</v>
      </c>
      <c r="C211" s="474"/>
      <c r="D211" s="475"/>
      <c r="E211" s="475"/>
      <c r="F211" s="475"/>
      <c r="G211" s="476">
        <f>SUM(F212:F214)</f>
        <v>6014085</v>
      </c>
      <c r="H211" s="477">
        <f>+G211/$G$228</f>
        <v>6.3969770258242411E-3</v>
      </c>
      <c r="J211" s="478"/>
      <c r="K211" s="450"/>
      <c r="L211" s="479"/>
      <c r="M211" s="478"/>
      <c r="N211" s="478"/>
      <c r="O211" s="478"/>
    </row>
    <row r="212" spans="1:15" ht="14.5" customHeight="1" outlineLevel="1" x14ac:dyDescent="0.3">
      <c r="A212" s="588">
        <v>23.01</v>
      </c>
      <c r="B212" s="486" t="s">
        <v>281</v>
      </c>
      <c r="C212" s="493" t="s">
        <v>114</v>
      </c>
      <c r="D212" s="494">
        <v>8</v>
      </c>
      <c r="E212" s="489">
        <v>269722</v>
      </c>
      <c r="F212" s="489">
        <f>+E212*D212</f>
        <v>2157776</v>
      </c>
      <c r="H212" s="477"/>
      <c r="J212" s="478"/>
      <c r="K212" s="450"/>
      <c r="L212" s="479"/>
      <c r="M212" s="478"/>
      <c r="N212" s="478"/>
      <c r="O212" s="478"/>
    </row>
    <row r="213" spans="1:15" ht="14.5" customHeight="1" outlineLevel="1" x14ac:dyDescent="0.3">
      <c r="A213" s="604">
        <v>23.02</v>
      </c>
      <c r="B213" s="605" t="s">
        <v>418</v>
      </c>
      <c r="C213" s="606" t="s">
        <v>69</v>
      </c>
      <c r="D213" s="607">
        <v>1</v>
      </c>
      <c r="E213" s="489">
        <v>610469</v>
      </c>
      <c r="F213" s="489">
        <f>+E213*D213</f>
        <v>610469</v>
      </c>
      <c r="H213" s="477"/>
      <c r="K213" s="450"/>
    </row>
    <row r="214" spans="1:15" ht="14.5" customHeight="1" outlineLevel="1" x14ac:dyDescent="0.3">
      <c r="A214" s="604">
        <v>23.03</v>
      </c>
      <c r="B214" s="605" t="s">
        <v>419</v>
      </c>
      <c r="C214" s="606" t="s">
        <v>69</v>
      </c>
      <c r="D214" s="607">
        <v>1</v>
      </c>
      <c r="E214" s="489">
        <v>3245840</v>
      </c>
      <c r="F214" s="489">
        <f>+E214*D214</f>
        <v>3245840</v>
      </c>
      <c r="H214" s="477"/>
      <c r="K214" s="450"/>
    </row>
    <row r="215" spans="1:15" ht="14.5" customHeight="1" x14ac:dyDescent="0.3">
      <c r="A215" s="472">
        <v>24</v>
      </c>
      <c r="B215" s="473" t="s">
        <v>284</v>
      </c>
      <c r="C215" s="474"/>
      <c r="D215" s="475"/>
      <c r="E215" s="475"/>
      <c r="F215" s="475"/>
      <c r="G215" s="476">
        <f>SUM(F216:F224)</f>
        <v>43445981</v>
      </c>
      <c r="H215" s="505">
        <f>+G215/$G$228</f>
        <v>4.621200769882642E-2</v>
      </c>
    </row>
    <row r="216" spans="1:15" ht="14.5" customHeight="1" outlineLevel="1" x14ac:dyDescent="0.3">
      <c r="A216" s="480">
        <v>24.01</v>
      </c>
      <c r="B216" s="506" t="s">
        <v>285</v>
      </c>
      <c r="C216" s="482" t="s">
        <v>77</v>
      </c>
      <c r="D216" s="488">
        <v>9</v>
      </c>
      <c r="E216" s="489">
        <v>1094515</v>
      </c>
      <c r="F216" s="489">
        <f t="shared" ref="F216:F224" si="12">+E216*D216</f>
        <v>9850635</v>
      </c>
      <c r="J216" s="478"/>
      <c r="K216" s="450"/>
      <c r="L216" s="479"/>
      <c r="M216" s="478"/>
      <c r="N216" s="478"/>
      <c r="O216" s="478"/>
    </row>
    <row r="217" spans="1:15" ht="14.5" customHeight="1" outlineLevel="1" x14ac:dyDescent="0.3">
      <c r="A217" s="507">
        <v>24.02</v>
      </c>
      <c r="B217" s="508" t="s">
        <v>286</v>
      </c>
      <c r="C217" s="509" t="s">
        <v>77</v>
      </c>
      <c r="D217" s="510">
        <v>0</v>
      </c>
      <c r="E217" s="489">
        <v>2201892</v>
      </c>
      <c r="F217" s="489">
        <f t="shared" si="12"/>
        <v>0</v>
      </c>
      <c r="J217" s="478"/>
      <c r="K217" s="450"/>
      <c r="L217" s="479"/>
      <c r="M217" s="478"/>
      <c r="N217" s="478"/>
      <c r="O217" s="478"/>
    </row>
    <row r="218" spans="1:15" ht="14.5" customHeight="1" outlineLevel="1" x14ac:dyDescent="0.3">
      <c r="A218" s="485">
        <v>24.03</v>
      </c>
      <c r="B218" s="511" t="s">
        <v>287</v>
      </c>
      <c r="C218" s="487" t="s">
        <v>77</v>
      </c>
      <c r="D218" s="488">
        <v>9</v>
      </c>
      <c r="E218" s="489">
        <v>406941</v>
      </c>
      <c r="F218" s="489">
        <f t="shared" si="12"/>
        <v>3662469</v>
      </c>
      <c r="J218" s="478"/>
      <c r="K218" s="450"/>
      <c r="L218" s="479"/>
      <c r="M218" s="478"/>
      <c r="N218" s="478"/>
      <c r="O218" s="478"/>
    </row>
    <row r="219" spans="1:15" ht="14.5" customHeight="1" outlineLevel="1" x14ac:dyDescent="0.3">
      <c r="A219" s="507">
        <v>24.04</v>
      </c>
      <c r="B219" s="511" t="s">
        <v>288</v>
      </c>
      <c r="C219" s="487" t="s">
        <v>69</v>
      </c>
      <c r="D219" s="488">
        <v>0</v>
      </c>
      <c r="E219" s="489">
        <v>13322590</v>
      </c>
      <c r="F219" s="489">
        <f t="shared" si="12"/>
        <v>0</v>
      </c>
      <c r="J219" s="478"/>
      <c r="K219" s="450"/>
      <c r="L219" s="479"/>
      <c r="M219" s="478"/>
      <c r="N219" s="478"/>
      <c r="O219" s="478"/>
    </row>
    <row r="220" spans="1:15" s="514" customFormat="1" ht="14.5" customHeight="1" outlineLevel="1" x14ac:dyDescent="0.3">
      <c r="A220" s="485">
        <v>24.05</v>
      </c>
      <c r="B220" s="511" t="s">
        <v>291</v>
      </c>
      <c r="C220" s="512" t="s">
        <v>77</v>
      </c>
      <c r="D220" s="488">
        <v>9</v>
      </c>
      <c r="E220" s="489">
        <v>973794</v>
      </c>
      <c r="F220" s="489">
        <f t="shared" si="12"/>
        <v>8764146</v>
      </c>
      <c r="G220" s="513"/>
      <c r="H220" s="505"/>
      <c r="J220" s="478"/>
      <c r="K220" s="450"/>
      <c r="L220" s="479"/>
      <c r="M220" s="478"/>
      <c r="N220" s="478"/>
      <c r="O220" s="478"/>
    </row>
    <row r="221" spans="1:15" s="514" customFormat="1" ht="14.5" customHeight="1" outlineLevel="1" x14ac:dyDescent="0.3">
      <c r="A221" s="507">
        <v>24.06</v>
      </c>
      <c r="B221" s="511" t="s">
        <v>292</v>
      </c>
      <c r="C221" s="512" t="s">
        <v>77</v>
      </c>
      <c r="D221" s="488">
        <v>9</v>
      </c>
      <c r="E221" s="489">
        <v>883525</v>
      </c>
      <c r="F221" s="489">
        <f t="shared" si="12"/>
        <v>7951725</v>
      </c>
      <c r="G221" s="513"/>
      <c r="H221" s="505"/>
      <c r="J221" s="478"/>
      <c r="K221" s="450"/>
      <c r="L221" s="479"/>
      <c r="M221" s="478"/>
      <c r="N221" s="478"/>
      <c r="O221" s="478"/>
    </row>
    <row r="222" spans="1:15" s="514" customFormat="1" ht="14.5" customHeight="1" outlineLevel="1" x14ac:dyDescent="0.3">
      <c r="A222" s="485">
        <v>24.07</v>
      </c>
      <c r="B222" s="511" t="s">
        <v>293</v>
      </c>
      <c r="C222" s="512" t="s">
        <v>69</v>
      </c>
      <c r="D222" s="488">
        <v>1</v>
      </c>
      <c r="E222" s="489">
        <v>6243068</v>
      </c>
      <c r="F222" s="489">
        <f t="shared" si="12"/>
        <v>6243068</v>
      </c>
      <c r="G222" s="513"/>
      <c r="H222" s="505"/>
      <c r="J222" s="478"/>
      <c r="K222" s="450"/>
      <c r="L222" s="479"/>
      <c r="M222" s="478"/>
      <c r="N222" s="478"/>
      <c r="O222" s="478"/>
    </row>
    <row r="223" spans="1:15" s="514" customFormat="1" ht="14.5" customHeight="1" outlineLevel="1" x14ac:dyDescent="0.3">
      <c r="A223" s="507">
        <v>24.08</v>
      </c>
      <c r="B223" s="511" t="s">
        <v>294</v>
      </c>
      <c r="C223" s="512" t="s">
        <v>77</v>
      </c>
      <c r="D223" s="488">
        <v>9</v>
      </c>
      <c r="E223" s="489">
        <v>406941</v>
      </c>
      <c r="F223" s="489">
        <f t="shared" si="12"/>
        <v>3662469</v>
      </c>
      <c r="G223" s="513"/>
      <c r="H223" s="505"/>
      <c r="J223" s="478"/>
      <c r="K223" s="450"/>
      <c r="L223" s="479"/>
      <c r="M223" s="478"/>
      <c r="N223" s="478"/>
      <c r="O223" s="478"/>
    </row>
    <row r="224" spans="1:15" s="518" customFormat="1" ht="14.5" customHeight="1" outlineLevel="1" x14ac:dyDescent="0.3">
      <c r="A224" s="485">
        <v>24.09</v>
      </c>
      <c r="B224" s="515" t="s">
        <v>295</v>
      </c>
      <c r="C224" s="516" t="s">
        <v>77</v>
      </c>
      <c r="D224" s="488">
        <v>9</v>
      </c>
      <c r="E224" s="517">
        <v>367941</v>
      </c>
      <c r="F224" s="517">
        <f t="shared" si="12"/>
        <v>3311469</v>
      </c>
      <c r="G224" s="513"/>
      <c r="H224" s="505"/>
      <c r="J224" s="478"/>
      <c r="K224" s="450"/>
      <c r="L224" s="479"/>
      <c r="M224" s="478"/>
      <c r="N224" s="478"/>
      <c r="O224" s="478"/>
    </row>
    <row r="225" spans="1:15" ht="14.5" customHeight="1" x14ac:dyDescent="0.3">
      <c r="A225" s="472">
        <v>25</v>
      </c>
      <c r="B225" s="473" t="s">
        <v>296</v>
      </c>
      <c r="C225" s="474"/>
      <c r="D225" s="475"/>
      <c r="E225" s="475"/>
      <c r="F225" s="475"/>
      <c r="G225" s="476">
        <f>SUM(F226:F227)</f>
        <v>45738153</v>
      </c>
      <c r="H225" s="505">
        <f>+G225/$G$228</f>
        <v>4.8650112850854965E-2</v>
      </c>
      <c r="J225" s="478"/>
      <c r="K225" s="450"/>
      <c r="L225" s="479"/>
      <c r="M225" s="478"/>
      <c r="N225" s="478"/>
      <c r="O225" s="478"/>
    </row>
    <row r="226" spans="1:15" s="523" customFormat="1" ht="14.5" customHeight="1" outlineLevel="1" x14ac:dyDescent="0.3">
      <c r="A226" s="480">
        <v>25.01</v>
      </c>
      <c r="B226" s="481" t="s">
        <v>297</v>
      </c>
      <c r="C226" s="519" t="s">
        <v>77</v>
      </c>
      <c r="D226" s="488">
        <v>9</v>
      </c>
      <c r="E226" s="520">
        <v>4403783</v>
      </c>
      <c r="F226" s="521">
        <f>+E226*D226</f>
        <v>39634047</v>
      </c>
      <c r="G226" s="522"/>
      <c r="J226" s="478"/>
      <c r="K226" s="450"/>
      <c r="L226" s="479"/>
      <c r="M226" s="478"/>
      <c r="N226" s="450"/>
      <c r="O226" s="478"/>
    </row>
    <row r="227" spans="1:15" s="523" customFormat="1" ht="14.5" customHeight="1" outlineLevel="1" x14ac:dyDescent="0.3">
      <c r="A227" s="524">
        <v>25.02</v>
      </c>
      <c r="B227" s="502" t="s">
        <v>298</v>
      </c>
      <c r="C227" s="525" t="s">
        <v>77</v>
      </c>
      <c r="D227" s="488">
        <v>9</v>
      </c>
      <c r="E227" s="520">
        <v>678234</v>
      </c>
      <c r="F227" s="489">
        <f>+E227*D227</f>
        <v>6104106</v>
      </c>
      <c r="G227" s="526"/>
      <c r="J227" s="478"/>
      <c r="K227" s="450"/>
      <c r="L227" s="479"/>
      <c r="M227" s="478"/>
      <c r="N227" s="450"/>
      <c r="O227" s="478"/>
    </row>
    <row r="228" spans="1:15" ht="14.5" customHeight="1" x14ac:dyDescent="0.3">
      <c r="A228" s="472" t="s">
        <v>420</v>
      </c>
      <c r="B228" s="473" t="s">
        <v>421</v>
      </c>
      <c r="C228" s="474"/>
      <c r="D228" s="475"/>
      <c r="E228" s="475"/>
      <c r="F228" s="475">
        <f>SUM(F61:F227)</f>
        <v>940144849</v>
      </c>
      <c r="G228" s="476">
        <f>SUM(G61:G227)</f>
        <v>940144849</v>
      </c>
      <c r="H228" s="477">
        <f>+G228/$G$228</f>
        <v>1</v>
      </c>
      <c r="J228" s="478"/>
      <c r="K228" s="450"/>
      <c r="L228" s="479"/>
      <c r="M228" s="478"/>
      <c r="N228" s="450"/>
      <c r="O228" s="478"/>
    </row>
    <row r="229" spans="1:15" outlineLevel="1" x14ac:dyDescent="0.3">
      <c r="B229" s="443" t="s">
        <v>342</v>
      </c>
      <c r="J229" s="478"/>
      <c r="K229" s="450"/>
      <c r="L229" s="479"/>
      <c r="M229" s="478"/>
      <c r="N229" s="450"/>
      <c r="O229" s="538"/>
    </row>
    <row r="230" spans="1:15" outlineLevel="1" x14ac:dyDescent="0.3">
      <c r="B230" s="443" t="s">
        <v>343</v>
      </c>
      <c r="J230" s="478"/>
      <c r="K230" s="450"/>
      <c r="L230" s="479"/>
      <c r="M230" s="478"/>
      <c r="N230" s="450"/>
    </row>
    <row r="231" spans="1:15" outlineLevel="1" x14ac:dyDescent="0.3">
      <c r="J231" s="478"/>
      <c r="K231" s="450"/>
      <c r="L231" s="479"/>
      <c r="M231" s="478"/>
      <c r="N231" s="450"/>
    </row>
    <row r="232" spans="1:15" outlineLevel="1" x14ac:dyDescent="0.3">
      <c r="A232" s="472" t="s">
        <v>48</v>
      </c>
      <c r="B232" s="473" t="s">
        <v>425</v>
      </c>
      <c r="C232" s="474"/>
      <c r="D232" s="475"/>
      <c r="E232" s="475"/>
      <c r="F232" s="475"/>
      <c r="G232" s="476">
        <f>+G228+G59</f>
        <v>1540623004</v>
      </c>
      <c r="J232" s="478"/>
      <c r="K232" s="450"/>
      <c r="L232" s="479"/>
      <c r="M232" s="478"/>
      <c r="N232" s="450"/>
    </row>
    <row r="233" spans="1:15" outlineLevel="1" x14ac:dyDescent="0.3">
      <c r="G233" s="611">
        <f>+G232/G2</f>
        <v>1207384.7993730407</v>
      </c>
      <c r="J233" s="478"/>
      <c r="K233" s="450"/>
      <c r="L233" s="479"/>
      <c r="M233" s="478"/>
      <c r="N233" s="450"/>
    </row>
    <row r="234" spans="1:15" x14ac:dyDescent="0.3">
      <c r="J234" s="478"/>
      <c r="K234" s="450"/>
      <c r="L234" s="479"/>
      <c r="M234" s="478"/>
      <c r="N234" s="450"/>
    </row>
    <row r="235" spans="1:15" outlineLevel="1" x14ac:dyDescent="0.3">
      <c r="F235" s="471" t="s">
        <v>351</v>
      </c>
      <c r="G235" s="471">
        <f>G59</f>
        <v>600478155</v>
      </c>
      <c r="J235" s="478"/>
      <c r="K235" s="450"/>
      <c r="L235" s="479"/>
      <c r="M235" s="478"/>
      <c r="N235" s="450"/>
    </row>
    <row r="236" spans="1:15" outlineLevel="1" x14ac:dyDescent="0.3">
      <c r="F236" s="471" t="s">
        <v>351</v>
      </c>
      <c r="G236" s="471">
        <f>G228</f>
        <v>940144849</v>
      </c>
      <c r="J236" s="478"/>
      <c r="K236" s="450"/>
      <c r="L236" s="479"/>
      <c r="M236" s="478"/>
      <c r="N236" s="450"/>
    </row>
    <row r="237" spans="1:15" outlineLevel="1" x14ac:dyDescent="0.3">
      <c r="J237" s="478"/>
      <c r="K237" s="450"/>
      <c r="L237" s="479"/>
      <c r="M237" s="478"/>
      <c r="N237" s="450"/>
    </row>
    <row r="238" spans="1:15" outlineLevel="1" x14ac:dyDescent="0.3">
      <c r="J238" s="478"/>
      <c r="K238" s="450"/>
      <c r="L238" s="479"/>
      <c r="M238" s="478"/>
      <c r="N238" s="450"/>
    </row>
    <row r="239" spans="1:15" outlineLevel="1" x14ac:dyDescent="0.3">
      <c r="J239" s="478"/>
      <c r="K239" s="450"/>
      <c r="L239" s="479"/>
      <c r="M239" s="478"/>
      <c r="N239" s="450"/>
    </row>
    <row r="240" spans="1:15" outlineLevel="1" x14ac:dyDescent="0.3">
      <c r="J240" s="478"/>
      <c r="K240" s="450"/>
      <c r="L240" s="479"/>
      <c r="M240" s="478"/>
      <c r="N240" s="450"/>
    </row>
    <row r="241" spans="10:14" outlineLevel="1" x14ac:dyDescent="0.3">
      <c r="J241" s="478"/>
      <c r="K241" s="450"/>
      <c r="L241" s="479"/>
      <c r="M241" s="478"/>
      <c r="N241" s="450"/>
    </row>
    <row r="259" spans="1:41" x14ac:dyDescent="0.3">
      <c r="B259" s="448"/>
    </row>
    <row r="260" spans="1:41" x14ac:dyDescent="0.3">
      <c r="B260" s="448"/>
    </row>
    <row r="267" spans="1:41" s="618" customFormat="1" x14ac:dyDescent="0.3">
      <c r="A267" s="442"/>
      <c r="B267" s="443"/>
      <c r="C267" s="444"/>
      <c r="D267" s="445"/>
      <c r="E267" s="446"/>
      <c r="F267" s="446"/>
      <c r="G267" s="471"/>
      <c r="H267" s="448"/>
      <c r="I267" s="448"/>
      <c r="J267" s="449"/>
      <c r="K267" s="449"/>
      <c r="L267" s="450"/>
      <c r="M267" s="449"/>
      <c r="N267" s="449"/>
      <c r="O267" s="449"/>
      <c r="P267" s="448"/>
      <c r="Q267" s="448"/>
      <c r="R267" s="448"/>
      <c r="S267" s="448"/>
      <c r="T267" s="448"/>
      <c r="U267" s="448"/>
      <c r="V267" s="448"/>
      <c r="W267" s="448"/>
      <c r="X267" s="448"/>
      <c r="Y267" s="448"/>
      <c r="Z267" s="448"/>
      <c r="AA267" s="448"/>
      <c r="AB267" s="448"/>
      <c r="AC267" s="448"/>
      <c r="AD267" s="448"/>
      <c r="AE267" s="448"/>
      <c r="AF267" s="448"/>
      <c r="AG267" s="448"/>
      <c r="AH267" s="448"/>
      <c r="AI267" s="448"/>
      <c r="AJ267" s="448"/>
      <c r="AK267" s="448"/>
      <c r="AL267" s="448"/>
      <c r="AM267" s="448"/>
      <c r="AN267" s="448"/>
      <c r="AO267" s="448"/>
    </row>
    <row r="268" spans="1:41" s="618" customFormat="1" x14ac:dyDescent="0.3">
      <c r="A268" s="442"/>
      <c r="B268" s="443"/>
      <c r="C268" s="444"/>
      <c r="D268" s="445"/>
      <c r="E268" s="446"/>
      <c r="F268" s="446"/>
      <c r="G268" s="471"/>
      <c r="H268" s="448"/>
      <c r="I268" s="448"/>
      <c r="J268" s="449"/>
      <c r="K268" s="449"/>
      <c r="L268" s="450"/>
      <c r="M268" s="449"/>
      <c r="N268" s="449"/>
      <c r="O268" s="449"/>
      <c r="P268" s="448"/>
      <c r="Q268" s="448"/>
      <c r="R268" s="448"/>
      <c r="S268" s="448"/>
      <c r="T268" s="448"/>
      <c r="U268" s="448"/>
      <c r="V268" s="448"/>
      <c r="W268" s="448"/>
      <c r="X268" s="448"/>
      <c r="Y268" s="448"/>
      <c r="Z268" s="448"/>
      <c r="AA268" s="448"/>
      <c r="AB268" s="448"/>
      <c r="AC268" s="448"/>
      <c r="AD268" s="448"/>
      <c r="AE268" s="448"/>
      <c r="AF268" s="448"/>
      <c r="AG268" s="448"/>
      <c r="AH268" s="448"/>
      <c r="AI268" s="448"/>
      <c r="AJ268" s="448"/>
      <c r="AK268" s="448"/>
      <c r="AL268" s="448"/>
      <c r="AM268" s="448"/>
      <c r="AN268" s="448"/>
      <c r="AO268" s="448"/>
    </row>
    <row r="269" spans="1:41" s="618" customFormat="1" x14ac:dyDescent="0.3">
      <c r="A269" s="442"/>
      <c r="B269" s="443"/>
      <c r="C269" s="444"/>
      <c r="D269" s="445"/>
      <c r="E269" s="446"/>
      <c r="F269" s="446"/>
      <c r="G269" s="471"/>
      <c r="H269" s="448"/>
      <c r="I269" s="448"/>
      <c r="J269" s="449"/>
      <c r="K269" s="449"/>
      <c r="L269" s="450"/>
      <c r="M269" s="449"/>
      <c r="N269" s="449"/>
      <c r="O269" s="449"/>
      <c r="P269" s="448"/>
      <c r="Q269" s="448"/>
      <c r="R269" s="448"/>
      <c r="S269" s="448"/>
      <c r="T269" s="448"/>
      <c r="U269" s="448"/>
      <c r="V269" s="448"/>
      <c r="W269" s="448"/>
      <c r="X269" s="448"/>
      <c r="Y269" s="448"/>
      <c r="Z269" s="448"/>
      <c r="AA269" s="448"/>
      <c r="AB269" s="448"/>
      <c r="AC269" s="448"/>
      <c r="AD269" s="448"/>
      <c r="AE269" s="448"/>
      <c r="AF269" s="448"/>
      <c r="AG269" s="448"/>
      <c r="AH269" s="448"/>
      <c r="AI269" s="448"/>
      <c r="AJ269" s="448"/>
      <c r="AK269" s="448"/>
      <c r="AL269" s="448"/>
      <c r="AM269" s="448"/>
      <c r="AN269" s="448"/>
      <c r="AO269" s="448"/>
    </row>
  </sheetData>
  <conditionalFormatting sqref="C3:C11 C18:C38 C46:C56 C74:C84 C95:C100 C103:C108 C111:C116 C177:C206 C208">
    <cfRule type="cellIs" dxfId="54" priority="5" operator="equal">
      <formula>"x"</formula>
    </cfRule>
  </conditionalFormatting>
  <conditionalFormatting sqref="C59">
    <cfRule type="cellIs" dxfId="53" priority="4" operator="equal">
      <formula>"x"</formula>
    </cfRule>
  </conditionalFormatting>
  <conditionalFormatting sqref="C61">
    <cfRule type="cellIs" dxfId="52" priority="6" operator="equal">
      <formula>"x"</formula>
    </cfRule>
  </conditionalFormatting>
  <conditionalFormatting sqref="C68">
    <cfRule type="cellIs" dxfId="51" priority="7" operator="equal">
      <formula>"x"</formula>
    </cfRule>
  </conditionalFormatting>
  <conditionalFormatting sqref="C86:C87">
    <cfRule type="cellIs" dxfId="50" priority="8" operator="equal">
      <formula>"x"</formula>
    </cfRule>
  </conditionalFormatting>
  <conditionalFormatting sqref="C120">
    <cfRule type="cellIs" dxfId="49" priority="9" operator="equal">
      <formula>"x"</formula>
    </cfRule>
  </conditionalFormatting>
  <conditionalFormatting sqref="C129">
    <cfRule type="cellIs" dxfId="48" priority="10" operator="equal">
      <formula>"x"</formula>
    </cfRule>
  </conditionalFormatting>
  <conditionalFormatting sqref="C142">
    <cfRule type="cellIs" dxfId="47" priority="11" operator="equal">
      <formula>"x"</formula>
    </cfRule>
  </conditionalFormatting>
  <conditionalFormatting sqref="C144">
    <cfRule type="cellIs" dxfId="46" priority="12" operator="equal">
      <formula>"x"</formula>
    </cfRule>
  </conditionalFormatting>
  <conditionalFormatting sqref="C149">
    <cfRule type="cellIs" dxfId="45" priority="13" operator="equal">
      <formula>"x"</formula>
    </cfRule>
  </conditionalFormatting>
  <conditionalFormatting sqref="C211">
    <cfRule type="cellIs" dxfId="44" priority="14" operator="equal">
      <formula>"x"</formula>
    </cfRule>
  </conditionalFormatting>
  <conditionalFormatting sqref="C215:C225">
    <cfRule type="cellIs" dxfId="43" priority="1" operator="equal">
      <formula>"x"</formula>
    </cfRule>
  </conditionalFormatting>
  <conditionalFormatting sqref="C228">
    <cfRule type="cellIs" dxfId="42" priority="3" operator="equal">
      <formula>"x"</formula>
    </cfRule>
  </conditionalFormatting>
  <conditionalFormatting sqref="C232">
    <cfRule type="cellIs" dxfId="41" priority="2" operator="equal">
      <formula>"x"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rowBreaks count="2" manualBreakCount="2">
    <brk id="60" max="22" man="1"/>
    <brk id="148" max="22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1451-19C3-406B-BE5B-93FDA687F8AA}">
  <dimension ref="A1:AU266"/>
  <sheetViews>
    <sheetView topLeftCell="A4" zoomScaleNormal="100" workbookViewId="0">
      <pane ySplit="4" topLeftCell="A31" activePane="bottomLeft" state="frozen"/>
      <selection activeCell="A4" sqref="A4"/>
      <selection pane="bottomLeft" activeCell="A31" sqref="A31"/>
    </sheetView>
  </sheetViews>
  <sheetFormatPr defaultColWidth="11.54296875" defaultRowHeight="13" outlineLevelRow="2" outlineLevelCol="1" x14ac:dyDescent="0.3"/>
  <cols>
    <col min="1" max="1" width="11.54296875" style="448"/>
    <col min="2" max="2" width="6.54296875" style="442" bestFit="1" customWidth="1"/>
    <col min="3" max="3" width="35.1796875" style="443" customWidth="1"/>
    <col min="4" max="4" width="5.26953125" style="444" bestFit="1" customWidth="1"/>
    <col min="5" max="5" width="6.54296875" style="445" bestFit="1" customWidth="1"/>
    <col min="6" max="6" width="10.7265625" style="86" customWidth="1" outlineLevel="1" collapsed="1"/>
    <col min="7" max="7" width="10.7265625" style="445" bestFit="1" customWidth="1"/>
    <col min="8" max="8" width="11" style="445" bestFit="1" customWidth="1"/>
    <col min="9" max="9" width="12.1796875" style="445" customWidth="1"/>
    <col min="10" max="11" width="11" style="445" bestFit="1" customWidth="1"/>
    <col min="12" max="12" width="11.81640625" style="445" customWidth="1"/>
    <col min="13" max="13" width="12" style="445" bestFit="1" customWidth="1"/>
    <col min="14" max="14" width="11" style="445" bestFit="1" customWidth="1"/>
    <col min="15" max="15" width="1.1796875" style="448" customWidth="1"/>
    <col min="16" max="16" width="12" style="449" bestFit="1" customWidth="1"/>
    <col min="17" max="17" width="15.81640625" style="449" bestFit="1" customWidth="1"/>
    <col min="18" max="18" width="15.81640625" style="450" bestFit="1" customWidth="1"/>
    <col min="19" max="21" width="11.54296875" style="449"/>
    <col min="22" max="16384" width="11.54296875" style="448"/>
  </cols>
  <sheetData>
    <row r="1" spans="1:21" ht="14.5" customHeight="1" x14ac:dyDescent="0.3"/>
    <row r="2" spans="1:21" ht="14.5" customHeight="1" x14ac:dyDescent="0.3"/>
    <row r="3" spans="1:21" s="457" customFormat="1" ht="14.5" customHeight="1" x14ac:dyDescent="0.35">
      <c r="B3" s="452"/>
      <c r="C3" s="453"/>
      <c r="D3" s="454"/>
      <c r="E3" s="455"/>
      <c r="F3" s="103"/>
      <c r="G3" s="455"/>
      <c r="H3" s="455"/>
      <c r="I3" s="455"/>
      <c r="J3" s="455"/>
      <c r="K3" s="455"/>
      <c r="L3" s="455"/>
      <c r="M3" s="455"/>
      <c r="N3" s="455"/>
      <c r="Q3" s="447" t="s">
        <v>44</v>
      </c>
      <c r="R3" s="447" t="s">
        <v>45</v>
      </c>
    </row>
    <row r="4" spans="1:21" s="457" customFormat="1" ht="14.5" customHeight="1" x14ac:dyDescent="0.35">
      <c r="B4" s="452"/>
      <c r="C4" s="453"/>
      <c r="D4" s="454"/>
      <c r="E4" s="455"/>
      <c r="F4" s="103"/>
      <c r="G4" s="455"/>
      <c r="H4" s="455"/>
      <c r="I4" s="455"/>
      <c r="J4" s="455"/>
      <c r="K4" s="455"/>
      <c r="L4" s="455"/>
      <c r="M4" s="455"/>
      <c r="N4" s="455"/>
      <c r="Q4" s="451">
        <f>+[8]GGBB!G4</f>
        <v>1280</v>
      </c>
      <c r="R4" s="451">
        <f>+[8]GGBB!H4</f>
        <v>1276</v>
      </c>
    </row>
    <row r="5" spans="1:21" s="457" customFormat="1" ht="14.5" customHeight="1" x14ac:dyDescent="0.3">
      <c r="B5" s="452"/>
      <c r="C5" s="461" t="s">
        <v>52</v>
      </c>
      <c r="D5" s="454"/>
      <c r="E5" s="455"/>
      <c r="F5" s="712"/>
      <c r="G5" s="1229" t="s">
        <v>53</v>
      </c>
      <c r="H5" s="1230"/>
      <c r="I5" s="832"/>
      <c r="J5" s="1229" t="s">
        <v>54</v>
      </c>
      <c r="K5" s="1230"/>
      <c r="L5" s="833"/>
      <c r="M5" s="455"/>
      <c r="N5" s="455"/>
      <c r="Q5" s="455"/>
      <c r="R5" s="456"/>
    </row>
    <row r="6" spans="1:21" s="457" customFormat="1" ht="14.5" customHeight="1" x14ac:dyDescent="0.3">
      <c r="B6" s="452"/>
      <c r="C6" s="461" t="s">
        <v>55</v>
      </c>
      <c r="D6" s="463"/>
      <c r="E6" s="464"/>
      <c r="F6" s="103"/>
      <c r="G6" s="709"/>
      <c r="H6" s="455"/>
      <c r="I6" s="455"/>
      <c r="J6" s="709"/>
      <c r="K6" s="455"/>
      <c r="L6" s="455"/>
      <c r="M6" s="455"/>
      <c r="N6" s="455"/>
      <c r="Q6" s="459">
        <v>45817</v>
      </c>
      <c r="R6" s="456"/>
    </row>
    <row r="7" spans="1:21" ht="14.5" customHeight="1" x14ac:dyDescent="0.3">
      <c r="B7" s="466" t="s">
        <v>56</v>
      </c>
      <c r="C7" s="467" t="s">
        <v>58</v>
      </c>
      <c r="D7" s="468" t="s">
        <v>59</v>
      </c>
      <c r="E7" s="469" t="s">
        <v>60</v>
      </c>
      <c r="F7" s="132" t="s">
        <v>65</v>
      </c>
      <c r="G7" s="710" t="s">
        <v>61</v>
      </c>
      <c r="H7" s="710" t="s">
        <v>460</v>
      </c>
      <c r="I7" s="711" t="s">
        <v>556</v>
      </c>
      <c r="J7" s="710" t="s">
        <v>461</v>
      </c>
      <c r="K7" s="710" t="s">
        <v>63</v>
      </c>
      <c r="L7" s="711" t="s">
        <v>557</v>
      </c>
      <c r="M7" s="710" t="s">
        <v>64</v>
      </c>
      <c r="N7" s="711" t="s">
        <v>24</v>
      </c>
    </row>
    <row r="8" spans="1:21" ht="14.5" customHeight="1" x14ac:dyDescent="0.3">
      <c r="B8" s="472">
        <v>1</v>
      </c>
      <c r="C8" s="473" t="s">
        <v>67</v>
      </c>
      <c r="D8" s="474"/>
      <c r="E8" s="475"/>
      <c r="F8" s="141"/>
      <c r="G8" s="475"/>
      <c r="H8" s="475"/>
      <c r="I8" s="475"/>
      <c r="J8" s="475"/>
      <c r="K8" s="475"/>
      <c r="L8" s="475"/>
      <c r="M8" s="475"/>
      <c r="N8" s="475"/>
      <c r="P8" s="478"/>
      <c r="Q8" s="478"/>
      <c r="R8" s="479"/>
      <c r="S8" s="478"/>
      <c r="T8" s="478"/>
      <c r="U8" s="478"/>
    </row>
    <row r="9" spans="1:21" ht="14.5" customHeight="1" outlineLevel="1" x14ac:dyDescent="0.3">
      <c r="A9" s="714" t="s">
        <v>462</v>
      </c>
      <c r="B9" s="713">
        <v>1.01</v>
      </c>
      <c r="C9" s="481" t="s">
        <v>344</v>
      </c>
      <c r="D9" s="482" t="s">
        <v>69</v>
      </c>
      <c r="E9" s="483">
        <v>0</v>
      </c>
      <c r="F9" s="150">
        <v>0</v>
      </c>
      <c r="G9" s="483">
        <v>0</v>
      </c>
      <c r="H9" s="483">
        <v>0</v>
      </c>
      <c r="I9" s="488">
        <f>SUM(G9:H9)</f>
        <v>0</v>
      </c>
      <c r="J9" s="483">
        <v>0</v>
      </c>
      <c r="K9" s="483">
        <v>0</v>
      </c>
      <c r="L9" s="488">
        <f t="shared" ref="L9:L17" si="0">SUM(J9:K9)</f>
        <v>0</v>
      </c>
      <c r="M9" s="483">
        <v>0</v>
      </c>
      <c r="N9" s="488">
        <f>SUM(I9,L9)</f>
        <v>0</v>
      </c>
    </row>
    <row r="10" spans="1:21" ht="14.5" customHeight="1" outlineLevel="1" x14ac:dyDescent="0.3">
      <c r="A10" s="714" t="s">
        <v>463</v>
      </c>
      <c r="B10" s="485">
        <v>1.02</v>
      </c>
      <c r="C10" s="486" t="s">
        <v>70</v>
      </c>
      <c r="D10" s="487" t="s">
        <v>71</v>
      </c>
      <c r="E10" s="488">
        <v>4</v>
      </c>
      <c r="F10" s="161">
        <v>311234.07904388144</v>
      </c>
      <c r="G10" s="488">
        <v>0</v>
      </c>
      <c r="H10" s="488">
        <v>100000</v>
      </c>
      <c r="I10" s="488">
        <f t="shared" ref="I10:I57" si="1">SUM(G10:H10)</f>
        <v>100000</v>
      </c>
      <c r="J10" s="488">
        <v>857576.24709639326</v>
      </c>
      <c r="K10" s="488">
        <v>268961.99544107047</v>
      </c>
      <c r="L10" s="488">
        <f t="shared" si="0"/>
        <v>1126538.2425374638</v>
      </c>
      <c r="M10" s="488">
        <v>18398.073638061956</v>
      </c>
      <c r="N10" s="488">
        <f t="shared" ref="N10:N57" si="2">SUM(I10,L10)</f>
        <v>1226538.2425374638</v>
      </c>
      <c r="Q10" s="450"/>
    </row>
    <row r="11" spans="1:21" ht="14.5" customHeight="1" outlineLevel="1" x14ac:dyDescent="0.3">
      <c r="A11" s="714" t="s">
        <v>462</v>
      </c>
      <c r="B11" s="485">
        <v>1.03</v>
      </c>
      <c r="C11" s="486" t="s">
        <v>345</v>
      </c>
      <c r="D11" s="490" t="s">
        <v>69</v>
      </c>
      <c r="E11" s="491">
        <v>1</v>
      </c>
      <c r="F11" s="161">
        <v>0</v>
      </c>
      <c r="G11" s="491">
        <v>0</v>
      </c>
      <c r="H11" s="491">
        <v>0</v>
      </c>
      <c r="I11" s="488">
        <f t="shared" si="1"/>
        <v>0</v>
      </c>
      <c r="J11" s="491">
        <v>0</v>
      </c>
      <c r="K11" s="491">
        <v>0</v>
      </c>
      <c r="L11" s="488">
        <f t="shared" si="0"/>
        <v>0</v>
      </c>
      <c r="M11" s="491">
        <v>0</v>
      </c>
      <c r="N11" s="488">
        <f t="shared" si="2"/>
        <v>0</v>
      </c>
      <c r="Q11" s="450"/>
    </row>
    <row r="12" spans="1:21" ht="14.5" customHeight="1" outlineLevel="1" x14ac:dyDescent="0.3">
      <c r="A12" s="714" t="s">
        <v>462</v>
      </c>
      <c r="B12" s="485">
        <v>1.04</v>
      </c>
      <c r="C12" s="486" t="s">
        <v>346</v>
      </c>
      <c r="D12" s="487" t="s">
        <v>74</v>
      </c>
      <c r="E12" s="488">
        <v>10</v>
      </c>
      <c r="F12" s="161">
        <v>213970.26527384485</v>
      </c>
      <c r="G12" s="488">
        <v>988155.68159228656</v>
      </c>
      <c r="H12" s="488">
        <v>0</v>
      </c>
      <c r="I12" s="488">
        <f t="shared" si="1"/>
        <v>988155.68159228656</v>
      </c>
      <c r="J12" s="488">
        <v>0</v>
      </c>
      <c r="K12" s="488">
        <v>1119925.7496771207</v>
      </c>
      <c r="L12" s="488">
        <f t="shared" si="0"/>
        <v>1119925.7496771207</v>
      </c>
      <c r="M12" s="488">
        <v>31621.221469041113</v>
      </c>
      <c r="N12" s="488">
        <f t="shared" si="2"/>
        <v>2108081.4312694073</v>
      </c>
      <c r="Q12" s="450"/>
    </row>
    <row r="13" spans="1:21" ht="14.5" customHeight="1" outlineLevel="1" x14ac:dyDescent="0.3">
      <c r="A13" s="714" t="s">
        <v>462</v>
      </c>
      <c r="B13" s="485">
        <v>1.05</v>
      </c>
      <c r="C13" s="486" t="s">
        <v>75</v>
      </c>
      <c r="D13" s="487" t="s">
        <v>69</v>
      </c>
      <c r="E13" s="488">
        <v>1</v>
      </c>
      <c r="F13" s="161">
        <v>8723479.9519583248</v>
      </c>
      <c r="G13" s="488">
        <v>2270625.1745922863</v>
      </c>
      <c r="H13" s="488">
        <v>300000</v>
      </c>
      <c r="I13" s="488">
        <f t="shared" si="1"/>
        <v>2570625.1745922863</v>
      </c>
      <c r="J13" s="488">
        <v>1000000</v>
      </c>
      <c r="K13" s="488">
        <v>5023936.3544306941</v>
      </c>
      <c r="L13" s="488">
        <f t="shared" si="0"/>
        <v>6023936.3544306941</v>
      </c>
      <c r="M13" s="488">
        <v>128918.4229353447</v>
      </c>
      <c r="N13" s="488">
        <f t="shared" si="2"/>
        <v>8594561.5290229805</v>
      </c>
      <c r="Q13" s="450"/>
    </row>
    <row r="14" spans="1:21" ht="14.5" customHeight="1" outlineLevel="1" x14ac:dyDescent="0.3">
      <c r="A14" s="714" t="s">
        <v>464</v>
      </c>
      <c r="B14" s="485">
        <v>1.06</v>
      </c>
      <c r="C14" s="486" t="s">
        <v>76</v>
      </c>
      <c r="D14" s="487" t="s">
        <v>77</v>
      </c>
      <c r="E14" s="488">
        <v>4</v>
      </c>
      <c r="F14" s="161">
        <v>260000</v>
      </c>
      <c r="G14" s="488">
        <v>0</v>
      </c>
      <c r="H14" s="488">
        <v>0</v>
      </c>
      <c r="I14" s="488">
        <f t="shared" si="1"/>
        <v>0</v>
      </c>
      <c r="J14" s="488">
        <v>1040000</v>
      </c>
      <c r="K14" s="488">
        <v>0</v>
      </c>
      <c r="L14" s="488">
        <f t="shared" si="0"/>
        <v>1040000</v>
      </c>
      <c r="M14" s="488">
        <v>0</v>
      </c>
      <c r="N14" s="488">
        <f t="shared" si="2"/>
        <v>1040000</v>
      </c>
      <c r="Q14" s="450"/>
    </row>
    <row r="15" spans="1:21" ht="14.5" customHeight="1" outlineLevel="1" x14ac:dyDescent="0.3">
      <c r="A15" s="714" t="s">
        <v>462</v>
      </c>
      <c r="B15" s="485">
        <v>1.07</v>
      </c>
      <c r="C15" s="486" t="s">
        <v>78</v>
      </c>
      <c r="D15" s="487" t="s">
        <v>69</v>
      </c>
      <c r="E15" s="488">
        <v>1</v>
      </c>
      <c r="F15" s="161">
        <v>2082054.6041907668</v>
      </c>
      <c r="G15" s="488">
        <v>1290000</v>
      </c>
      <c r="H15" s="488">
        <v>100000</v>
      </c>
      <c r="I15" s="488">
        <f t="shared" si="1"/>
        <v>1390000</v>
      </c>
      <c r="J15" s="488">
        <v>0</v>
      </c>
      <c r="K15" s="488">
        <v>661285.32432587864</v>
      </c>
      <c r="L15" s="488">
        <f t="shared" si="0"/>
        <v>661285.32432587864</v>
      </c>
      <c r="M15" s="488">
        <v>30769.27986488818</v>
      </c>
      <c r="N15" s="488">
        <f t="shared" si="2"/>
        <v>2051285.3243258786</v>
      </c>
      <c r="Q15" s="450"/>
    </row>
    <row r="16" spans="1:21" ht="14.5" customHeight="1" outlineLevel="1" x14ac:dyDescent="0.3">
      <c r="A16" s="714" t="s">
        <v>462</v>
      </c>
      <c r="B16" s="485">
        <v>1.08</v>
      </c>
      <c r="C16" s="486" t="s">
        <v>79</v>
      </c>
      <c r="D16" s="487" t="s">
        <v>69</v>
      </c>
      <c r="E16" s="488">
        <v>1</v>
      </c>
      <c r="F16" s="161">
        <v>1494454.4860560053</v>
      </c>
      <c r="G16" s="488">
        <v>936000</v>
      </c>
      <c r="H16" s="488">
        <v>0</v>
      </c>
      <c r="I16" s="488">
        <f t="shared" si="1"/>
        <v>936000</v>
      </c>
      <c r="J16" s="488">
        <v>0</v>
      </c>
      <c r="K16" s="488">
        <v>536368.95177931583</v>
      </c>
      <c r="L16" s="488">
        <f t="shared" si="0"/>
        <v>536368.95177931583</v>
      </c>
      <c r="M16" s="488">
        <v>22085.534276689734</v>
      </c>
      <c r="N16" s="488">
        <f t="shared" si="2"/>
        <v>1472368.9517793157</v>
      </c>
      <c r="Q16" s="450"/>
    </row>
    <row r="17" spans="1:21" ht="14.5" customHeight="1" outlineLevel="1" x14ac:dyDescent="0.3">
      <c r="A17" s="714" t="s">
        <v>462</v>
      </c>
      <c r="B17" s="485">
        <v>1.0900000000000001</v>
      </c>
      <c r="C17" s="486" t="s">
        <v>80</v>
      </c>
      <c r="D17" s="487" t="s">
        <v>69</v>
      </c>
      <c r="E17" s="488">
        <v>1</v>
      </c>
      <c r="F17" s="161">
        <v>482995.30539154005</v>
      </c>
      <c r="G17" s="488">
        <v>0</v>
      </c>
      <c r="H17" s="488">
        <v>0</v>
      </c>
      <c r="I17" s="488">
        <f t="shared" si="1"/>
        <v>0</v>
      </c>
      <c r="J17" s="488">
        <v>482995.30539154005</v>
      </c>
      <c r="K17" s="488">
        <v>0</v>
      </c>
      <c r="L17" s="488">
        <f t="shared" si="0"/>
        <v>482995.30539154005</v>
      </c>
      <c r="M17" s="488">
        <v>0</v>
      </c>
      <c r="N17" s="488">
        <f t="shared" si="2"/>
        <v>482995.30539154005</v>
      </c>
      <c r="Q17" s="450"/>
    </row>
    <row r="18" spans="1:21" ht="14.5" customHeight="1" x14ac:dyDescent="0.3">
      <c r="B18" s="472">
        <v>2</v>
      </c>
      <c r="C18" s="473" t="s">
        <v>81</v>
      </c>
      <c r="D18" s="474"/>
      <c r="E18" s="475"/>
      <c r="F18" s="141"/>
      <c r="G18" s="475"/>
      <c r="H18" s="475"/>
      <c r="I18" s="475"/>
      <c r="J18" s="475"/>
      <c r="K18" s="475"/>
      <c r="L18" s="475"/>
      <c r="M18" s="475"/>
      <c r="N18" s="475"/>
      <c r="P18" s="478"/>
      <c r="Q18" s="450"/>
      <c r="R18" s="479"/>
      <c r="S18" s="478"/>
      <c r="T18" s="478"/>
      <c r="U18" s="478"/>
    </row>
    <row r="19" spans="1:21" ht="14.5" customHeight="1" outlineLevel="1" x14ac:dyDescent="0.3">
      <c r="A19" s="714" t="s">
        <v>465</v>
      </c>
      <c r="B19" s="485">
        <v>2.0099999999999998</v>
      </c>
      <c r="C19" s="495" t="s">
        <v>82</v>
      </c>
      <c r="D19" s="493" t="s">
        <v>83</v>
      </c>
      <c r="E19" s="494">
        <v>219</v>
      </c>
      <c r="F19" s="161">
        <v>28977.786858155298</v>
      </c>
      <c r="G19" s="494">
        <v>0</v>
      </c>
      <c r="H19" s="494">
        <v>0</v>
      </c>
      <c r="I19" s="488">
        <f t="shared" si="1"/>
        <v>0</v>
      </c>
      <c r="J19" s="494">
        <v>5673730.333333334</v>
      </c>
      <c r="K19" s="494">
        <v>672404.9886026762</v>
      </c>
      <c r="L19" s="488">
        <f t="shared" ref="L19:L22" si="3">SUM(J19:K19)</f>
        <v>6346135.3219360104</v>
      </c>
      <c r="M19" s="494">
        <v>0</v>
      </c>
      <c r="N19" s="488">
        <f t="shared" si="2"/>
        <v>6346135.3219360104</v>
      </c>
      <c r="Q19" s="450"/>
    </row>
    <row r="20" spans="1:21" ht="14.5" customHeight="1" outlineLevel="1" x14ac:dyDescent="0.3">
      <c r="A20" s="714" t="s">
        <v>465</v>
      </c>
      <c r="B20" s="485">
        <v>2.02</v>
      </c>
      <c r="C20" s="495" t="s">
        <v>84</v>
      </c>
      <c r="D20" s="493" t="s">
        <v>85</v>
      </c>
      <c r="E20" s="494">
        <v>100</v>
      </c>
      <c r="F20" s="161">
        <v>31631.510634317165</v>
      </c>
      <c r="G20" s="494">
        <v>0</v>
      </c>
      <c r="H20" s="494">
        <v>0</v>
      </c>
      <c r="I20" s="488">
        <f t="shared" si="1"/>
        <v>0</v>
      </c>
      <c r="J20" s="494">
        <v>2444000</v>
      </c>
      <c r="K20" s="494">
        <v>672404.9886026762</v>
      </c>
      <c r="L20" s="488">
        <f t="shared" si="3"/>
        <v>3116404.9886026764</v>
      </c>
      <c r="M20" s="494">
        <v>46746.074829040139</v>
      </c>
      <c r="N20" s="488">
        <f t="shared" si="2"/>
        <v>3116404.9886026764</v>
      </c>
      <c r="Q20" s="450"/>
    </row>
    <row r="21" spans="1:21" ht="14.5" customHeight="1" outlineLevel="1" x14ac:dyDescent="0.3">
      <c r="A21" s="714" t="s">
        <v>466</v>
      </c>
      <c r="B21" s="485">
        <v>2.0299999999999998</v>
      </c>
      <c r="C21" s="495" t="s">
        <v>86</v>
      </c>
      <c r="D21" s="493" t="s">
        <v>85</v>
      </c>
      <c r="E21" s="494">
        <v>43</v>
      </c>
      <c r="F21" s="161">
        <v>67240.498860267617</v>
      </c>
      <c r="G21" s="494">
        <v>0</v>
      </c>
      <c r="H21" s="494">
        <v>0</v>
      </c>
      <c r="I21" s="488">
        <f t="shared" si="1"/>
        <v>0</v>
      </c>
      <c r="J21" s="494">
        <v>0</v>
      </c>
      <c r="K21" s="494">
        <v>2891341.4509915076</v>
      </c>
      <c r="L21" s="488">
        <f t="shared" si="3"/>
        <v>2891341.4509915076</v>
      </c>
      <c r="M21" s="494">
        <v>0</v>
      </c>
      <c r="N21" s="488">
        <f t="shared" si="2"/>
        <v>2891341.4509915076</v>
      </c>
      <c r="Q21" s="450"/>
    </row>
    <row r="22" spans="1:21" ht="14.5" customHeight="1" outlineLevel="1" x14ac:dyDescent="0.3">
      <c r="A22" s="714" t="s">
        <v>465</v>
      </c>
      <c r="B22" s="485">
        <v>2.04</v>
      </c>
      <c r="C22" s="495" t="s">
        <v>347</v>
      </c>
      <c r="D22" s="487" t="s">
        <v>69</v>
      </c>
      <c r="E22" s="496">
        <v>0</v>
      </c>
      <c r="F22" s="161">
        <v>0</v>
      </c>
      <c r="G22" s="496">
        <v>0</v>
      </c>
      <c r="H22" s="496">
        <v>0</v>
      </c>
      <c r="I22" s="488">
        <f t="shared" si="1"/>
        <v>0</v>
      </c>
      <c r="J22" s="496">
        <v>0</v>
      </c>
      <c r="K22" s="496">
        <v>0</v>
      </c>
      <c r="L22" s="488">
        <f t="shared" si="3"/>
        <v>0</v>
      </c>
      <c r="M22" s="496">
        <v>0</v>
      </c>
      <c r="N22" s="488">
        <f t="shared" si="2"/>
        <v>0</v>
      </c>
      <c r="Q22" s="450"/>
    </row>
    <row r="23" spans="1:21" ht="14.5" customHeight="1" x14ac:dyDescent="0.3">
      <c r="B23" s="472">
        <v>3</v>
      </c>
      <c r="C23" s="473" t="s">
        <v>88</v>
      </c>
      <c r="D23" s="474"/>
      <c r="E23" s="475"/>
      <c r="F23" s="141"/>
      <c r="G23" s="475"/>
      <c r="H23" s="475"/>
      <c r="I23" s="475"/>
      <c r="J23" s="475"/>
      <c r="K23" s="475"/>
      <c r="L23" s="475"/>
      <c r="M23" s="475"/>
      <c r="N23" s="475"/>
      <c r="Q23" s="450"/>
    </row>
    <row r="24" spans="1:21" ht="14.5" customHeight="1" outlineLevel="1" x14ac:dyDescent="0.3">
      <c r="A24" s="714" t="s">
        <v>466</v>
      </c>
      <c r="B24" s="480">
        <v>3.01</v>
      </c>
      <c r="C24" s="497" t="s">
        <v>90</v>
      </c>
      <c r="D24" s="498" t="s">
        <v>85</v>
      </c>
      <c r="E24" s="499">
        <v>3</v>
      </c>
      <c r="F24" s="150">
        <v>279603.28826057556</v>
      </c>
      <c r="G24" s="703">
        <v>361290</v>
      </c>
      <c r="H24" s="703">
        <v>0</v>
      </c>
      <c r="I24" s="488">
        <f t="shared" si="1"/>
        <v>361290</v>
      </c>
      <c r="J24" s="703">
        <v>0</v>
      </c>
      <c r="K24" s="703">
        <v>465123.65988347452</v>
      </c>
      <c r="L24" s="488">
        <f t="shared" ref="L24:L45" si="4">SUM(J24:K24)</f>
        <v>465123.65988347452</v>
      </c>
      <c r="M24" s="703">
        <v>12396.204898252116</v>
      </c>
      <c r="N24" s="488">
        <f t="shared" si="2"/>
        <v>826413.65988347447</v>
      </c>
      <c r="P24" s="478"/>
      <c r="Q24" s="450"/>
      <c r="R24" s="479"/>
      <c r="S24" s="478"/>
      <c r="T24" s="478"/>
      <c r="U24" s="478"/>
    </row>
    <row r="25" spans="1:21" ht="14.5" customHeight="1" outlineLevel="1" x14ac:dyDescent="0.3">
      <c r="A25" s="714" t="s">
        <v>466</v>
      </c>
      <c r="B25" s="485">
        <v>3.02</v>
      </c>
      <c r="C25" s="495" t="s">
        <v>92</v>
      </c>
      <c r="D25" s="490" t="s">
        <v>69</v>
      </c>
      <c r="E25" s="491">
        <v>1</v>
      </c>
      <c r="F25" s="161">
        <v>48618847.834951743</v>
      </c>
      <c r="G25" s="491">
        <v>11090041.199999999</v>
      </c>
      <c r="H25" s="491">
        <v>0</v>
      </c>
      <c r="I25" s="488">
        <f t="shared" si="1"/>
        <v>11090041.199999999</v>
      </c>
      <c r="J25" s="491">
        <v>34350000</v>
      </c>
      <c r="K25" s="491">
        <v>2460301.4945337288</v>
      </c>
      <c r="L25" s="488">
        <f t="shared" si="4"/>
        <v>36810301.494533733</v>
      </c>
      <c r="M25" s="491">
        <v>718505.14041800599</v>
      </c>
      <c r="N25" s="488">
        <f t="shared" si="2"/>
        <v>47900342.694533736</v>
      </c>
      <c r="P25" s="449">
        <f>I25/N25</f>
        <v>0.2315232120722503</v>
      </c>
      <c r="Q25" s="450">
        <f>L25/N25</f>
        <v>0.76847678792774965</v>
      </c>
    </row>
    <row r="26" spans="1:21" ht="14.5" customHeight="1" outlineLevel="1" x14ac:dyDescent="0.3">
      <c r="A26" s="714" t="s">
        <v>466</v>
      </c>
      <c r="B26" s="485">
        <v>3.03</v>
      </c>
      <c r="C26" s="495" t="s">
        <v>94</v>
      </c>
      <c r="D26" s="490" t="s">
        <v>85</v>
      </c>
      <c r="E26" s="491">
        <v>7</v>
      </c>
      <c r="F26" s="161">
        <v>588775.24151652877</v>
      </c>
      <c r="G26" s="491">
        <v>2500023.187919463</v>
      </c>
      <c r="H26" s="491">
        <v>0</v>
      </c>
      <c r="I26" s="488">
        <f t="shared" si="1"/>
        <v>2500023.187919463</v>
      </c>
      <c r="J26" s="491">
        <v>1560495.7190910801</v>
      </c>
      <c r="K26" s="491">
        <v>0</v>
      </c>
      <c r="L26" s="488">
        <f t="shared" si="4"/>
        <v>1560495.7190910801</v>
      </c>
      <c r="M26" s="491">
        <v>60907.78360515814</v>
      </c>
      <c r="N26" s="488">
        <f t="shared" si="2"/>
        <v>4060518.9070105432</v>
      </c>
      <c r="Q26" s="450"/>
    </row>
    <row r="27" spans="1:21" ht="14.5" customHeight="1" outlineLevel="1" x14ac:dyDescent="0.3">
      <c r="A27" s="714" t="s">
        <v>466</v>
      </c>
      <c r="B27" s="485">
        <v>3.04</v>
      </c>
      <c r="C27" s="495" t="s">
        <v>96</v>
      </c>
      <c r="D27" s="490" t="s">
        <v>85</v>
      </c>
      <c r="E27" s="491">
        <v>4</v>
      </c>
      <c r="F27" s="161">
        <v>873810.7469912041</v>
      </c>
      <c r="G27" s="491">
        <v>2151253.1514569814</v>
      </c>
      <c r="H27" s="491">
        <v>0</v>
      </c>
      <c r="I27" s="488">
        <f t="shared" si="1"/>
        <v>2151253.1514569814</v>
      </c>
      <c r="J27" s="491">
        <v>1292335.9992472713</v>
      </c>
      <c r="K27" s="491">
        <v>0</v>
      </c>
      <c r="L27" s="488">
        <f t="shared" si="4"/>
        <v>1292335.9992472713</v>
      </c>
      <c r="M27" s="491">
        <v>51653.837260563785</v>
      </c>
      <c r="N27" s="488">
        <f t="shared" si="2"/>
        <v>3443589.1507042525</v>
      </c>
      <c r="Q27" s="450"/>
    </row>
    <row r="28" spans="1:21" ht="14.5" customHeight="1" outlineLevel="1" x14ac:dyDescent="0.3">
      <c r="A28" s="714" t="s">
        <v>466</v>
      </c>
      <c r="B28" s="485">
        <v>3.05</v>
      </c>
      <c r="C28" s="495" t="s">
        <v>97</v>
      </c>
      <c r="D28" s="490" t="s">
        <v>85</v>
      </c>
      <c r="E28" s="491">
        <v>2</v>
      </c>
      <c r="F28" s="161">
        <v>588775.24151652877</v>
      </c>
      <c r="G28" s="491">
        <v>714292.33940556087</v>
      </c>
      <c r="H28" s="491">
        <v>0</v>
      </c>
      <c r="I28" s="488">
        <f t="shared" si="1"/>
        <v>714292.33940556087</v>
      </c>
      <c r="J28" s="491">
        <v>445855.9197403086</v>
      </c>
      <c r="K28" s="491">
        <v>0</v>
      </c>
      <c r="L28" s="488">
        <f t="shared" si="4"/>
        <v>445855.9197403086</v>
      </c>
      <c r="M28" s="491">
        <v>17402.22388718804</v>
      </c>
      <c r="N28" s="488">
        <f t="shared" si="2"/>
        <v>1160148.2591458694</v>
      </c>
      <c r="Q28" s="450"/>
    </row>
    <row r="29" spans="1:21" ht="14.5" customHeight="1" outlineLevel="1" x14ac:dyDescent="0.3">
      <c r="A29" s="714" t="s">
        <v>466</v>
      </c>
      <c r="B29" s="485">
        <v>3.06</v>
      </c>
      <c r="C29" s="495" t="s">
        <v>98</v>
      </c>
      <c r="D29" s="490" t="s">
        <v>85</v>
      </c>
      <c r="E29" s="491">
        <v>11</v>
      </c>
      <c r="F29" s="161">
        <v>624746.84151652874</v>
      </c>
      <c r="G29" s="491">
        <v>4318447.8667305848</v>
      </c>
      <c r="H29" s="491">
        <v>0</v>
      </c>
      <c r="I29" s="488">
        <f t="shared" si="1"/>
        <v>4318447.8667305848</v>
      </c>
      <c r="J29" s="491">
        <v>2452207.5585716972</v>
      </c>
      <c r="K29" s="491">
        <v>0</v>
      </c>
      <c r="L29" s="488">
        <f t="shared" si="4"/>
        <v>2452207.5585716972</v>
      </c>
      <c r="M29" s="491">
        <v>101559.83137953423</v>
      </c>
      <c r="N29" s="488">
        <f t="shared" si="2"/>
        <v>6770655.425302282</v>
      </c>
      <c r="Q29" s="450"/>
    </row>
    <row r="30" spans="1:21" ht="14.5" customHeight="1" outlineLevel="1" x14ac:dyDescent="0.3">
      <c r="A30" s="714" t="s">
        <v>466</v>
      </c>
      <c r="B30" s="485">
        <v>3.07</v>
      </c>
      <c r="C30" s="495" t="s">
        <v>99</v>
      </c>
      <c r="D30" s="490" t="s">
        <v>85</v>
      </c>
      <c r="E30" s="491">
        <v>9</v>
      </c>
      <c r="F30" s="161">
        <v>873810.7469912041</v>
      </c>
      <c r="G30" s="491">
        <v>4840319.5907782083</v>
      </c>
      <c r="H30" s="491">
        <v>0</v>
      </c>
      <c r="I30" s="488">
        <f t="shared" si="1"/>
        <v>4840319.5907782083</v>
      </c>
      <c r="J30" s="491">
        <v>2907755.9983063606</v>
      </c>
      <c r="K30" s="491">
        <v>0</v>
      </c>
      <c r="L30" s="488">
        <f t="shared" si="4"/>
        <v>2907755.9983063606</v>
      </c>
      <c r="M30" s="491">
        <v>116221.13383626852</v>
      </c>
      <c r="N30" s="488">
        <f t="shared" si="2"/>
        <v>7748075.5890845694</v>
      </c>
      <c r="Q30" s="450"/>
    </row>
    <row r="31" spans="1:21" ht="14.5" customHeight="1" outlineLevel="1" x14ac:dyDescent="0.3">
      <c r="A31" s="714"/>
      <c r="B31" s="485">
        <v>3.08</v>
      </c>
      <c r="C31" s="495" t="s">
        <v>100</v>
      </c>
      <c r="D31" s="490" t="s">
        <v>85</v>
      </c>
      <c r="E31" s="491">
        <v>9</v>
      </c>
      <c r="F31" s="161">
        <v>798886.82911374583</v>
      </c>
      <c r="G31" s="491">
        <v>3549616.9714285713</v>
      </c>
      <c r="H31" s="491">
        <v>0</v>
      </c>
      <c r="I31" s="488">
        <f t="shared" si="1"/>
        <v>3549616.9714285713</v>
      </c>
      <c r="J31" s="491">
        <v>3534108.6069199145</v>
      </c>
      <c r="K31" s="491">
        <v>0</v>
      </c>
      <c r="L31" s="488">
        <f t="shared" si="4"/>
        <v>3534108.6069199145</v>
      </c>
      <c r="M31" s="491">
        <v>106255.88367522728</v>
      </c>
      <c r="N31" s="488">
        <f t="shared" si="2"/>
        <v>7083725.5783484858</v>
      </c>
      <c r="Q31" s="450"/>
    </row>
    <row r="32" spans="1:21" ht="14.5" customHeight="1" outlineLevel="1" x14ac:dyDescent="0.3">
      <c r="A32" s="714" t="s">
        <v>466</v>
      </c>
      <c r="B32" s="485">
        <v>3.09</v>
      </c>
      <c r="C32" s="500" t="s">
        <v>102</v>
      </c>
      <c r="D32" s="490" t="s">
        <v>85</v>
      </c>
      <c r="E32" s="491">
        <v>1</v>
      </c>
      <c r="F32" s="161">
        <v>917809.34318591945</v>
      </c>
      <c r="G32" s="491">
        <v>542036.05081495689</v>
      </c>
      <c r="H32" s="491">
        <v>0</v>
      </c>
      <c r="I32" s="488">
        <f t="shared" si="1"/>
        <v>542036.05081495689</v>
      </c>
      <c r="J32" s="491">
        <v>362209.60749629384</v>
      </c>
      <c r="K32" s="491">
        <v>0</v>
      </c>
      <c r="L32" s="488">
        <f t="shared" si="4"/>
        <v>362209.60749629384</v>
      </c>
      <c r="M32" s="491">
        <v>13563.684874668761</v>
      </c>
      <c r="N32" s="488">
        <f t="shared" si="2"/>
        <v>904245.65831125074</v>
      </c>
      <c r="Q32" s="450"/>
    </row>
    <row r="33" spans="1:21" ht="14.5" customHeight="1" outlineLevel="1" x14ac:dyDescent="0.3">
      <c r="A33" s="714" t="s">
        <v>466</v>
      </c>
      <c r="B33" s="485">
        <v>3.1</v>
      </c>
      <c r="C33" s="500" t="s">
        <v>103</v>
      </c>
      <c r="D33" s="490" t="s">
        <v>85</v>
      </c>
      <c r="E33" s="491">
        <v>32</v>
      </c>
      <c r="F33" s="161">
        <v>1025724.1431859195</v>
      </c>
      <c r="G33" s="491">
        <v>20747393.626078621</v>
      </c>
      <c r="H33" s="491">
        <v>0</v>
      </c>
      <c r="I33" s="488">
        <f t="shared" si="1"/>
        <v>20747393.626078621</v>
      </c>
      <c r="J33" s="491">
        <v>11590707.439881403</v>
      </c>
      <c r="K33" s="491">
        <v>0</v>
      </c>
      <c r="L33" s="488">
        <f t="shared" si="4"/>
        <v>11590707.439881403</v>
      </c>
      <c r="M33" s="491">
        <v>485071.51598940033</v>
      </c>
      <c r="N33" s="488">
        <f t="shared" si="2"/>
        <v>32338101.065960024</v>
      </c>
      <c r="Q33" s="450"/>
    </row>
    <row r="34" spans="1:21" ht="14.5" customHeight="1" outlineLevel="1" x14ac:dyDescent="0.3">
      <c r="A34" s="714" t="s">
        <v>466</v>
      </c>
      <c r="B34" s="485">
        <v>3.11</v>
      </c>
      <c r="C34" s="500" t="s">
        <v>104</v>
      </c>
      <c r="D34" s="490" t="s">
        <v>85</v>
      </c>
      <c r="E34" s="491">
        <v>30</v>
      </c>
      <c r="F34" s="161">
        <v>852844.22911374585</v>
      </c>
      <c r="G34" s="491">
        <v>13426856.571428571</v>
      </c>
      <c r="H34" s="491">
        <v>0</v>
      </c>
      <c r="I34" s="488">
        <f t="shared" si="1"/>
        <v>13426856.571428571</v>
      </c>
      <c r="J34" s="491">
        <v>11780362.023066381</v>
      </c>
      <c r="K34" s="491">
        <v>0</v>
      </c>
      <c r="L34" s="488">
        <f t="shared" si="4"/>
        <v>11780362.023066381</v>
      </c>
      <c r="M34" s="491">
        <v>378108.27891742421</v>
      </c>
      <c r="N34" s="488">
        <f t="shared" si="2"/>
        <v>25207218.594494954</v>
      </c>
      <c r="Q34" s="450"/>
    </row>
    <row r="35" spans="1:21" ht="14.5" customHeight="1" outlineLevel="1" x14ac:dyDescent="0.3">
      <c r="A35" s="714" t="s">
        <v>466</v>
      </c>
      <c r="B35" s="485">
        <v>3.12</v>
      </c>
      <c r="C35" s="500" t="s">
        <v>105</v>
      </c>
      <c r="D35" s="490" t="s">
        <v>85</v>
      </c>
      <c r="E35" s="491">
        <v>7</v>
      </c>
      <c r="F35" s="161">
        <v>1272170.2886112265</v>
      </c>
      <c r="G35" s="491">
        <v>3264725.0896333689</v>
      </c>
      <c r="H35" s="491">
        <v>0</v>
      </c>
      <c r="I35" s="488">
        <f t="shared" si="1"/>
        <v>3264725.0896333689</v>
      </c>
      <c r="J35" s="491">
        <v>4407090.4861483481</v>
      </c>
      <c r="K35" s="491">
        <v>1101772.621537087</v>
      </c>
      <c r="L35" s="488">
        <f t="shared" si="4"/>
        <v>5508863.1076854356</v>
      </c>
      <c r="M35" s="491">
        <v>131603.82295978203</v>
      </c>
      <c r="N35" s="488">
        <f t="shared" si="2"/>
        <v>8773588.1973188035</v>
      </c>
      <c r="Q35" s="450"/>
    </row>
    <row r="36" spans="1:21" ht="14.5" customHeight="1" outlineLevel="1" x14ac:dyDescent="0.3">
      <c r="A36" s="714" t="s">
        <v>466</v>
      </c>
      <c r="B36" s="485">
        <v>3.13</v>
      </c>
      <c r="C36" s="500" t="s">
        <v>106</v>
      </c>
      <c r="D36" s="490" t="s">
        <v>85</v>
      </c>
      <c r="E36" s="491">
        <v>12</v>
      </c>
      <c r="F36" s="161">
        <v>1385830.2020349696</v>
      </c>
      <c r="G36" s="491">
        <v>6940434.1054650042</v>
      </c>
      <c r="H36" s="491">
        <v>0</v>
      </c>
      <c r="I36" s="488">
        <f t="shared" si="1"/>
        <v>6940434.1054650042</v>
      </c>
      <c r="J36" s="491">
        <v>7555012.2619685959</v>
      </c>
      <c r="K36" s="491">
        <v>1888753.065492149</v>
      </c>
      <c r="L36" s="488">
        <f t="shared" si="4"/>
        <v>9443765.3274607453</v>
      </c>
      <c r="M36" s="491">
        <v>245762.99149388622</v>
      </c>
      <c r="N36" s="488">
        <f t="shared" si="2"/>
        <v>16384199.43292575</v>
      </c>
      <c r="Q36" s="450"/>
    </row>
    <row r="37" spans="1:21" ht="14.5" customHeight="1" outlineLevel="1" x14ac:dyDescent="0.3">
      <c r="A37" s="714" t="s">
        <v>466</v>
      </c>
      <c r="B37" s="485">
        <v>3.14</v>
      </c>
      <c r="C37" s="500" t="s">
        <v>107</v>
      </c>
      <c r="D37" s="490" t="s">
        <v>85</v>
      </c>
      <c r="E37" s="491">
        <v>41</v>
      </c>
      <c r="F37" s="161">
        <v>1118158.3719120922</v>
      </c>
      <c r="G37" s="491">
        <v>19354029.860338766</v>
      </c>
      <c r="H37" s="491">
        <v>0</v>
      </c>
      <c r="I37" s="488">
        <f t="shared" si="1"/>
        <v>19354029.860338766</v>
      </c>
      <c r="J37" s="491">
        <v>25812958.561726037</v>
      </c>
      <c r="K37" s="491">
        <v>0</v>
      </c>
      <c r="L37" s="488">
        <f t="shared" si="4"/>
        <v>25812958.561726037</v>
      </c>
      <c r="M37" s="491">
        <v>677504.82633097202</v>
      </c>
      <c r="N37" s="488">
        <f t="shared" si="2"/>
        <v>45166988.422064804</v>
      </c>
      <c r="Q37" s="450"/>
    </row>
    <row r="38" spans="1:21" ht="14.5" customHeight="1" outlineLevel="1" x14ac:dyDescent="0.3">
      <c r="A38" s="714" t="s">
        <v>466</v>
      </c>
      <c r="B38" s="485">
        <v>3.15</v>
      </c>
      <c r="C38" s="500" t="s">
        <v>108</v>
      </c>
      <c r="D38" s="490" t="s">
        <v>85</v>
      </c>
      <c r="E38" s="491">
        <v>135</v>
      </c>
      <c r="F38" s="161">
        <v>624423.60812788736</v>
      </c>
      <c r="G38" s="491">
        <v>48811035.028763182</v>
      </c>
      <c r="H38" s="491">
        <v>0</v>
      </c>
      <c r="I38" s="488">
        <f t="shared" si="1"/>
        <v>48811035.028763182</v>
      </c>
      <c r="J38" s="491">
        <v>34240380.830610991</v>
      </c>
      <c r="K38" s="491">
        <v>0</v>
      </c>
      <c r="L38" s="488">
        <f t="shared" si="4"/>
        <v>34240380.830610991</v>
      </c>
      <c r="M38" s="491">
        <v>1245771.2378906128</v>
      </c>
      <c r="N38" s="488">
        <f t="shared" si="2"/>
        <v>83051415.859374166</v>
      </c>
      <c r="Q38" s="450"/>
    </row>
    <row r="39" spans="1:21" ht="14.5" customHeight="1" outlineLevel="1" x14ac:dyDescent="0.3">
      <c r="A39" s="714" t="s">
        <v>466</v>
      </c>
      <c r="B39" s="485">
        <v>3.16</v>
      </c>
      <c r="C39" s="486" t="s">
        <v>109</v>
      </c>
      <c r="D39" s="493" t="s">
        <v>85</v>
      </c>
      <c r="E39" s="491">
        <v>13</v>
      </c>
      <c r="F39" s="161">
        <v>695310.64169315284</v>
      </c>
      <c r="G39" s="491">
        <v>4783929.1723889289</v>
      </c>
      <c r="H39" s="491">
        <v>0</v>
      </c>
      <c r="I39" s="488">
        <f t="shared" si="1"/>
        <v>4783929.1723889289</v>
      </c>
      <c r="J39" s="491">
        <v>3297221.8577625402</v>
      </c>
      <c r="K39" s="491">
        <v>824305.46444063506</v>
      </c>
      <c r="L39" s="488">
        <f t="shared" si="4"/>
        <v>4121527.3222031752</v>
      </c>
      <c r="M39" s="491">
        <v>133581.84741888157</v>
      </c>
      <c r="N39" s="488">
        <f t="shared" si="2"/>
        <v>8905456.4945921041</v>
      </c>
      <c r="Q39" s="450"/>
    </row>
    <row r="40" spans="1:21" ht="14.5" customHeight="1" outlineLevel="1" x14ac:dyDescent="0.3">
      <c r="A40" s="714" t="s">
        <v>466</v>
      </c>
      <c r="B40" s="485">
        <v>3.17</v>
      </c>
      <c r="C40" s="486" t="s">
        <v>110</v>
      </c>
      <c r="D40" s="493" t="s">
        <v>85</v>
      </c>
      <c r="E40" s="491">
        <v>14</v>
      </c>
      <c r="F40" s="161">
        <v>786954.24984613247</v>
      </c>
      <c r="G40" s="491">
        <v>5668183.2660402684</v>
      </c>
      <c r="H40" s="491">
        <v>0</v>
      </c>
      <c r="I40" s="488">
        <f t="shared" si="1"/>
        <v>5668183.2660402684</v>
      </c>
      <c r="J40" s="491">
        <v>5186358.1111477651</v>
      </c>
      <c r="K40" s="491">
        <v>0</v>
      </c>
      <c r="L40" s="488">
        <f t="shared" si="4"/>
        <v>5186358.1111477651</v>
      </c>
      <c r="M40" s="491">
        <v>162818.12065782052</v>
      </c>
      <c r="N40" s="488">
        <f t="shared" si="2"/>
        <v>10854541.377188034</v>
      </c>
      <c r="Q40" s="450"/>
    </row>
    <row r="41" spans="1:21" ht="14.5" customHeight="1" outlineLevel="1" x14ac:dyDescent="0.3">
      <c r="A41" s="714" t="s">
        <v>466</v>
      </c>
      <c r="B41" s="485">
        <v>3.18</v>
      </c>
      <c r="C41" s="486" t="s">
        <v>111</v>
      </c>
      <c r="D41" s="493" t="s">
        <v>85</v>
      </c>
      <c r="E41" s="491">
        <v>2</v>
      </c>
      <c r="F41" s="161">
        <v>1272170.2886112265</v>
      </c>
      <c r="G41" s="491">
        <v>932778.59703810536</v>
      </c>
      <c r="H41" s="491">
        <v>0</v>
      </c>
      <c r="I41" s="488">
        <f t="shared" si="1"/>
        <v>932778.59703810536</v>
      </c>
      <c r="J41" s="491">
        <v>1259168.7103280993</v>
      </c>
      <c r="K41" s="491">
        <v>314792.17758202483</v>
      </c>
      <c r="L41" s="488">
        <f t="shared" si="4"/>
        <v>1573960.8879101241</v>
      </c>
      <c r="M41" s="491">
        <v>37601.09227422344</v>
      </c>
      <c r="N41" s="488">
        <f t="shared" si="2"/>
        <v>2506739.4849482295</v>
      </c>
      <c r="Q41" s="450"/>
    </row>
    <row r="42" spans="1:21" ht="14.5" customHeight="1" outlineLevel="1" x14ac:dyDescent="0.3">
      <c r="A42" s="714" t="s">
        <v>466</v>
      </c>
      <c r="B42" s="485">
        <v>3.19</v>
      </c>
      <c r="C42" s="501" t="s">
        <v>112</v>
      </c>
      <c r="D42" s="493" t="s">
        <v>69</v>
      </c>
      <c r="E42" s="494">
        <v>1</v>
      </c>
      <c r="F42" s="161">
        <v>10584987.993234448</v>
      </c>
      <c r="G42" s="494">
        <v>0</v>
      </c>
      <c r="H42" s="494">
        <v>0</v>
      </c>
      <c r="I42" s="488">
        <f t="shared" si="1"/>
        <v>0</v>
      </c>
      <c r="J42" s="494">
        <v>0</v>
      </c>
      <c r="K42" s="494">
        <v>0</v>
      </c>
      <c r="L42" s="488">
        <f t="shared" si="4"/>
        <v>0</v>
      </c>
      <c r="M42" s="494">
        <v>10584987.993234448</v>
      </c>
      <c r="N42" s="488">
        <f t="shared" si="2"/>
        <v>0</v>
      </c>
      <c r="Q42" s="450"/>
    </row>
    <row r="43" spans="1:21" ht="14.5" customHeight="1" outlineLevel="1" x14ac:dyDescent="0.3">
      <c r="A43" s="714" t="s">
        <v>466</v>
      </c>
      <c r="B43" s="485">
        <v>3.2</v>
      </c>
      <c r="C43" s="501" t="s">
        <v>113</v>
      </c>
      <c r="D43" s="493" t="s">
        <v>114</v>
      </c>
      <c r="E43" s="494">
        <v>13</v>
      </c>
      <c r="F43" s="161">
        <v>246942.14876033057</v>
      </c>
      <c r="G43" s="494">
        <v>0</v>
      </c>
      <c r="H43" s="494">
        <v>0</v>
      </c>
      <c r="I43" s="488">
        <f t="shared" si="1"/>
        <v>0</v>
      </c>
      <c r="J43" s="494">
        <v>3210247.9338842975</v>
      </c>
      <c r="K43" s="494">
        <v>0</v>
      </c>
      <c r="L43" s="488">
        <f t="shared" si="4"/>
        <v>3210247.9338842975</v>
      </c>
      <c r="M43" s="494">
        <v>0</v>
      </c>
      <c r="N43" s="488">
        <f t="shared" si="2"/>
        <v>3210247.9338842975</v>
      </c>
      <c r="Q43" s="450"/>
    </row>
    <row r="44" spans="1:21" ht="14.5" customHeight="1" outlineLevel="1" x14ac:dyDescent="0.3">
      <c r="A44" s="714" t="s">
        <v>466</v>
      </c>
      <c r="B44" s="485">
        <v>3.21</v>
      </c>
      <c r="C44" s="501" t="s">
        <v>115</v>
      </c>
      <c r="D44" s="493" t="s">
        <v>69</v>
      </c>
      <c r="E44" s="494">
        <v>3</v>
      </c>
      <c r="F44" s="161">
        <v>55000</v>
      </c>
      <c r="G44" s="494">
        <v>165000</v>
      </c>
      <c r="H44" s="494">
        <v>0</v>
      </c>
      <c r="I44" s="488">
        <f t="shared" si="1"/>
        <v>165000</v>
      </c>
      <c r="J44" s="494">
        <v>0</v>
      </c>
      <c r="K44" s="494">
        <v>0</v>
      </c>
      <c r="L44" s="488">
        <f t="shared" si="4"/>
        <v>0</v>
      </c>
      <c r="M44" s="494">
        <v>0</v>
      </c>
      <c r="N44" s="488">
        <f t="shared" si="2"/>
        <v>165000</v>
      </c>
      <c r="Q44" s="450"/>
    </row>
    <row r="45" spans="1:21" ht="14.5" customHeight="1" outlineLevel="1" x14ac:dyDescent="0.3">
      <c r="A45" s="714" t="s">
        <v>466</v>
      </c>
      <c r="B45" s="485">
        <v>3.22</v>
      </c>
      <c r="C45" s="502" t="s">
        <v>348</v>
      </c>
      <c r="D45" s="503" t="s">
        <v>83</v>
      </c>
      <c r="E45" s="504">
        <v>65</v>
      </c>
      <c r="F45" s="208">
        <v>29896.607361835675</v>
      </c>
      <c r="G45" s="607">
        <v>300000</v>
      </c>
      <c r="H45" s="607">
        <v>300000</v>
      </c>
      <c r="I45" s="488">
        <f t="shared" si="1"/>
        <v>600000</v>
      </c>
      <c r="J45" s="607">
        <v>0</v>
      </c>
      <c r="K45" s="607">
        <v>1314561.0625806099</v>
      </c>
      <c r="L45" s="488">
        <f t="shared" si="4"/>
        <v>1314561.0625806099</v>
      </c>
      <c r="M45" s="607">
        <v>28718.415938709146</v>
      </c>
      <c r="N45" s="488">
        <f t="shared" si="2"/>
        <v>1914561.0625806099</v>
      </c>
      <c r="Q45" s="450"/>
    </row>
    <row r="46" spans="1:21" ht="14.5" customHeight="1" x14ac:dyDescent="0.3">
      <c r="B46" s="472">
        <v>24</v>
      </c>
      <c r="C46" s="473" t="s">
        <v>284</v>
      </c>
      <c r="D46" s="474"/>
      <c r="E46" s="475"/>
      <c r="F46" s="141"/>
      <c r="G46" s="475"/>
      <c r="H46" s="475"/>
      <c r="I46" s="475"/>
      <c r="J46" s="475"/>
      <c r="K46" s="475"/>
      <c r="L46" s="475"/>
      <c r="M46" s="475"/>
      <c r="N46" s="475"/>
    </row>
    <row r="47" spans="1:21" ht="14.5" customHeight="1" outlineLevel="1" x14ac:dyDescent="0.3">
      <c r="A47" s="1105" t="s">
        <v>468</v>
      </c>
      <c r="B47" s="480">
        <v>24.01</v>
      </c>
      <c r="C47" s="506" t="s">
        <v>285</v>
      </c>
      <c r="D47" s="482" t="s">
        <v>77</v>
      </c>
      <c r="E47" s="488">
        <v>10</v>
      </c>
      <c r="F47" s="150">
        <v>806885.98632321146</v>
      </c>
      <c r="G47" s="488">
        <v>0</v>
      </c>
      <c r="H47" s="488">
        <v>0</v>
      </c>
      <c r="I47" s="488">
        <f t="shared" si="1"/>
        <v>0</v>
      </c>
      <c r="J47" s="488">
        <f>E47*F47</f>
        <v>8068859.8632321144</v>
      </c>
      <c r="K47" s="488">
        <v>0</v>
      </c>
      <c r="L47" s="488">
        <f t="shared" ref="L47:L54" si="5">SUM(J47:K47)</f>
        <v>8068859.8632321144</v>
      </c>
      <c r="M47" s="488">
        <v>0</v>
      </c>
      <c r="N47" s="488">
        <f t="shared" si="2"/>
        <v>8068859.8632321144</v>
      </c>
      <c r="P47" s="478" t="s">
        <v>634</v>
      </c>
      <c r="Q47" s="450"/>
      <c r="R47" s="479"/>
      <c r="S47" s="478"/>
      <c r="T47" s="478"/>
      <c r="U47" s="478"/>
    </row>
    <row r="48" spans="1:21" ht="14.5" customHeight="1" outlineLevel="1" x14ac:dyDescent="0.3">
      <c r="A48" s="714" t="s">
        <v>467</v>
      </c>
      <c r="B48" s="507">
        <v>24.02</v>
      </c>
      <c r="C48" s="508" t="s">
        <v>286</v>
      </c>
      <c r="D48" s="509" t="s">
        <v>77</v>
      </c>
      <c r="E48" s="510">
        <v>1</v>
      </c>
      <c r="F48" s="161">
        <v>1623254.4601415317</v>
      </c>
      <c r="G48" s="510">
        <v>0</v>
      </c>
      <c r="H48" s="510">
        <v>0</v>
      </c>
      <c r="I48" s="488">
        <f t="shared" si="1"/>
        <v>0</v>
      </c>
      <c r="J48" s="488">
        <f>E48*F48</f>
        <v>1623254.4601415317</v>
      </c>
      <c r="K48" s="510">
        <v>0</v>
      </c>
      <c r="L48" s="488">
        <f t="shared" si="5"/>
        <v>1623254.4601415317</v>
      </c>
      <c r="M48" s="510">
        <v>0</v>
      </c>
      <c r="N48" s="488">
        <f t="shared" si="2"/>
        <v>1623254.4601415317</v>
      </c>
      <c r="P48" s="478"/>
      <c r="Q48" s="450"/>
      <c r="R48" s="479"/>
      <c r="S48" s="478"/>
      <c r="T48" s="478"/>
      <c r="U48" s="478"/>
    </row>
    <row r="49" spans="1:21" ht="14.5" customHeight="1" outlineLevel="1" x14ac:dyDescent="0.3">
      <c r="A49" s="714" t="s">
        <v>467</v>
      </c>
      <c r="B49" s="485">
        <v>24.03</v>
      </c>
      <c r="C49" s="511" t="s">
        <v>287</v>
      </c>
      <c r="D49" s="487" t="s">
        <v>77</v>
      </c>
      <c r="E49" s="488">
        <v>10</v>
      </c>
      <c r="F49" s="161">
        <v>300000</v>
      </c>
      <c r="G49" s="488">
        <v>0</v>
      </c>
      <c r="H49" s="488">
        <v>0</v>
      </c>
      <c r="I49" s="488">
        <f t="shared" si="1"/>
        <v>0</v>
      </c>
      <c r="J49" s="488">
        <f>E49*F49</f>
        <v>3000000</v>
      </c>
      <c r="K49" s="488">
        <v>0</v>
      </c>
      <c r="L49" s="488">
        <f t="shared" si="5"/>
        <v>3000000</v>
      </c>
      <c r="M49" s="488">
        <v>0</v>
      </c>
      <c r="N49" s="488">
        <f t="shared" si="2"/>
        <v>3000000</v>
      </c>
      <c r="P49" s="478"/>
      <c r="Q49" s="450"/>
      <c r="R49" s="479"/>
      <c r="S49" s="478"/>
      <c r="T49" s="478"/>
      <c r="U49" s="478"/>
    </row>
    <row r="50" spans="1:21" ht="14.5" customHeight="1" outlineLevel="1" x14ac:dyDescent="0.3">
      <c r="A50" s="714" t="s">
        <v>466</v>
      </c>
      <c r="B50" s="507">
        <v>24.04</v>
      </c>
      <c r="C50" s="511" t="s">
        <v>288</v>
      </c>
      <c r="D50" s="487" t="s">
        <v>69</v>
      </c>
      <c r="E50" s="488">
        <v>1</v>
      </c>
      <c r="F50" s="161">
        <v>9821535.2551181149</v>
      </c>
      <c r="G50" s="488">
        <f>E50*'01'!F204</f>
        <v>4076935.9416666673</v>
      </c>
      <c r="H50" s="488">
        <v>0</v>
      </c>
      <c r="I50" s="488">
        <f t="shared" si="1"/>
        <v>4076935.9416666673</v>
      </c>
      <c r="J50" s="488">
        <f>E50*'01'!I204</f>
        <v>600000</v>
      </c>
      <c r="K50" s="488">
        <f>E50*'01'!Q204</f>
        <v>4999453.4722428042</v>
      </c>
      <c r="L50" s="488">
        <f t="shared" si="5"/>
        <v>5599453.4722428042</v>
      </c>
      <c r="M50" s="488">
        <f>E50*'01'!R204</f>
        <v>145145.84120864209</v>
      </c>
      <c r="N50" s="488">
        <f t="shared" si="2"/>
        <v>9676389.4139094725</v>
      </c>
      <c r="P50" s="478"/>
      <c r="Q50" s="450"/>
      <c r="R50" s="479"/>
      <c r="S50" s="478"/>
      <c r="T50" s="478"/>
      <c r="U50" s="478"/>
    </row>
    <row r="51" spans="1:21" s="514" customFormat="1" ht="14.5" customHeight="1" outlineLevel="1" x14ac:dyDescent="0.3">
      <c r="A51" s="714" t="s">
        <v>468</v>
      </c>
      <c r="B51" s="485">
        <v>24.05</v>
      </c>
      <c r="C51" s="511" t="s">
        <v>291</v>
      </c>
      <c r="D51" s="512" t="s">
        <v>77</v>
      </c>
      <c r="E51" s="488">
        <v>10</v>
      </c>
      <c r="F51" s="161">
        <v>717889.73925965955</v>
      </c>
      <c r="G51" s="488">
        <v>0</v>
      </c>
      <c r="H51" s="488">
        <f>$E$51*'01'!G205</f>
        <v>500000</v>
      </c>
      <c r="I51" s="488">
        <f t="shared" si="1"/>
        <v>500000</v>
      </c>
      <c r="J51" s="488">
        <v>0</v>
      </c>
      <c r="K51" s="488">
        <f>E51*'01'!J205</f>
        <v>6572805.3129030494</v>
      </c>
      <c r="L51" s="488">
        <f t="shared" si="5"/>
        <v>6572805.3129030494</v>
      </c>
      <c r="M51" s="488">
        <f>10*'01'!L205</f>
        <v>106092.07969354575</v>
      </c>
      <c r="N51" s="488">
        <f t="shared" si="2"/>
        <v>7072805.3129030494</v>
      </c>
      <c r="P51" s="478"/>
      <c r="Q51" s="450"/>
      <c r="R51" s="479"/>
      <c r="S51" s="478"/>
      <c r="T51" s="478"/>
      <c r="U51" s="478"/>
    </row>
    <row r="52" spans="1:21" s="514" customFormat="1" ht="14.5" customHeight="1" outlineLevel="1" x14ac:dyDescent="0.3">
      <c r="A52" s="714" t="s">
        <v>468</v>
      </c>
      <c r="B52" s="507">
        <v>24.06</v>
      </c>
      <c r="C52" s="511" t="s">
        <v>292</v>
      </c>
      <c r="D52" s="512" t="s">
        <v>77</v>
      </c>
      <c r="E52" s="488">
        <v>10</v>
      </c>
      <c r="F52" s="161">
        <v>651342.13581991044</v>
      </c>
      <c r="G52" s="488">
        <v>0</v>
      </c>
      <c r="H52" s="488">
        <f>10*'01'!G206</f>
        <v>500000</v>
      </c>
      <c r="I52" s="488">
        <f t="shared" si="1"/>
        <v>500000</v>
      </c>
      <c r="J52" s="488">
        <v>0</v>
      </c>
      <c r="K52" s="488">
        <f>10*'01'!J206</f>
        <v>5917163.8997035511</v>
      </c>
      <c r="L52" s="488">
        <f t="shared" si="5"/>
        <v>5917163.8997035511</v>
      </c>
      <c r="M52" s="488">
        <f>10*'01'!L206</f>
        <v>96257.458495553263</v>
      </c>
      <c r="N52" s="488">
        <f t="shared" si="2"/>
        <v>6417163.8997035511</v>
      </c>
      <c r="P52" s="478"/>
      <c r="Q52" s="450"/>
      <c r="R52" s="479"/>
      <c r="S52" s="478"/>
      <c r="T52" s="478"/>
      <c r="U52" s="478"/>
    </row>
    <row r="53" spans="1:21" s="514" customFormat="1" ht="14.5" customHeight="1" outlineLevel="1" x14ac:dyDescent="0.3">
      <c r="A53" s="714" t="s">
        <v>469</v>
      </c>
      <c r="B53" s="507">
        <v>24.08</v>
      </c>
      <c r="C53" s="511" t="s">
        <v>294</v>
      </c>
      <c r="D53" s="512" t="s">
        <v>77</v>
      </c>
      <c r="E53" s="488">
        <v>10</v>
      </c>
      <c r="F53" s="161">
        <v>300000</v>
      </c>
      <c r="G53" s="488">
        <v>0</v>
      </c>
      <c r="H53" s="488">
        <v>0</v>
      </c>
      <c r="I53" s="488">
        <f t="shared" si="1"/>
        <v>0</v>
      </c>
      <c r="J53" s="488">
        <f>E53*'01'!I208</f>
        <v>3000000</v>
      </c>
      <c r="K53" s="488">
        <v>0</v>
      </c>
      <c r="L53" s="488">
        <f t="shared" si="5"/>
        <v>3000000</v>
      </c>
      <c r="M53" s="488">
        <v>0</v>
      </c>
      <c r="N53" s="488">
        <f t="shared" si="2"/>
        <v>3000000</v>
      </c>
      <c r="P53" s="478"/>
      <c r="Q53" s="450"/>
      <c r="R53" s="479"/>
      <c r="S53" s="478"/>
      <c r="T53" s="478"/>
      <c r="U53" s="478"/>
    </row>
    <row r="54" spans="1:21" s="518" customFormat="1" ht="14.5" customHeight="1" outlineLevel="1" x14ac:dyDescent="0.3">
      <c r="A54" s="714" t="s">
        <v>464</v>
      </c>
      <c r="B54" s="485">
        <v>24.09</v>
      </c>
      <c r="C54" s="515" t="s">
        <v>295</v>
      </c>
      <c r="D54" s="516" t="s">
        <v>77</v>
      </c>
      <c r="E54" s="488">
        <v>10</v>
      </c>
      <c r="F54" s="161">
        <v>271249.10634317162</v>
      </c>
      <c r="G54" s="561">
        <f>E54*'01'!F209</f>
        <v>2000000</v>
      </c>
      <c r="H54" s="561">
        <v>0</v>
      </c>
      <c r="I54" s="488">
        <f t="shared" si="1"/>
        <v>2000000</v>
      </c>
      <c r="J54" s="561">
        <v>0</v>
      </c>
      <c r="K54" s="561">
        <f>E54*'01'!J209</f>
        <v>672404.9886026762</v>
      </c>
      <c r="L54" s="488">
        <f t="shared" si="5"/>
        <v>672404.9886026762</v>
      </c>
      <c r="M54" s="561">
        <f>10*'01'!L209</f>
        <v>40086.074829040146</v>
      </c>
      <c r="N54" s="488">
        <f t="shared" si="2"/>
        <v>2672404.9886026764</v>
      </c>
      <c r="P54" s="478"/>
      <c r="Q54" s="450"/>
      <c r="R54" s="479"/>
      <c r="S54" s="478"/>
      <c r="T54" s="478"/>
      <c r="U54" s="478"/>
    </row>
    <row r="55" spans="1:21" ht="14.5" customHeight="1" x14ac:dyDescent="0.3">
      <c r="B55" s="472">
        <v>25</v>
      </c>
      <c r="C55" s="473" t="s">
        <v>296</v>
      </c>
      <c r="D55" s="474"/>
      <c r="E55" s="475"/>
      <c r="F55" s="141"/>
      <c r="G55" s="475"/>
      <c r="H55" s="475"/>
      <c r="I55" s="475"/>
      <c r="J55" s="475"/>
      <c r="K55" s="475"/>
      <c r="L55" s="475"/>
      <c r="M55" s="475"/>
      <c r="N55" s="475"/>
      <c r="P55" s="478"/>
      <c r="Q55" s="450"/>
      <c r="R55" s="479"/>
      <c r="S55" s="478"/>
      <c r="T55" s="478"/>
      <c r="U55" s="478"/>
    </row>
    <row r="56" spans="1:21" s="523" customFormat="1" ht="14.5" customHeight="1" outlineLevel="1" x14ac:dyDescent="0.3">
      <c r="A56" s="1105" t="s">
        <v>470</v>
      </c>
      <c r="B56" s="480">
        <v>25.01</v>
      </c>
      <c r="C56" s="481" t="s">
        <v>297</v>
      </c>
      <c r="D56" s="519" t="s">
        <v>77</v>
      </c>
      <c r="E56" s="488">
        <v>10</v>
      </c>
      <c r="F56" s="161">
        <v>3246508.9202830633</v>
      </c>
      <c r="G56" s="704">
        <v>0</v>
      </c>
      <c r="H56" s="704">
        <v>0</v>
      </c>
      <c r="I56" s="488">
        <f t="shared" si="1"/>
        <v>0</v>
      </c>
      <c r="J56" s="704">
        <f>E56*'01'!I211</f>
        <v>32465089.202830635</v>
      </c>
      <c r="K56" s="704">
        <v>0</v>
      </c>
      <c r="L56" s="488">
        <f t="shared" ref="L56:L57" si="6">SUM(J56:K56)</f>
        <v>32465089.202830635</v>
      </c>
      <c r="M56" s="704">
        <v>0</v>
      </c>
      <c r="N56" s="488">
        <f t="shared" si="2"/>
        <v>32465089.202830635</v>
      </c>
      <c r="P56" s="478"/>
      <c r="Q56" s="450"/>
      <c r="R56" s="479"/>
      <c r="S56" s="478"/>
      <c r="T56" s="478"/>
      <c r="U56" s="478"/>
    </row>
    <row r="57" spans="1:21" s="523" customFormat="1" ht="14.5" customHeight="1" outlineLevel="1" x14ac:dyDescent="0.3">
      <c r="A57" s="1105" t="s">
        <v>469</v>
      </c>
      <c r="B57" s="524">
        <v>25.02</v>
      </c>
      <c r="C57" s="502" t="s">
        <v>298</v>
      </c>
      <c r="D57" s="525" t="s">
        <v>77</v>
      </c>
      <c r="E57" s="488">
        <v>10</v>
      </c>
      <c r="F57" s="161">
        <v>500000</v>
      </c>
      <c r="G57" s="704">
        <v>0</v>
      </c>
      <c r="H57" s="704">
        <v>0</v>
      </c>
      <c r="I57" s="488">
        <f t="shared" si="1"/>
        <v>0</v>
      </c>
      <c r="J57" s="704">
        <f>E57*'01'!I212</f>
        <v>5000000</v>
      </c>
      <c r="K57" s="704">
        <v>0</v>
      </c>
      <c r="L57" s="488">
        <f t="shared" si="6"/>
        <v>5000000</v>
      </c>
      <c r="M57" s="704">
        <v>0</v>
      </c>
      <c r="N57" s="488">
        <f t="shared" si="2"/>
        <v>5000000</v>
      </c>
      <c r="P57" s="478"/>
      <c r="Q57" s="450"/>
      <c r="R57" s="479"/>
      <c r="S57" s="478"/>
      <c r="T57" s="478"/>
      <c r="U57" s="478"/>
    </row>
    <row r="58" spans="1:21" ht="14.5" customHeight="1" x14ac:dyDescent="0.3">
      <c r="B58" s="472" t="s">
        <v>349</v>
      </c>
      <c r="C58" s="473" t="s">
        <v>350</v>
      </c>
      <c r="D58" s="474"/>
      <c r="E58" s="475"/>
      <c r="F58" s="141"/>
      <c r="G58" s="475"/>
      <c r="H58" s="475"/>
      <c r="I58" s="475"/>
      <c r="J58" s="475"/>
      <c r="K58" s="475"/>
      <c r="L58" s="475"/>
      <c r="M58" s="475"/>
      <c r="N58" s="475"/>
      <c r="P58" s="527" t="s">
        <v>351</v>
      </c>
      <c r="Q58" s="528" t="e">
        <f>SUM(#REF!)</f>
        <v>#REF!</v>
      </c>
      <c r="R58" s="479" t="e">
        <f>+Q58-#REF!</f>
        <v>#REF!</v>
      </c>
      <c r="S58" s="478"/>
      <c r="T58" s="478"/>
      <c r="U58" s="478"/>
    </row>
    <row r="59" spans="1:21" s="523" customFormat="1" ht="14.5" customHeight="1" outlineLevel="1" x14ac:dyDescent="0.3">
      <c r="B59" s="529"/>
      <c r="C59" s="530"/>
      <c r="D59" s="531"/>
      <c r="E59" s="532"/>
      <c r="F59" s="141"/>
      <c r="G59" s="532"/>
      <c r="H59" s="532"/>
      <c r="I59" s="532"/>
      <c r="J59" s="532"/>
      <c r="K59" s="532"/>
      <c r="L59" s="532"/>
      <c r="M59" s="532"/>
      <c r="N59" s="532"/>
      <c r="P59" s="834"/>
      <c r="Q59" s="450"/>
      <c r="R59" s="479">
        <f>Q59-P59</f>
        <v>0</v>
      </c>
      <c r="S59" s="478"/>
      <c r="T59" s="478"/>
      <c r="U59" s="478"/>
    </row>
    <row r="60" spans="1:21" ht="14.5" customHeight="1" x14ac:dyDescent="0.3">
      <c r="B60" s="472">
        <v>4</v>
      </c>
      <c r="C60" s="473" t="s">
        <v>117</v>
      </c>
      <c r="D60" s="474"/>
      <c r="E60" s="475"/>
      <c r="F60" s="141"/>
      <c r="G60" s="475"/>
      <c r="H60" s="475"/>
      <c r="I60" s="475"/>
      <c r="J60" s="475"/>
      <c r="K60" s="475"/>
      <c r="L60" s="475"/>
      <c r="M60" s="475"/>
      <c r="N60" s="475"/>
      <c r="P60" s="478"/>
      <c r="Q60" s="450"/>
      <c r="R60" s="479"/>
      <c r="S60" s="478"/>
      <c r="T60" s="478"/>
      <c r="U60" s="478"/>
    </row>
    <row r="61" spans="1:21" s="523" customFormat="1" ht="14.5" customHeight="1" outlineLevel="1" x14ac:dyDescent="0.3">
      <c r="A61" s="714" t="s">
        <v>468</v>
      </c>
      <c r="B61" s="480">
        <v>4.01</v>
      </c>
      <c r="C61" s="481" t="s">
        <v>118</v>
      </c>
      <c r="D61" s="519" t="s">
        <v>83</v>
      </c>
      <c r="E61" s="535">
        <v>437</v>
      </c>
      <c r="F61" s="161">
        <v>21070.744416536134</v>
      </c>
      <c r="G61" s="535">
        <v>0</v>
      </c>
      <c r="H61" s="535">
        <v>4393505.4045978086</v>
      </c>
      <c r="I61" s="488">
        <f t="shared" ref="I61:I66" si="7">SUM(G61:H61)</f>
        <v>4393505.4045978086</v>
      </c>
      <c r="J61" s="535">
        <v>0</v>
      </c>
      <c r="K61" s="535">
        <v>4702633.817136229</v>
      </c>
      <c r="L61" s="488">
        <f t="shared" ref="L61:L66" si="8">SUM(J61:K61)</f>
        <v>4702633.817136229</v>
      </c>
      <c r="M61" s="535">
        <v>111776.08829225255</v>
      </c>
      <c r="N61" s="488">
        <f t="shared" ref="N61:N66" si="9">SUM(I61,L61)</f>
        <v>9096139.2217340376</v>
      </c>
      <c r="P61" s="449"/>
      <c r="Q61" s="450"/>
      <c r="R61" s="450"/>
      <c r="S61" s="449"/>
      <c r="T61" s="449"/>
      <c r="U61" s="449"/>
    </row>
    <row r="62" spans="1:21" s="523" customFormat="1" ht="39" outlineLevel="1" x14ac:dyDescent="0.3">
      <c r="A62" s="714" t="s">
        <v>468</v>
      </c>
      <c r="B62" s="485">
        <v>4.0199999999999996</v>
      </c>
      <c r="C62" s="537" t="s">
        <v>119</v>
      </c>
      <c r="D62" s="493" t="s">
        <v>83</v>
      </c>
      <c r="E62" s="494">
        <v>723</v>
      </c>
      <c r="F62" s="161">
        <v>29224.216756443533</v>
      </c>
      <c r="G62" s="542">
        <v>0</v>
      </c>
      <c r="H62" s="542">
        <v>13163849.306156289</v>
      </c>
      <c r="I62" s="488">
        <f t="shared" si="7"/>
        <v>13163849.306156289</v>
      </c>
      <c r="J62" s="542">
        <v>0</v>
      </c>
      <c r="K62" s="542">
        <v>7780330.0910514724</v>
      </c>
      <c r="L62" s="488">
        <f t="shared" si="8"/>
        <v>7780330.0910514724</v>
      </c>
      <c r="M62" s="542">
        <v>184929.31770091213</v>
      </c>
      <c r="N62" s="488">
        <f t="shared" si="9"/>
        <v>20944179.397207759</v>
      </c>
      <c r="P62" s="478"/>
      <c r="Q62" s="450"/>
      <c r="R62" s="479"/>
      <c r="S62" s="478"/>
      <c r="T62" s="478"/>
      <c r="U62" s="478"/>
    </row>
    <row r="63" spans="1:21" s="523" customFormat="1" ht="14.5" customHeight="1" outlineLevel="1" x14ac:dyDescent="0.3">
      <c r="A63" s="714" t="s">
        <v>468</v>
      </c>
      <c r="B63" s="485">
        <v>4.03</v>
      </c>
      <c r="C63" s="486" t="s">
        <v>120</v>
      </c>
      <c r="D63" s="493" t="s">
        <v>83</v>
      </c>
      <c r="E63" s="494">
        <v>1008</v>
      </c>
      <c r="F63" s="161">
        <v>23481.993889328336</v>
      </c>
      <c r="G63" s="542">
        <v>0</v>
      </c>
      <c r="H63" s="542">
        <v>12564757.884672003</v>
      </c>
      <c r="I63" s="488">
        <f t="shared" si="7"/>
        <v>12564757.884672003</v>
      </c>
      <c r="J63" s="542">
        <v>0</v>
      </c>
      <c r="K63" s="542">
        <v>10847265.189183796</v>
      </c>
      <c r="L63" s="488">
        <f t="shared" si="8"/>
        <v>10847265.189183796</v>
      </c>
      <c r="M63" s="542">
        <v>257826.76658716379</v>
      </c>
      <c r="N63" s="488">
        <f t="shared" si="9"/>
        <v>23412023.073855799</v>
      </c>
      <c r="P63" s="478"/>
      <c r="Q63" s="450"/>
      <c r="R63" s="479"/>
      <c r="S63" s="478"/>
      <c r="T63" s="478"/>
      <c r="U63" s="478"/>
    </row>
    <row r="64" spans="1:21" s="523" customFormat="1" ht="14.5" customHeight="1" outlineLevel="1" x14ac:dyDescent="0.3">
      <c r="A64" s="714" t="s">
        <v>468</v>
      </c>
      <c r="B64" s="485">
        <v>4.04</v>
      </c>
      <c r="C64" s="486" t="s">
        <v>352</v>
      </c>
      <c r="D64" s="493" t="s">
        <v>83</v>
      </c>
      <c r="E64" s="494">
        <v>199</v>
      </c>
      <c r="F64" s="161">
        <v>11705.455230906517</v>
      </c>
      <c r="G64" s="542">
        <v>0</v>
      </c>
      <c r="H64" s="542">
        <v>1207748.2765906414</v>
      </c>
      <c r="I64" s="488">
        <f t="shared" si="7"/>
        <v>1207748.2765906414</v>
      </c>
      <c r="J64" s="542">
        <v>0</v>
      </c>
      <c r="K64" s="542">
        <v>1070736.990400583</v>
      </c>
      <c r="L64" s="488">
        <f t="shared" si="8"/>
        <v>1070736.990400583</v>
      </c>
      <c r="M64" s="542">
        <v>50900.323959172216</v>
      </c>
      <c r="N64" s="488">
        <f t="shared" si="9"/>
        <v>2278485.2669912241</v>
      </c>
      <c r="P64" s="478"/>
      <c r="Q64" s="450"/>
      <c r="R64" s="479"/>
      <c r="S64" s="478"/>
      <c r="T64" s="478"/>
      <c r="U64" s="478"/>
    </row>
    <row r="65" spans="1:21" s="523" customFormat="1" ht="14.5" customHeight="1" outlineLevel="1" x14ac:dyDescent="0.3">
      <c r="A65" s="714" t="s">
        <v>468</v>
      </c>
      <c r="B65" s="485">
        <v>4.05</v>
      </c>
      <c r="C65" s="486" t="s">
        <v>122</v>
      </c>
      <c r="D65" s="493" t="s">
        <v>83</v>
      </c>
      <c r="E65" s="494">
        <v>34</v>
      </c>
      <c r="F65" s="161">
        <v>57103.476096060054</v>
      </c>
      <c r="G65" s="542">
        <v>984099.57151026838</v>
      </c>
      <c r="H65" s="542">
        <v>0</v>
      </c>
      <c r="I65" s="488">
        <f t="shared" si="7"/>
        <v>984099.57151026838</v>
      </c>
      <c r="J65" s="542">
        <v>942419.23207839753</v>
      </c>
      <c r="K65" s="542">
        <v>0</v>
      </c>
      <c r="L65" s="488">
        <f t="shared" si="8"/>
        <v>942419.23207839753</v>
      </c>
      <c r="M65" s="542">
        <v>14999.383677375934</v>
      </c>
      <c r="N65" s="488">
        <f t="shared" si="9"/>
        <v>1926518.803588666</v>
      </c>
      <c r="P65" s="478"/>
      <c r="Q65" s="450"/>
      <c r="R65" s="479"/>
      <c r="S65" s="478"/>
      <c r="T65" s="478"/>
      <c r="U65" s="478"/>
    </row>
    <row r="66" spans="1:21" s="523" customFormat="1" ht="14.5" customHeight="1" outlineLevel="1" x14ac:dyDescent="0.3">
      <c r="A66" s="714" t="s">
        <v>468</v>
      </c>
      <c r="B66" s="485">
        <v>4.0599999999999996</v>
      </c>
      <c r="C66" s="486" t="s">
        <v>353</v>
      </c>
      <c r="D66" s="493" t="s">
        <v>74</v>
      </c>
      <c r="E66" s="494">
        <v>24</v>
      </c>
      <c r="F66" s="161">
        <v>60658.587582160981</v>
      </c>
      <c r="G66" s="542">
        <v>561720.28</v>
      </c>
      <c r="H66" s="542">
        <v>0</v>
      </c>
      <c r="I66" s="488">
        <f t="shared" si="7"/>
        <v>561720.28</v>
      </c>
      <c r="J66" s="542">
        <v>0</v>
      </c>
      <c r="K66" s="542">
        <v>872571.4460806537</v>
      </c>
      <c r="L66" s="488">
        <f t="shared" si="8"/>
        <v>872571.4460806537</v>
      </c>
      <c r="M66" s="542">
        <v>21514.375891209806</v>
      </c>
      <c r="N66" s="488">
        <f t="shared" si="9"/>
        <v>1434291.7260806537</v>
      </c>
      <c r="P66" s="478"/>
      <c r="Q66" s="450"/>
      <c r="R66" s="479"/>
      <c r="S66" s="478"/>
      <c r="T66" s="478"/>
      <c r="U66" s="478"/>
    </row>
    <row r="67" spans="1:21" ht="14.5" customHeight="1" x14ac:dyDescent="0.3">
      <c r="B67" s="472">
        <v>5</v>
      </c>
      <c r="C67" s="473" t="s">
        <v>124</v>
      </c>
      <c r="D67" s="474"/>
      <c r="E67" s="475"/>
      <c r="F67" s="141"/>
      <c r="G67" s="475"/>
      <c r="H67" s="475"/>
      <c r="I67" s="475"/>
      <c r="J67" s="475"/>
      <c r="K67" s="475"/>
      <c r="L67" s="475"/>
      <c r="M67" s="475"/>
      <c r="N67" s="475"/>
      <c r="P67" s="538"/>
      <c r="Q67" s="450"/>
      <c r="R67" s="539"/>
      <c r="S67" s="538"/>
      <c r="T67" s="538"/>
      <c r="U67" s="538"/>
    </row>
    <row r="68" spans="1:21" s="523" customFormat="1" ht="14.5" customHeight="1" outlineLevel="1" x14ac:dyDescent="0.3">
      <c r="A68" s="714" t="s">
        <v>468</v>
      </c>
      <c r="B68" s="480">
        <v>5.01</v>
      </c>
      <c r="C68" s="481" t="s">
        <v>354</v>
      </c>
      <c r="D68" s="519" t="s">
        <v>83</v>
      </c>
      <c r="E68" s="535">
        <v>79</v>
      </c>
      <c r="F68" s="161">
        <v>29049.767790461174</v>
      </c>
      <c r="G68" s="705">
        <v>241020.0373304844</v>
      </c>
      <c r="H68" s="705">
        <v>688628.67808709841</v>
      </c>
      <c r="I68" s="488">
        <f t="shared" ref="I68:I73" si="10">SUM(G68:H68)</f>
        <v>929648.71541758277</v>
      </c>
      <c r="J68" s="705">
        <v>353245.87415222311</v>
      </c>
      <c r="K68" s="705">
        <v>1009273.9261492088</v>
      </c>
      <c r="L68" s="488">
        <f t="shared" ref="L68:L73" si="11">SUM(J68:K68)</f>
        <v>1362519.8003014319</v>
      </c>
      <c r="M68" s="705">
        <v>2763.1397274177107</v>
      </c>
      <c r="N68" s="488">
        <f t="shared" ref="N68:N73" si="12">SUM(I68,L68)</f>
        <v>2292168.5157190147</v>
      </c>
      <c r="P68" s="538"/>
      <c r="Q68" s="450"/>
      <c r="R68" s="539"/>
      <c r="S68" s="538"/>
      <c r="T68" s="538"/>
      <c r="U68" s="538"/>
    </row>
    <row r="69" spans="1:21" s="523" customFormat="1" ht="14.5" customHeight="1" outlineLevel="1" x14ac:dyDescent="0.3">
      <c r="A69" s="714" t="s">
        <v>468</v>
      </c>
      <c r="B69" s="507">
        <v>5.0199999999999996</v>
      </c>
      <c r="C69" s="540" t="s">
        <v>355</v>
      </c>
      <c r="D69" s="541" t="s">
        <v>74</v>
      </c>
      <c r="E69" s="542">
        <v>113</v>
      </c>
      <c r="F69" s="161">
        <v>5288.3516591344433</v>
      </c>
      <c r="G69" s="705">
        <v>0</v>
      </c>
      <c r="H69" s="705">
        <v>93482.483382000006</v>
      </c>
      <c r="I69" s="488">
        <f t="shared" si="10"/>
        <v>93482.483382000006</v>
      </c>
      <c r="J69" s="705">
        <v>0</v>
      </c>
      <c r="K69" s="705">
        <v>488617.39747585665</v>
      </c>
      <c r="L69" s="488">
        <f t="shared" si="11"/>
        <v>488617.39747585665</v>
      </c>
      <c r="M69" s="705">
        <v>15483.856624335411</v>
      </c>
      <c r="N69" s="488">
        <f t="shared" si="12"/>
        <v>582099.88085785671</v>
      </c>
      <c r="P69" s="478"/>
      <c r="Q69" s="450"/>
      <c r="R69" s="479"/>
      <c r="S69" s="478"/>
      <c r="T69" s="478"/>
      <c r="U69" s="478"/>
    </row>
    <row r="70" spans="1:21" s="523" customFormat="1" ht="14.5" customHeight="1" outlineLevel="1" x14ac:dyDescent="0.3">
      <c r="A70" s="714" t="s">
        <v>468</v>
      </c>
      <c r="B70" s="507">
        <v>5.03</v>
      </c>
      <c r="C70" s="486" t="s">
        <v>356</v>
      </c>
      <c r="D70" s="493" t="s">
        <v>83</v>
      </c>
      <c r="E70" s="494">
        <v>207</v>
      </c>
      <c r="F70" s="161">
        <v>5288.3516591344433</v>
      </c>
      <c r="G70" s="705">
        <v>0</v>
      </c>
      <c r="H70" s="705">
        <v>171246.673098</v>
      </c>
      <c r="I70" s="488">
        <f t="shared" si="10"/>
        <v>171246.673098</v>
      </c>
      <c r="J70" s="705">
        <v>0</v>
      </c>
      <c r="K70" s="705">
        <v>895077.88741152501</v>
      </c>
      <c r="L70" s="488">
        <f t="shared" si="11"/>
        <v>895077.88741152501</v>
      </c>
      <c r="M70" s="705">
        <v>28364.23293130469</v>
      </c>
      <c r="N70" s="488">
        <f t="shared" si="12"/>
        <v>1066324.560509525</v>
      </c>
      <c r="P70" s="538"/>
      <c r="Q70" s="450"/>
      <c r="R70" s="539"/>
      <c r="S70" s="538"/>
      <c r="T70" s="538"/>
      <c r="U70" s="538"/>
    </row>
    <row r="71" spans="1:21" s="523" customFormat="1" ht="14.5" customHeight="1" outlineLevel="1" x14ac:dyDescent="0.3">
      <c r="A71" s="714" t="s">
        <v>468</v>
      </c>
      <c r="B71" s="485">
        <v>5.04</v>
      </c>
      <c r="C71" s="486" t="s">
        <v>128</v>
      </c>
      <c r="D71" s="493" t="s">
        <v>83</v>
      </c>
      <c r="E71" s="494">
        <v>165</v>
      </c>
      <c r="F71" s="161">
        <v>3538.08</v>
      </c>
      <c r="G71" s="705">
        <v>0</v>
      </c>
      <c r="H71" s="705">
        <v>583783.19999999995</v>
      </c>
      <c r="I71" s="488">
        <f t="shared" si="10"/>
        <v>583783.19999999995</v>
      </c>
      <c r="J71" s="705">
        <v>0</v>
      </c>
      <c r="K71" s="705">
        <v>0</v>
      </c>
      <c r="L71" s="488">
        <f t="shared" si="11"/>
        <v>0</v>
      </c>
      <c r="M71" s="705">
        <v>0</v>
      </c>
      <c r="N71" s="488">
        <f t="shared" si="12"/>
        <v>583783.19999999995</v>
      </c>
      <c r="P71" s="449"/>
      <c r="Q71" s="450"/>
      <c r="R71" s="450"/>
      <c r="S71" s="449"/>
      <c r="T71" s="449"/>
      <c r="U71" s="449"/>
    </row>
    <row r="72" spans="1:21" s="523" customFormat="1" ht="14.5" customHeight="1" outlineLevel="1" x14ac:dyDescent="0.3">
      <c r="A72" s="714" t="s">
        <v>468</v>
      </c>
      <c r="B72" s="507">
        <v>5.05</v>
      </c>
      <c r="C72" s="486" t="s">
        <v>129</v>
      </c>
      <c r="D72" s="493" t="s">
        <v>83</v>
      </c>
      <c r="E72" s="494">
        <v>165</v>
      </c>
      <c r="F72" s="161">
        <v>3421.2603676124536</v>
      </c>
      <c r="G72" s="705">
        <v>0</v>
      </c>
      <c r="H72" s="705">
        <v>229780.61155303029</v>
      </c>
      <c r="I72" s="488">
        <f t="shared" si="10"/>
        <v>229780.61155303029</v>
      </c>
      <c r="J72" s="705">
        <v>0</v>
      </c>
      <c r="K72" s="705">
        <v>332923.87578410085</v>
      </c>
      <c r="L72" s="488">
        <f t="shared" si="11"/>
        <v>332923.87578410085</v>
      </c>
      <c r="M72" s="705">
        <v>1803.4733189237436</v>
      </c>
      <c r="N72" s="488">
        <f t="shared" si="12"/>
        <v>562704.48733713117</v>
      </c>
      <c r="P72" s="478"/>
      <c r="Q72" s="450"/>
      <c r="R72" s="479"/>
      <c r="S72" s="478"/>
      <c r="T72" s="478"/>
      <c r="U72" s="478"/>
    </row>
    <row r="73" spans="1:21" s="514" customFormat="1" ht="14.5" customHeight="1" outlineLevel="1" x14ac:dyDescent="0.3">
      <c r="A73" s="714" t="s">
        <v>468</v>
      </c>
      <c r="B73" s="485">
        <v>5.0599999999999996</v>
      </c>
      <c r="C73" s="486" t="s">
        <v>357</v>
      </c>
      <c r="D73" s="543" t="s">
        <v>83</v>
      </c>
      <c r="E73" s="494">
        <v>274</v>
      </c>
      <c r="F73" s="161">
        <v>25825.902086215017</v>
      </c>
      <c r="G73" s="705">
        <v>477681.66530598723</v>
      </c>
      <c r="H73" s="705">
        <v>2388408.3265299359</v>
      </c>
      <c r="I73" s="488">
        <f t="shared" si="10"/>
        <v>2866089.9918359229</v>
      </c>
      <c r="J73" s="705">
        <v>700103.93864527403</v>
      </c>
      <c r="K73" s="705">
        <v>3500519.69322637</v>
      </c>
      <c r="L73" s="488">
        <f t="shared" si="11"/>
        <v>4200623.6318716444</v>
      </c>
      <c r="M73" s="705">
        <v>9583.5479153475044</v>
      </c>
      <c r="N73" s="488">
        <f t="shared" si="12"/>
        <v>7066713.6237075673</v>
      </c>
      <c r="P73" s="478"/>
      <c r="Q73" s="450"/>
      <c r="R73" s="479"/>
      <c r="S73" s="478"/>
      <c r="T73" s="478"/>
      <c r="U73" s="478"/>
    </row>
    <row r="74" spans="1:21" ht="14.5" customHeight="1" x14ac:dyDescent="0.3">
      <c r="B74" s="472">
        <v>6</v>
      </c>
      <c r="C74" s="473" t="s">
        <v>131</v>
      </c>
      <c r="D74" s="474"/>
      <c r="E74" s="475"/>
      <c r="F74" s="141"/>
      <c r="G74" s="475"/>
      <c r="H74" s="475"/>
      <c r="I74" s="475"/>
      <c r="J74" s="475"/>
      <c r="K74" s="475"/>
      <c r="L74" s="475"/>
      <c r="M74" s="475"/>
      <c r="N74" s="475"/>
      <c r="P74" s="478"/>
      <c r="Q74" s="450"/>
      <c r="R74" s="479"/>
      <c r="S74" s="478"/>
      <c r="T74" s="478"/>
      <c r="U74" s="478"/>
    </row>
    <row r="75" spans="1:21" s="514" customFormat="1" ht="14.5" customHeight="1" outlineLevel="1" x14ac:dyDescent="0.3">
      <c r="A75" s="714" t="s">
        <v>468</v>
      </c>
      <c r="B75" s="496">
        <v>6.01</v>
      </c>
      <c r="C75" s="502" t="s">
        <v>132</v>
      </c>
      <c r="D75" s="544" t="s">
        <v>74</v>
      </c>
      <c r="E75" s="545">
        <v>44</v>
      </c>
      <c r="F75" s="161">
        <v>24788.126985421572</v>
      </c>
      <c r="G75" s="561">
        <v>716979.89818181819</v>
      </c>
      <c r="H75" s="561">
        <v>0</v>
      </c>
      <c r="I75" s="488">
        <f t="shared" ref="I75" si="13">SUM(G75:H75)</f>
        <v>716979.89818181819</v>
      </c>
      <c r="J75" s="561">
        <v>0</v>
      </c>
      <c r="K75" s="561">
        <v>357579.30118621053</v>
      </c>
      <c r="L75" s="488">
        <f>SUM(J75:K75)</f>
        <v>357579.30118621053</v>
      </c>
      <c r="M75" s="561">
        <v>16118.387990520429</v>
      </c>
      <c r="N75" s="488">
        <f t="shared" ref="N75" si="14">SUM(I75,L75)</f>
        <v>1074559.1993680287</v>
      </c>
      <c r="P75" s="478"/>
      <c r="Q75" s="450"/>
      <c r="R75" s="479"/>
      <c r="S75" s="478"/>
      <c r="T75" s="478"/>
      <c r="U75" s="478"/>
    </row>
    <row r="76" spans="1:21" ht="14.5" customHeight="1" x14ac:dyDescent="0.3">
      <c r="B76" s="472">
        <v>7</v>
      </c>
      <c r="C76" s="473" t="s">
        <v>133</v>
      </c>
      <c r="D76" s="474"/>
      <c r="E76" s="475"/>
      <c r="F76" s="141"/>
      <c r="G76" s="475"/>
      <c r="H76" s="475"/>
      <c r="I76" s="475"/>
      <c r="J76" s="475"/>
      <c r="K76" s="475"/>
      <c r="L76" s="475"/>
      <c r="M76" s="475"/>
      <c r="N76" s="475"/>
      <c r="P76" s="478"/>
      <c r="Q76" s="450"/>
      <c r="R76" s="479"/>
      <c r="S76" s="478"/>
      <c r="T76" s="478"/>
      <c r="U76" s="478"/>
    </row>
    <row r="77" spans="1:21" s="523" customFormat="1" ht="14.5" customHeight="1" outlineLevel="1" x14ac:dyDescent="0.3">
      <c r="A77" s="714" t="s">
        <v>468</v>
      </c>
      <c r="B77" s="480">
        <v>7.01</v>
      </c>
      <c r="C77" s="546" t="s">
        <v>134</v>
      </c>
      <c r="D77" s="519" t="s">
        <v>83</v>
      </c>
      <c r="E77" s="535">
        <v>663</v>
      </c>
      <c r="F77" s="161">
        <v>16092.308140592864</v>
      </c>
      <c r="G77" s="535">
        <v>0</v>
      </c>
      <c r="H77" s="535">
        <v>2692552.4573220001</v>
      </c>
      <c r="I77" s="488">
        <f t="shared" ref="I77:I84" si="15">SUM(G77:H77)</f>
        <v>2692552.4573220001</v>
      </c>
      <c r="J77" s="535">
        <v>0</v>
      </c>
      <c r="K77" s="535">
        <v>7755453.2924696272</v>
      </c>
      <c r="L77" s="488">
        <f t="shared" ref="L77:L84" si="16">SUM(J77:K77)</f>
        <v>7755453.2924696272</v>
      </c>
      <c r="M77" s="535">
        <v>221194.54742144098</v>
      </c>
      <c r="N77" s="488">
        <f t="shared" ref="N77:N84" si="17">SUM(I77,L77)</f>
        <v>10448005.749791628</v>
      </c>
      <c r="P77" s="478"/>
      <c r="Q77" s="450"/>
      <c r="R77" s="479"/>
      <c r="S77" s="478"/>
      <c r="T77" s="478"/>
      <c r="U77" s="478"/>
    </row>
    <row r="78" spans="1:21" s="523" customFormat="1" ht="14.5" customHeight="1" outlineLevel="1" x14ac:dyDescent="0.3">
      <c r="A78" s="714" t="s">
        <v>468</v>
      </c>
      <c r="B78" s="485">
        <v>7.02</v>
      </c>
      <c r="C78" s="547" t="s">
        <v>358</v>
      </c>
      <c r="D78" s="493" t="s">
        <v>83</v>
      </c>
      <c r="E78" s="494">
        <v>1164</v>
      </c>
      <c r="F78" s="161">
        <v>21739.707549603667</v>
      </c>
      <c r="G78" s="494">
        <v>0</v>
      </c>
      <c r="H78" s="494">
        <v>4727196.1694160001</v>
      </c>
      <c r="I78" s="488">
        <f t="shared" si="15"/>
        <v>4727196.1694160001</v>
      </c>
      <c r="J78" s="494">
        <v>0</v>
      </c>
      <c r="K78" s="494">
        <v>19572869.112556268</v>
      </c>
      <c r="L78" s="488">
        <f t="shared" si="16"/>
        <v>19572869.112556268</v>
      </c>
      <c r="M78" s="494">
        <v>1004954.305766403</v>
      </c>
      <c r="N78" s="488">
        <f t="shared" si="17"/>
        <v>24300065.281972267</v>
      </c>
      <c r="P78" s="478"/>
      <c r="Q78" s="450"/>
      <c r="R78" s="479"/>
      <c r="S78" s="478"/>
      <c r="T78" s="478"/>
      <c r="U78" s="478"/>
    </row>
    <row r="79" spans="1:21" s="523" customFormat="1" ht="14.5" customHeight="1" outlineLevel="1" x14ac:dyDescent="0.3">
      <c r="A79" s="714" t="s">
        <v>468</v>
      </c>
      <c r="B79" s="485">
        <v>7.03</v>
      </c>
      <c r="C79" s="547" t="s">
        <v>359</v>
      </c>
      <c r="D79" s="493" t="s">
        <v>74</v>
      </c>
      <c r="E79" s="494">
        <v>500</v>
      </c>
      <c r="F79" s="161">
        <v>11122.339160079795</v>
      </c>
      <c r="G79" s="494">
        <v>0</v>
      </c>
      <c r="H79" s="494">
        <v>0</v>
      </c>
      <c r="I79" s="488">
        <f t="shared" si="15"/>
        <v>0</v>
      </c>
      <c r="J79" s="494">
        <v>5561169.5800398979</v>
      </c>
      <c r="K79" s="494">
        <v>0</v>
      </c>
      <c r="L79" s="488">
        <f t="shared" si="16"/>
        <v>5561169.5800398979</v>
      </c>
      <c r="M79" s="494">
        <v>0</v>
      </c>
      <c r="N79" s="488">
        <f t="shared" si="17"/>
        <v>5561169.5800398979</v>
      </c>
      <c r="P79" s="478"/>
      <c r="Q79" s="450"/>
      <c r="R79" s="479"/>
      <c r="S79" s="478"/>
      <c r="T79" s="478"/>
      <c r="U79" s="478"/>
    </row>
    <row r="80" spans="1:21" s="523" customFormat="1" ht="14.5" customHeight="1" outlineLevel="1" x14ac:dyDescent="0.3">
      <c r="A80" s="714" t="s">
        <v>468</v>
      </c>
      <c r="B80" s="485">
        <v>7.04</v>
      </c>
      <c r="C80" s="486" t="s">
        <v>137</v>
      </c>
      <c r="D80" s="493" t="s">
        <v>83</v>
      </c>
      <c r="E80" s="494">
        <v>521</v>
      </c>
      <c r="F80" s="161">
        <v>26511.245867805221</v>
      </c>
      <c r="G80" s="494">
        <v>0</v>
      </c>
      <c r="H80" s="494">
        <v>1506324.3372980005</v>
      </c>
      <c r="I80" s="488">
        <f t="shared" si="15"/>
        <v>1506324.3372980005</v>
      </c>
      <c r="J80" s="494">
        <v>0</v>
      </c>
      <c r="K80" s="494">
        <v>11972880.629392231</v>
      </c>
      <c r="L80" s="488">
        <f t="shared" si="16"/>
        <v>11972880.629392231</v>
      </c>
      <c r="M80" s="494">
        <v>333154.13043629052</v>
      </c>
      <c r="N80" s="488">
        <f t="shared" si="17"/>
        <v>13479204.966690231</v>
      </c>
      <c r="P80" s="478"/>
      <c r="Q80" s="450"/>
      <c r="R80" s="479"/>
      <c r="S80" s="478"/>
      <c r="T80" s="478"/>
      <c r="U80" s="478"/>
    </row>
    <row r="81" spans="1:21" s="523" customFormat="1" ht="14.5" customHeight="1" outlineLevel="1" x14ac:dyDescent="0.3">
      <c r="A81" s="714" t="s">
        <v>471</v>
      </c>
      <c r="B81" s="485">
        <v>7.05</v>
      </c>
      <c r="C81" s="486" t="s">
        <v>138</v>
      </c>
      <c r="D81" s="493" t="s">
        <v>83</v>
      </c>
      <c r="E81" s="494">
        <v>2180</v>
      </c>
      <c r="F81" s="161">
        <v>18303.91670489484</v>
      </c>
      <c r="G81" s="494">
        <v>0</v>
      </c>
      <c r="H81" s="494">
        <v>12602289.840000002</v>
      </c>
      <c r="I81" s="488">
        <f t="shared" si="15"/>
        <v>12602289.840000002</v>
      </c>
      <c r="J81" s="494">
        <v>26710555.890710097</v>
      </c>
      <c r="K81" s="494">
        <v>0</v>
      </c>
      <c r="L81" s="488">
        <f t="shared" si="16"/>
        <v>26710555.890710097</v>
      </c>
      <c r="M81" s="494">
        <v>589692.68596065149</v>
      </c>
      <c r="N81" s="488">
        <f t="shared" si="17"/>
        <v>39312845.730710097</v>
      </c>
      <c r="P81" s="478"/>
      <c r="Q81" s="450"/>
      <c r="R81" s="479"/>
      <c r="S81" s="478"/>
      <c r="T81" s="478"/>
      <c r="U81" s="478"/>
    </row>
    <row r="82" spans="1:21" s="523" customFormat="1" ht="14.5" customHeight="1" outlineLevel="1" x14ac:dyDescent="0.3">
      <c r="A82" s="714" t="s">
        <v>471</v>
      </c>
      <c r="B82" s="485">
        <v>7.06</v>
      </c>
      <c r="C82" s="548" t="s">
        <v>139</v>
      </c>
      <c r="D82" s="493" t="s">
        <v>74</v>
      </c>
      <c r="E82" s="494">
        <v>255</v>
      </c>
      <c r="F82" s="161">
        <v>13341.751383386625</v>
      </c>
      <c r="G82" s="494">
        <v>0</v>
      </c>
      <c r="H82" s="494">
        <v>0</v>
      </c>
      <c r="I82" s="488">
        <f t="shared" si="15"/>
        <v>0</v>
      </c>
      <c r="J82" s="494">
        <v>3351868.5741513199</v>
      </c>
      <c r="K82" s="494">
        <v>0</v>
      </c>
      <c r="L82" s="488">
        <f t="shared" si="16"/>
        <v>3351868.5741513199</v>
      </c>
      <c r="M82" s="494">
        <v>50278.028612269802</v>
      </c>
      <c r="N82" s="488">
        <f t="shared" si="17"/>
        <v>3351868.5741513199</v>
      </c>
      <c r="P82" s="478"/>
      <c r="Q82" s="450"/>
      <c r="R82" s="479"/>
      <c r="S82" s="478"/>
      <c r="T82" s="478"/>
      <c r="U82" s="478"/>
    </row>
    <row r="83" spans="1:21" s="523" customFormat="1" ht="14.5" customHeight="1" outlineLevel="1" x14ac:dyDescent="0.3">
      <c r="A83" s="714" t="s">
        <v>471</v>
      </c>
      <c r="B83" s="485">
        <v>7.07</v>
      </c>
      <c r="C83" s="548" t="s">
        <v>140</v>
      </c>
      <c r="D83" s="493" t="s">
        <v>114</v>
      </c>
      <c r="E83" s="494">
        <v>102</v>
      </c>
      <c r="F83" s="161">
        <v>15809.549700056426</v>
      </c>
      <c r="G83" s="494">
        <v>0</v>
      </c>
      <c r="H83" s="494">
        <v>169128</v>
      </c>
      <c r="I83" s="488">
        <f t="shared" si="15"/>
        <v>169128</v>
      </c>
      <c r="J83" s="494">
        <v>1419614.9255229118</v>
      </c>
      <c r="K83" s="494">
        <v>0</v>
      </c>
      <c r="L83" s="488">
        <f t="shared" si="16"/>
        <v>1419614.9255229118</v>
      </c>
      <c r="M83" s="494">
        <v>23831.143882843673</v>
      </c>
      <c r="N83" s="488">
        <f t="shared" si="17"/>
        <v>1588742.9255229118</v>
      </c>
      <c r="P83" s="478"/>
      <c r="Q83" s="450"/>
      <c r="R83" s="479"/>
      <c r="S83" s="478"/>
      <c r="T83" s="478"/>
      <c r="U83" s="478"/>
    </row>
    <row r="84" spans="1:21" s="523" customFormat="1" ht="14.5" customHeight="1" outlineLevel="1" x14ac:dyDescent="0.3">
      <c r="A84" s="714" t="s">
        <v>468</v>
      </c>
      <c r="B84" s="485">
        <v>7.08</v>
      </c>
      <c r="C84" s="486" t="s">
        <v>141</v>
      </c>
      <c r="D84" s="493" t="s">
        <v>83</v>
      </c>
      <c r="E84" s="494">
        <v>715</v>
      </c>
      <c r="F84" s="161">
        <v>16092.308140592864</v>
      </c>
      <c r="G84" s="494">
        <v>0</v>
      </c>
      <c r="H84" s="494">
        <v>2903733.0422100001</v>
      </c>
      <c r="I84" s="488">
        <f t="shared" si="15"/>
        <v>2903733.0422100001</v>
      </c>
      <c r="J84" s="494">
        <v>0</v>
      </c>
      <c r="K84" s="494">
        <v>8363724.1389378337</v>
      </c>
      <c r="L84" s="488">
        <f t="shared" si="16"/>
        <v>8363724.1389378337</v>
      </c>
      <c r="M84" s="494">
        <v>238543.1393760638</v>
      </c>
      <c r="N84" s="488">
        <f t="shared" si="17"/>
        <v>11267457.181147834</v>
      </c>
      <c r="P84" s="478"/>
      <c r="Q84" s="450"/>
      <c r="R84" s="479"/>
      <c r="S84" s="478"/>
      <c r="T84" s="478"/>
      <c r="U84" s="478"/>
    </row>
    <row r="85" spans="1:21" ht="14.5" customHeight="1" x14ac:dyDescent="0.3">
      <c r="B85" s="472">
        <v>8</v>
      </c>
      <c r="C85" s="473" t="s">
        <v>142</v>
      </c>
      <c r="D85" s="474"/>
      <c r="E85" s="475"/>
      <c r="F85" s="141"/>
      <c r="G85" s="475"/>
      <c r="H85" s="475"/>
      <c r="I85" s="475"/>
      <c r="J85" s="475"/>
      <c r="K85" s="475"/>
      <c r="L85" s="475"/>
      <c r="M85" s="475"/>
      <c r="N85" s="475"/>
      <c r="P85" s="478"/>
      <c r="Q85" s="450"/>
      <c r="R85" s="479"/>
      <c r="S85" s="478"/>
      <c r="T85" s="478"/>
      <c r="U85" s="478"/>
    </row>
    <row r="86" spans="1:21" s="523" customFormat="1" ht="14.5" customHeight="1" outlineLevel="1" x14ac:dyDescent="0.3">
      <c r="A86" s="714" t="s">
        <v>468</v>
      </c>
      <c r="B86" s="480">
        <v>8.01</v>
      </c>
      <c r="C86" s="481" t="s">
        <v>143</v>
      </c>
      <c r="D86" s="519" t="s">
        <v>83</v>
      </c>
      <c r="E86" s="535">
        <v>21</v>
      </c>
      <c r="F86" s="161">
        <v>33795.277566407385</v>
      </c>
      <c r="G86" s="542">
        <v>0</v>
      </c>
      <c r="H86" s="542">
        <v>285501.86474039999</v>
      </c>
      <c r="I86" s="488">
        <f t="shared" ref="I86:I93" si="18">SUM(G86:H86)</f>
        <v>285501.86474039999</v>
      </c>
      <c r="J86" s="542">
        <v>0</v>
      </c>
      <c r="K86" s="542">
        <v>413620.05681876536</v>
      </c>
      <c r="L86" s="488">
        <f t="shared" ref="L86:L93" si="19">SUM(J86:K86)</f>
        <v>413620.05681876536</v>
      </c>
      <c r="M86" s="542">
        <v>10578.907335389753</v>
      </c>
      <c r="N86" s="488">
        <f t="shared" ref="N86:N93" si="20">SUM(I86,L86)</f>
        <v>699121.92155916535</v>
      </c>
      <c r="P86" s="478"/>
      <c r="Q86" s="450"/>
      <c r="R86" s="479"/>
      <c r="S86" s="478"/>
      <c r="T86" s="478"/>
      <c r="U86" s="478"/>
    </row>
    <row r="87" spans="1:21" s="523" customFormat="1" ht="14.5" customHeight="1" outlineLevel="1" x14ac:dyDescent="0.3">
      <c r="A87" s="714" t="s">
        <v>468</v>
      </c>
      <c r="B87" s="485">
        <v>8.02</v>
      </c>
      <c r="C87" s="486" t="s">
        <v>144</v>
      </c>
      <c r="D87" s="493" t="s">
        <v>83</v>
      </c>
      <c r="E87" s="494">
        <v>201</v>
      </c>
      <c r="F87" s="161">
        <v>40319.335426844598</v>
      </c>
      <c r="G87" s="542">
        <v>5711490</v>
      </c>
      <c r="H87" s="542">
        <v>510415.21299999999</v>
      </c>
      <c r="I87" s="488">
        <f t="shared" si="18"/>
        <v>6221905.2129999995</v>
      </c>
      <c r="J87" s="542">
        <v>0</v>
      </c>
      <c r="K87" s="542">
        <v>1762514.9060106063</v>
      </c>
      <c r="L87" s="488">
        <f t="shared" si="19"/>
        <v>1762514.9060106063</v>
      </c>
      <c r="M87" s="542">
        <v>119766.30178515908</v>
      </c>
      <c r="N87" s="488">
        <f t="shared" si="20"/>
        <v>7984420.1190106058</v>
      </c>
      <c r="P87" s="478"/>
      <c r="Q87" s="450"/>
      <c r="R87" s="479"/>
      <c r="S87" s="478"/>
      <c r="T87" s="478"/>
      <c r="U87" s="478"/>
    </row>
    <row r="88" spans="1:21" s="523" customFormat="1" ht="14.5" customHeight="1" outlineLevel="1" x14ac:dyDescent="0.3">
      <c r="A88" s="714" t="s">
        <v>468</v>
      </c>
      <c r="B88" s="485">
        <v>8.0299999999999994</v>
      </c>
      <c r="C88" s="486" t="s">
        <v>145</v>
      </c>
      <c r="D88" s="493" t="s">
        <v>83</v>
      </c>
      <c r="E88" s="494">
        <v>107</v>
      </c>
      <c r="F88" s="161">
        <v>33795.277566407385</v>
      </c>
      <c r="G88" s="494">
        <v>0</v>
      </c>
      <c r="H88" s="494">
        <v>1454699.9774867999</v>
      </c>
      <c r="I88" s="488">
        <f t="shared" si="18"/>
        <v>1454699.9774867999</v>
      </c>
      <c r="J88" s="494">
        <v>0</v>
      </c>
      <c r="K88" s="494">
        <v>2107492.6704575187</v>
      </c>
      <c r="L88" s="488">
        <f t="shared" si="19"/>
        <v>2107492.6704575187</v>
      </c>
      <c r="M88" s="494">
        <v>53902.051661271595</v>
      </c>
      <c r="N88" s="488">
        <f t="shared" si="20"/>
        <v>3562192.6479443186</v>
      </c>
      <c r="P88" s="449"/>
      <c r="Q88" s="450"/>
      <c r="R88" s="450"/>
      <c r="S88" s="449"/>
      <c r="T88" s="449"/>
      <c r="U88" s="449"/>
    </row>
    <row r="89" spans="1:21" s="523" customFormat="1" ht="14.5" customHeight="1" outlineLevel="1" x14ac:dyDescent="0.3">
      <c r="A89" s="714" t="s">
        <v>468</v>
      </c>
      <c r="B89" s="485">
        <v>8.0399999999999991</v>
      </c>
      <c r="C89" s="486" t="s">
        <v>146</v>
      </c>
      <c r="D89" s="493" t="s">
        <v>83</v>
      </c>
      <c r="E89" s="494">
        <v>850</v>
      </c>
      <c r="F89" s="161">
        <v>17993.375415308743</v>
      </c>
      <c r="G89" s="494">
        <v>0</v>
      </c>
      <c r="H89" s="494">
        <v>5710193.9514287505</v>
      </c>
      <c r="I89" s="488">
        <f t="shared" si="18"/>
        <v>5710193.9514287505</v>
      </c>
      <c r="J89" s="494">
        <v>0</v>
      </c>
      <c r="K89" s="494">
        <v>9473268.7570199557</v>
      </c>
      <c r="L89" s="488">
        <f t="shared" si="19"/>
        <v>9473268.7570199557</v>
      </c>
      <c r="M89" s="494">
        <v>110906.39456372501</v>
      </c>
      <c r="N89" s="488">
        <f t="shared" si="20"/>
        <v>15183462.708448706</v>
      </c>
      <c r="P89" s="449"/>
      <c r="Q89" s="450"/>
      <c r="R89" s="450"/>
      <c r="S89" s="449"/>
      <c r="T89" s="449"/>
      <c r="U89" s="449"/>
    </row>
    <row r="90" spans="1:21" s="523" customFormat="1" ht="14.5" customHeight="1" outlineLevel="1" x14ac:dyDescent="0.3">
      <c r="A90" s="714" t="s">
        <v>468</v>
      </c>
      <c r="B90" s="485">
        <v>8.0500000000000007</v>
      </c>
      <c r="C90" s="486" t="s">
        <v>147</v>
      </c>
      <c r="D90" s="493" t="s">
        <v>83</v>
      </c>
      <c r="E90" s="494">
        <v>365</v>
      </c>
      <c r="F90" s="161">
        <v>11951.096974385948</v>
      </c>
      <c r="G90" s="494">
        <v>0</v>
      </c>
      <c r="H90" s="494">
        <v>1248416.5518000002</v>
      </c>
      <c r="I90" s="488">
        <f t="shared" si="18"/>
        <v>1248416.5518000002</v>
      </c>
      <c r="J90" s="494">
        <v>0</v>
      </c>
      <c r="K90" s="494">
        <v>3027927.1510193762</v>
      </c>
      <c r="L90" s="488">
        <f t="shared" si="19"/>
        <v>3027927.1510193762</v>
      </c>
      <c r="M90" s="494">
        <v>85806.692831494656</v>
      </c>
      <c r="N90" s="488">
        <f t="shared" si="20"/>
        <v>4276343.7028193763</v>
      </c>
      <c r="P90" s="449"/>
      <c r="Q90" s="450"/>
      <c r="R90" s="450"/>
      <c r="S90" s="449"/>
      <c r="T90" s="449"/>
      <c r="U90" s="449"/>
    </row>
    <row r="91" spans="1:21" s="523" customFormat="1" ht="14.5" customHeight="1" outlineLevel="1" x14ac:dyDescent="0.3">
      <c r="A91" s="714" t="s">
        <v>468</v>
      </c>
      <c r="B91" s="485">
        <v>8.06</v>
      </c>
      <c r="C91" s="486" t="s">
        <v>148</v>
      </c>
      <c r="D91" s="493" t="s">
        <v>83</v>
      </c>
      <c r="E91" s="494">
        <v>357</v>
      </c>
      <c r="F91" s="161">
        <v>11951.096974385948</v>
      </c>
      <c r="G91" s="494">
        <v>0</v>
      </c>
      <c r="H91" s="494">
        <v>1221053.9972400002</v>
      </c>
      <c r="I91" s="488">
        <f t="shared" si="18"/>
        <v>1221053.9972400002</v>
      </c>
      <c r="J91" s="494">
        <v>0</v>
      </c>
      <c r="K91" s="494">
        <v>2961561.6244216915</v>
      </c>
      <c r="L91" s="488">
        <f t="shared" si="19"/>
        <v>2961561.6244216915</v>
      </c>
      <c r="M91" s="494">
        <v>83925.998194092026</v>
      </c>
      <c r="N91" s="488">
        <f t="shared" si="20"/>
        <v>4182615.6216616919</v>
      </c>
      <c r="P91" s="449"/>
      <c r="Q91" s="450"/>
      <c r="R91" s="450"/>
      <c r="S91" s="449"/>
      <c r="T91" s="449"/>
      <c r="U91" s="449"/>
    </row>
    <row r="92" spans="1:21" s="523" customFormat="1" ht="14.5" customHeight="1" outlineLevel="1" x14ac:dyDescent="0.3">
      <c r="A92" s="714" t="s">
        <v>468</v>
      </c>
      <c r="B92" s="485">
        <v>8.07</v>
      </c>
      <c r="C92" s="486" t="s">
        <v>360</v>
      </c>
      <c r="D92" s="493" t="s">
        <v>69</v>
      </c>
      <c r="E92" s="494">
        <v>0</v>
      </c>
      <c r="F92" s="161">
        <v>0</v>
      </c>
      <c r="G92" s="494">
        <v>0</v>
      </c>
      <c r="H92" s="494">
        <v>0</v>
      </c>
      <c r="I92" s="488">
        <f t="shared" si="18"/>
        <v>0</v>
      </c>
      <c r="J92" s="494">
        <v>0</v>
      </c>
      <c r="K92" s="494">
        <v>0</v>
      </c>
      <c r="L92" s="488">
        <f t="shared" si="19"/>
        <v>0</v>
      </c>
      <c r="M92" s="494">
        <v>0</v>
      </c>
      <c r="N92" s="488">
        <f t="shared" si="20"/>
        <v>0</v>
      </c>
      <c r="P92" s="449"/>
      <c r="Q92" s="450"/>
      <c r="R92" s="450"/>
      <c r="S92" s="449"/>
      <c r="T92" s="449"/>
      <c r="U92" s="449"/>
    </row>
    <row r="93" spans="1:21" s="523" customFormat="1" ht="14.5" customHeight="1" outlineLevel="1" x14ac:dyDescent="0.3">
      <c r="A93" s="714" t="s">
        <v>468</v>
      </c>
      <c r="B93" s="485">
        <v>8.08</v>
      </c>
      <c r="C93" s="502" t="s">
        <v>150</v>
      </c>
      <c r="D93" s="525" t="s">
        <v>69</v>
      </c>
      <c r="E93" s="504">
        <v>1</v>
      </c>
      <c r="F93" s="161">
        <v>403148.91243190906</v>
      </c>
      <c r="G93" s="607">
        <v>0</v>
      </c>
      <c r="H93" s="607">
        <v>93485.023591276869</v>
      </c>
      <c r="I93" s="488">
        <f t="shared" si="18"/>
        <v>93485.023591276869</v>
      </c>
      <c r="J93" s="607">
        <v>0</v>
      </c>
      <c r="K93" s="607">
        <v>303706.02313966805</v>
      </c>
      <c r="L93" s="488">
        <f t="shared" si="19"/>
        <v>303706.02313966805</v>
      </c>
      <c r="M93" s="607">
        <v>5957.8657009641729</v>
      </c>
      <c r="N93" s="488">
        <f t="shared" si="20"/>
        <v>397191.04673094489</v>
      </c>
      <c r="P93" s="449"/>
      <c r="Q93" s="450"/>
      <c r="R93" s="450"/>
      <c r="S93" s="449"/>
      <c r="T93" s="449"/>
      <c r="U93" s="449"/>
    </row>
    <row r="94" spans="1:21" ht="14.5" customHeight="1" x14ac:dyDescent="0.3">
      <c r="B94" s="472">
        <v>9</v>
      </c>
      <c r="C94" s="473" t="s">
        <v>151</v>
      </c>
      <c r="D94" s="474"/>
      <c r="E94" s="475"/>
      <c r="F94" s="141"/>
      <c r="G94" s="475"/>
      <c r="H94" s="475"/>
      <c r="I94" s="475"/>
      <c r="J94" s="475"/>
      <c r="K94" s="475"/>
      <c r="L94" s="475"/>
      <c r="M94" s="475"/>
      <c r="N94" s="475"/>
      <c r="Q94" s="450"/>
    </row>
    <row r="95" spans="1:21" ht="14.5" customHeight="1" outlineLevel="1" x14ac:dyDescent="0.3">
      <c r="A95" s="714" t="s">
        <v>468</v>
      </c>
      <c r="B95" s="507">
        <v>9.01</v>
      </c>
      <c r="C95" s="540" t="s">
        <v>152</v>
      </c>
      <c r="D95" s="549" t="s">
        <v>69</v>
      </c>
      <c r="E95" s="542">
        <v>1</v>
      </c>
      <c r="F95" s="161">
        <v>2509350.4364597872</v>
      </c>
      <c r="G95" s="542">
        <v>427508.24284309684</v>
      </c>
      <c r="H95" s="542">
        <v>0</v>
      </c>
      <c r="I95" s="488">
        <f t="shared" ref="I95:I97" si="21">SUM(G95:H95)</f>
        <v>427508.24284309684</v>
      </c>
      <c r="J95" s="542">
        <v>0</v>
      </c>
      <c r="K95" s="542">
        <v>2044758.1970187626</v>
      </c>
      <c r="L95" s="488">
        <f t="shared" ref="L95:L97" si="22">SUM(J95:K95)</f>
        <v>2044758.1970187626</v>
      </c>
      <c r="M95" s="542">
        <v>37083.996597927886</v>
      </c>
      <c r="N95" s="488">
        <f t="shared" ref="N95:N97" si="23">SUM(I95,L95)</f>
        <v>2472266.4398618592</v>
      </c>
      <c r="P95" s="478"/>
      <c r="Q95" s="450"/>
      <c r="R95" s="479"/>
      <c r="S95" s="478"/>
      <c r="T95" s="478"/>
      <c r="U95" s="478"/>
    </row>
    <row r="96" spans="1:21" ht="14.5" customHeight="1" outlineLevel="1" x14ac:dyDescent="0.3">
      <c r="A96" s="714" t="s">
        <v>468</v>
      </c>
      <c r="B96" s="507">
        <v>9.02</v>
      </c>
      <c r="C96" s="540" t="s">
        <v>153</v>
      </c>
      <c r="D96" s="549" t="s">
        <v>69</v>
      </c>
      <c r="E96" s="542">
        <v>1</v>
      </c>
      <c r="F96" s="161">
        <v>2273294.4547253246</v>
      </c>
      <c r="G96" s="542">
        <v>463902.76859504136</v>
      </c>
      <c r="H96" s="542">
        <v>0</v>
      </c>
      <c r="I96" s="488">
        <f t="shared" si="21"/>
        <v>463902.76859504136</v>
      </c>
      <c r="J96" s="542">
        <v>0</v>
      </c>
      <c r="K96" s="542">
        <v>1775796.2015776923</v>
      </c>
      <c r="L96" s="488">
        <f t="shared" si="22"/>
        <v>1775796.2015776923</v>
      </c>
      <c r="M96" s="542">
        <v>33595.484552590999</v>
      </c>
      <c r="N96" s="488">
        <f t="shared" si="23"/>
        <v>2239698.9701727335</v>
      </c>
      <c r="P96" s="478"/>
      <c r="Q96" s="450"/>
      <c r="R96" s="479"/>
      <c r="S96" s="478"/>
      <c r="T96" s="478"/>
      <c r="U96" s="478"/>
    </row>
    <row r="97" spans="1:21" ht="14.5" customHeight="1" outlineLevel="1" x14ac:dyDescent="0.3">
      <c r="A97" s="714" t="s">
        <v>468</v>
      </c>
      <c r="B97" s="485">
        <v>9.0299999999999994</v>
      </c>
      <c r="C97" s="486" t="s">
        <v>361</v>
      </c>
      <c r="D97" s="551" t="s">
        <v>74</v>
      </c>
      <c r="E97" s="494">
        <v>114</v>
      </c>
      <c r="F97" s="161">
        <v>9612.3994244075111</v>
      </c>
      <c r="G97" s="494">
        <v>0</v>
      </c>
      <c r="H97" s="494">
        <v>94309.761996000001</v>
      </c>
      <c r="I97" s="488">
        <f t="shared" si="21"/>
        <v>94309.761996000001</v>
      </c>
      <c r="J97" s="494">
        <v>492941.44524112972</v>
      </c>
      <c r="K97" s="494">
        <v>492941.44524112972</v>
      </c>
      <c r="L97" s="488">
        <f t="shared" si="22"/>
        <v>985882.89048225945</v>
      </c>
      <c r="M97" s="494">
        <v>15620.881904196785</v>
      </c>
      <c r="N97" s="488">
        <f t="shared" si="23"/>
        <v>1080192.6524782595</v>
      </c>
      <c r="Q97" s="450"/>
    </row>
    <row r="98" spans="1:21" ht="14.5" customHeight="1" x14ac:dyDescent="0.3">
      <c r="B98" s="472">
        <v>10</v>
      </c>
      <c r="C98" s="473" t="s">
        <v>362</v>
      </c>
      <c r="D98" s="474"/>
      <c r="E98" s="475"/>
      <c r="F98" s="141"/>
      <c r="G98" s="475"/>
      <c r="H98" s="475"/>
      <c r="I98" s="475"/>
      <c r="J98" s="475"/>
      <c r="K98" s="475"/>
      <c r="L98" s="475"/>
      <c r="M98" s="475"/>
      <c r="N98" s="475"/>
      <c r="Q98" s="450"/>
    </row>
    <row r="99" spans="1:21" ht="14.5" customHeight="1" outlineLevel="1" x14ac:dyDescent="0.3">
      <c r="A99" s="714" t="s">
        <v>468</v>
      </c>
      <c r="B99" s="480">
        <v>10.01</v>
      </c>
      <c r="C99" s="481" t="s">
        <v>156</v>
      </c>
      <c r="D99" s="552" t="s">
        <v>69</v>
      </c>
      <c r="E99" s="483">
        <v>1</v>
      </c>
      <c r="F99" s="161">
        <v>1941789.1539286592</v>
      </c>
      <c r="G99" s="510">
        <v>250000</v>
      </c>
      <c r="H99" s="510">
        <v>0</v>
      </c>
      <c r="I99" s="488">
        <f t="shared" ref="I99:I101" si="24">SUM(G99:H99)</f>
        <v>250000</v>
      </c>
      <c r="J99" s="510">
        <v>0</v>
      </c>
      <c r="K99" s="510">
        <v>1663092.7624912898</v>
      </c>
      <c r="L99" s="488">
        <f t="shared" ref="L99:L100" si="25">SUM(J99:K99)</f>
        <v>1663092.7624912898</v>
      </c>
      <c r="M99" s="510">
        <v>28696.391437369344</v>
      </c>
      <c r="N99" s="488">
        <f t="shared" ref="N99:N101" si="26">SUM(I99,L99)</f>
        <v>1913092.7624912898</v>
      </c>
      <c r="Q99" s="450"/>
    </row>
    <row r="100" spans="1:21" ht="14.5" customHeight="1" outlineLevel="1" x14ac:dyDescent="0.3">
      <c r="A100" s="714" t="s">
        <v>468</v>
      </c>
      <c r="B100" s="485">
        <v>10.02</v>
      </c>
      <c r="C100" s="486" t="s">
        <v>157</v>
      </c>
      <c r="D100" s="553" t="s">
        <v>69</v>
      </c>
      <c r="E100" s="488">
        <v>1</v>
      </c>
      <c r="F100" s="161">
        <v>1941789.1539286592</v>
      </c>
      <c r="G100" s="488">
        <v>250000</v>
      </c>
      <c r="H100" s="488">
        <v>0</v>
      </c>
      <c r="I100" s="488">
        <f t="shared" si="24"/>
        <v>250000</v>
      </c>
      <c r="J100" s="488">
        <v>0</v>
      </c>
      <c r="K100" s="488">
        <v>1663092.7624912898</v>
      </c>
      <c r="L100" s="488">
        <f t="shared" si="25"/>
        <v>1663092.7624912898</v>
      </c>
      <c r="M100" s="488">
        <v>28696.391437369344</v>
      </c>
      <c r="N100" s="488">
        <f t="shared" si="26"/>
        <v>1913092.7624912898</v>
      </c>
      <c r="P100" s="478"/>
      <c r="Q100" s="450"/>
      <c r="R100" s="479"/>
      <c r="S100" s="478"/>
      <c r="T100" s="478"/>
      <c r="U100" s="478"/>
    </row>
    <row r="101" spans="1:21" s="523" customFormat="1" ht="14.5" customHeight="1" outlineLevel="1" x14ac:dyDescent="0.3">
      <c r="A101" s="714" t="s">
        <v>468</v>
      </c>
      <c r="B101" s="524">
        <v>10.029999999999999</v>
      </c>
      <c r="C101" s="502" t="s">
        <v>363</v>
      </c>
      <c r="D101" s="525" t="s">
        <v>114</v>
      </c>
      <c r="E101" s="504">
        <v>7</v>
      </c>
      <c r="F101" s="161">
        <v>128708.24543110638</v>
      </c>
      <c r="G101" s="607">
        <v>222405.96694214878</v>
      </c>
      <c r="H101" s="607">
        <v>0</v>
      </c>
      <c r="I101" s="488">
        <f t="shared" si="24"/>
        <v>222405.96694214878</v>
      </c>
      <c r="J101" s="607">
        <v>0</v>
      </c>
      <c r="K101" s="607">
        <v>665237.1049965159</v>
      </c>
      <c r="L101" s="488">
        <f>SUM(J101:K101)</f>
        <v>665237.1049965159</v>
      </c>
      <c r="M101" s="607">
        <v>13314.64607907997</v>
      </c>
      <c r="N101" s="488">
        <f t="shared" si="26"/>
        <v>887643.07193866465</v>
      </c>
      <c r="P101" s="449"/>
      <c r="Q101" s="450"/>
      <c r="R101" s="450"/>
      <c r="S101" s="449"/>
      <c r="T101" s="449"/>
      <c r="U101" s="449"/>
    </row>
    <row r="102" spans="1:21" ht="14.5" customHeight="1" x14ac:dyDescent="0.3">
      <c r="B102" s="472">
        <v>11</v>
      </c>
      <c r="C102" s="473" t="s">
        <v>364</v>
      </c>
      <c r="D102" s="474"/>
      <c r="E102" s="475"/>
      <c r="F102" s="141"/>
      <c r="G102" s="475"/>
      <c r="H102" s="475"/>
      <c r="I102" s="475"/>
      <c r="J102" s="475"/>
      <c r="K102" s="475"/>
      <c r="L102" s="475"/>
      <c r="M102" s="475"/>
      <c r="N102" s="475"/>
      <c r="P102" s="478"/>
      <c r="Q102" s="450"/>
      <c r="R102" s="479"/>
      <c r="S102" s="478"/>
      <c r="T102" s="478"/>
      <c r="U102" s="478"/>
    </row>
    <row r="103" spans="1:21" ht="14.5" customHeight="1" outlineLevel="1" x14ac:dyDescent="0.3">
      <c r="A103" s="714" t="s">
        <v>472</v>
      </c>
      <c r="B103" s="480">
        <v>11.01</v>
      </c>
      <c r="C103" s="481" t="s">
        <v>365</v>
      </c>
      <c r="D103" s="555" t="s">
        <v>83</v>
      </c>
      <c r="E103" s="535">
        <v>101</v>
      </c>
      <c r="F103" s="161">
        <v>19970.726264730343</v>
      </c>
      <c r="G103" s="542">
        <v>0</v>
      </c>
      <c r="H103" s="542">
        <v>700159.3513175206</v>
      </c>
      <c r="I103" s="488">
        <f t="shared" ref="I103:I109" si="27">SUM(G103:H103)</f>
        <v>700159.3513175206</v>
      </c>
      <c r="J103" s="542">
        <v>0</v>
      </c>
      <c r="K103" s="542">
        <v>1292095.1462432328</v>
      </c>
      <c r="L103" s="488">
        <f t="shared" ref="L103:L109" si="28">SUM(J103:K103)</f>
        <v>1292095.1462432328</v>
      </c>
      <c r="M103" s="542">
        <v>24788.85517701137</v>
      </c>
      <c r="N103" s="488">
        <f t="shared" ref="N103:N109" si="29">SUM(I103,L103)</f>
        <v>1992254.4975607535</v>
      </c>
      <c r="Q103" s="450"/>
    </row>
    <row r="104" spans="1:21" ht="14.5" customHeight="1" outlineLevel="1" x14ac:dyDescent="0.3">
      <c r="A104" s="714" t="s">
        <v>472</v>
      </c>
      <c r="B104" s="485">
        <v>11.02</v>
      </c>
      <c r="C104" s="486" t="s">
        <v>366</v>
      </c>
      <c r="D104" s="551" t="s">
        <v>83</v>
      </c>
      <c r="E104" s="494">
        <v>898</v>
      </c>
      <c r="F104" s="161">
        <v>19970.726264730343</v>
      </c>
      <c r="G104" s="494">
        <v>0</v>
      </c>
      <c r="H104" s="494">
        <v>6225179.1830013217</v>
      </c>
      <c r="I104" s="488">
        <f t="shared" si="27"/>
        <v>6225179.1830013217</v>
      </c>
      <c r="J104" s="494">
        <v>0</v>
      </c>
      <c r="K104" s="494">
        <v>11488133.082439832</v>
      </c>
      <c r="L104" s="488">
        <f t="shared" si="28"/>
        <v>11488133.082439832</v>
      </c>
      <c r="M104" s="494">
        <v>220399.92028669512</v>
      </c>
      <c r="N104" s="488">
        <f t="shared" si="29"/>
        <v>17713312.265441153</v>
      </c>
      <c r="Q104" s="450"/>
    </row>
    <row r="105" spans="1:21" ht="14.5" customHeight="1" outlineLevel="1" x14ac:dyDescent="0.3">
      <c r="A105" s="714" t="s">
        <v>472</v>
      </c>
      <c r="B105" s="485">
        <v>11.03</v>
      </c>
      <c r="C105" s="486" t="s">
        <v>367</v>
      </c>
      <c r="D105" s="551" t="s">
        <v>83</v>
      </c>
      <c r="E105" s="494">
        <v>88</v>
      </c>
      <c r="F105" s="161">
        <v>23882.262902612259</v>
      </c>
      <c r="G105" s="494">
        <v>0</v>
      </c>
      <c r="H105" s="494">
        <v>610039.830850909</v>
      </c>
      <c r="I105" s="488">
        <f t="shared" si="27"/>
        <v>610039.830850909</v>
      </c>
      <c r="J105" s="494">
        <v>0</v>
      </c>
      <c r="K105" s="494">
        <v>1463521.6309923348</v>
      </c>
      <c r="L105" s="488">
        <f t="shared" si="28"/>
        <v>1463521.6309923348</v>
      </c>
      <c r="M105" s="494">
        <v>28077.673586634657</v>
      </c>
      <c r="N105" s="488">
        <f t="shared" si="29"/>
        <v>2073561.4618432438</v>
      </c>
      <c r="Q105" s="450"/>
    </row>
    <row r="106" spans="1:21" ht="14.5" customHeight="1" outlineLevel="1" x14ac:dyDescent="0.3">
      <c r="A106" s="714" t="s">
        <v>472</v>
      </c>
      <c r="B106" s="485">
        <v>11.04</v>
      </c>
      <c r="C106" s="556" t="s">
        <v>368</v>
      </c>
      <c r="D106" s="551" t="s">
        <v>83</v>
      </c>
      <c r="E106" s="494">
        <v>63</v>
      </c>
      <c r="F106" s="161">
        <v>19970.726264730343</v>
      </c>
      <c r="G106" s="494">
        <v>0</v>
      </c>
      <c r="H106" s="494">
        <v>436733.06072280987</v>
      </c>
      <c r="I106" s="488">
        <f t="shared" si="27"/>
        <v>436733.06072280987</v>
      </c>
      <c r="J106" s="494">
        <v>0</v>
      </c>
      <c r="K106" s="494">
        <v>805960.33874577878</v>
      </c>
      <c r="L106" s="488">
        <f t="shared" si="28"/>
        <v>805960.33874577878</v>
      </c>
      <c r="M106" s="494">
        <v>15462.355209422933</v>
      </c>
      <c r="N106" s="488">
        <f t="shared" si="29"/>
        <v>1242693.3994685886</v>
      </c>
      <c r="Q106" s="450"/>
    </row>
    <row r="107" spans="1:21" ht="14.5" customHeight="1" outlineLevel="1" x14ac:dyDescent="0.3">
      <c r="A107" s="714" t="s">
        <v>472</v>
      </c>
      <c r="B107" s="485">
        <v>11.05</v>
      </c>
      <c r="C107" s="486" t="s">
        <v>369</v>
      </c>
      <c r="D107" s="551" t="s">
        <v>83</v>
      </c>
      <c r="E107" s="494">
        <v>25</v>
      </c>
      <c r="F107" s="161">
        <v>0</v>
      </c>
      <c r="G107" s="494">
        <v>0</v>
      </c>
      <c r="H107" s="494">
        <v>0</v>
      </c>
      <c r="I107" s="488">
        <f t="shared" si="27"/>
        <v>0</v>
      </c>
      <c r="J107" s="494">
        <v>0</v>
      </c>
      <c r="K107" s="494">
        <v>0</v>
      </c>
      <c r="L107" s="488">
        <f t="shared" si="28"/>
        <v>0</v>
      </c>
      <c r="M107" s="494">
        <v>0</v>
      </c>
      <c r="N107" s="488">
        <f t="shared" si="29"/>
        <v>0</v>
      </c>
      <c r="Q107" s="450"/>
    </row>
    <row r="108" spans="1:21" s="523" customFormat="1" ht="14.5" customHeight="1" outlineLevel="1" x14ac:dyDescent="0.3">
      <c r="A108" s="714" t="s">
        <v>472</v>
      </c>
      <c r="B108" s="485">
        <v>11.06</v>
      </c>
      <c r="C108" s="486" t="s">
        <v>165</v>
      </c>
      <c r="D108" s="493" t="s">
        <v>83</v>
      </c>
      <c r="E108" s="494">
        <v>27</v>
      </c>
      <c r="F108" s="161">
        <v>15523.834467374139</v>
      </c>
      <c r="G108" s="494">
        <v>0</v>
      </c>
      <c r="H108" s="494">
        <v>110818.34596800004</v>
      </c>
      <c r="I108" s="488">
        <f t="shared" si="27"/>
        <v>110818.34596800004</v>
      </c>
      <c r="J108" s="494">
        <v>0</v>
      </c>
      <c r="K108" s="494">
        <v>300046.03977992712</v>
      </c>
      <c r="L108" s="488">
        <f t="shared" si="28"/>
        <v>300046.03977992712</v>
      </c>
      <c r="M108" s="494">
        <v>8279.144871174587</v>
      </c>
      <c r="N108" s="488">
        <f t="shared" si="29"/>
        <v>410864.38574792712</v>
      </c>
      <c r="P108" s="478"/>
      <c r="Q108" s="450"/>
      <c r="R108" s="479"/>
      <c r="S108" s="478"/>
      <c r="T108" s="478"/>
      <c r="U108" s="478"/>
    </row>
    <row r="109" spans="1:21" ht="14.5" customHeight="1" outlineLevel="1" x14ac:dyDescent="0.3">
      <c r="A109" s="714" t="s">
        <v>472</v>
      </c>
      <c r="B109" s="485">
        <v>11.07</v>
      </c>
      <c r="C109" s="486" t="s">
        <v>370</v>
      </c>
      <c r="D109" s="551" t="s">
        <v>83</v>
      </c>
      <c r="E109" s="494">
        <v>180</v>
      </c>
      <c r="F109" s="161">
        <v>19970.726264730343</v>
      </c>
      <c r="G109" s="494">
        <v>0</v>
      </c>
      <c r="H109" s="494">
        <v>1247808.7449223138</v>
      </c>
      <c r="I109" s="488">
        <f t="shared" si="27"/>
        <v>1247808.7449223138</v>
      </c>
      <c r="J109" s="494">
        <v>0</v>
      </c>
      <c r="K109" s="494">
        <v>2302743.8249879396</v>
      </c>
      <c r="L109" s="488">
        <f t="shared" si="28"/>
        <v>2302743.8249879396</v>
      </c>
      <c r="M109" s="494">
        <v>44178.157741208379</v>
      </c>
      <c r="N109" s="488">
        <f t="shared" si="29"/>
        <v>3550552.5699102534</v>
      </c>
      <c r="Q109" s="450"/>
    </row>
    <row r="110" spans="1:21" ht="14.5" customHeight="1" x14ac:dyDescent="0.3">
      <c r="B110" s="472">
        <v>12</v>
      </c>
      <c r="C110" s="473" t="s">
        <v>371</v>
      </c>
      <c r="D110" s="474"/>
      <c r="E110" s="475"/>
      <c r="F110" s="141"/>
      <c r="G110" s="475"/>
      <c r="H110" s="475"/>
      <c r="I110" s="475"/>
      <c r="J110" s="475"/>
      <c r="K110" s="475"/>
      <c r="L110" s="475"/>
      <c r="M110" s="475"/>
      <c r="N110" s="475"/>
      <c r="Q110" s="450"/>
    </row>
    <row r="111" spans="1:21" ht="14.5" customHeight="1" outlineLevel="1" x14ac:dyDescent="0.3">
      <c r="A111" s="714" t="s">
        <v>472</v>
      </c>
      <c r="B111" s="480">
        <v>12.01</v>
      </c>
      <c r="C111" s="481" t="s">
        <v>168</v>
      </c>
      <c r="D111" s="555" t="s">
        <v>74</v>
      </c>
      <c r="E111" s="535">
        <v>792</v>
      </c>
      <c r="F111" s="161">
        <v>9614.4269879816093</v>
      </c>
      <c r="G111" s="542">
        <v>3445189.2561983475</v>
      </c>
      <c r="H111" s="542">
        <v>0</v>
      </c>
      <c r="I111" s="488">
        <f t="shared" ref="I111:I114" si="30">SUM(G111:H111)</f>
        <v>3445189.2561983475</v>
      </c>
      <c r="J111" s="542">
        <v>0</v>
      </c>
      <c r="K111" s="542">
        <v>4056905.4969853326</v>
      </c>
      <c r="L111" s="488">
        <f t="shared" ref="L111:L114" si="31">SUM(J111:K111)</f>
        <v>4056905.4969853326</v>
      </c>
      <c r="M111" s="542">
        <v>112531.42129775519</v>
      </c>
      <c r="N111" s="488">
        <f t="shared" ref="N111:N114" si="32">SUM(I111,L111)</f>
        <v>7502094.7531836797</v>
      </c>
      <c r="Q111" s="450"/>
    </row>
    <row r="112" spans="1:21" ht="14.5" customHeight="1" outlineLevel="1" x14ac:dyDescent="0.3">
      <c r="A112" s="714" t="s">
        <v>472</v>
      </c>
      <c r="B112" s="507">
        <v>12.02</v>
      </c>
      <c r="C112" s="540" t="s">
        <v>372</v>
      </c>
      <c r="D112" s="549" t="s">
        <v>74</v>
      </c>
      <c r="E112" s="542">
        <v>282</v>
      </c>
      <c r="F112" s="161">
        <v>6651.4945694988519</v>
      </c>
      <c r="G112" s="542">
        <v>0</v>
      </c>
      <c r="H112" s="542">
        <v>282422.21143477684</v>
      </c>
      <c r="I112" s="488">
        <f t="shared" si="30"/>
        <v>282422.21143477684</v>
      </c>
      <c r="J112" s="542">
        <v>0</v>
      </c>
      <c r="K112" s="542">
        <v>1563307.1967418124</v>
      </c>
      <c r="L112" s="488">
        <f t="shared" si="31"/>
        <v>1563307.1967418124</v>
      </c>
      <c r="M112" s="542">
        <v>29992.060422087019</v>
      </c>
      <c r="N112" s="488">
        <f t="shared" si="32"/>
        <v>1845729.4081765893</v>
      </c>
      <c r="P112" s="478"/>
      <c r="Q112" s="450"/>
      <c r="R112" s="479"/>
      <c r="S112" s="478"/>
      <c r="T112" s="478"/>
      <c r="U112" s="478"/>
    </row>
    <row r="113" spans="1:21" ht="14.5" customHeight="1" outlineLevel="1" x14ac:dyDescent="0.3">
      <c r="A113" s="714" t="s">
        <v>472</v>
      </c>
      <c r="B113" s="507">
        <v>12.03</v>
      </c>
      <c r="C113" s="557" t="s">
        <v>373</v>
      </c>
      <c r="D113" s="549" t="s">
        <v>74</v>
      </c>
      <c r="E113" s="542">
        <v>263</v>
      </c>
      <c r="F113" s="161">
        <v>6651.4945694988519</v>
      </c>
      <c r="G113" s="542">
        <v>0</v>
      </c>
      <c r="H113" s="542">
        <v>263393.76456505782</v>
      </c>
      <c r="I113" s="488">
        <f t="shared" si="30"/>
        <v>263393.76456505782</v>
      </c>
      <c r="J113" s="542">
        <v>0</v>
      </c>
      <c r="K113" s="542">
        <v>1457977.9884506974</v>
      </c>
      <c r="L113" s="488">
        <f t="shared" si="31"/>
        <v>1457977.9884506974</v>
      </c>
      <c r="M113" s="542">
        <v>27971.318762442861</v>
      </c>
      <c r="N113" s="488">
        <f t="shared" si="32"/>
        <v>1721371.7530157552</v>
      </c>
      <c r="Q113" s="450"/>
    </row>
    <row r="114" spans="1:21" ht="14.5" customHeight="1" outlineLevel="1" x14ac:dyDescent="0.3">
      <c r="A114" s="714" t="s">
        <v>472</v>
      </c>
      <c r="B114" s="524">
        <v>12.04</v>
      </c>
      <c r="C114" s="502" t="s">
        <v>374</v>
      </c>
      <c r="D114" s="558" t="s">
        <v>74</v>
      </c>
      <c r="E114" s="504">
        <v>25</v>
      </c>
      <c r="F114" s="161">
        <v>6651.4945694988519</v>
      </c>
      <c r="G114" s="607">
        <v>0</v>
      </c>
      <c r="H114" s="607">
        <v>25037.430091735532</v>
      </c>
      <c r="I114" s="488">
        <f t="shared" si="30"/>
        <v>25037.430091735532</v>
      </c>
      <c r="J114" s="607">
        <v>0</v>
      </c>
      <c r="K114" s="607">
        <v>138591.06354094081</v>
      </c>
      <c r="L114" s="488">
        <f t="shared" si="31"/>
        <v>138591.06354094081</v>
      </c>
      <c r="M114" s="607">
        <v>2658.8706047949486</v>
      </c>
      <c r="N114" s="488">
        <f t="shared" si="32"/>
        <v>163628.49363267634</v>
      </c>
      <c r="Q114" s="450"/>
    </row>
    <row r="115" spans="1:21" ht="14.5" customHeight="1" x14ac:dyDescent="0.3">
      <c r="B115" s="472">
        <v>13</v>
      </c>
      <c r="C115" s="473" t="s">
        <v>375</v>
      </c>
      <c r="D115" s="474"/>
      <c r="E115" s="475"/>
      <c r="F115" s="141"/>
      <c r="G115" s="475"/>
      <c r="H115" s="475"/>
      <c r="I115" s="475"/>
      <c r="J115" s="475"/>
      <c r="K115" s="475"/>
      <c r="L115" s="475"/>
      <c r="M115" s="475"/>
      <c r="N115" s="475"/>
      <c r="Q115" s="450"/>
    </row>
    <row r="116" spans="1:21" ht="14.5" customHeight="1" outlineLevel="1" x14ac:dyDescent="0.3">
      <c r="A116" s="714" t="s">
        <v>472</v>
      </c>
      <c r="B116" s="496">
        <v>13.01</v>
      </c>
      <c r="C116" s="556" t="s">
        <v>376</v>
      </c>
      <c r="D116" s="553" t="s">
        <v>83</v>
      </c>
      <c r="E116" s="488">
        <v>493</v>
      </c>
      <c r="F116" s="161">
        <v>23882.262902612259</v>
      </c>
      <c r="G116" s="488">
        <v>0</v>
      </c>
      <c r="H116" s="488">
        <v>3417609.5069261151</v>
      </c>
      <c r="I116" s="488">
        <f t="shared" ref="I116:I118" si="33">SUM(G116:H116)</f>
        <v>3417609.5069261151</v>
      </c>
      <c r="J116" s="488">
        <v>0</v>
      </c>
      <c r="K116" s="488">
        <v>8199047.319082058</v>
      </c>
      <c r="L116" s="488">
        <f t="shared" ref="L116:L118" si="34">SUM(J116:K116)</f>
        <v>8199047.319082058</v>
      </c>
      <c r="M116" s="488">
        <v>157298.78497966917</v>
      </c>
      <c r="N116" s="488">
        <f t="shared" ref="N116:N118" si="35">SUM(I116,L116)</f>
        <v>11616656.826008173</v>
      </c>
      <c r="Q116" s="450"/>
    </row>
    <row r="117" spans="1:21" ht="14.5" customHeight="1" outlineLevel="1" x14ac:dyDescent="0.3">
      <c r="A117" s="714" t="s">
        <v>472</v>
      </c>
      <c r="B117" s="496">
        <v>13.02</v>
      </c>
      <c r="C117" s="556" t="s">
        <v>377</v>
      </c>
      <c r="D117" s="553" t="s">
        <v>83</v>
      </c>
      <c r="E117" s="488">
        <v>82</v>
      </c>
      <c r="F117" s="161">
        <v>23882.262902612259</v>
      </c>
      <c r="G117" s="488">
        <v>0</v>
      </c>
      <c r="H117" s="488">
        <v>568446.20602016523</v>
      </c>
      <c r="I117" s="488">
        <f t="shared" si="33"/>
        <v>568446.20602016523</v>
      </c>
      <c r="J117" s="488">
        <v>0</v>
      </c>
      <c r="K117" s="488">
        <v>1363736.0652428574</v>
      </c>
      <c r="L117" s="488">
        <f t="shared" si="34"/>
        <v>1363736.0652428574</v>
      </c>
      <c r="M117" s="488">
        <v>26163.286751182295</v>
      </c>
      <c r="N117" s="488">
        <f t="shared" si="35"/>
        <v>1932182.2712630227</v>
      </c>
      <c r="P117" s="478"/>
      <c r="Q117" s="450"/>
      <c r="R117" s="479"/>
      <c r="S117" s="478"/>
      <c r="T117" s="478"/>
      <c r="U117" s="478"/>
    </row>
    <row r="118" spans="1:21" ht="14.5" customHeight="1" outlineLevel="1" x14ac:dyDescent="0.3">
      <c r="A118" s="714" t="s">
        <v>472</v>
      </c>
      <c r="B118" s="496">
        <v>13.03</v>
      </c>
      <c r="C118" s="502" t="s">
        <v>378</v>
      </c>
      <c r="D118" s="559" t="s">
        <v>74</v>
      </c>
      <c r="E118" s="545">
        <v>152</v>
      </c>
      <c r="F118" s="161">
        <v>6651.4945694988519</v>
      </c>
      <c r="G118" s="545">
        <v>0</v>
      </c>
      <c r="H118" s="545">
        <v>152227.57495775205</v>
      </c>
      <c r="I118" s="488">
        <f t="shared" si="33"/>
        <v>152227.57495775205</v>
      </c>
      <c r="J118" s="545">
        <v>0</v>
      </c>
      <c r="K118" s="545">
        <v>842633.66632892017</v>
      </c>
      <c r="L118" s="488">
        <f t="shared" si="34"/>
        <v>842633.66632892017</v>
      </c>
      <c r="M118" s="545">
        <v>16165.933277153288</v>
      </c>
      <c r="N118" s="488">
        <f t="shared" si="35"/>
        <v>994861.24128667219</v>
      </c>
      <c r="Q118" s="450"/>
    </row>
    <row r="119" spans="1:21" s="523" customFormat="1" ht="14.5" customHeight="1" x14ac:dyDescent="0.3">
      <c r="B119" s="472">
        <v>14</v>
      </c>
      <c r="C119" s="473" t="s">
        <v>176</v>
      </c>
      <c r="D119" s="474"/>
      <c r="E119" s="475"/>
      <c r="F119" s="141"/>
      <c r="G119" s="475"/>
      <c r="H119" s="475"/>
      <c r="I119" s="475"/>
      <c r="J119" s="475"/>
      <c r="K119" s="475"/>
      <c r="L119" s="475"/>
      <c r="M119" s="475"/>
      <c r="N119" s="475"/>
      <c r="P119" s="449"/>
      <c r="Q119" s="450"/>
      <c r="R119" s="450"/>
      <c r="S119" s="449"/>
      <c r="T119" s="449"/>
      <c r="U119" s="449"/>
    </row>
    <row r="120" spans="1:21" ht="14.5" customHeight="1" outlineLevel="1" x14ac:dyDescent="0.3">
      <c r="A120" s="714" t="s">
        <v>471</v>
      </c>
      <c r="B120" s="480">
        <f>+B119+0.01</f>
        <v>14.01</v>
      </c>
      <c r="C120" s="481" t="s">
        <v>177</v>
      </c>
      <c r="D120" s="552" t="s">
        <v>83</v>
      </c>
      <c r="E120" s="483">
        <v>146</v>
      </c>
      <c r="F120" s="161">
        <v>28459.930911318243</v>
      </c>
      <c r="G120" s="510">
        <v>1557388.5655515192</v>
      </c>
      <c r="H120" s="510">
        <v>0</v>
      </c>
      <c r="I120" s="488">
        <f t="shared" ref="I120:I127" si="36">SUM(G120:H120)</f>
        <v>1557388.5655515192</v>
      </c>
      <c r="J120" s="510">
        <v>2555910.9823550349</v>
      </c>
      <c r="K120" s="510">
        <v>0</v>
      </c>
      <c r="L120" s="488">
        <f t="shared" ref="L120:L127" si="37">SUM(J120:K120)</f>
        <v>2555910.9823550349</v>
      </c>
      <c r="M120" s="510">
        <v>41850.365145909396</v>
      </c>
      <c r="N120" s="488">
        <f t="shared" ref="N120:N127" si="38">SUM(I120,L120)</f>
        <v>4113299.5479065543</v>
      </c>
      <c r="Q120" s="450"/>
    </row>
    <row r="121" spans="1:21" ht="14.5" customHeight="1" outlineLevel="1" x14ac:dyDescent="0.3">
      <c r="A121" s="714" t="s">
        <v>471</v>
      </c>
      <c r="B121" s="485">
        <v>14.02</v>
      </c>
      <c r="C121" s="486" t="s">
        <v>178</v>
      </c>
      <c r="D121" s="553" t="s">
        <v>83</v>
      </c>
      <c r="E121" s="488">
        <v>89</v>
      </c>
      <c r="F121" s="161">
        <v>32541.586172856703</v>
      </c>
      <c r="G121" s="488">
        <v>1312634.3205651781</v>
      </c>
      <c r="H121" s="488">
        <v>0</v>
      </c>
      <c r="I121" s="488">
        <f t="shared" si="36"/>
        <v>1312634.3205651781</v>
      </c>
      <c r="J121" s="488">
        <v>1558055.3248602611</v>
      </c>
      <c r="K121" s="488">
        <v>0</v>
      </c>
      <c r="L121" s="488">
        <f t="shared" si="37"/>
        <v>1558055.3248602611</v>
      </c>
      <c r="M121" s="488">
        <v>25511.523958807786</v>
      </c>
      <c r="N121" s="488">
        <f t="shared" si="38"/>
        <v>2870689.6454254389</v>
      </c>
      <c r="Q121" s="450"/>
    </row>
    <row r="122" spans="1:21" ht="14.5" customHeight="1" outlineLevel="1" x14ac:dyDescent="0.3">
      <c r="A122" s="714" t="s">
        <v>471</v>
      </c>
      <c r="B122" s="485">
        <v>14.03</v>
      </c>
      <c r="C122" s="486" t="s">
        <v>179</v>
      </c>
      <c r="D122" s="553" t="s">
        <v>74</v>
      </c>
      <c r="E122" s="488">
        <v>62</v>
      </c>
      <c r="F122" s="161">
        <v>35907.123951069254</v>
      </c>
      <c r="G122" s="488">
        <v>661356.78811091906</v>
      </c>
      <c r="H122" s="488">
        <v>61204.819061487608</v>
      </c>
      <c r="I122" s="488">
        <f t="shared" si="36"/>
        <v>722561.60717240663</v>
      </c>
      <c r="J122" s="488">
        <v>1085386.8555206312</v>
      </c>
      <c r="K122" s="488">
        <v>389265.50325196062</v>
      </c>
      <c r="L122" s="488">
        <f t="shared" si="37"/>
        <v>1474652.3587725917</v>
      </c>
      <c r="M122" s="488">
        <v>29027.71902129515</v>
      </c>
      <c r="N122" s="488">
        <f t="shared" si="38"/>
        <v>2197213.9659449984</v>
      </c>
      <c r="Q122" s="450"/>
    </row>
    <row r="123" spans="1:21" ht="14.5" customHeight="1" outlineLevel="1" x14ac:dyDescent="0.3">
      <c r="A123" s="714" t="s">
        <v>471</v>
      </c>
      <c r="B123" s="485">
        <v>14.04</v>
      </c>
      <c r="C123" s="486" t="s">
        <v>180</v>
      </c>
      <c r="D123" s="553" t="s">
        <v>74</v>
      </c>
      <c r="E123" s="488">
        <v>689</v>
      </c>
      <c r="F123" s="161">
        <v>7447.1930397510114</v>
      </c>
      <c r="G123" s="488">
        <v>680163.23118330585</v>
      </c>
      <c r="H123" s="488">
        <v>0</v>
      </c>
      <c r="I123" s="488">
        <f t="shared" si="36"/>
        <v>680163.23118330585</v>
      </c>
      <c r="J123" s="488">
        <v>4325869.8667838853</v>
      </c>
      <c r="K123" s="488">
        <v>0</v>
      </c>
      <c r="L123" s="488">
        <f t="shared" si="37"/>
        <v>4325869.8667838853</v>
      </c>
      <c r="M123" s="488">
        <v>125082.90642125568</v>
      </c>
      <c r="N123" s="488">
        <f t="shared" si="38"/>
        <v>5006033.0979671907</v>
      </c>
      <c r="Q123" s="450"/>
    </row>
    <row r="124" spans="1:21" s="523" customFormat="1" ht="14.5" customHeight="1" outlineLevel="1" x14ac:dyDescent="0.3">
      <c r="A124" s="714" t="s">
        <v>471</v>
      </c>
      <c r="B124" s="485">
        <v>14.05</v>
      </c>
      <c r="C124" s="486" t="s">
        <v>181</v>
      </c>
      <c r="D124" s="553" t="s">
        <v>83</v>
      </c>
      <c r="E124" s="488">
        <v>668</v>
      </c>
      <c r="F124" s="161">
        <v>19049.474244841</v>
      </c>
      <c r="G124" s="488">
        <v>0</v>
      </c>
      <c r="H124" s="488">
        <v>4352291.4399999995</v>
      </c>
      <c r="I124" s="488">
        <f t="shared" si="36"/>
        <v>4352291.4399999995</v>
      </c>
      <c r="J124" s="488">
        <v>8184702.4472451117</v>
      </c>
      <c r="K124" s="488">
        <v>0</v>
      </c>
      <c r="L124" s="488">
        <f t="shared" si="37"/>
        <v>8184702.4472451117</v>
      </c>
      <c r="M124" s="488">
        <v>188054.90830867665</v>
      </c>
      <c r="N124" s="488">
        <f t="shared" si="38"/>
        <v>12536993.887245111</v>
      </c>
      <c r="P124" s="449"/>
      <c r="Q124" s="450"/>
      <c r="R124" s="450"/>
      <c r="S124" s="449"/>
      <c r="T124" s="449"/>
      <c r="U124" s="449"/>
    </row>
    <row r="125" spans="1:21" s="523" customFormat="1" ht="14.5" customHeight="1" outlineLevel="1" x14ac:dyDescent="0.3">
      <c r="A125" s="714" t="s">
        <v>471</v>
      </c>
      <c r="B125" s="485">
        <v>14.06</v>
      </c>
      <c r="C125" s="486" t="s">
        <v>182</v>
      </c>
      <c r="D125" s="553" t="s">
        <v>74</v>
      </c>
      <c r="E125" s="488">
        <v>446</v>
      </c>
      <c r="F125" s="161">
        <v>13341.751383386625</v>
      </c>
      <c r="G125" s="488">
        <v>0</v>
      </c>
      <c r="H125" s="488">
        <v>0</v>
      </c>
      <c r="I125" s="488">
        <f t="shared" si="36"/>
        <v>0</v>
      </c>
      <c r="J125" s="488">
        <v>5862483.8591038771</v>
      </c>
      <c r="K125" s="488">
        <v>0</v>
      </c>
      <c r="L125" s="488">
        <f t="shared" si="37"/>
        <v>5862483.8591038771</v>
      </c>
      <c r="M125" s="488">
        <v>87937.25788655816</v>
      </c>
      <c r="N125" s="488">
        <f t="shared" si="38"/>
        <v>5862483.8591038771</v>
      </c>
      <c r="P125" s="478"/>
      <c r="Q125" s="450"/>
      <c r="R125" s="479"/>
      <c r="S125" s="478"/>
      <c r="T125" s="478"/>
      <c r="U125" s="478"/>
    </row>
    <row r="126" spans="1:21" s="523" customFormat="1" ht="14.5" customHeight="1" outlineLevel="1" x14ac:dyDescent="0.3">
      <c r="A126" s="714" t="s">
        <v>471</v>
      </c>
      <c r="B126" s="485">
        <v>14.07</v>
      </c>
      <c r="C126" s="486" t="s">
        <v>139</v>
      </c>
      <c r="D126" s="560" t="s">
        <v>74</v>
      </c>
      <c r="E126" s="561">
        <v>2</v>
      </c>
      <c r="F126" s="161">
        <v>13144.582643730666</v>
      </c>
      <c r="G126" s="561">
        <v>0</v>
      </c>
      <c r="H126" s="561">
        <v>0</v>
      </c>
      <c r="I126" s="488">
        <f t="shared" si="36"/>
        <v>0</v>
      </c>
      <c r="J126" s="561">
        <v>26289.165287461332</v>
      </c>
      <c r="K126" s="561">
        <v>0</v>
      </c>
      <c r="L126" s="488">
        <f t="shared" si="37"/>
        <v>26289.165287461332</v>
      </c>
      <c r="M126" s="561">
        <v>0</v>
      </c>
      <c r="N126" s="488">
        <f t="shared" si="38"/>
        <v>26289.165287461332</v>
      </c>
      <c r="P126" s="478"/>
      <c r="Q126" s="450"/>
      <c r="R126" s="479"/>
      <c r="S126" s="478"/>
      <c r="T126" s="478"/>
      <c r="U126" s="478"/>
    </row>
    <row r="127" spans="1:21" ht="14.5" customHeight="1" outlineLevel="1" x14ac:dyDescent="0.3">
      <c r="A127" s="714" t="s">
        <v>468</v>
      </c>
      <c r="B127" s="485">
        <v>14.08</v>
      </c>
      <c r="C127" s="502" t="s">
        <v>183</v>
      </c>
      <c r="D127" s="559" t="s">
        <v>83</v>
      </c>
      <c r="E127" s="545">
        <v>370</v>
      </c>
      <c r="F127" s="161">
        <v>5799.7000349990167</v>
      </c>
      <c r="G127" s="561">
        <v>0</v>
      </c>
      <c r="H127" s="561">
        <v>499999.99999999994</v>
      </c>
      <c r="I127" s="488">
        <f t="shared" si="36"/>
        <v>499999.99999999994</v>
      </c>
      <c r="J127" s="561">
        <v>0</v>
      </c>
      <c r="K127" s="561">
        <v>1614176.3674380649</v>
      </c>
      <c r="L127" s="488">
        <f t="shared" si="37"/>
        <v>1614176.3674380649</v>
      </c>
      <c r="M127" s="561">
        <v>31712.645511570976</v>
      </c>
      <c r="N127" s="488">
        <f t="shared" si="38"/>
        <v>2114176.3674380649</v>
      </c>
      <c r="P127" s="478"/>
      <c r="Q127" s="450"/>
      <c r="R127" s="479"/>
      <c r="S127" s="478"/>
      <c r="T127" s="478"/>
      <c r="U127" s="478"/>
    </row>
    <row r="128" spans="1:21" ht="14.5" customHeight="1" x14ac:dyDescent="0.3">
      <c r="B128" s="472">
        <v>15</v>
      </c>
      <c r="C128" s="473" t="s">
        <v>184</v>
      </c>
      <c r="D128" s="474"/>
      <c r="E128" s="475"/>
      <c r="F128" s="141"/>
      <c r="G128" s="475"/>
      <c r="H128" s="475"/>
      <c r="I128" s="475"/>
      <c r="J128" s="475"/>
      <c r="K128" s="475"/>
      <c r="L128" s="475"/>
      <c r="M128" s="475"/>
      <c r="N128" s="475"/>
      <c r="P128" s="478"/>
      <c r="Q128" s="450"/>
      <c r="R128" s="479"/>
      <c r="S128" s="478"/>
      <c r="T128" s="478"/>
      <c r="U128" s="478"/>
    </row>
    <row r="129" spans="1:21" ht="14.5" customHeight="1" outlineLevel="1" x14ac:dyDescent="0.3">
      <c r="A129" s="714" t="s">
        <v>473</v>
      </c>
      <c r="B129" s="485">
        <v>15.01</v>
      </c>
      <c r="C129" s="486" t="s">
        <v>379</v>
      </c>
      <c r="D129" s="551" t="s">
        <v>83</v>
      </c>
      <c r="E129" s="494">
        <v>2180</v>
      </c>
      <c r="F129" s="150">
        <v>7693.5666673635897</v>
      </c>
      <c r="G129" s="494">
        <v>6278742.8601215715</v>
      </c>
      <c r="H129" s="494">
        <v>0</v>
      </c>
      <c r="I129" s="488">
        <f t="shared" ref="I129:I140" si="39">SUM(G129:H129)</f>
        <v>6278742.8601215715</v>
      </c>
      <c r="J129" s="494">
        <v>10265308.029305736</v>
      </c>
      <c r="K129" s="494">
        <v>0</v>
      </c>
      <c r="L129" s="488">
        <f t="shared" ref="L129:L140" si="40">SUM(J129:K129)</f>
        <v>10265308.029305736</v>
      </c>
      <c r="M129" s="494">
        <v>227924.44542532007</v>
      </c>
      <c r="N129" s="488">
        <f t="shared" ref="N129:N140" si="41">SUM(I129,L129)</f>
        <v>16544050.889427308</v>
      </c>
      <c r="P129" s="478"/>
      <c r="Q129" s="450"/>
      <c r="R129" s="479"/>
      <c r="S129" s="478"/>
      <c r="T129" s="478"/>
      <c r="U129" s="478"/>
    </row>
    <row r="130" spans="1:21" ht="14.5" customHeight="1" outlineLevel="1" x14ac:dyDescent="0.3">
      <c r="A130" s="714" t="s">
        <v>473</v>
      </c>
      <c r="B130" s="485">
        <v>15.02</v>
      </c>
      <c r="C130" s="486" t="s">
        <v>380</v>
      </c>
      <c r="D130" s="551" t="s">
        <v>83</v>
      </c>
      <c r="E130" s="494">
        <v>525</v>
      </c>
      <c r="F130" s="161">
        <v>6515.2955327495492</v>
      </c>
      <c r="G130" s="494">
        <v>1398898.210020558</v>
      </c>
      <c r="H130" s="494">
        <v>0</v>
      </c>
      <c r="I130" s="488">
        <f t="shared" si="39"/>
        <v>1398898.210020558</v>
      </c>
      <c r="J130" s="494">
        <v>1977719.8955543162</v>
      </c>
      <c r="K130" s="494">
        <v>0</v>
      </c>
      <c r="L130" s="488">
        <f t="shared" si="40"/>
        <v>1977719.8955543162</v>
      </c>
      <c r="M130" s="494">
        <v>43912.049118639647</v>
      </c>
      <c r="N130" s="488">
        <f t="shared" si="41"/>
        <v>3376618.1055748742</v>
      </c>
      <c r="P130" s="478"/>
      <c r="Q130" s="450"/>
      <c r="R130" s="479"/>
      <c r="S130" s="478"/>
      <c r="T130" s="478"/>
      <c r="U130" s="478"/>
    </row>
    <row r="131" spans="1:21" ht="14.5" customHeight="1" outlineLevel="1" x14ac:dyDescent="0.3">
      <c r="A131" s="714" t="s">
        <v>473</v>
      </c>
      <c r="B131" s="485">
        <v>15.03</v>
      </c>
      <c r="C131" s="556" t="s">
        <v>381</v>
      </c>
      <c r="D131" s="551" t="s">
        <v>83</v>
      </c>
      <c r="E131" s="494">
        <v>136</v>
      </c>
      <c r="F131" s="161">
        <v>14016.800093925513</v>
      </c>
      <c r="G131" s="494">
        <v>578190.1535969422</v>
      </c>
      <c r="H131" s="494">
        <v>0</v>
      </c>
      <c r="I131" s="488">
        <f t="shared" si="39"/>
        <v>578190.1535969422</v>
      </c>
      <c r="J131" s="494">
        <v>1292460.661136088</v>
      </c>
      <c r="K131" s="494">
        <v>0</v>
      </c>
      <c r="L131" s="488">
        <f t="shared" si="40"/>
        <v>1292460.661136088</v>
      </c>
      <c r="M131" s="494">
        <v>35633.998040839513</v>
      </c>
      <c r="N131" s="488">
        <f t="shared" si="41"/>
        <v>1870650.8147330303</v>
      </c>
      <c r="P131" s="478"/>
      <c r="Q131" s="450"/>
      <c r="R131" s="479"/>
      <c r="S131" s="478"/>
      <c r="T131" s="478"/>
      <c r="U131" s="478"/>
    </row>
    <row r="132" spans="1:21" ht="14.5" customHeight="1" outlineLevel="1" x14ac:dyDescent="0.3">
      <c r="A132" s="714" t="s">
        <v>473</v>
      </c>
      <c r="B132" s="485">
        <v>15.04</v>
      </c>
      <c r="C132" s="486" t="s">
        <v>382</v>
      </c>
      <c r="D132" s="551" t="s">
        <v>83</v>
      </c>
      <c r="E132" s="494">
        <v>296</v>
      </c>
      <c r="F132" s="161">
        <v>14016.800093925513</v>
      </c>
      <c r="G132" s="494">
        <v>1258413.8637109918</v>
      </c>
      <c r="H132" s="494">
        <v>0</v>
      </c>
      <c r="I132" s="488">
        <f t="shared" si="39"/>
        <v>1258413.8637109918</v>
      </c>
      <c r="J132" s="494">
        <v>2813002.6154138385</v>
      </c>
      <c r="K132" s="494">
        <v>0</v>
      </c>
      <c r="L132" s="488">
        <f t="shared" si="40"/>
        <v>2813002.6154138385</v>
      </c>
      <c r="M132" s="494">
        <v>77556.348677121292</v>
      </c>
      <c r="N132" s="488">
        <f t="shared" si="41"/>
        <v>4071416.4791248301</v>
      </c>
      <c r="Q132" s="450"/>
    </row>
    <row r="133" spans="1:21" ht="14.5" customHeight="1" outlineLevel="1" x14ac:dyDescent="0.3">
      <c r="A133" s="714" t="s">
        <v>473</v>
      </c>
      <c r="B133" s="485">
        <v>15.05</v>
      </c>
      <c r="C133" s="556" t="s">
        <v>383</v>
      </c>
      <c r="D133" s="551" t="s">
        <v>83</v>
      </c>
      <c r="E133" s="494">
        <v>668</v>
      </c>
      <c r="F133" s="161">
        <v>7693.5666673635897</v>
      </c>
      <c r="G133" s="494">
        <v>1923945.059890463</v>
      </c>
      <c r="H133" s="494">
        <v>0</v>
      </c>
      <c r="I133" s="488">
        <f t="shared" si="39"/>
        <v>1923945.059890463</v>
      </c>
      <c r="J133" s="494">
        <v>3145516.4053101977</v>
      </c>
      <c r="K133" s="494">
        <v>0</v>
      </c>
      <c r="L133" s="488">
        <f t="shared" si="40"/>
        <v>3145516.4053101977</v>
      </c>
      <c r="M133" s="494">
        <v>69841.068598217345</v>
      </c>
      <c r="N133" s="488">
        <f t="shared" si="41"/>
        <v>5069461.4652006608</v>
      </c>
      <c r="Q133" s="450"/>
    </row>
    <row r="134" spans="1:21" ht="14.5" customHeight="1" outlineLevel="1" x14ac:dyDescent="0.3">
      <c r="A134" s="714" t="s">
        <v>473</v>
      </c>
      <c r="B134" s="485">
        <v>15.06</v>
      </c>
      <c r="C134" s="486" t="s">
        <v>384</v>
      </c>
      <c r="D134" s="551" t="s">
        <v>83</v>
      </c>
      <c r="E134" s="494">
        <v>281</v>
      </c>
      <c r="F134" s="161">
        <v>6515.2955327495492</v>
      </c>
      <c r="G134" s="494">
        <v>748743.61336338439</v>
      </c>
      <c r="H134" s="494">
        <v>0</v>
      </c>
      <c r="I134" s="488">
        <f t="shared" si="39"/>
        <v>748743.61336338439</v>
      </c>
      <c r="J134" s="494">
        <v>1058551.0298109769</v>
      </c>
      <c r="K134" s="494">
        <v>0</v>
      </c>
      <c r="L134" s="488">
        <f t="shared" si="40"/>
        <v>1058551.0298109769</v>
      </c>
      <c r="M134" s="494">
        <v>23503.401528262366</v>
      </c>
      <c r="N134" s="488">
        <f t="shared" si="41"/>
        <v>1807294.6431743614</v>
      </c>
      <c r="Q134" s="450"/>
    </row>
    <row r="135" spans="1:21" ht="14.5" customHeight="1" outlineLevel="1" x14ac:dyDescent="0.3">
      <c r="A135" s="714" t="s">
        <v>473</v>
      </c>
      <c r="B135" s="485">
        <v>15.07</v>
      </c>
      <c r="C135" s="486" t="s">
        <v>385</v>
      </c>
      <c r="D135" s="551" t="s">
        <v>83</v>
      </c>
      <c r="E135" s="494">
        <v>752</v>
      </c>
      <c r="F135" s="161">
        <v>19477.563292749885</v>
      </c>
      <c r="G135" s="494">
        <v>5210741.8622148773</v>
      </c>
      <c r="H135" s="494">
        <v>0</v>
      </c>
      <c r="I135" s="488">
        <f t="shared" si="39"/>
        <v>5210741.8622148773</v>
      </c>
      <c r="J135" s="494">
        <v>9287880.3577508107</v>
      </c>
      <c r="K135" s="494">
        <v>0</v>
      </c>
      <c r="L135" s="488">
        <f t="shared" si="40"/>
        <v>9287880.3577508107</v>
      </c>
      <c r="M135" s="494">
        <v>148505.37618222262</v>
      </c>
      <c r="N135" s="488">
        <f t="shared" si="41"/>
        <v>14498622.219965689</v>
      </c>
      <c r="Q135" s="450"/>
    </row>
    <row r="136" spans="1:21" ht="14.5" customHeight="1" outlineLevel="1" x14ac:dyDescent="0.3">
      <c r="A136" s="714" t="s">
        <v>473</v>
      </c>
      <c r="B136" s="485">
        <v>15.08</v>
      </c>
      <c r="C136" s="556" t="s">
        <v>386</v>
      </c>
      <c r="D136" s="551" t="s">
        <v>83</v>
      </c>
      <c r="E136" s="494">
        <v>433</v>
      </c>
      <c r="F136" s="161">
        <v>24417.92518517053</v>
      </c>
      <c r="G136" s="494">
        <v>3000334.077578513</v>
      </c>
      <c r="H136" s="494">
        <v>0</v>
      </c>
      <c r="I136" s="488">
        <f t="shared" si="39"/>
        <v>3000334.077578513</v>
      </c>
      <c r="J136" s="494">
        <v>5347941.7485453477</v>
      </c>
      <c r="K136" s="494">
        <v>2139176.6994181392</v>
      </c>
      <c r="L136" s="488">
        <f t="shared" si="40"/>
        <v>7487118.4479634874</v>
      </c>
      <c r="M136" s="494">
        <v>85509.079636838287</v>
      </c>
      <c r="N136" s="488">
        <f t="shared" si="41"/>
        <v>10487452.525542</v>
      </c>
      <c r="Q136" s="450"/>
    </row>
    <row r="137" spans="1:21" ht="14.5" customHeight="1" outlineLevel="1" x14ac:dyDescent="0.3">
      <c r="A137" s="714" t="s">
        <v>473</v>
      </c>
      <c r="B137" s="485">
        <v>15.09</v>
      </c>
      <c r="C137" s="486" t="s">
        <v>387</v>
      </c>
      <c r="D137" s="551" t="s">
        <v>83</v>
      </c>
      <c r="E137" s="494">
        <v>219</v>
      </c>
      <c r="F137" s="161">
        <v>21299.757921070275</v>
      </c>
      <c r="G137" s="494">
        <v>2600000</v>
      </c>
      <c r="H137" s="494">
        <v>0</v>
      </c>
      <c r="I137" s="488">
        <f t="shared" si="39"/>
        <v>2600000</v>
      </c>
      <c r="J137" s="494">
        <v>0</v>
      </c>
      <c r="K137" s="494">
        <v>1995711.3149895477</v>
      </c>
      <c r="L137" s="488">
        <f t="shared" si="40"/>
        <v>1995711.3149895477</v>
      </c>
      <c r="M137" s="494">
        <v>68935.669724843203</v>
      </c>
      <c r="N137" s="488">
        <f t="shared" si="41"/>
        <v>4595711.3149895482</v>
      </c>
      <c r="Q137" s="450"/>
    </row>
    <row r="138" spans="1:21" ht="14.5" customHeight="1" outlineLevel="1" x14ac:dyDescent="0.3">
      <c r="A138" s="714" t="s">
        <v>473</v>
      </c>
      <c r="B138" s="485">
        <v>15.1</v>
      </c>
      <c r="C138" s="556" t="s">
        <v>388</v>
      </c>
      <c r="D138" s="551" t="s">
        <v>83</v>
      </c>
      <c r="E138" s="494">
        <v>861</v>
      </c>
      <c r="F138" s="161">
        <v>12933.469472962342</v>
      </c>
      <c r="G138" s="494">
        <v>2975206.6115702479</v>
      </c>
      <c r="H138" s="494">
        <v>0</v>
      </c>
      <c r="I138" s="488">
        <f t="shared" si="39"/>
        <v>2975206.6115702479</v>
      </c>
      <c r="J138" s="494">
        <v>7995943.3551495308</v>
      </c>
      <c r="K138" s="494">
        <v>0</v>
      </c>
      <c r="L138" s="488">
        <f t="shared" si="40"/>
        <v>7995943.3551495308</v>
      </c>
      <c r="M138" s="494">
        <v>164567.24950079669</v>
      </c>
      <c r="N138" s="488">
        <f t="shared" si="41"/>
        <v>10971149.966719778</v>
      </c>
      <c r="Q138" s="450"/>
    </row>
    <row r="139" spans="1:21" ht="14.5" customHeight="1" outlineLevel="1" x14ac:dyDescent="0.3">
      <c r="A139" s="714" t="s">
        <v>473</v>
      </c>
      <c r="B139" s="485">
        <v>15.11</v>
      </c>
      <c r="C139" s="486" t="s">
        <v>195</v>
      </c>
      <c r="D139" s="551" t="s">
        <v>71</v>
      </c>
      <c r="E139" s="494">
        <v>88</v>
      </c>
      <c r="F139" s="161">
        <v>108602.39006969267</v>
      </c>
      <c r="G139" s="494">
        <v>2270161.9882295448</v>
      </c>
      <c r="H139" s="494">
        <v>0</v>
      </c>
      <c r="I139" s="488">
        <f t="shared" si="39"/>
        <v>2270161.9882295448</v>
      </c>
      <c r="J139" s="494">
        <v>5935282.752613673</v>
      </c>
      <c r="K139" s="494">
        <v>1210328.979484817</v>
      </c>
      <c r="L139" s="488">
        <f t="shared" si="40"/>
        <v>7145611.73209849</v>
      </c>
      <c r="M139" s="494">
        <v>141236.60580492052</v>
      </c>
      <c r="N139" s="488">
        <f t="shared" si="41"/>
        <v>9415773.7203280348</v>
      </c>
      <c r="P139" s="478"/>
      <c r="Q139" s="450"/>
      <c r="R139" s="479"/>
      <c r="S139" s="478"/>
      <c r="T139" s="478"/>
      <c r="U139" s="478"/>
    </row>
    <row r="140" spans="1:21" ht="39" outlineLevel="1" x14ac:dyDescent="0.3">
      <c r="A140" s="714" t="s">
        <v>473</v>
      </c>
      <c r="B140" s="485">
        <v>15.12</v>
      </c>
      <c r="C140" s="562" t="s">
        <v>389</v>
      </c>
      <c r="D140" s="558" t="s">
        <v>69</v>
      </c>
      <c r="E140" s="504">
        <v>1</v>
      </c>
      <c r="F140" s="161">
        <v>7065344.5916930754</v>
      </c>
      <c r="G140" s="607">
        <v>1266522.9190993388</v>
      </c>
      <c r="H140" s="607">
        <v>0</v>
      </c>
      <c r="I140" s="488">
        <f t="shared" si="39"/>
        <v>1266522.9190993388</v>
      </c>
      <c r="J140" s="607">
        <v>5694407.7131105876</v>
      </c>
      <c r="K140" s="607">
        <v>0</v>
      </c>
      <c r="L140" s="488">
        <f t="shared" si="40"/>
        <v>5694407.7131105876</v>
      </c>
      <c r="M140" s="607">
        <v>104413.95948314889</v>
      </c>
      <c r="N140" s="488">
        <f t="shared" si="41"/>
        <v>6960930.6322099268</v>
      </c>
      <c r="P140" s="478"/>
      <c r="Q140" s="450"/>
      <c r="R140" s="479"/>
      <c r="S140" s="478"/>
      <c r="T140" s="478"/>
      <c r="U140" s="478"/>
    </row>
    <row r="141" spans="1:21" ht="14.5" customHeight="1" x14ac:dyDescent="0.3">
      <c r="B141" s="472">
        <v>16</v>
      </c>
      <c r="C141" s="563" t="s">
        <v>390</v>
      </c>
      <c r="D141" s="474"/>
      <c r="E141" s="475"/>
      <c r="F141" s="141"/>
      <c r="G141" s="475"/>
      <c r="H141" s="475"/>
      <c r="I141" s="475"/>
      <c r="J141" s="475"/>
      <c r="K141" s="475"/>
      <c r="L141" s="475"/>
      <c r="M141" s="475"/>
      <c r="N141" s="475"/>
      <c r="P141" s="478"/>
      <c r="Q141" s="450"/>
      <c r="R141" s="479"/>
      <c r="S141" s="478"/>
      <c r="T141" s="478"/>
      <c r="U141" s="478"/>
    </row>
    <row r="142" spans="1:21" s="523" customFormat="1" ht="14.5" customHeight="1" outlineLevel="1" x14ac:dyDescent="0.3">
      <c r="B142" s="480"/>
      <c r="C142" s="481"/>
      <c r="D142" s="519"/>
      <c r="E142" s="535"/>
      <c r="F142" s="161">
        <v>0</v>
      </c>
      <c r="G142" s="705">
        <v>0</v>
      </c>
      <c r="H142" s="705">
        <v>0</v>
      </c>
      <c r="I142" s="488">
        <f t="shared" ref="I142" si="42">SUM(G142:H142)</f>
        <v>0</v>
      </c>
      <c r="J142" s="705">
        <v>0</v>
      </c>
      <c r="K142" s="705">
        <v>0</v>
      </c>
      <c r="L142" s="488">
        <f>SUM(J142:K142)</f>
        <v>0</v>
      </c>
      <c r="M142" s="705">
        <v>0</v>
      </c>
      <c r="N142" s="705">
        <v>0</v>
      </c>
      <c r="P142" s="478"/>
      <c r="Q142" s="450"/>
      <c r="R142" s="479"/>
      <c r="S142" s="478"/>
      <c r="T142" s="478"/>
      <c r="U142" s="478"/>
    </row>
    <row r="143" spans="1:21" s="523" customFormat="1" ht="14.5" customHeight="1" x14ac:dyDescent="0.3">
      <c r="B143" s="472">
        <v>17</v>
      </c>
      <c r="C143" s="473" t="s">
        <v>391</v>
      </c>
      <c r="D143" s="474"/>
      <c r="E143" s="475"/>
      <c r="F143" s="141"/>
      <c r="G143" s="475"/>
      <c r="H143" s="475"/>
      <c r="I143" s="475"/>
      <c r="J143" s="475"/>
      <c r="K143" s="475"/>
      <c r="L143" s="475"/>
      <c r="M143" s="475"/>
      <c r="N143" s="475"/>
      <c r="P143" s="478"/>
      <c r="Q143" s="450"/>
      <c r="R143" s="479"/>
      <c r="S143" s="478"/>
      <c r="T143" s="478"/>
      <c r="U143" s="478"/>
    </row>
    <row r="144" spans="1:21" s="523" customFormat="1" ht="14.5" customHeight="1" outlineLevel="1" x14ac:dyDescent="0.3">
      <c r="A144" s="714" t="s">
        <v>468</v>
      </c>
      <c r="B144" s="480">
        <f>+B143+0.01</f>
        <v>17.010000000000002</v>
      </c>
      <c r="C144" s="564" t="s">
        <v>392</v>
      </c>
      <c r="D144" s="565" t="s">
        <v>114</v>
      </c>
      <c r="E144" s="494">
        <v>43</v>
      </c>
      <c r="F144" s="161">
        <v>65076.784768568665</v>
      </c>
      <c r="G144" s="542">
        <v>0</v>
      </c>
      <c r="H144" s="542">
        <v>176488.47691200001</v>
      </c>
      <c r="I144" s="488">
        <f t="shared" ref="I144:I147" si="43">SUM(G144:H144)</f>
        <v>176488.47691200001</v>
      </c>
      <c r="J144" s="542">
        <v>0</v>
      </c>
      <c r="K144" s="542">
        <v>2602859.3924938794</v>
      </c>
      <c r="L144" s="488">
        <f t="shared" ref="L144:L147" si="44">SUM(J144:K144)</f>
        <v>2602859.3924938794</v>
      </c>
      <c r="M144" s="542">
        <v>18953.875642573305</v>
      </c>
      <c r="N144" s="488">
        <f t="shared" ref="N144:N147" si="45">SUM(I144,L144)</f>
        <v>2779347.8694058796</v>
      </c>
      <c r="P144" s="478"/>
      <c r="Q144" s="450"/>
      <c r="R144" s="479"/>
      <c r="S144" s="478"/>
      <c r="T144" s="478"/>
      <c r="U144" s="478"/>
    </row>
    <row r="145" spans="1:21" s="523" customFormat="1" ht="14.5" customHeight="1" outlineLevel="1" x14ac:dyDescent="0.3">
      <c r="A145" s="714" t="s">
        <v>468</v>
      </c>
      <c r="B145" s="485">
        <v>17.02</v>
      </c>
      <c r="C145" s="566" t="s">
        <v>393</v>
      </c>
      <c r="D145" s="567" t="s">
        <v>114</v>
      </c>
      <c r="E145" s="494">
        <v>38</v>
      </c>
      <c r="F145" s="161">
        <v>65076.784768568665</v>
      </c>
      <c r="G145" s="494">
        <v>0</v>
      </c>
      <c r="H145" s="494">
        <v>155966.56099200001</v>
      </c>
      <c r="I145" s="488">
        <f t="shared" si="43"/>
        <v>155966.56099200001</v>
      </c>
      <c r="J145" s="494">
        <v>0</v>
      </c>
      <c r="K145" s="494">
        <v>2300201.3235992421</v>
      </c>
      <c r="L145" s="488">
        <f t="shared" si="44"/>
        <v>2300201.3235992421</v>
      </c>
      <c r="M145" s="494">
        <v>16749.936614367107</v>
      </c>
      <c r="N145" s="488">
        <f t="shared" si="45"/>
        <v>2456167.8845912423</v>
      </c>
      <c r="P145" s="449"/>
      <c r="Q145" s="450"/>
      <c r="R145" s="450"/>
      <c r="S145" s="449"/>
      <c r="T145" s="450"/>
      <c r="U145" s="450"/>
    </row>
    <row r="146" spans="1:21" s="523" customFormat="1" ht="14.5" customHeight="1" outlineLevel="1" x14ac:dyDescent="0.3">
      <c r="A146" s="714" t="s">
        <v>468</v>
      </c>
      <c r="B146" s="485">
        <v>17.03</v>
      </c>
      <c r="C146" s="566" t="s">
        <v>394</v>
      </c>
      <c r="D146" s="567" t="s">
        <v>114</v>
      </c>
      <c r="E146" s="494">
        <v>72</v>
      </c>
      <c r="F146" s="161">
        <v>42076.634208372241</v>
      </c>
      <c r="G146" s="494">
        <v>0</v>
      </c>
      <c r="H146" s="494">
        <v>108131.84061119999</v>
      </c>
      <c r="I146" s="488">
        <f t="shared" si="43"/>
        <v>108131.84061119999</v>
      </c>
      <c r="J146" s="494">
        <v>0</v>
      </c>
      <c r="K146" s="494">
        <v>2905517.4613885167</v>
      </c>
      <c r="L146" s="488">
        <f t="shared" si="44"/>
        <v>2905517.4613885167</v>
      </c>
      <c r="M146" s="494">
        <v>15868.361003084627</v>
      </c>
      <c r="N146" s="488">
        <f t="shared" si="45"/>
        <v>3013649.3019997166</v>
      </c>
      <c r="P146" s="449"/>
      <c r="Q146" s="450"/>
      <c r="R146" s="450"/>
      <c r="S146" s="449"/>
      <c r="T146" s="450"/>
      <c r="U146" s="450"/>
    </row>
    <row r="147" spans="1:21" s="523" customFormat="1" ht="14.5" customHeight="1" outlineLevel="1" x14ac:dyDescent="0.3">
      <c r="A147" s="714" t="s">
        <v>468</v>
      </c>
      <c r="B147" s="485">
        <v>17.04</v>
      </c>
      <c r="C147" s="502" t="s">
        <v>395</v>
      </c>
      <c r="D147" s="525" t="s">
        <v>114</v>
      </c>
      <c r="E147" s="504">
        <v>8</v>
      </c>
      <c r="F147" s="161">
        <v>95342.591658032397</v>
      </c>
      <c r="G147" s="607">
        <v>0</v>
      </c>
      <c r="H147" s="607">
        <v>32835.065472000002</v>
      </c>
      <c r="I147" s="488">
        <f t="shared" si="43"/>
        <v>32835.065472000002</v>
      </c>
      <c r="J147" s="607">
        <v>242126.45511570972</v>
      </c>
      <c r="K147" s="607">
        <v>484252.91023141943</v>
      </c>
      <c r="L147" s="488">
        <f t="shared" si="44"/>
        <v>726379.36534712918</v>
      </c>
      <c r="M147" s="607">
        <v>3526.302445129917</v>
      </c>
      <c r="N147" s="488">
        <f t="shared" si="45"/>
        <v>759214.43081912922</v>
      </c>
      <c r="P147" s="449"/>
      <c r="Q147" s="450"/>
      <c r="R147" s="450"/>
      <c r="S147" s="449"/>
      <c r="T147" s="450"/>
      <c r="U147" s="450"/>
    </row>
    <row r="148" spans="1:21" ht="14.5" customHeight="1" x14ac:dyDescent="0.3">
      <c r="B148" s="472">
        <v>18</v>
      </c>
      <c r="C148" s="473" t="s">
        <v>203</v>
      </c>
      <c r="D148" s="474"/>
      <c r="E148" s="475"/>
      <c r="F148" s="141"/>
      <c r="G148" s="475"/>
      <c r="H148" s="475"/>
      <c r="I148" s="475"/>
      <c r="J148" s="475"/>
      <c r="K148" s="475"/>
      <c r="L148" s="475"/>
      <c r="M148" s="475"/>
      <c r="N148" s="475"/>
      <c r="Q148" s="450"/>
      <c r="T148" s="450"/>
      <c r="U148" s="450"/>
    </row>
    <row r="149" spans="1:21" ht="14.5" customHeight="1" outlineLevel="1" x14ac:dyDescent="0.3">
      <c r="A149" s="714" t="s">
        <v>474</v>
      </c>
      <c r="B149" s="568">
        <v>18.010000000000002</v>
      </c>
      <c r="C149" s="569" t="s">
        <v>209</v>
      </c>
      <c r="D149" s="570" t="s">
        <v>114</v>
      </c>
      <c r="E149" s="571">
        <v>222</v>
      </c>
      <c r="F149" s="161">
        <v>70278.048621512877</v>
      </c>
      <c r="G149" s="571">
        <v>4173353.0888073784</v>
      </c>
      <c r="H149" s="571">
        <v>0</v>
      </c>
      <c r="I149" s="488">
        <f t="shared" ref="I149:I175" si="46">SUM(G149:H149)</f>
        <v>4173353.0888073784</v>
      </c>
      <c r="J149" s="571">
        <v>11026066.263730781</v>
      </c>
      <c r="K149" s="571">
        <v>0</v>
      </c>
      <c r="L149" s="488">
        <f t="shared" ref="L149:L175" si="47">SUM(J149:K149)</f>
        <v>11026066.263730781</v>
      </c>
      <c r="M149" s="571">
        <v>402307.44143769896</v>
      </c>
      <c r="N149" s="488">
        <f t="shared" ref="N149:N175" si="48">SUM(I149,L149)</f>
        <v>15199419.352538159</v>
      </c>
      <c r="Q149" s="450"/>
      <c r="T149" s="450"/>
      <c r="U149" s="450"/>
    </row>
    <row r="150" spans="1:21" ht="14.5" customHeight="1" outlineLevel="1" x14ac:dyDescent="0.3">
      <c r="A150" s="714" t="s">
        <v>474</v>
      </c>
      <c r="B150" s="572">
        <v>18.02</v>
      </c>
      <c r="C150" s="573" t="s">
        <v>210</v>
      </c>
      <c r="D150" s="574" t="s">
        <v>114</v>
      </c>
      <c r="E150" s="575">
        <v>67</v>
      </c>
      <c r="F150" s="161">
        <v>69089.365972461033</v>
      </c>
      <c r="G150" s="575">
        <v>1179883.7442707077</v>
      </c>
      <c r="H150" s="575">
        <v>0</v>
      </c>
      <c r="I150" s="488">
        <f t="shared" si="46"/>
        <v>1179883.7442707077</v>
      </c>
      <c r="J150" s="575">
        <v>3327686.6651800107</v>
      </c>
      <c r="K150" s="575">
        <v>0</v>
      </c>
      <c r="L150" s="488">
        <f t="shared" si="47"/>
        <v>3327686.6651800107</v>
      </c>
      <c r="M150" s="575">
        <v>121417.11070417041</v>
      </c>
      <c r="N150" s="488">
        <f t="shared" si="48"/>
        <v>4507570.4094507182</v>
      </c>
      <c r="Q150" s="450"/>
      <c r="T150" s="450"/>
      <c r="U150" s="450"/>
    </row>
    <row r="151" spans="1:21" ht="14.5" customHeight="1" outlineLevel="1" x14ac:dyDescent="0.3">
      <c r="A151" s="714" t="s">
        <v>474</v>
      </c>
      <c r="B151" s="572">
        <v>18.03</v>
      </c>
      <c r="C151" s="573" t="s">
        <v>211</v>
      </c>
      <c r="D151" s="574" t="s">
        <v>114</v>
      </c>
      <c r="E151" s="575">
        <v>23</v>
      </c>
      <c r="F151" s="161">
        <v>69089.365972461033</v>
      </c>
      <c r="G151" s="575">
        <v>405034.71818248177</v>
      </c>
      <c r="H151" s="575">
        <v>0</v>
      </c>
      <c r="I151" s="488">
        <f t="shared" si="46"/>
        <v>405034.71818248177</v>
      </c>
      <c r="J151" s="575">
        <v>1142340.1984946306</v>
      </c>
      <c r="K151" s="575">
        <v>0</v>
      </c>
      <c r="L151" s="488">
        <f t="shared" si="47"/>
        <v>1142340.1984946306</v>
      </c>
      <c r="M151" s="575">
        <v>41680.500689491339</v>
      </c>
      <c r="N151" s="488">
        <f t="shared" si="48"/>
        <v>1547374.9166771125</v>
      </c>
      <c r="Q151" s="450"/>
      <c r="T151" s="450"/>
      <c r="U151" s="450"/>
    </row>
    <row r="152" spans="1:21" ht="14.5" customHeight="1" outlineLevel="1" x14ac:dyDescent="0.3">
      <c r="A152" s="714" t="s">
        <v>474</v>
      </c>
      <c r="B152" s="572">
        <v>18.04</v>
      </c>
      <c r="C152" s="573" t="s">
        <v>212</v>
      </c>
      <c r="D152" s="574" t="s">
        <v>114</v>
      </c>
      <c r="E152" s="575">
        <v>11</v>
      </c>
      <c r="F152" s="161">
        <v>69089.365972461033</v>
      </c>
      <c r="G152" s="575">
        <v>193712.2565220565</v>
      </c>
      <c r="H152" s="575">
        <v>0</v>
      </c>
      <c r="I152" s="488">
        <f t="shared" si="46"/>
        <v>193712.2565220565</v>
      </c>
      <c r="J152" s="575">
        <v>546336.61667134508</v>
      </c>
      <c r="K152" s="575">
        <v>0</v>
      </c>
      <c r="L152" s="488">
        <f t="shared" si="47"/>
        <v>546336.61667134508</v>
      </c>
      <c r="M152" s="575">
        <v>19934.152503669768</v>
      </c>
      <c r="N152" s="488">
        <f t="shared" si="48"/>
        <v>740048.87319340161</v>
      </c>
      <c r="Q152" s="450"/>
      <c r="T152" s="450"/>
      <c r="U152" s="450"/>
    </row>
    <row r="153" spans="1:21" ht="14.5" customHeight="1" outlineLevel="1" x14ac:dyDescent="0.3">
      <c r="A153" s="714" t="s">
        <v>474</v>
      </c>
      <c r="B153" s="572">
        <v>18.05</v>
      </c>
      <c r="C153" s="573" t="s">
        <v>213</v>
      </c>
      <c r="D153" s="574" t="s">
        <v>114</v>
      </c>
      <c r="E153" s="575">
        <v>313</v>
      </c>
      <c r="F153" s="161">
        <v>67375.591468000232</v>
      </c>
      <c r="G153" s="575">
        <v>4975582.7884131996</v>
      </c>
      <c r="H153" s="575">
        <v>0</v>
      </c>
      <c r="I153" s="488">
        <f t="shared" si="46"/>
        <v>4975582.7884131996</v>
      </c>
      <c r="J153" s="575">
        <v>15545760.092557363</v>
      </c>
      <c r="K153" s="575">
        <v>0</v>
      </c>
      <c r="L153" s="488">
        <f t="shared" si="47"/>
        <v>15545760.092557363</v>
      </c>
      <c r="M153" s="575">
        <v>567217.24851351255</v>
      </c>
      <c r="N153" s="488">
        <f t="shared" si="48"/>
        <v>20521342.880970564</v>
      </c>
      <c r="Q153" s="450"/>
      <c r="T153" s="450"/>
      <c r="U153" s="450"/>
    </row>
    <row r="154" spans="1:21" ht="14.5" customHeight="1" outlineLevel="1" x14ac:dyDescent="0.3">
      <c r="A154" s="714" t="s">
        <v>474</v>
      </c>
      <c r="B154" s="572">
        <v>18.059999999999999</v>
      </c>
      <c r="C154" s="573" t="s">
        <v>214</v>
      </c>
      <c r="D154" s="574" t="s">
        <v>114</v>
      </c>
      <c r="E154" s="575">
        <v>40</v>
      </c>
      <c r="F154" s="161">
        <v>85574.162879009105</v>
      </c>
      <c r="G154" s="575">
        <v>1363800.0817966741</v>
      </c>
      <c r="H154" s="575">
        <v>0</v>
      </c>
      <c r="I154" s="488">
        <f t="shared" si="46"/>
        <v>1363800.0817966741</v>
      </c>
      <c r="J154" s="575">
        <v>1986678.6060776184</v>
      </c>
      <c r="K154" s="575">
        <v>0</v>
      </c>
      <c r="L154" s="488">
        <f t="shared" si="47"/>
        <v>1986678.6060776184</v>
      </c>
      <c r="M154" s="575">
        <v>72487.827286071886</v>
      </c>
      <c r="N154" s="488">
        <f t="shared" si="48"/>
        <v>3350478.6878742925</v>
      </c>
      <c r="Q154" s="450"/>
      <c r="T154" s="450"/>
      <c r="U154" s="450"/>
    </row>
    <row r="155" spans="1:21" ht="14.5" customHeight="1" outlineLevel="1" x14ac:dyDescent="0.3">
      <c r="A155" s="714" t="s">
        <v>474</v>
      </c>
      <c r="B155" s="572">
        <v>18.07</v>
      </c>
      <c r="C155" s="573" t="s">
        <v>215</v>
      </c>
      <c r="D155" s="574" t="s">
        <v>114</v>
      </c>
      <c r="E155" s="575">
        <v>50</v>
      </c>
      <c r="F155" s="161">
        <v>85574.162879009105</v>
      </c>
      <c r="G155" s="575">
        <v>1704750.1022458426</v>
      </c>
      <c r="H155" s="575">
        <v>0</v>
      </c>
      <c r="I155" s="488">
        <f t="shared" si="46"/>
        <v>1704750.1022458426</v>
      </c>
      <c r="J155" s="575">
        <v>2483348.2575970227</v>
      </c>
      <c r="K155" s="575">
        <v>0</v>
      </c>
      <c r="L155" s="488">
        <f t="shared" si="47"/>
        <v>2483348.2575970227</v>
      </c>
      <c r="M155" s="575">
        <v>90609.784107589861</v>
      </c>
      <c r="N155" s="488">
        <f t="shared" si="48"/>
        <v>4188098.3598428653</v>
      </c>
      <c r="Q155" s="450"/>
      <c r="T155" s="450"/>
      <c r="U155" s="450"/>
    </row>
    <row r="156" spans="1:21" ht="14.5" customHeight="1" outlineLevel="1" x14ac:dyDescent="0.3">
      <c r="A156" s="714" t="s">
        <v>474</v>
      </c>
      <c r="B156" s="572">
        <v>18.079999999999998</v>
      </c>
      <c r="C156" s="573" t="s">
        <v>216</v>
      </c>
      <c r="D156" s="574" t="s">
        <v>114</v>
      </c>
      <c r="E156" s="575">
        <v>0</v>
      </c>
      <c r="F156" s="161">
        <v>67375.591468000232</v>
      </c>
      <c r="G156" s="575">
        <v>0</v>
      </c>
      <c r="H156" s="575">
        <v>0</v>
      </c>
      <c r="I156" s="488">
        <f t="shared" si="46"/>
        <v>0</v>
      </c>
      <c r="J156" s="575">
        <v>0</v>
      </c>
      <c r="K156" s="575">
        <v>0</v>
      </c>
      <c r="L156" s="488">
        <f t="shared" si="47"/>
        <v>0</v>
      </c>
      <c r="M156" s="575">
        <v>0</v>
      </c>
      <c r="N156" s="488">
        <f t="shared" si="48"/>
        <v>0</v>
      </c>
      <c r="Q156" s="450"/>
      <c r="T156" s="450"/>
      <c r="U156" s="450"/>
    </row>
    <row r="157" spans="1:21" ht="14.5" customHeight="1" outlineLevel="1" x14ac:dyDescent="0.3">
      <c r="A157" s="714" t="s">
        <v>474</v>
      </c>
      <c r="B157" s="572">
        <v>18.09</v>
      </c>
      <c r="C157" s="573" t="s">
        <v>217</v>
      </c>
      <c r="D157" s="574" t="s">
        <v>114</v>
      </c>
      <c r="E157" s="575">
        <v>40</v>
      </c>
      <c r="F157" s="161">
        <v>44019.454265879795</v>
      </c>
      <c r="G157" s="575">
        <v>422319.9889487935</v>
      </c>
      <c r="H157" s="575">
        <v>0</v>
      </c>
      <c r="I157" s="488">
        <f t="shared" si="46"/>
        <v>422319.9889487935</v>
      </c>
      <c r="J157" s="575">
        <v>1291341.0939504518</v>
      </c>
      <c r="K157" s="575">
        <v>0</v>
      </c>
      <c r="L157" s="488">
        <f t="shared" si="47"/>
        <v>1291341.0939504518</v>
      </c>
      <c r="M157" s="575">
        <v>47117.087735946727</v>
      </c>
      <c r="N157" s="488">
        <f t="shared" si="48"/>
        <v>1713661.0828992454</v>
      </c>
      <c r="Q157" s="450"/>
      <c r="T157" s="450"/>
      <c r="U157" s="450"/>
    </row>
    <row r="158" spans="1:21" ht="14.5" customHeight="1" outlineLevel="1" x14ac:dyDescent="0.3">
      <c r="A158" s="714" t="s">
        <v>474</v>
      </c>
      <c r="B158" s="572">
        <v>18.100000000000001</v>
      </c>
      <c r="C158" s="573" t="s">
        <v>218</v>
      </c>
      <c r="D158" s="574" t="s">
        <v>114</v>
      </c>
      <c r="E158" s="575">
        <v>0</v>
      </c>
      <c r="F158" s="161">
        <v>44019.454265879795</v>
      </c>
      <c r="G158" s="575">
        <v>0</v>
      </c>
      <c r="H158" s="575">
        <v>0</v>
      </c>
      <c r="I158" s="488">
        <f t="shared" si="46"/>
        <v>0</v>
      </c>
      <c r="J158" s="575">
        <v>0</v>
      </c>
      <c r="K158" s="575">
        <v>0</v>
      </c>
      <c r="L158" s="488">
        <f t="shared" si="47"/>
        <v>0</v>
      </c>
      <c r="M158" s="575">
        <v>0</v>
      </c>
      <c r="N158" s="488">
        <f t="shared" si="48"/>
        <v>0</v>
      </c>
      <c r="Q158" s="450"/>
      <c r="T158" s="450"/>
      <c r="U158" s="450"/>
    </row>
    <row r="159" spans="1:21" ht="14.5" customHeight="1" outlineLevel="1" x14ac:dyDescent="0.3">
      <c r="A159" s="714" t="s">
        <v>474</v>
      </c>
      <c r="B159" s="572">
        <v>18.11</v>
      </c>
      <c r="C159" s="573" t="s">
        <v>219</v>
      </c>
      <c r="D159" s="574" t="s">
        <v>114</v>
      </c>
      <c r="E159" s="575">
        <v>1</v>
      </c>
      <c r="F159" s="161">
        <v>1871042.0428871892</v>
      </c>
      <c r="G159" s="575">
        <v>1409151.0752583144</v>
      </c>
      <c r="H159" s="575">
        <v>0</v>
      </c>
      <c r="I159" s="488">
        <f t="shared" si="46"/>
        <v>1409151.0752583144</v>
      </c>
      <c r="J159" s="575">
        <v>434240.10000000003</v>
      </c>
      <c r="K159" s="575">
        <v>0</v>
      </c>
      <c r="L159" s="488">
        <f t="shared" si="47"/>
        <v>434240.10000000003</v>
      </c>
      <c r="M159" s="575">
        <v>27650.867628874716</v>
      </c>
      <c r="N159" s="488">
        <f t="shared" si="48"/>
        <v>1843391.1752583145</v>
      </c>
      <c r="Q159" s="450"/>
      <c r="T159" s="450"/>
      <c r="U159" s="450"/>
    </row>
    <row r="160" spans="1:21" ht="14.5" customHeight="1" outlineLevel="1" x14ac:dyDescent="0.3">
      <c r="A160" s="714" t="s">
        <v>474</v>
      </c>
      <c r="B160" s="572">
        <v>18.12</v>
      </c>
      <c r="C160" s="573" t="s">
        <v>220</v>
      </c>
      <c r="D160" s="574" t="s">
        <v>114</v>
      </c>
      <c r="E160" s="575">
        <v>1</v>
      </c>
      <c r="F160" s="161">
        <v>913547.64379616803</v>
      </c>
      <c r="G160" s="575">
        <v>610540.33970065822</v>
      </c>
      <c r="H160" s="575">
        <v>0</v>
      </c>
      <c r="I160" s="488">
        <f t="shared" si="46"/>
        <v>610540.33970065822</v>
      </c>
      <c r="J160" s="575">
        <v>289506.60000000003</v>
      </c>
      <c r="K160" s="575">
        <v>0</v>
      </c>
      <c r="L160" s="488">
        <f t="shared" si="47"/>
        <v>289506.60000000003</v>
      </c>
      <c r="M160" s="575">
        <v>13500.704095509873</v>
      </c>
      <c r="N160" s="488">
        <f t="shared" si="48"/>
        <v>900046.9397006582</v>
      </c>
      <c r="Q160" s="450"/>
      <c r="T160" s="450"/>
      <c r="U160" s="450"/>
    </row>
    <row r="161" spans="1:21" ht="14.5" customHeight="1" outlineLevel="1" x14ac:dyDescent="0.3">
      <c r="A161" s="714" t="s">
        <v>474</v>
      </c>
      <c r="B161" s="572">
        <v>18.13</v>
      </c>
      <c r="C161" s="573" t="s">
        <v>221</v>
      </c>
      <c r="D161" s="574" t="s">
        <v>114</v>
      </c>
      <c r="E161" s="575">
        <v>1</v>
      </c>
      <c r="F161" s="161">
        <v>589092.39645674231</v>
      </c>
      <c r="G161" s="575">
        <v>290879.99749432731</v>
      </c>
      <c r="H161" s="575">
        <v>0</v>
      </c>
      <c r="I161" s="488">
        <f t="shared" si="46"/>
        <v>290879.99749432731</v>
      </c>
      <c r="J161" s="575">
        <v>289506.60000000003</v>
      </c>
      <c r="K161" s="575">
        <v>0</v>
      </c>
      <c r="L161" s="488">
        <f t="shared" si="47"/>
        <v>289506.60000000003</v>
      </c>
      <c r="M161" s="575">
        <v>8705.7989624149104</v>
      </c>
      <c r="N161" s="488">
        <f t="shared" si="48"/>
        <v>580386.59749432735</v>
      </c>
      <c r="Q161" s="450"/>
      <c r="T161" s="450"/>
      <c r="U161" s="450"/>
    </row>
    <row r="162" spans="1:21" ht="14.5" customHeight="1" outlineLevel="1" x14ac:dyDescent="0.3">
      <c r="A162" s="714" t="s">
        <v>474</v>
      </c>
      <c r="B162" s="572">
        <v>18.14</v>
      </c>
      <c r="C162" s="573" t="s">
        <v>222</v>
      </c>
      <c r="D162" s="574" t="s">
        <v>114</v>
      </c>
      <c r="E162" s="575">
        <v>1</v>
      </c>
      <c r="F162" s="161">
        <v>804351.23339267611</v>
      </c>
      <c r="G162" s="575">
        <v>502957.66935239022</v>
      </c>
      <c r="H162" s="575">
        <v>0</v>
      </c>
      <c r="I162" s="488">
        <f t="shared" si="46"/>
        <v>502957.66935239022</v>
      </c>
      <c r="J162" s="575">
        <v>289506.60000000003</v>
      </c>
      <c r="K162" s="575">
        <v>0</v>
      </c>
      <c r="L162" s="488">
        <f t="shared" si="47"/>
        <v>289506.60000000003</v>
      </c>
      <c r="M162" s="575">
        <v>11886.964040285853</v>
      </c>
      <c r="N162" s="488">
        <f t="shared" si="48"/>
        <v>792464.2693523902</v>
      </c>
      <c r="Q162" s="450"/>
      <c r="T162" s="450"/>
      <c r="U162" s="450"/>
    </row>
    <row r="163" spans="1:21" ht="14.5" customHeight="1" outlineLevel="1" x14ac:dyDescent="0.3">
      <c r="A163" s="714" t="s">
        <v>474</v>
      </c>
      <c r="B163" s="572">
        <v>18.149999999999999</v>
      </c>
      <c r="C163" s="511" t="s">
        <v>223</v>
      </c>
      <c r="D163" s="574" t="s">
        <v>114</v>
      </c>
      <c r="E163" s="575">
        <v>11</v>
      </c>
      <c r="F163" s="161">
        <v>432424.4840030272</v>
      </c>
      <c r="G163" s="575">
        <v>1501801.1182594083</v>
      </c>
      <c r="H163" s="575">
        <v>0</v>
      </c>
      <c r="I163" s="488">
        <f t="shared" si="46"/>
        <v>1501801.1182594083</v>
      </c>
      <c r="J163" s="575">
        <v>3184572.6000000006</v>
      </c>
      <c r="K163" s="575">
        <v>0</v>
      </c>
      <c r="L163" s="488">
        <f t="shared" si="47"/>
        <v>3184572.6000000006</v>
      </c>
      <c r="M163" s="575">
        <v>70295.605773891133</v>
      </c>
      <c r="N163" s="488">
        <f t="shared" si="48"/>
        <v>4686373.7182594091</v>
      </c>
      <c r="Q163" s="450"/>
      <c r="T163" s="450"/>
      <c r="U163" s="450"/>
    </row>
    <row r="164" spans="1:21" ht="14.5" customHeight="1" outlineLevel="1" x14ac:dyDescent="0.3">
      <c r="A164" s="714" t="s">
        <v>474</v>
      </c>
      <c r="B164" s="572">
        <v>18.16</v>
      </c>
      <c r="C164" s="573" t="s">
        <v>224</v>
      </c>
      <c r="D164" s="574" t="s">
        <v>114</v>
      </c>
      <c r="E164" s="575">
        <v>14</v>
      </c>
      <c r="F164" s="161">
        <v>507993.16617781593</v>
      </c>
      <c r="G164" s="575">
        <v>2953709.8921078062</v>
      </c>
      <c r="H164" s="575">
        <v>0</v>
      </c>
      <c r="I164" s="488">
        <f t="shared" si="46"/>
        <v>2953709.8921078062</v>
      </c>
      <c r="J164" s="575">
        <v>4053092.4000000004</v>
      </c>
      <c r="K164" s="575">
        <v>0</v>
      </c>
      <c r="L164" s="488">
        <f t="shared" si="47"/>
        <v>4053092.4000000004</v>
      </c>
      <c r="M164" s="575">
        <v>105102.03438161709</v>
      </c>
      <c r="N164" s="488">
        <f t="shared" si="48"/>
        <v>7006802.2921078065</v>
      </c>
      <c r="Q164" s="450"/>
      <c r="T164" s="450"/>
      <c r="U164" s="450"/>
    </row>
    <row r="165" spans="1:21" ht="14.5" customHeight="1" outlineLevel="1" x14ac:dyDescent="0.3">
      <c r="A165" s="714" t="s">
        <v>474</v>
      </c>
      <c r="B165" s="572">
        <v>18.170000000000002</v>
      </c>
      <c r="C165" s="573" t="s">
        <v>225</v>
      </c>
      <c r="D165" s="574" t="s">
        <v>69</v>
      </c>
      <c r="E165" s="575">
        <v>1</v>
      </c>
      <c r="F165" s="161">
        <v>10364515.306003259</v>
      </c>
      <c r="G165" s="575">
        <v>6941648.2775356993</v>
      </c>
      <c r="H165" s="575">
        <v>0</v>
      </c>
      <c r="I165" s="488">
        <f t="shared" si="46"/>
        <v>6941648.2775356993</v>
      </c>
      <c r="J165" s="575">
        <v>0</v>
      </c>
      <c r="K165" s="575">
        <v>3269696.8515315522</v>
      </c>
      <c r="L165" s="488">
        <f t="shared" si="47"/>
        <v>3269696.8515315522</v>
      </c>
      <c r="M165" s="575">
        <v>153170.17693600876</v>
      </c>
      <c r="N165" s="488">
        <f t="shared" si="48"/>
        <v>10211345.129067251</v>
      </c>
      <c r="Q165" s="450"/>
      <c r="T165" s="450"/>
      <c r="U165" s="450"/>
    </row>
    <row r="166" spans="1:21" ht="14.5" customHeight="1" outlineLevel="1" x14ac:dyDescent="0.3">
      <c r="A166" s="714" t="s">
        <v>474</v>
      </c>
      <c r="B166" s="572">
        <v>18.18</v>
      </c>
      <c r="C166" s="573" t="s">
        <v>226</v>
      </c>
      <c r="D166" s="574" t="s">
        <v>69</v>
      </c>
      <c r="E166" s="575">
        <v>1</v>
      </c>
      <c r="F166" s="161">
        <v>2569578.079727557</v>
      </c>
      <c r="G166" s="575">
        <v>896755.5936702406</v>
      </c>
      <c r="H166" s="575">
        <v>0</v>
      </c>
      <c r="I166" s="488">
        <f t="shared" si="46"/>
        <v>896755.5936702406</v>
      </c>
      <c r="J166" s="575">
        <v>0</v>
      </c>
      <c r="K166" s="575">
        <v>1634848.4257657761</v>
      </c>
      <c r="L166" s="488">
        <f t="shared" si="47"/>
        <v>1634848.4257657761</v>
      </c>
      <c r="M166" s="575">
        <v>37974.060291540249</v>
      </c>
      <c r="N166" s="488">
        <f t="shared" si="48"/>
        <v>2531604.0194360167</v>
      </c>
      <c r="Q166" s="450"/>
      <c r="T166" s="450"/>
      <c r="U166" s="450"/>
    </row>
    <row r="167" spans="1:21" ht="14.5" customHeight="1" outlineLevel="1" x14ac:dyDescent="0.3">
      <c r="A167" s="714" t="s">
        <v>474</v>
      </c>
      <c r="B167" s="572">
        <v>18.190000000000001</v>
      </c>
      <c r="C167" s="573" t="s">
        <v>227</v>
      </c>
      <c r="D167" s="574" t="s">
        <v>69</v>
      </c>
      <c r="E167" s="575">
        <v>0</v>
      </c>
      <c r="F167" s="161">
        <v>0</v>
      </c>
      <c r="G167" s="575">
        <v>0</v>
      </c>
      <c r="H167" s="575">
        <v>0</v>
      </c>
      <c r="I167" s="488">
        <f t="shared" si="46"/>
        <v>0</v>
      </c>
      <c r="J167" s="575">
        <v>0</v>
      </c>
      <c r="K167" s="575">
        <v>0</v>
      </c>
      <c r="L167" s="488">
        <f t="shared" si="47"/>
        <v>0</v>
      </c>
      <c r="M167" s="575">
        <v>0</v>
      </c>
      <c r="N167" s="488">
        <f t="shared" si="48"/>
        <v>0</v>
      </c>
      <c r="Q167" s="450"/>
      <c r="T167" s="450"/>
      <c r="U167" s="450"/>
    </row>
    <row r="168" spans="1:21" ht="14.5" customHeight="1" outlineLevel="1" x14ac:dyDescent="0.3">
      <c r="A168" s="714" t="s">
        <v>474</v>
      </c>
      <c r="B168" s="572">
        <v>18.2</v>
      </c>
      <c r="C168" s="573" t="s">
        <v>396</v>
      </c>
      <c r="D168" s="574" t="s">
        <v>114</v>
      </c>
      <c r="E168" s="575">
        <v>119</v>
      </c>
      <c r="F168" s="161">
        <v>9718.9294999999984</v>
      </c>
      <c r="G168" s="575">
        <v>0</v>
      </c>
      <c r="H168" s="575">
        <v>0</v>
      </c>
      <c r="I168" s="488">
        <f t="shared" si="46"/>
        <v>0</v>
      </c>
      <c r="J168" s="575">
        <v>1139460.7</v>
      </c>
      <c r="K168" s="575">
        <v>0</v>
      </c>
      <c r="L168" s="488">
        <f t="shared" si="47"/>
        <v>1139460.7</v>
      </c>
      <c r="M168" s="575">
        <v>17091.910499999998</v>
      </c>
      <c r="N168" s="488">
        <f t="shared" si="48"/>
        <v>1139460.7</v>
      </c>
      <c r="Q168" s="450"/>
      <c r="T168" s="450"/>
      <c r="U168" s="450"/>
    </row>
    <row r="169" spans="1:21" ht="14.5" customHeight="1" outlineLevel="1" x14ac:dyDescent="0.3">
      <c r="A169" s="714" t="s">
        <v>474</v>
      </c>
      <c r="B169" s="572">
        <v>18.21</v>
      </c>
      <c r="C169" s="573" t="s">
        <v>397</v>
      </c>
      <c r="D169" s="574" t="s">
        <v>114</v>
      </c>
      <c r="E169" s="575">
        <v>16</v>
      </c>
      <c r="F169" s="161">
        <v>9718.9294999999984</v>
      </c>
      <c r="G169" s="575">
        <v>0</v>
      </c>
      <c r="H169" s="575">
        <v>0</v>
      </c>
      <c r="I169" s="488">
        <f t="shared" si="46"/>
        <v>0</v>
      </c>
      <c r="J169" s="575">
        <v>153204.79999999999</v>
      </c>
      <c r="K169" s="575">
        <v>0</v>
      </c>
      <c r="L169" s="488">
        <f t="shared" si="47"/>
        <v>153204.79999999999</v>
      </c>
      <c r="M169" s="575">
        <v>2298.0719999999997</v>
      </c>
      <c r="N169" s="488">
        <f t="shared" si="48"/>
        <v>153204.79999999999</v>
      </c>
      <c r="Q169" s="450"/>
      <c r="T169" s="450"/>
      <c r="U169" s="450"/>
    </row>
    <row r="170" spans="1:21" ht="14.5" customHeight="1" outlineLevel="1" x14ac:dyDescent="0.3">
      <c r="A170" s="714" t="s">
        <v>474</v>
      </c>
      <c r="B170" s="572">
        <v>18.22</v>
      </c>
      <c r="C170" s="573" t="s">
        <v>398</v>
      </c>
      <c r="D170" s="574" t="s">
        <v>114</v>
      </c>
      <c r="E170" s="575">
        <v>363</v>
      </c>
      <c r="F170" s="161">
        <v>9718.9294999999984</v>
      </c>
      <c r="G170" s="575">
        <v>0</v>
      </c>
      <c r="H170" s="575">
        <v>0</v>
      </c>
      <c r="I170" s="488">
        <f t="shared" si="46"/>
        <v>0</v>
      </c>
      <c r="J170" s="575">
        <v>3475833.9</v>
      </c>
      <c r="K170" s="575">
        <v>0</v>
      </c>
      <c r="L170" s="488">
        <f t="shared" si="47"/>
        <v>3475833.9</v>
      </c>
      <c r="M170" s="575">
        <v>52137.508499999989</v>
      </c>
      <c r="N170" s="488">
        <f t="shared" si="48"/>
        <v>3475833.9</v>
      </c>
      <c r="Q170" s="450"/>
      <c r="T170" s="450"/>
      <c r="U170" s="450"/>
    </row>
    <row r="171" spans="1:21" ht="52" outlineLevel="1" x14ac:dyDescent="0.3">
      <c r="A171" s="714" t="s">
        <v>474</v>
      </c>
      <c r="B171" s="572">
        <v>18.23</v>
      </c>
      <c r="C171" s="573" t="s">
        <v>399</v>
      </c>
      <c r="D171" s="574" t="s">
        <v>114</v>
      </c>
      <c r="E171" s="575">
        <v>119</v>
      </c>
      <c r="F171" s="161">
        <v>14914.1055</v>
      </c>
      <c r="G171" s="575">
        <v>0</v>
      </c>
      <c r="H171" s="575">
        <v>0</v>
      </c>
      <c r="I171" s="488">
        <f t="shared" si="46"/>
        <v>0</v>
      </c>
      <c r="J171" s="575">
        <v>1748550.2999999998</v>
      </c>
      <c r="K171" s="575">
        <v>0</v>
      </c>
      <c r="L171" s="488">
        <f t="shared" si="47"/>
        <v>1748550.2999999998</v>
      </c>
      <c r="M171" s="575">
        <v>26228.254499999999</v>
      </c>
      <c r="N171" s="488">
        <f t="shared" si="48"/>
        <v>1748550.2999999998</v>
      </c>
      <c r="Q171" s="450"/>
      <c r="T171" s="450"/>
      <c r="U171" s="450"/>
    </row>
    <row r="172" spans="1:21" ht="14.5" customHeight="1" outlineLevel="1" x14ac:dyDescent="0.3">
      <c r="A172" s="714" t="s">
        <v>474</v>
      </c>
      <c r="B172" s="572">
        <v>18.239999999999998</v>
      </c>
      <c r="C172" s="573" t="s">
        <v>400</v>
      </c>
      <c r="D172" s="574" t="s">
        <v>114</v>
      </c>
      <c r="E172" s="575">
        <v>25</v>
      </c>
      <c r="F172" s="161">
        <v>14914.1055</v>
      </c>
      <c r="G172" s="575">
        <v>0</v>
      </c>
      <c r="H172" s="575">
        <v>0</v>
      </c>
      <c r="I172" s="488">
        <f t="shared" si="46"/>
        <v>0</v>
      </c>
      <c r="J172" s="575">
        <v>367342.5</v>
      </c>
      <c r="K172" s="575">
        <v>0</v>
      </c>
      <c r="L172" s="488">
        <f t="shared" si="47"/>
        <v>367342.5</v>
      </c>
      <c r="M172" s="575">
        <v>5510.1374999999998</v>
      </c>
      <c r="N172" s="488">
        <f t="shared" si="48"/>
        <v>367342.5</v>
      </c>
      <c r="Q172" s="450"/>
      <c r="T172" s="450"/>
      <c r="U172" s="450"/>
    </row>
    <row r="173" spans="1:21" ht="39" outlineLevel="1" x14ac:dyDescent="0.3">
      <c r="A173" s="714" t="s">
        <v>474</v>
      </c>
      <c r="B173" s="572">
        <v>18.25</v>
      </c>
      <c r="C173" s="573" t="s">
        <v>233</v>
      </c>
      <c r="D173" s="574" t="s">
        <v>69</v>
      </c>
      <c r="E173" s="575">
        <v>1</v>
      </c>
      <c r="F173" s="161">
        <v>10387546.166630339</v>
      </c>
      <c r="G173" s="575">
        <v>6991302.4321481157</v>
      </c>
      <c r="H173" s="575">
        <v>0</v>
      </c>
      <c r="I173" s="488">
        <f t="shared" si="46"/>
        <v>6991302.4321481157</v>
      </c>
      <c r="J173" s="575">
        <v>3242733.2</v>
      </c>
      <c r="K173" s="575">
        <v>0</v>
      </c>
      <c r="L173" s="488">
        <f t="shared" si="47"/>
        <v>3242733.2</v>
      </c>
      <c r="M173" s="575">
        <v>153510.53448222176</v>
      </c>
      <c r="N173" s="488">
        <f t="shared" si="48"/>
        <v>10234035.632148117</v>
      </c>
      <c r="Q173" s="450"/>
      <c r="T173" s="450"/>
      <c r="U173" s="450"/>
    </row>
    <row r="174" spans="1:21" ht="14.5" customHeight="1" outlineLevel="1" x14ac:dyDescent="0.3">
      <c r="A174" s="714" t="s">
        <v>474</v>
      </c>
      <c r="B174" s="572">
        <v>18.260000000000002</v>
      </c>
      <c r="C174" s="573" t="s">
        <v>234</v>
      </c>
      <c r="D174" s="574" t="s">
        <v>69</v>
      </c>
      <c r="E174" s="575">
        <v>1</v>
      </c>
      <c r="F174" s="161">
        <v>1481880.1912249895</v>
      </c>
      <c r="G174" s="575">
        <v>1057994.9839655068</v>
      </c>
      <c r="H174" s="575">
        <v>0</v>
      </c>
      <c r="I174" s="488">
        <f t="shared" si="46"/>
        <v>1057994.9839655068</v>
      </c>
      <c r="J174" s="575">
        <v>401985.49999999994</v>
      </c>
      <c r="K174" s="575">
        <v>0</v>
      </c>
      <c r="L174" s="488">
        <f t="shared" si="47"/>
        <v>401985.49999999994</v>
      </c>
      <c r="M174" s="575">
        <v>21899.707259482602</v>
      </c>
      <c r="N174" s="488">
        <f t="shared" si="48"/>
        <v>1459980.4839655068</v>
      </c>
      <c r="Q174" s="450"/>
      <c r="T174" s="450"/>
      <c r="U174" s="450"/>
    </row>
    <row r="175" spans="1:21" ht="14.5" customHeight="1" outlineLevel="1" x14ac:dyDescent="0.3">
      <c r="A175" s="714" t="s">
        <v>474</v>
      </c>
      <c r="B175" s="572">
        <v>18.27</v>
      </c>
      <c r="C175" s="576" t="s">
        <v>235</v>
      </c>
      <c r="D175" s="577" t="s">
        <v>69</v>
      </c>
      <c r="E175" s="578">
        <v>1</v>
      </c>
      <c r="F175" s="161">
        <v>113275.77194850451</v>
      </c>
      <c r="G175" s="578">
        <v>0</v>
      </c>
      <c r="H175" s="578">
        <v>0</v>
      </c>
      <c r="I175" s="488">
        <f t="shared" si="46"/>
        <v>0</v>
      </c>
      <c r="J175" s="578">
        <v>113275.77194850451</v>
      </c>
      <c r="K175" s="578">
        <v>0</v>
      </c>
      <c r="L175" s="488">
        <f t="shared" si="47"/>
        <v>113275.77194850451</v>
      </c>
      <c r="M175" s="578">
        <v>0</v>
      </c>
      <c r="N175" s="488">
        <f t="shared" si="48"/>
        <v>113275.77194850451</v>
      </c>
      <c r="Q175" s="450"/>
      <c r="T175" s="450"/>
      <c r="U175" s="450"/>
    </row>
    <row r="176" spans="1:21" ht="14.5" customHeight="1" x14ac:dyDescent="0.3">
      <c r="B176" s="472">
        <v>19</v>
      </c>
      <c r="C176" s="473" t="s">
        <v>236</v>
      </c>
      <c r="D176" s="474"/>
      <c r="E176" s="475"/>
      <c r="F176" s="141"/>
      <c r="G176" s="475"/>
      <c r="H176" s="475"/>
      <c r="I176" s="475"/>
      <c r="J176" s="475"/>
      <c r="K176" s="475"/>
      <c r="L176" s="475"/>
      <c r="M176" s="475"/>
      <c r="N176" s="475"/>
      <c r="Q176" s="450"/>
      <c r="T176" s="450"/>
      <c r="U176" s="450"/>
    </row>
    <row r="177" spans="1:21" ht="14.5" customHeight="1" outlineLevel="1" x14ac:dyDescent="0.3">
      <c r="B177" s="472"/>
      <c r="C177" s="473" t="s">
        <v>237</v>
      </c>
      <c r="D177" s="474"/>
      <c r="E177" s="475"/>
      <c r="F177" s="141"/>
      <c r="G177" s="475"/>
      <c r="H177" s="475"/>
      <c r="I177" s="475"/>
      <c r="J177" s="475"/>
      <c r="K177" s="475"/>
      <c r="L177" s="475"/>
      <c r="M177" s="475"/>
      <c r="N177" s="475"/>
      <c r="Q177" s="450"/>
      <c r="T177" s="450"/>
      <c r="U177" s="450"/>
    </row>
    <row r="178" spans="1:21" ht="14.5" customHeight="1" outlineLevel="2" x14ac:dyDescent="0.3">
      <c r="A178" s="714" t="s">
        <v>475</v>
      </c>
      <c r="B178" s="480">
        <v>19.010000000000002</v>
      </c>
      <c r="C178" s="497" t="s">
        <v>243</v>
      </c>
      <c r="D178" s="498" t="s">
        <v>69</v>
      </c>
      <c r="E178" s="499">
        <v>1</v>
      </c>
      <c r="F178" s="161">
        <v>1514025.8806403694</v>
      </c>
      <c r="G178" s="703">
        <v>559930.45499047067</v>
      </c>
      <c r="H178" s="703">
        <v>0</v>
      </c>
      <c r="I178" s="488">
        <f t="shared" ref="I178:I180" si="49">SUM(G178:H178)</f>
        <v>559930.45499047067</v>
      </c>
      <c r="J178" s="703">
        <v>931720.65894092771</v>
      </c>
      <c r="K178" s="703">
        <v>0</v>
      </c>
      <c r="L178" s="488">
        <f t="shared" ref="L178:L180" si="50">SUM(J178:K178)</f>
        <v>931720.65894092771</v>
      </c>
      <c r="M178" s="703">
        <v>22374.766708970976</v>
      </c>
      <c r="N178" s="488">
        <f t="shared" ref="N178:N180" si="51">SUM(I178,L178)</f>
        <v>1491651.1139313984</v>
      </c>
      <c r="Q178" s="450"/>
      <c r="T178" s="450"/>
      <c r="U178" s="450"/>
    </row>
    <row r="179" spans="1:21" ht="14.5" customHeight="1" outlineLevel="2" x14ac:dyDescent="0.3">
      <c r="A179" s="714" t="s">
        <v>475</v>
      </c>
      <c r="B179" s="485">
        <v>19.02</v>
      </c>
      <c r="C179" s="500" t="s">
        <v>245</v>
      </c>
      <c r="D179" s="490" t="s">
        <v>69</v>
      </c>
      <c r="E179" s="491">
        <v>1</v>
      </c>
      <c r="F179" s="161">
        <v>11925408.296461821</v>
      </c>
      <c r="G179" s="491">
        <v>4309627.8633777518</v>
      </c>
      <c r="H179" s="491">
        <v>0</v>
      </c>
      <c r="I179" s="488">
        <f t="shared" si="49"/>
        <v>4309627.8633777518</v>
      </c>
      <c r="J179" s="491">
        <v>7439542.8720526136</v>
      </c>
      <c r="K179" s="491">
        <v>0</v>
      </c>
      <c r="L179" s="488">
        <f t="shared" si="50"/>
        <v>7439542.8720526136</v>
      </c>
      <c r="M179" s="491">
        <v>176237.56103145547</v>
      </c>
      <c r="N179" s="488">
        <f t="shared" si="51"/>
        <v>11749170.735430365</v>
      </c>
      <c r="Q179" s="450"/>
      <c r="T179" s="450"/>
      <c r="U179" s="450"/>
    </row>
    <row r="180" spans="1:21" ht="14.5" customHeight="1" outlineLevel="2" x14ac:dyDescent="0.3">
      <c r="A180" s="714" t="s">
        <v>475</v>
      </c>
      <c r="B180" s="524">
        <v>19.03</v>
      </c>
      <c r="C180" s="581" t="s">
        <v>247</v>
      </c>
      <c r="D180" s="582" t="s">
        <v>69</v>
      </c>
      <c r="E180" s="583">
        <v>1</v>
      </c>
      <c r="F180" s="161">
        <v>3679985.9047745168</v>
      </c>
      <c r="G180" s="706">
        <v>1446561.6458157445</v>
      </c>
      <c r="H180" s="706">
        <v>0</v>
      </c>
      <c r="I180" s="488">
        <f t="shared" si="49"/>
        <v>1446561.6458157445</v>
      </c>
      <c r="J180" s="706">
        <v>2179040.2308093952</v>
      </c>
      <c r="K180" s="706">
        <v>0</v>
      </c>
      <c r="L180" s="488">
        <f t="shared" si="50"/>
        <v>2179040.2308093952</v>
      </c>
      <c r="M180" s="706">
        <v>54384.028149377096</v>
      </c>
      <c r="N180" s="488">
        <f t="shared" si="51"/>
        <v>3625601.8766251397</v>
      </c>
      <c r="Q180" s="450"/>
      <c r="T180" s="450"/>
      <c r="U180" s="450"/>
    </row>
    <row r="181" spans="1:21" ht="14.5" customHeight="1" outlineLevel="1" x14ac:dyDescent="0.3">
      <c r="B181" s="529"/>
      <c r="C181" s="584" t="s">
        <v>249</v>
      </c>
      <c r="D181" s="463"/>
      <c r="E181" s="464"/>
      <c r="F181" s="141"/>
      <c r="G181" s="464"/>
      <c r="H181" s="464"/>
      <c r="I181" s="464"/>
      <c r="J181" s="464"/>
      <c r="K181" s="464"/>
      <c r="L181" s="464"/>
      <c r="M181" s="464"/>
      <c r="N181" s="464"/>
      <c r="Q181" s="450"/>
      <c r="T181" s="450"/>
      <c r="U181" s="450"/>
    </row>
    <row r="182" spans="1:21" ht="14.5" customHeight="1" outlineLevel="2" x14ac:dyDescent="0.3">
      <c r="A182" s="714" t="s">
        <v>475</v>
      </c>
      <c r="B182" s="480">
        <v>19.04</v>
      </c>
      <c r="C182" s="497" t="s">
        <v>251</v>
      </c>
      <c r="D182" s="498" t="s">
        <v>69</v>
      </c>
      <c r="E182" s="499">
        <v>1</v>
      </c>
      <c r="F182" s="150">
        <v>1413271.178550296</v>
      </c>
      <c r="G182" s="703">
        <v>460664.73864557059</v>
      </c>
      <c r="H182" s="703">
        <v>0</v>
      </c>
      <c r="I182" s="488">
        <f t="shared" ref="I182:I183" si="52">SUM(G182:H182)</f>
        <v>460664.73864557059</v>
      </c>
      <c r="J182" s="703">
        <v>931720.65894092771</v>
      </c>
      <c r="K182" s="703">
        <v>0</v>
      </c>
      <c r="L182" s="488">
        <f t="shared" ref="L182:L183" si="53">SUM(J182:K182)</f>
        <v>931720.65894092771</v>
      </c>
      <c r="M182" s="703">
        <v>20885.780963797475</v>
      </c>
      <c r="N182" s="488">
        <f t="shared" ref="N182:N183" si="54">SUM(I182,L182)</f>
        <v>1392385.3975864984</v>
      </c>
      <c r="Q182" s="450"/>
      <c r="T182" s="450"/>
      <c r="U182" s="450"/>
    </row>
    <row r="183" spans="1:21" ht="14.5" customHeight="1" outlineLevel="2" x14ac:dyDescent="0.3">
      <c r="A183" s="714" t="s">
        <v>475</v>
      </c>
      <c r="B183" s="485">
        <v>19.05</v>
      </c>
      <c r="C183" s="500" t="s">
        <v>253</v>
      </c>
      <c r="D183" s="490" t="s">
        <v>69</v>
      </c>
      <c r="E183" s="491">
        <v>1</v>
      </c>
      <c r="F183" s="150">
        <v>5726994.1372797498</v>
      </c>
      <c r="G183" s="491">
        <v>2104760.5606523557</v>
      </c>
      <c r="H183" s="491">
        <v>0</v>
      </c>
      <c r="I183" s="488">
        <f t="shared" si="52"/>
        <v>2104760.5606523557</v>
      </c>
      <c r="J183" s="491">
        <v>3537598.1952882847</v>
      </c>
      <c r="K183" s="491">
        <v>0</v>
      </c>
      <c r="L183" s="488">
        <f t="shared" si="53"/>
        <v>3537598.1952882847</v>
      </c>
      <c r="M183" s="491">
        <v>84635.381339109605</v>
      </c>
      <c r="N183" s="488">
        <f t="shared" si="54"/>
        <v>5642358.7559406403</v>
      </c>
      <c r="Q183" s="450"/>
      <c r="T183" s="450"/>
      <c r="U183" s="450"/>
    </row>
    <row r="184" spans="1:21" ht="14.5" customHeight="1" outlineLevel="1" x14ac:dyDescent="0.3">
      <c r="B184" s="472"/>
      <c r="C184" s="473" t="s">
        <v>254</v>
      </c>
      <c r="D184" s="474"/>
      <c r="E184" s="475"/>
      <c r="F184" s="141"/>
      <c r="G184" s="475"/>
      <c r="H184" s="475"/>
      <c r="I184" s="475"/>
      <c r="J184" s="475"/>
      <c r="K184" s="475"/>
      <c r="L184" s="475"/>
      <c r="M184" s="475"/>
      <c r="N184" s="475"/>
      <c r="Q184" s="450"/>
      <c r="T184" s="450"/>
      <c r="U184" s="450"/>
    </row>
    <row r="185" spans="1:21" ht="52" outlineLevel="2" x14ac:dyDescent="0.3">
      <c r="A185" s="714" t="s">
        <v>475</v>
      </c>
      <c r="B185" s="585">
        <v>19.059999999999999</v>
      </c>
      <c r="C185" s="586" t="s">
        <v>401</v>
      </c>
      <c r="D185" s="498" t="s">
        <v>69</v>
      </c>
      <c r="E185" s="499">
        <v>1</v>
      </c>
      <c r="F185" s="161">
        <v>2593748.841026024</v>
      </c>
      <c r="G185" s="499">
        <v>809170.17674968636</v>
      </c>
      <c r="H185" s="499">
        <v>0</v>
      </c>
      <c r="I185" s="488">
        <f t="shared" ref="I185:I192" si="55">SUM(G185:H185)</f>
        <v>809170.17674968636</v>
      </c>
      <c r="J185" s="499">
        <v>1746247.4006158544</v>
      </c>
      <c r="K185" s="499">
        <v>0</v>
      </c>
      <c r="L185" s="488">
        <f t="shared" ref="L185:L192" si="56">SUM(J185:K185)</f>
        <v>1746247.4006158544</v>
      </c>
      <c r="M185" s="499">
        <v>38331.263660483113</v>
      </c>
      <c r="N185" s="488">
        <f t="shared" ref="N185:N192" si="57">SUM(I185,L185)</f>
        <v>2555417.5773655409</v>
      </c>
      <c r="P185" s="587"/>
      <c r="Q185" s="450"/>
      <c r="T185" s="450"/>
      <c r="U185" s="450"/>
    </row>
    <row r="186" spans="1:21" ht="39" outlineLevel="2" x14ac:dyDescent="0.3">
      <c r="A186" s="714" t="s">
        <v>475</v>
      </c>
      <c r="B186" s="588">
        <v>19.07</v>
      </c>
      <c r="C186" s="589" t="s">
        <v>402</v>
      </c>
      <c r="D186" s="490" t="s">
        <v>69</v>
      </c>
      <c r="E186" s="491">
        <v>1</v>
      </c>
      <c r="F186" s="161">
        <v>5587872.6355416179</v>
      </c>
      <c r="G186" s="491">
        <v>1906561.7747600852</v>
      </c>
      <c r="H186" s="491">
        <v>0</v>
      </c>
      <c r="I186" s="488">
        <f t="shared" si="55"/>
        <v>1906561.7747600852</v>
      </c>
      <c r="J186" s="491">
        <v>3598731.4622267308</v>
      </c>
      <c r="K186" s="491">
        <v>0</v>
      </c>
      <c r="L186" s="488">
        <f t="shared" si="56"/>
        <v>3598731.4622267308</v>
      </c>
      <c r="M186" s="491">
        <v>82579.398554802232</v>
      </c>
      <c r="N186" s="488">
        <f t="shared" si="57"/>
        <v>5505293.2369868159</v>
      </c>
      <c r="Q186" s="450"/>
      <c r="T186" s="450"/>
      <c r="U186" s="450"/>
    </row>
    <row r="187" spans="1:21" ht="14.5" customHeight="1" outlineLevel="2" x14ac:dyDescent="0.3">
      <c r="A187" s="714" t="s">
        <v>475</v>
      </c>
      <c r="B187" s="588">
        <v>19.079999999999998</v>
      </c>
      <c r="C187" s="589" t="s">
        <v>403</v>
      </c>
      <c r="D187" s="490" t="s">
        <v>69</v>
      </c>
      <c r="E187" s="491">
        <v>1</v>
      </c>
      <c r="F187" s="161">
        <v>3994627.0179708875</v>
      </c>
      <c r="G187" s="491">
        <v>1435578.064712029</v>
      </c>
      <c r="H187" s="491">
        <v>0</v>
      </c>
      <c r="I187" s="488">
        <f t="shared" si="55"/>
        <v>1435578.064712029</v>
      </c>
      <c r="J187" s="491">
        <v>2500015.0564415548</v>
      </c>
      <c r="K187" s="491">
        <v>0</v>
      </c>
      <c r="L187" s="488">
        <f t="shared" si="56"/>
        <v>2500015.0564415548</v>
      </c>
      <c r="M187" s="491">
        <v>59033.896817303757</v>
      </c>
      <c r="N187" s="488">
        <f t="shared" si="57"/>
        <v>3935593.1211535838</v>
      </c>
      <c r="Q187" s="450"/>
      <c r="T187" s="450"/>
      <c r="U187" s="450"/>
    </row>
    <row r="188" spans="1:21" ht="52" outlineLevel="2" x14ac:dyDescent="0.3">
      <c r="A188" s="714" t="s">
        <v>475</v>
      </c>
      <c r="B188" s="588">
        <v>19.09</v>
      </c>
      <c r="C188" s="589" t="s">
        <v>404</v>
      </c>
      <c r="D188" s="490" t="s">
        <v>69</v>
      </c>
      <c r="E188" s="491">
        <v>1</v>
      </c>
      <c r="F188" s="161">
        <v>1835742.3655874599</v>
      </c>
      <c r="G188" s="491">
        <v>609036.01399088616</v>
      </c>
      <c r="H188" s="491">
        <v>0</v>
      </c>
      <c r="I188" s="488">
        <f t="shared" si="55"/>
        <v>609036.01399088616</v>
      </c>
      <c r="J188" s="491">
        <v>1199577.1540755767</v>
      </c>
      <c r="K188" s="491">
        <v>0</v>
      </c>
      <c r="L188" s="488">
        <f t="shared" si="56"/>
        <v>1199577.1540755767</v>
      </c>
      <c r="M188" s="491">
        <v>27129.197520996942</v>
      </c>
      <c r="N188" s="488">
        <f t="shared" si="57"/>
        <v>1808613.168066463</v>
      </c>
      <c r="Q188" s="450"/>
      <c r="T188" s="450"/>
      <c r="U188" s="450"/>
    </row>
    <row r="189" spans="1:21" ht="14.5" customHeight="1" outlineLevel="2" x14ac:dyDescent="0.3">
      <c r="A189" s="714" t="s">
        <v>475</v>
      </c>
      <c r="B189" s="588">
        <v>19.100000000000001</v>
      </c>
      <c r="C189" s="590" t="s">
        <v>259</v>
      </c>
      <c r="D189" s="490" t="s">
        <v>69</v>
      </c>
      <c r="E189" s="491">
        <v>1</v>
      </c>
      <c r="F189" s="161">
        <v>12209051.336695651</v>
      </c>
      <c r="G189" s="491">
        <v>2840582.8064988283</v>
      </c>
      <c r="H189" s="491">
        <v>0</v>
      </c>
      <c r="I189" s="488">
        <f t="shared" si="55"/>
        <v>2840582.8064988283</v>
      </c>
      <c r="J189" s="491">
        <v>9188039.2000978701</v>
      </c>
      <c r="K189" s="491">
        <v>0</v>
      </c>
      <c r="L189" s="488">
        <f t="shared" si="56"/>
        <v>9188039.2000978701</v>
      </c>
      <c r="M189" s="491">
        <v>180429.33009895048</v>
      </c>
      <c r="N189" s="488">
        <f t="shared" si="57"/>
        <v>12028622.006596699</v>
      </c>
      <c r="Q189" s="450"/>
      <c r="T189" s="450"/>
      <c r="U189" s="450"/>
    </row>
    <row r="190" spans="1:21" ht="52" outlineLevel="2" x14ac:dyDescent="0.3">
      <c r="A190" s="714" t="s">
        <v>475</v>
      </c>
      <c r="B190" s="588">
        <v>19.11</v>
      </c>
      <c r="C190" s="589" t="s">
        <v>405</v>
      </c>
      <c r="D190" s="490" t="s">
        <v>69</v>
      </c>
      <c r="E190" s="491">
        <v>0</v>
      </c>
      <c r="F190" s="161">
        <v>0</v>
      </c>
      <c r="G190" s="491">
        <v>0</v>
      </c>
      <c r="H190" s="491">
        <v>0</v>
      </c>
      <c r="I190" s="488">
        <f t="shared" si="55"/>
        <v>0</v>
      </c>
      <c r="J190" s="491">
        <v>0</v>
      </c>
      <c r="K190" s="491">
        <v>0</v>
      </c>
      <c r="L190" s="488">
        <f t="shared" si="56"/>
        <v>0</v>
      </c>
      <c r="M190" s="491">
        <v>0</v>
      </c>
      <c r="N190" s="488">
        <f t="shared" si="57"/>
        <v>0</v>
      </c>
      <c r="Q190" s="450"/>
      <c r="T190" s="450"/>
      <c r="U190" s="450"/>
    </row>
    <row r="191" spans="1:21" ht="39" outlineLevel="2" x14ac:dyDescent="0.3">
      <c r="A191" s="714" t="s">
        <v>475</v>
      </c>
      <c r="B191" s="588">
        <v>19.12</v>
      </c>
      <c r="C191" s="500" t="s">
        <v>406</v>
      </c>
      <c r="D191" s="490" t="s">
        <v>69</v>
      </c>
      <c r="E191" s="491">
        <v>1</v>
      </c>
      <c r="F191" s="161">
        <v>7694334.3856794043</v>
      </c>
      <c r="G191" s="491">
        <v>2501139.9349345583</v>
      </c>
      <c r="H191" s="491">
        <v>0</v>
      </c>
      <c r="I191" s="488">
        <f t="shared" si="55"/>
        <v>2501139.9349345583</v>
      </c>
      <c r="J191" s="491">
        <v>5079485.0755870221</v>
      </c>
      <c r="K191" s="491">
        <v>0</v>
      </c>
      <c r="L191" s="488">
        <f t="shared" si="56"/>
        <v>5079485.0755870221</v>
      </c>
      <c r="M191" s="491">
        <v>113709.3751578237</v>
      </c>
      <c r="N191" s="488">
        <f t="shared" si="57"/>
        <v>7580625.0105215805</v>
      </c>
      <c r="Q191" s="450"/>
      <c r="T191" s="450"/>
      <c r="U191" s="450"/>
    </row>
    <row r="192" spans="1:21" ht="39" outlineLevel="2" x14ac:dyDescent="0.3">
      <c r="A192" s="714" t="s">
        <v>475</v>
      </c>
      <c r="B192" s="591">
        <v>19.13</v>
      </c>
      <c r="C192" s="581" t="s">
        <v>407</v>
      </c>
      <c r="D192" s="582" t="s">
        <v>69</v>
      </c>
      <c r="E192" s="583">
        <v>1</v>
      </c>
      <c r="F192" s="161">
        <v>998656.75449272187</v>
      </c>
      <c r="G192" s="583">
        <v>358894.51617800724</v>
      </c>
      <c r="H192" s="583">
        <v>0</v>
      </c>
      <c r="I192" s="488">
        <f t="shared" si="55"/>
        <v>358894.51617800724</v>
      </c>
      <c r="J192" s="583">
        <v>625003.7641103887</v>
      </c>
      <c r="K192" s="583">
        <v>0</v>
      </c>
      <c r="L192" s="488">
        <f t="shared" si="56"/>
        <v>625003.7641103887</v>
      </c>
      <c r="M192" s="583">
        <v>14758.474204325939</v>
      </c>
      <c r="N192" s="488">
        <f t="shared" si="57"/>
        <v>983898.28028839594</v>
      </c>
      <c r="Q192" s="450"/>
      <c r="T192" s="450"/>
      <c r="U192" s="450"/>
    </row>
    <row r="193" spans="1:21" ht="14.5" customHeight="1" outlineLevel="1" x14ac:dyDescent="0.3">
      <c r="B193" s="472"/>
      <c r="C193" s="473" t="s">
        <v>263</v>
      </c>
      <c r="D193" s="474"/>
      <c r="E193" s="475"/>
      <c r="F193" s="141"/>
      <c r="G193" s="475"/>
      <c r="H193" s="475"/>
      <c r="I193" s="475"/>
      <c r="J193" s="475"/>
      <c r="K193" s="475"/>
      <c r="L193" s="475"/>
      <c r="M193" s="475"/>
      <c r="N193" s="475"/>
      <c r="Q193" s="450"/>
      <c r="T193" s="450"/>
      <c r="U193" s="450"/>
    </row>
    <row r="194" spans="1:21" outlineLevel="2" x14ac:dyDescent="0.3">
      <c r="A194" s="714" t="s">
        <v>475</v>
      </c>
      <c r="B194" s="485">
        <v>19.14</v>
      </c>
      <c r="C194" s="500" t="s">
        <v>408</v>
      </c>
      <c r="D194" s="490" t="s">
        <v>69</v>
      </c>
      <c r="E194" s="491">
        <v>1</v>
      </c>
      <c r="F194" s="161">
        <v>2420116.1778130946</v>
      </c>
      <c r="G194" s="491">
        <v>638103.51348571631</v>
      </c>
      <c r="H194" s="491">
        <v>0</v>
      </c>
      <c r="I194" s="488">
        <f t="shared" ref="I194" si="58">SUM(G194:H194)</f>
        <v>638103.51348571631</v>
      </c>
      <c r="J194" s="491">
        <v>1746247.4006158544</v>
      </c>
      <c r="K194" s="491">
        <v>0</v>
      </c>
      <c r="L194" s="488">
        <f>SUM(J194:K194)</f>
        <v>1746247.4006158544</v>
      </c>
      <c r="M194" s="491">
        <v>35765.263711523563</v>
      </c>
      <c r="N194" s="488">
        <f t="shared" ref="N194" si="59">SUM(I194,L194)</f>
        <v>2384350.9141015708</v>
      </c>
      <c r="Q194" s="450"/>
      <c r="T194" s="450"/>
      <c r="U194" s="450"/>
    </row>
    <row r="195" spans="1:21" ht="14.5" customHeight="1" x14ac:dyDescent="0.3">
      <c r="B195" s="472"/>
      <c r="C195" s="473" t="s">
        <v>265</v>
      </c>
      <c r="D195" s="474"/>
      <c r="E195" s="475"/>
      <c r="F195" s="141"/>
      <c r="G195" s="475"/>
      <c r="H195" s="475"/>
      <c r="I195" s="475"/>
      <c r="J195" s="475"/>
      <c r="K195" s="475"/>
      <c r="L195" s="475"/>
      <c r="M195" s="475"/>
      <c r="N195" s="475"/>
      <c r="Q195" s="450"/>
      <c r="T195" s="450"/>
      <c r="U195" s="450"/>
    </row>
    <row r="196" spans="1:21" ht="39" outlineLevel="1" x14ac:dyDescent="0.3">
      <c r="A196" s="714" t="s">
        <v>475</v>
      </c>
      <c r="B196" s="480">
        <v>19.149999999999999</v>
      </c>
      <c r="C196" s="569" t="s">
        <v>409</v>
      </c>
      <c r="D196" s="498" t="s">
        <v>69</v>
      </c>
      <c r="E196" s="499">
        <v>1</v>
      </c>
      <c r="F196" s="161">
        <v>7300756.3111137971</v>
      </c>
      <c r="G196" s="703">
        <v>3702330.1060249032</v>
      </c>
      <c r="H196" s="703">
        <v>0</v>
      </c>
      <c r="I196" s="488">
        <f t="shared" ref="I196" si="60">SUM(G196:H196)</f>
        <v>3702330.1060249032</v>
      </c>
      <c r="J196" s="703">
        <v>3490533.2546783453</v>
      </c>
      <c r="K196" s="703">
        <v>0</v>
      </c>
      <c r="L196" s="488">
        <f>SUM(J196:K196)</f>
        <v>3490533.2546783453</v>
      </c>
      <c r="M196" s="703">
        <v>107892.95041054873</v>
      </c>
      <c r="N196" s="488">
        <f t="shared" ref="N196" si="61">SUM(I196,L196)</f>
        <v>7192863.3607032485</v>
      </c>
      <c r="Q196" s="450"/>
      <c r="T196" s="450"/>
      <c r="U196" s="450"/>
    </row>
    <row r="197" spans="1:21" ht="14.5" customHeight="1" x14ac:dyDescent="0.3">
      <c r="B197" s="472"/>
      <c r="C197" s="473" t="s">
        <v>267</v>
      </c>
      <c r="D197" s="474"/>
      <c r="E197" s="475"/>
      <c r="F197" s="141"/>
      <c r="G197" s="475"/>
      <c r="H197" s="475"/>
      <c r="I197" s="475"/>
      <c r="J197" s="475"/>
      <c r="K197" s="475"/>
      <c r="L197" s="475"/>
      <c r="M197" s="475"/>
      <c r="N197" s="475"/>
      <c r="Q197" s="450"/>
      <c r="T197" s="450"/>
      <c r="U197" s="450"/>
    </row>
    <row r="198" spans="1:21" outlineLevel="1" x14ac:dyDescent="0.3">
      <c r="A198" s="714" t="s">
        <v>475</v>
      </c>
      <c r="B198" s="592">
        <v>19.16</v>
      </c>
      <c r="C198" s="593" t="s">
        <v>268</v>
      </c>
      <c r="D198" s="498" t="s">
        <v>69</v>
      </c>
      <c r="E198" s="499">
        <v>1</v>
      </c>
      <c r="F198" s="161">
        <v>6608129.9949740311</v>
      </c>
      <c r="G198" s="703">
        <v>1540056.2655049204</v>
      </c>
      <c r="H198" s="703">
        <v>0</v>
      </c>
      <c r="I198" s="488">
        <f t="shared" ref="I198:I201" si="62">SUM(G198:H198)</f>
        <v>1540056.2655049204</v>
      </c>
      <c r="J198" s="703">
        <v>4970416.6359473262</v>
      </c>
      <c r="K198" s="703">
        <v>0</v>
      </c>
      <c r="L198" s="488">
        <f t="shared" ref="L198:L201" si="63">SUM(J198:K198)</f>
        <v>4970416.6359473262</v>
      </c>
      <c r="M198" s="703">
        <v>97657.093521783696</v>
      </c>
      <c r="N198" s="488">
        <f t="shared" ref="N198:N201" si="64">SUM(I198,L198)</f>
        <v>6510472.9014522471</v>
      </c>
      <c r="Q198" s="450"/>
      <c r="T198" s="450"/>
      <c r="U198" s="450"/>
    </row>
    <row r="199" spans="1:21" ht="14.5" customHeight="1" outlineLevel="1" x14ac:dyDescent="0.3">
      <c r="A199" s="714" t="s">
        <v>475</v>
      </c>
      <c r="B199" s="594">
        <v>19.170000000000002</v>
      </c>
      <c r="C199" s="590" t="s">
        <v>410</v>
      </c>
      <c r="D199" s="490" t="s">
        <v>69</v>
      </c>
      <c r="E199" s="491">
        <v>1</v>
      </c>
      <c r="F199" s="161">
        <v>550774.38163656788</v>
      </c>
      <c r="G199" s="491">
        <v>43707.030007852358</v>
      </c>
      <c r="H199" s="491">
        <v>0</v>
      </c>
      <c r="I199" s="488">
        <f t="shared" si="62"/>
        <v>43707.030007852358</v>
      </c>
      <c r="J199" s="491">
        <v>498927.82874738693</v>
      </c>
      <c r="K199" s="491">
        <v>0</v>
      </c>
      <c r="L199" s="488">
        <f t="shared" si="63"/>
        <v>498927.82874738693</v>
      </c>
      <c r="M199" s="491">
        <v>8139.5228813285894</v>
      </c>
      <c r="N199" s="488">
        <f t="shared" si="64"/>
        <v>542634.85875523929</v>
      </c>
      <c r="Q199" s="450"/>
      <c r="T199" s="450"/>
      <c r="U199" s="450"/>
    </row>
    <row r="200" spans="1:21" ht="14.5" customHeight="1" outlineLevel="1" x14ac:dyDescent="0.3">
      <c r="A200" s="714" t="s">
        <v>475</v>
      </c>
      <c r="B200" s="595">
        <v>19.18</v>
      </c>
      <c r="C200" s="590" t="s">
        <v>270</v>
      </c>
      <c r="D200" s="490" t="s">
        <v>69</v>
      </c>
      <c r="E200" s="491">
        <v>1</v>
      </c>
      <c r="F200" s="161">
        <v>1400000</v>
      </c>
      <c r="G200" s="491">
        <v>0</v>
      </c>
      <c r="H200" s="491">
        <v>0</v>
      </c>
      <c r="I200" s="488">
        <f t="shared" si="62"/>
        <v>0</v>
      </c>
      <c r="J200" s="491">
        <v>1400000</v>
      </c>
      <c r="K200" s="491">
        <v>0</v>
      </c>
      <c r="L200" s="488">
        <f t="shared" si="63"/>
        <v>1400000</v>
      </c>
      <c r="M200" s="491">
        <v>0</v>
      </c>
      <c r="N200" s="488">
        <f t="shared" si="64"/>
        <v>1400000</v>
      </c>
      <c r="Q200" s="450"/>
      <c r="T200" s="450"/>
      <c r="U200" s="450"/>
    </row>
    <row r="201" spans="1:21" ht="14.5" customHeight="1" outlineLevel="1" x14ac:dyDescent="0.3">
      <c r="A201" s="714" t="s">
        <v>475</v>
      </c>
      <c r="B201" s="596">
        <v>19.190000000000001</v>
      </c>
      <c r="C201" s="597" t="s">
        <v>271</v>
      </c>
      <c r="D201" s="582" t="s">
        <v>69</v>
      </c>
      <c r="E201" s="583">
        <v>1</v>
      </c>
      <c r="F201" s="161">
        <v>1400000</v>
      </c>
      <c r="G201" s="706">
        <v>0</v>
      </c>
      <c r="H201" s="706">
        <v>0</v>
      </c>
      <c r="I201" s="488">
        <f t="shared" si="62"/>
        <v>0</v>
      </c>
      <c r="J201" s="706">
        <v>1400000</v>
      </c>
      <c r="K201" s="706">
        <v>0</v>
      </c>
      <c r="L201" s="488">
        <f t="shared" si="63"/>
        <v>1400000</v>
      </c>
      <c r="M201" s="706">
        <v>0</v>
      </c>
      <c r="N201" s="488">
        <f t="shared" si="64"/>
        <v>1400000</v>
      </c>
      <c r="Q201" s="450"/>
      <c r="T201" s="450"/>
      <c r="U201" s="450"/>
    </row>
    <row r="202" spans="1:21" ht="14.5" customHeight="1" x14ac:dyDescent="0.3">
      <c r="B202" s="472">
        <v>20</v>
      </c>
      <c r="C202" s="473" t="s">
        <v>411</v>
      </c>
      <c r="D202" s="474"/>
      <c r="E202" s="475"/>
      <c r="F202" s="141"/>
      <c r="G202" s="475"/>
      <c r="H202" s="475"/>
      <c r="I202" s="475"/>
      <c r="J202" s="475"/>
      <c r="K202" s="475"/>
      <c r="L202" s="475"/>
      <c r="M202" s="475"/>
      <c r="N202" s="475"/>
      <c r="Q202" s="450"/>
      <c r="T202" s="450"/>
      <c r="U202" s="450"/>
    </row>
    <row r="203" spans="1:21" ht="14.5" customHeight="1" outlineLevel="1" x14ac:dyDescent="0.3">
      <c r="A203" s="714" t="s">
        <v>476</v>
      </c>
      <c r="B203" s="507">
        <v>20.010000000000002</v>
      </c>
      <c r="C203" s="540" t="s">
        <v>273</v>
      </c>
      <c r="D203" s="598" t="s">
        <v>114</v>
      </c>
      <c r="E203" s="510">
        <v>40</v>
      </c>
      <c r="F203" s="161">
        <v>477500</v>
      </c>
      <c r="G203" s="510">
        <v>9900000</v>
      </c>
      <c r="H203" s="510">
        <v>0</v>
      </c>
      <c r="I203" s="488">
        <f t="shared" ref="I203:I204" si="65">SUM(G203:H203)</f>
        <v>9900000</v>
      </c>
      <c r="J203" s="510">
        <v>9200000</v>
      </c>
      <c r="K203" s="510">
        <v>0</v>
      </c>
      <c r="L203" s="488">
        <f t="shared" ref="L203:L204" si="66">SUM(J203:K203)</f>
        <v>9200000</v>
      </c>
      <c r="M203" s="510">
        <v>0</v>
      </c>
      <c r="N203" s="488">
        <f t="shared" ref="N203:N204" si="67">SUM(I203,L203)</f>
        <v>19100000</v>
      </c>
      <c r="Q203" s="450"/>
      <c r="T203" s="450"/>
      <c r="U203" s="450"/>
    </row>
    <row r="204" spans="1:21" ht="14.5" customHeight="1" outlineLevel="1" x14ac:dyDescent="0.3">
      <c r="A204" s="714" t="s">
        <v>476</v>
      </c>
      <c r="B204" s="485">
        <v>20.02</v>
      </c>
      <c r="C204" s="556" t="s">
        <v>412</v>
      </c>
      <c r="D204" s="553" t="s">
        <v>114</v>
      </c>
      <c r="E204" s="510">
        <v>0</v>
      </c>
      <c r="F204" s="161">
        <v>0</v>
      </c>
      <c r="G204" s="510">
        <v>0</v>
      </c>
      <c r="H204" s="510">
        <v>0</v>
      </c>
      <c r="I204" s="488">
        <f t="shared" si="65"/>
        <v>0</v>
      </c>
      <c r="J204" s="510">
        <v>0</v>
      </c>
      <c r="K204" s="510">
        <v>0</v>
      </c>
      <c r="L204" s="488">
        <f t="shared" si="66"/>
        <v>0</v>
      </c>
      <c r="M204" s="510">
        <v>0</v>
      </c>
      <c r="N204" s="488">
        <f t="shared" si="67"/>
        <v>0</v>
      </c>
      <c r="Q204" s="450"/>
      <c r="T204" s="450"/>
      <c r="U204" s="450"/>
    </row>
    <row r="205" spans="1:21" ht="14.5" customHeight="1" x14ac:dyDescent="0.3">
      <c r="B205" s="472">
        <v>21</v>
      </c>
      <c r="C205" s="473" t="s">
        <v>413</v>
      </c>
      <c r="D205" s="474"/>
      <c r="E205" s="475"/>
      <c r="F205" s="141"/>
      <c r="G205" s="475"/>
      <c r="H205" s="475"/>
      <c r="I205" s="475"/>
      <c r="J205" s="475"/>
      <c r="K205" s="475"/>
      <c r="L205" s="475"/>
      <c r="M205" s="475"/>
      <c r="N205" s="475"/>
      <c r="Q205" s="450"/>
      <c r="T205" s="450"/>
      <c r="U205" s="450"/>
    </row>
    <row r="206" spans="1:21" s="523" customFormat="1" ht="14.5" customHeight="1" outlineLevel="1" x14ac:dyDescent="0.3">
      <c r="A206" s="714" t="s">
        <v>468</v>
      </c>
      <c r="B206" s="599">
        <v>21.01</v>
      </c>
      <c r="C206" s="600" t="s">
        <v>414</v>
      </c>
      <c r="D206" s="601" t="s">
        <v>69</v>
      </c>
      <c r="E206" s="602">
        <v>0</v>
      </c>
      <c r="F206" s="161">
        <v>0</v>
      </c>
      <c r="G206" s="707">
        <v>0</v>
      </c>
      <c r="H206" s="707">
        <v>0</v>
      </c>
      <c r="I206" s="488">
        <f t="shared" ref="I206" si="68">SUM(G206:H206)</f>
        <v>0</v>
      </c>
      <c r="J206" s="707">
        <v>0</v>
      </c>
      <c r="K206" s="707">
        <v>0</v>
      </c>
      <c r="L206" s="488">
        <f>SUM(J206:K206)</f>
        <v>0</v>
      </c>
      <c r="M206" s="707">
        <v>0</v>
      </c>
      <c r="N206" s="488">
        <f t="shared" ref="N206" si="69">SUM(I206,L206)</f>
        <v>0</v>
      </c>
      <c r="P206" s="449"/>
      <c r="Q206" s="450"/>
      <c r="R206" s="450"/>
      <c r="S206" s="449"/>
      <c r="T206" s="450"/>
      <c r="U206" s="450"/>
    </row>
    <row r="207" spans="1:21" s="523" customFormat="1" ht="14.5" customHeight="1" x14ac:dyDescent="0.3">
      <c r="B207" s="472">
        <v>22</v>
      </c>
      <c r="C207" s="473" t="s">
        <v>415</v>
      </c>
      <c r="D207" s="474"/>
      <c r="E207" s="475"/>
      <c r="F207" s="141"/>
      <c r="G207" s="475"/>
      <c r="H207" s="475"/>
      <c r="I207" s="475"/>
      <c r="J207" s="475"/>
      <c r="K207" s="475"/>
      <c r="L207" s="475"/>
      <c r="M207" s="475"/>
      <c r="N207" s="475"/>
      <c r="P207" s="449"/>
      <c r="Q207" s="450"/>
      <c r="R207" s="450"/>
      <c r="S207" s="449"/>
      <c r="T207" s="450"/>
      <c r="U207" s="450"/>
    </row>
    <row r="208" spans="1:21" ht="25.5" customHeight="1" outlineLevel="1" x14ac:dyDescent="0.3">
      <c r="A208" s="714" t="s">
        <v>474</v>
      </c>
      <c r="B208" s="603">
        <v>22.01</v>
      </c>
      <c r="C208" s="569" t="s">
        <v>416</v>
      </c>
      <c r="D208" s="570" t="s">
        <v>114</v>
      </c>
      <c r="E208" s="491">
        <v>50</v>
      </c>
      <c r="F208" s="161">
        <v>59550</v>
      </c>
      <c r="G208" s="708">
        <v>0</v>
      </c>
      <c r="H208" s="708">
        <v>0</v>
      </c>
      <c r="I208" s="488">
        <f t="shared" ref="I208:I209" si="70">SUM(G208:H208)</f>
        <v>0</v>
      </c>
      <c r="J208" s="708">
        <v>2977500</v>
      </c>
      <c r="K208" s="708">
        <v>0</v>
      </c>
      <c r="L208" s="488">
        <f t="shared" ref="L208:L209" si="71">SUM(J208:K208)</f>
        <v>2977500</v>
      </c>
      <c r="M208" s="708">
        <v>0</v>
      </c>
      <c r="N208" s="488">
        <f t="shared" ref="N208:N209" si="72">SUM(I208,L208)</f>
        <v>2977500</v>
      </c>
      <c r="Q208" s="450"/>
      <c r="T208" s="450"/>
      <c r="U208" s="450"/>
    </row>
    <row r="209" spans="1:21" ht="14.5" customHeight="1" outlineLevel="1" x14ac:dyDescent="0.3">
      <c r="A209" s="714" t="s">
        <v>474</v>
      </c>
      <c r="B209" s="496">
        <v>22.02</v>
      </c>
      <c r="C209" s="573" t="s">
        <v>417</v>
      </c>
      <c r="D209" s="574" t="s">
        <v>114</v>
      </c>
      <c r="E209" s="494">
        <v>0</v>
      </c>
      <c r="F209" s="161">
        <v>0</v>
      </c>
      <c r="G209" s="705">
        <v>0</v>
      </c>
      <c r="H209" s="705">
        <v>0</v>
      </c>
      <c r="I209" s="488">
        <f t="shared" si="70"/>
        <v>0</v>
      </c>
      <c r="J209" s="705">
        <v>0</v>
      </c>
      <c r="K209" s="705">
        <v>0</v>
      </c>
      <c r="L209" s="488">
        <f t="shared" si="71"/>
        <v>0</v>
      </c>
      <c r="M209" s="705">
        <v>0</v>
      </c>
      <c r="N209" s="488">
        <f t="shared" si="72"/>
        <v>0</v>
      </c>
      <c r="Q209" s="450"/>
    </row>
    <row r="210" spans="1:21" ht="14.5" customHeight="1" x14ac:dyDescent="0.3">
      <c r="B210" s="472">
        <v>23</v>
      </c>
      <c r="C210" s="473" t="s">
        <v>280</v>
      </c>
      <c r="D210" s="474"/>
      <c r="E210" s="475"/>
      <c r="F210" s="141"/>
      <c r="G210" s="475"/>
      <c r="H210" s="475"/>
      <c r="I210" s="475"/>
      <c r="J210" s="475"/>
      <c r="K210" s="475"/>
      <c r="L210" s="475"/>
      <c r="M210" s="475"/>
      <c r="N210" s="475"/>
      <c r="P210" s="478"/>
      <c r="Q210" s="450"/>
      <c r="R210" s="479"/>
      <c r="S210" s="478"/>
      <c r="T210" s="478"/>
      <c r="U210" s="478"/>
    </row>
    <row r="211" spans="1:21" ht="14.5" customHeight="1" outlineLevel="1" x14ac:dyDescent="0.3">
      <c r="A211" s="714" t="s">
        <v>468</v>
      </c>
      <c r="B211" s="588">
        <v>23.01</v>
      </c>
      <c r="C211" s="486" t="s">
        <v>281</v>
      </c>
      <c r="D211" s="493" t="s">
        <v>114</v>
      </c>
      <c r="E211" s="494">
        <v>8</v>
      </c>
      <c r="F211" s="161">
        <v>198840.89809979429</v>
      </c>
      <c r="G211" s="494">
        <v>200000</v>
      </c>
      <c r="H211" s="494">
        <v>0</v>
      </c>
      <c r="I211" s="488">
        <f t="shared" ref="I211:I213" si="73">SUM(G211:H211)</f>
        <v>200000</v>
      </c>
      <c r="J211" s="494">
        <v>160000</v>
      </c>
      <c r="K211" s="494">
        <v>1207218.9012791668</v>
      </c>
      <c r="L211" s="488">
        <f t="shared" ref="L211:L213" si="74">SUM(J211:K211)</f>
        <v>1367218.9012791668</v>
      </c>
      <c r="M211" s="494">
        <v>23508.283519187502</v>
      </c>
      <c r="N211" s="488">
        <f t="shared" ref="N211:N213" si="75">SUM(I211,L211)</f>
        <v>1567218.9012791668</v>
      </c>
      <c r="P211" s="478"/>
      <c r="Q211" s="450"/>
      <c r="R211" s="479"/>
      <c r="S211" s="478"/>
      <c r="T211" s="478"/>
      <c r="U211" s="478"/>
    </row>
    <row r="212" spans="1:21" ht="14.5" customHeight="1" outlineLevel="1" x14ac:dyDescent="0.3">
      <c r="A212" s="714" t="s">
        <v>468</v>
      </c>
      <c r="B212" s="604">
        <v>23.02</v>
      </c>
      <c r="C212" s="605" t="s">
        <v>418</v>
      </c>
      <c r="D212" s="606" t="s">
        <v>69</v>
      </c>
      <c r="E212" s="607">
        <v>1</v>
      </c>
      <c r="F212" s="161">
        <v>450043.0443701332</v>
      </c>
      <c r="G212" s="607">
        <v>60000</v>
      </c>
      <c r="H212" s="607">
        <v>0</v>
      </c>
      <c r="I212" s="488">
        <f t="shared" si="73"/>
        <v>60000</v>
      </c>
      <c r="J212" s="607">
        <v>0</v>
      </c>
      <c r="K212" s="607">
        <v>383392.16194101796</v>
      </c>
      <c r="L212" s="488">
        <f t="shared" si="74"/>
        <v>383392.16194101796</v>
      </c>
      <c r="M212" s="607">
        <v>6650.8824291152687</v>
      </c>
      <c r="N212" s="488">
        <f t="shared" si="75"/>
        <v>443392.16194101796</v>
      </c>
      <c r="P212" s="449" t="s">
        <v>633</v>
      </c>
      <c r="Q212" s="450"/>
    </row>
    <row r="213" spans="1:21" ht="14.5" customHeight="1" outlineLevel="1" x14ac:dyDescent="0.3">
      <c r="A213" s="714" t="s">
        <v>468</v>
      </c>
      <c r="B213" s="604">
        <v>23.03</v>
      </c>
      <c r="C213" s="605" t="s">
        <v>419</v>
      </c>
      <c r="D213" s="606" t="s">
        <v>69</v>
      </c>
      <c r="E213" s="607">
        <v>1</v>
      </c>
      <c r="F213" s="161">
        <v>2392862.5</v>
      </c>
      <c r="G213" s="607">
        <v>0</v>
      </c>
      <c r="H213" s="607">
        <v>0</v>
      </c>
      <c r="I213" s="488">
        <f t="shared" si="73"/>
        <v>0</v>
      </c>
      <c r="J213" s="607">
        <v>2357500</v>
      </c>
      <c r="K213" s="607">
        <v>0</v>
      </c>
      <c r="L213" s="488">
        <f t="shared" si="74"/>
        <v>2357500</v>
      </c>
      <c r="M213" s="607">
        <v>35362.5</v>
      </c>
      <c r="N213" s="488">
        <f t="shared" si="75"/>
        <v>2357500</v>
      </c>
      <c r="P213" s="449" t="s">
        <v>632</v>
      </c>
      <c r="Q213" s="450"/>
    </row>
    <row r="214" spans="1:21" ht="14.5" customHeight="1" x14ac:dyDescent="0.3">
      <c r="B214" s="472">
        <v>24</v>
      </c>
      <c r="C214" s="473" t="s">
        <v>284</v>
      </c>
      <c r="D214" s="474"/>
      <c r="E214" s="475"/>
      <c r="F214" s="298"/>
      <c r="G214" s="475"/>
      <c r="H214" s="475"/>
      <c r="I214" s="475"/>
      <c r="J214" s="475"/>
      <c r="K214" s="475"/>
      <c r="L214" s="475"/>
      <c r="M214" s="475"/>
      <c r="N214" s="475"/>
    </row>
    <row r="215" spans="1:21" ht="14.5" customHeight="1" outlineLevel="1" x14ac:dyDescent="0.3">
      <c r="A215" s="1105" t="s">
        <v>468</v>
      </c>
      <c r="B215" s="480">
        <v>24.01</v>
      </c>
      <c r="C215" s="506" t="s">
        <v>285</v>
      </c>
      <c r="D215" s="482" t="s">
        <v>77</v>
      </c>
      <c r="E215" s="488">
        <v>9</v>
      </c>
      <c r="F215" s="161">
        <v>806885.98632321146</v>
      </c>
      <c r="G215" s="488">
        <v>0</v>
      </c>
      <c r="H215" s="488">
        <v>0</v>
      </c>
      <c r="I215" s="488">
        <f t="shared" ref="I215:I221" si="76">SUM(G215:H215)</f>
        <v>0</v>
      </c>
      <c r="J215" s="488">
        <f>E215*'01'!I201</f>
        <v>7261973.876908903</v>
      </c>
      <c r="K215" s="488">
        <v>0</v>
      </c>
      <c r="L215" s="488">
        <f t="shared" ref="L215:L221" si="77">SUM(J215:K215)</f>
        <v>7261973.876908903</v>
      </c>
      <c r="M215" s="488">
        <v>0</v>
      </c>
      <c r="N215" s="488">
        <f t="shared" ref="N215:N221" si="78">SUM(I215,L215)</f>
        <v>7261973.876908903</v>
      </c>
      <c r="P215" s="478" t="s">
        <v>634</v>
      </c>
      <c r="Q215" s="450"/>
      <c r="R215" s="479"/>
      <c r="S215" s="478"/>
      <c r="T215" s="478"/>
      <c r="U215" s="478"/>
    </row>
    <row r="216" spans="1:21" ht="14.5" customHeight="1" outlineLevel="1" x14ac:dyDescent="0.3">
      <c r="A216" s="714" t="s">
        <v>467</v>
      </c>
      <c r="B216" s="485">
        <v>24.03</v>
      </c>
      <c r="C216" s="511" t="s">
        <v>287</v>
      </c>
      <c r="D216" s="487" t="s">
        <v>77</v>
      </c>
      <c r="E216" s="488">
        <v>9</v>
      </c>
      <c r="F216" s="161">
        <v>300000</v>
      </c>
      <c r="G216" s="488">
        <v>0</v>
      </c>
      <c r="H216" s="488">
        <v>0</v>
      </c>
      <c r="I216" s="488">
        <f t="shared" si="76"/>
        <v>0</v>
      </c>
      <c r="J216" s="488">
        <f>E216*F216</f>
        <v>2700000</v>
      </c>
      <c r="K216" s="488">
        <v>0</v>
      </c>
      <c r="L216" s="488">
        <f t="shared" si="77"/>
        <v>2700000</v>
      </c>
      <c r="M216" s="488">
        <v>0</v>
      </c>
      <c r="N216" s="488">
        <f t="shared" si="78"/>
        <v>2700000</v>
      </c>
      <c r="P216" s="478"/>
      <c r="Q216" s="450"/>
      <c r="R216" s="479"/>
      <c r="S216" s="478"/>
      <c r="T216" s="478"/>
      <c r="U216" s="478"/>
    </row>
    <row r="217" spans="1:21" s="514" customFormat="1" ht="14.5" customHeight="1" outlineLevel="1" x14ac:dyDescent="0.3">
      <c r="A217" s="714" t="s">
        <v>468</v>
      </c>
      <c r="B217" s="485">
        <v>24.05</v>
      </c>
      <c r="C217" s="511" t="s">
        <v>291</v>
      </c>
      <c r="D217" s="512" t="s">
        <v>77</v>
      </c>
      <c r="E217" s="488">
        <v>9</v>
      </c>
      <c r="F217" s="161">
        <v>717889.73925965955</v>
      </c>
      <c r="G217" s="488">
        <v>0</v>
      </c>
      <c r="H217" s="488">
        <f>E217*'01'!G205</f>
        <v>450000</v>
      </c>
      <c r="I217" s="488">
        <f t="shared" si="76"/>
        <v>450000</v>
      </c>
      <c r="J217" s="488">
        <v>0</v>
      </c>
      <c r="K217" s="488">
        <f>E217*'01'!J205</f>
        <v>5915524.7816127446</v>
      </c>
      <c r="L217" s="488">
        <f t="shared" si="77"/>
        <v>5915524.7816127446</v>
      </c>
      <c r="M217" s="488">
        <f>E217*'01'!L205</f>
        <v>95482.87172419118</v>
      </c>
      <c r="N217" s="488">
        <f t="shared" si="78"/>
        <v>6365524.7816127446</v>
      </c>
      <c r="P217" s="478"/>
      <c r="Q217" s="450"/>
      <c r="R217" s="479"/>
      <c r="S217" s="478"/>
      <c r="T217" s="478"/>
      <c r="U217" s="478"/>
    </row>
    <row r="218" spans="1:21" s="514" customFormat="1" ht="14.5" customHeight="1" outlineLevel="1" x14ac:dyDescent="0.3">
      <c r="A218" s="714" t="s">
        <v>468</v>
      </c>
      <c r="B218" s="507">
        <v>24.06</v>
      </c>
      <c r="C218" s="511" t="s">
        <v>292</v>
      </c>
      <c r="D218" s="512" t="s">
        <v>77</v>
      </c>
      <c r="E218" s="488">
        <v>9</v>
      </c>
      <c r="F218" s="161">
        <v>651342.13581991044</v>
      </c>
      <c r="G218" s="488">
        <v>0</v>
      </c>
      <c r="H218" s="488">
        <f>E218*'01'!G206</f>
        <v>450000</v>
      </c>
      <c r="I218" s="488">
        <f t="shared" si="76"/>
        <v>450000</v>
      </c>
      <c r="J218" s="488">
        <v>0</v>
      </c>
      <c r="K218" s="488">
        <f>E218*'01'!J206</f>
        <v>5325447.5097331954</v>
      </c>
      <c r="L218" s="488">
        <f t="shared" si="77"/>
        <v>5325447.5097331954</v>
      </c>
      <c r="M218" s="488">
        <f>E218*'01'!L206</f>
        <v>86631.712645997934</v>
      </c>
      <c r="N218" s="488">
        <f t="shared" si="78"/>
        <v>5775447.5097331954</v>
      </c>
      <c r="P218" s="478"/>
      <c r="Q218" s="450"/>
      <c r="R218" s="479"/>
      <c r="S218" s="478"/>
      <c r="T218" s="478"/>
      <c r="U218" s="478"/>
    </row>
    <row r="219" spans="1:21" s="514" customFormat="1" ht="14.5" customHeight="1" outlineLevel="1" x14ac:dyDescent="0.3">
      <c r="A219" s="714" t="s">
        <v>468</v>
      </c>
      <c r="B219" s="485">
        <v>24.07</v>
      </c>
      <c r="C219" s="511" t="s">
        <v>293</v>
      </c>
      <c r="D219" s="512" t="s">
        <v>69</v>
      </c>
      <c r="E219" s="488">
        <v>1</v>
      </c>
      <c r="F219" s="161">
        <v>4602446.3805902973</v>
      </c>
      <c r="G219" s="488">
        <f>E219*'01'!F207</f>
        <v>500000</v>
      </c>
      <c r="H219" s="488">
        <v>0</v>
      </c>
      <c r="I219" s="488">
        <f t="shared" si="76"/>
        <v>500000</v>
      </c>
      <c r="J219" s="488">
        <v>0</v>
      </c>
      <c r="K219" s="488">
        <f>E219*'01'!J207</f>
        <v>4034429.9316160567</v>
      </c>
      <c r="L219" s="488">
        <f t="shared" si="77"/>
        <v>4034429.9316160567</v>
      </c>
      <c r="M219" s="488">
        <f>E219*'01'!L207</f>
        <v>68016.448974240848</v>
      </c>
      <c r="N219" s="488">
        <f t="shared" si="78"/>
        <v>4534429.9316160567</v>
      </c>
      <c r="P219" s="478"/>
      <c r="Q219" s="450"/>
      <c r="R219" s="479"/>
      <c r="S219" s="478"/>
      <c r="T219" s="478"/>
      <c r="U219" s="478"/>
    </row>
    <row r="220" spans="1:21" s="514" customFormat="1" ht="14.5" customHeight="1" outlineLevel="1" x14ac:dyDescent="0.3">
      <c r="A220" s="714" t="s">
        <v>469</v>
      </c>
      <c r="B220" s="507">
        <v>24.08</v>
      </c>
      <c r="C220" s="511" t="s">
        <v>294</v>
      </c>
      <c r="D220" s="512" t="s">
        <v>77</v>
      </c>
      <c r="E220" s="488">
        <v>9</v>
      </c>
      <c r="F220" s="161">
        <v>300000</v>
      </c>
      <c r="G220" s="488">
        <v>0</v>
      </c>
      <c r="H220" s="488">
        <v>0</v>
      </c>
      <c r="I220" s="488">
        <f t="shared" si="76"/>
        <v>0</v>
      </c>
      <c r="J220" s="488">
        <f>E220*'01'!I208</f>
        <v>2700000</v>
      </c>
      <c r="K220" s="488">
        <v>0</v>
      </c>
      <c r="L220" s="488">
        <f t="shared" si="77"/>
        <v>2700000</v>
      </c>
      <c r="M220" s="488">
        <v>0</v>
      </c>
      <c r="N220" s="488">
        <f t="shared" si="78"/>
        <v>2700000</v>
      </c>
      <c r="P220" s="478"/>
      <c r="Q220" s="450"/>
      <c r="R220" s="479"/>
      <c r="S220" s="478"/>
      <c r="T220" s="478"/>
      <c r="U220" s="478"/>
    </row>
    <row r="221" spans="1:21" s="518" customFormat="1" ht="14.5" customHeight="1" outlineLevel="1" x14ac:dyDescent="0.3">
      <c r="A221" s="714" t="s">
        <v>464</v>
      </c>
      <c r="B221" s="485">
        <v>24.09</v>
      </c>
      <c r="C221" s="515" t="s">
        <v>295</v>
      </c>
      <c r="D221" s="516" t="s">
        <v>77</v>
      </c>
      <c r="E221" s="488">
        <v>9</v>
      </c>
      <c r="F221" s="161">
        <v>271249.10634317162</v>
      </c>
      <c r="G221" s="561">
        <f>E221*'01'!F209</f>
        <v>1800000</v>
      </c>
      <c r="H221" s="561">
        <v>0</v>
      </c>
      <c r="I221" s="488">
        <f t="shared" si="76"/>
        <v>1800000</v>
      </c>
      <c r="J221" s="561">
        <v>0</v>
      </c>
      <c r="K221" s="561">
        <f>E221*'01'!J209</f>
        <v>605164.48974240851</v>
      </c>
      <c r="L221" s="488">
        <f t="shared" si="77"/>
        <v>605164.48974240851</v>
      </c>
      <c r="M221" s="561">
        <f>E221*'01'!L209</f>
        <v>36077.467346136131</v>
      </c>
      <c r="N221" s="488">
        <f t="shared" si="78"/>
        <v>2405164.4897424085</v>
      </c>
      <c r="P221" s="478"/>
      <c r="Q221" s="450"/>
      <c r="R221" s="479"/>
      <c r="S221" s="478"/>
      <c r="T221" s="478"/>
      <c r="U221" s="478"/>
    </row>
    <row r="222" spans="1:21" ht="14.5" customHeight="1" x14ac:dyDescent="0.3">
      <c r="B222" s="472">
        <v>25</v>
      </c>
      <c r="C222" s="473" t="s">
        <v>296</v>
      </c>
      <c r="D222" s="474"/>
      <c r="E222" s="475"/>
      <c r="F222" s="298"/>
      <c r="G222" s="475"/>
      <c r="H222" s="475"/>
      <c r="I222" s="475"/>
      <c r="J222" s="475"/>
      <c r="K222" s="475"/>
      <c r="L222" s="475"/>
      <c r="M222" s="475"/>
      <c r="N222" s="475"/>
      <c r="P222" s="478"/>
      <c r="Q222" s="450"/>
      <c r="R222" s="479"/>
      <c r="S222" s="478"/>
      <c r="T222" s="478"/>
      <c r="U222" s="478"/>
    </row>
    <row r="223" spans="1:21" s="523" customFormat="1" ht="14.5" customHeight="1" outlineLevel="1" x14ac:dyDescent="0.3">
      <c r="A223" s="1105" t="s">
        <v>470</v>
      </c>
      <c r="B223" s="480">
        <v>25.01</v>
      </c>
      <c r="C223" s="481" t="s">
        <v>297</v>
      </c>
      <c r="D223" s="519" t="s">
        <v>77</v>
      </c>
      <c r="E223" s="488">
        <v>9</v>
      </c>
      <c r="F223" s="161">
        <v>3246508.9202830633</v>
      </c>
      <c r="G223" s="704">
        <v>0</v>
      </c>
      <c r="H223" s="704">
        <v>0</v>
      </c>
      <c r="I223" s="488">
        <f t="shared" ref="I223:I224" si="79">SUM(G223:H223)</f>
        <v>0</v>
      </c>
      <c r="J223" s="704">
        <f>E223*'01'!I211</f>
        <v>29218580.282547571</v>
      </c>
      <c r="K223" s="704">
        <v>0</v>
      </c>
      <c r="L223" s="488">
        <f t="shared" ref="L223:L224" si="80">SUM(J223:K223)</f>
        <v>29218580.282547571</v>
      </c>
      <c r="M223" s="704">
        <v>0</v>
      </c>
      <c r="N223" s="488">
        <f t="shared" ref="N223:N224" si="81">SUM(I223,L223)</f>
        <v>29218580.282547571</v>
      </c>
      <c r="P223" s="478"/>
      <c r="Q223" s="450"/>
      <c r="R223" s="479"/>
      <c r="S223" s="478"/>
      <c r="T223" s="478"/>
      <c r="U223" s="478"/>
    </row>
    <row r="224" spans="1:21" s="523" customFormat="1" ht="14.5" customHeight="1" outlineLevel="1" x14ac:dyDescent="0.3">
      <c r="A224" s="1105" t="s">
        <v>469</v>
      </c>
      <c r="B224" s="524">
        <v>25.02</v>
      </c>
      <c r="C224" s="502" t="s">
        <v>298</v>
      </c>
      <c r="D224" s="525" t="s">
        <v>77</v>
      </c>
      <c r="E224" s="488">
        <v>9</v>
      </c>
      <c r="F224" s="161">
        <v>500000</v>
      </c>
      <c r="G224" s="704">
        <v>0</v>
      </c>
      <c r="H224" s="704">
        <v>0</v>
      </c>
      <c r="I224" s="488">
        <f t="shared" si="79"/>
        <v>0</v>
      </c>
      <c r="J224" s="704">
        <f>E224*'01'!I212</f>
        <v>4500000</v>
      </c>
      <c r="K224" s="704">
        <v>0</v>
      </c>
      <c r="L224" s="488">
        <f t="shared" si="80"/>
        <v>4500000</v>
      </c>
      <c r="M224" s="704">
        <v>0</v>
      </c>
      <c r="N224" s="488">
        <f t="shared" si="81"/>
        <v>4500000</v>
      </c>
      <c r="P224" s="478"/>
      <c r="Q224" s="450"/>
      <c r="R224" s="479"/>
      <c r="S224" s="478"/>
      <c r="T224" s="478"/>
      <c r="U224" s="478"/>
    </row>
    <row r="225" spans="2:21" ht="14.5" customHeight="1" x14ac:dyDescent="0.3">
      <c r="B225" s="472" t="s">
        <v>420</v>
      </c>
      <c r="C225" s="473" t="s">
        <v>421</v>
      </c>
      <c r="D225" s="474"/>
      <c r="E225" s="475"/>
      <c r="F225" s="298"/>
      <c r="G225" s="475"/>
      <c r="H225" s="475"/>
      <c r="I225" s="475"/>
      <c r="J225" s="475"/>
      <c r="K225" s="475"/>
      <c r="L225" s="475"/>
      <c r="M225" s="475"/>
      <c r="N225" s="475"/>
      <c r="P225" s="478" t="s">
        <v>422</v>
      </c>
      <c r="Q225" s="608" t="e">
        <f>SUM(#REF!)</f>
        <v>#REF!</v>
      </c>
      <c r="R225" s="479" t="e">
        <f>+Q225-#REF!</f>
        <v>#REF!</v>
      </c>
      <c r="S225" s="478"/>
      <c r="T225" s="478"/>
      <c r="U225" s="478"/>
    </row>
    <row r="226" spans="2:21" outlineLevel="1" x14ac:dyDescent="0.3">
      <c r="C226" s="443" t="s">
        <v>342</v>
      </c>
      <c r="F226" s="444"/>
      <c r="P226" s="448"/>
      <c r="Q226" s="538"/>
      <c r="R226" s="539"/>
      <c r="S226" s="538"/>
      <c r="T226" s="538"/>
      <c r="U226" s="538"/>
    </row>
    <row r="227" spans="2:21" outlineLevel="1" x14ac:dyDescent="0.3">
      <c r="C227" s="443" t="s">
        <v>343</v>
      </c>
      <c r="F227" s="444"/>
      <c r="P227" s="609" t="s">
        <v>423</v>
      </c>
    </row>
    <row r="228" spans="2:21" outlineLevel="1" x14ac:dyDescent="0.3">
      <c r="P228" s="609" t="s">
        <v>424</v>
      </c>
    </row>
    <row r="229" spans="2:21" outlineLevel="1" x14ac:dyDescent="0.3">
      <c r="B229" s="472" t="s">
        <v>48</v>
      </c>
      <c r="C229" s="473" t="s">
        <v>425</v>
      </c>
      <c r="D229" s="474"/>
      <c r="E229" s="475"/>
      <c r="F229" s="475"/>
      <c r="G229" s="475"/>
      <c r="H229" s="475"/>
      <c r="I229" s="475"/>
      <c r="J229" s="475"/>
      <c r="K229" s="475"/>
      <c r="L229" s="475"/>
      <c r="M229" s="475"/>
      <c r="N229" s="475"/>
      <c r="P229" s="610"/>
    </row>
    <row r="230" spans="2:21" outlineLevel="1" x14ac:dyDescent="0.3">
      <c r="P230" s="610"/>
      <c r="R230" s="449"/>
    </row>
    <row r="231" spans="2:21" x14ac:dyDescent="0.3">
      <c r="P231" s="612" t="s">
        <v>426</v>
      </c>
      <c r="Q231" s="460"/>
      <c r="R231" s="613" t="s">
        <v>427</v>
      </c>
      <c r="S231" s="614" t="s">
        <v>38</v>
      </c>
    </row>
    <row r="232" spans="2:21" outlineLevel="1" x14ac:dyDescent="0.3">
      <c r="P232" s="449" t="s">
        <v>351</v>
      </c>
      <c r="Q232" s="615" t="e">
        <f>SUM(#REF!)</f>
        <v>#REF!</v>
      </c>
      <c r="R232" s="616">
        <v>0.4</v>
      </c>
      <c r="S232" s="616">
        <f t="shared" ref="S232:S233" si="82">1-R232</f>
        <v>0.6</v>
      </c>
    </row>
    <row r="233" spans="2:21" outlineLevel="1" x14ac:dyDescent="0.3">
      <c r="P233" s="449" t="s">
        <v>422</v>
      </c>
      <c r="Q233" s="615" t="e">
        <f>SUM(#REF!)</f>
        <v>#REF!</v>
      </c>
      <c r="R233" s="616">
        <v>0.4</v>
      </c>
      <c r="S233" s="616">
        <f t="shared" si="82"/>
        <v>0.6</v>
      </c>
    </row>
    <row r="234" spans="2:21" outlineLevel="1" x14ac:dyDescent="0.3">
      <c r="P234" s="617" t="s">
        <v>428</v>
      </c>
      <c r="Q234" s="615" t="e">
        <f>SUM(Q232:Q233)</f>
        <v>#REF!</v>
      </c>
    </row>
    <row r="235" spans="2:21" outlineLevel="1" x14ac:dyDescent="0.3">
      <c r="P235" s="617" t="s">
        <v>429</v>
      </c>
    </row>
    <row r="236" spans="2:21" outlineLevel="1" x14ac:dyDescent="0.3"/>
    <row r="237" spans="2:21" outlineLevel="1" x14ac:dyDescent="0.3"/>
    <row r="238" spans="2:21" outlineLevel="1" x14ac:dyDescent="0.3"/>
    <row r="256" spans="3:3" x14ac:dyDescent="0.3">
      <c r="C256" s="448"/>
    </row>
    <row r="257" spans="2:47" x14ac:dyDescent="0.3">
      <c r="C257" s="448"/>
    </row>
    <row r="264" spans="2:47" s="618" customFormat="1" x14ac:dyDescent="0.3">
      <c r="B264" s="442"/>
      <c r="C264" s="443"/>
      <c r="D264" s="444"/>
      <c r="E264" s="445"/>
      <c r="F264" s="86"/>
      <c r="G264" s="445"/>
      <c r="H264" s="445"/>
      <c r="I264" s="445"/>
      <c r="J264" s="445"/>
      <c r="K264" s="445"/>
      <c r="L264" s="445"/>
      <c r="M264" s="445"/>
      <c r="N264" s="445"/>
      <c r="O264" s="448"/>
      <c r="P264" s="449"/>
      <c r="Q264" s="449"/>
      <c r="R264" s="450"/>
      <c r="S264" s="449"/>
      <c r="T264" s="449"/>
      <c r="U264" s="449"/>
      <c r="V264" s="448"/>
      <c r="W264" s="448"/>
      <c r="X264" s="448"/>
      <c r="Y264" s="448"/>
      <c r="Z264" s="448"/>
      <c r="AA264" s="448"/>
      <c r="AB264" s="448"/>
      <c r="AC264" s="448"/>
      <c r="AD264" s="448"/>
      <c r="AE264" s="448"/>
      <c r="AF264" s="448"/>
      <c r="AG264" s="448"/>
      <c r="AH264" s="448"/>
      <c r="AI264" s="448"/>
      <c r="AJ264" s="448"/>
      <c r="AK264" s="448"/>
      <c r="AL264" s="448"/>
      <c r="AM264" s="448"/>
      <c r="AN264" s="448"/>
      <c r="AO264" s="448"/>
      <c r="AP264" s="448"/>
      <c r="AQ264" s="448"/>
      <c r="AR264" s="448"/>
      <c r="AS264" s="448"/>
      <c r="AT264" s="448"/>
      <c r="AU264" s="448"/>
    </row>
    <row r="265" spans="2:47" s="618" customFormat="1" x14ac:dyDescent="0.3">
      <c r="B265" s="442"/>
      <c r="C265" s="443"/>
      <c r="D265" s="444"/>
      <c r="E265" s="445"/>
      <c r="F265" s="86"/>
      <c r="G265" s="445"/>
      <c r="H265" s="445"/>
      <c r="I265" s="445"/>
      <c r="J265" s="445"/>
      <c r="K265" s="445"/>
      <c r="L265" s="445"/>
      <c r="M265" s="445"/>
      <c r="N265" s="445"/>
      <c r="O265" s="448"/>
      <c r="P265" s="449"/>
      <c r="Q265" s="449"/>
      <c r="R265" s="450"/>
      <c r="S265" s="449"/>
      <c r="T265" s="449"/>
      <c r="U265" s="449"/>
      <c r="V265" s="448"/>
      <c r="W265" s="448"/>
      <c r="X265" s="448"/>
      <c r="Y265" s="448"/>
      <c r="Z265" s="448"/>
      <c r="AA265" s="448"/>
      <c r="AB265" s="448"/>
      <c r="AC265" s="448"/>
      <c r="AD265" s="448"/>
      <c r="AE265" s="448"/>
      <c r="AF265" s="448"/>
      <c r="AG265" s="448"/>
      <c r="AH265" s="448"/>
      <c r="AI265" s="448"/>
      <c r="AJ265" s="448"/>
      <c r="AK265" s="448"/>
      <c r="AL265" s="448"/>
      <c r="AM265" s="448"/>
      <c r="AN265" s="448"/>
      <c r="AO265" s="448"/>
      <c r="AP265" s="448"/>
      <c r="AQ265" s="448"/>
      <c r="AR265" s="448"/>
      <c r="AS265" s="448"/>
      <c r="AT265" s="448"/>
      <c r="AU265" s="448"/>
    </row>
    <row r="266" spans="2:47" s="618" customFormat="1" x14ac:dyDescent="0.3">
      <c r="B266" s="442"/>
      <c r="C266" s="443"/>
      <c r="D266" s="444"/>
      <c r="E266" s="445"/>
      <c r="F266" s="86"/>
      <c r="G266" s="445"/>
      <c r="H266" s="445"/>
      <c r="I266" s="445"/>
      <c r="J266" s="445"/>
      <c r="K266" s="445"/>
      <c r="L266" s="445"/>
      <c r="M266" s="445"/>
      <c r="N266" s="445"/>
      <c r="O266" s="448"/>
      <c r="P266" s="449"/>
      <c r="Q266" s="449"/>
      <c r="R266" s="450"/>
      <c r="S266" s="449"/>
      <c r="T266" s="449"/>
      <c r="U266" s="449"/>
      <c r="V266" s="448"/>
      <c r="W266" s="448"/>
      <c r="X266" s="448"/>
      <c r="Y266" s="448"/>
      <c r="Z266" s="448"/>
      <c r="AA266" s="448"/>
      <c r="AB266" s="448"/>
      <c r="AC266" s="448"/>
      <c r="AD266" s="448"/>
      <c r="AE266" s="448"/>
      <c r="AF266" s="448"/>
      <c r="AG266" s="448"/>
      <c r="AH266" s="448"/>
      <c r="AI266" s="448"/>
      <c r="AJ266" s="448"/>
      <c r="AK266" s="448"/>
      <c r="AL266" s="448"/>
      <c r="AM266" s="448"/>
      <c r="AN266" s="448"/>
      <c r="AO266" s="448"/>
      <c r="AP266" s="448"/>
      <c r="AQ266" s="448"/>
      <c r="AR266" s="448"/>
      <c r="AS266" s="448"/>
      <c r="AT266" s="448"/>
      <c r="AU266" s="448"/>
    </row>
  </sheetData>
  <mergeCells count="2">
    <mergeCell ref="G5:H5"/>
    <mergeCell ref="J5:K5"/>
  </mergeCells>
  <conditionalFormatting sqref="D3:D11 D18:D38 D46:D55 D73:D83 D94:D99 D102:D107 D110:D115 D176:D205 D207 D214:D222">
    <cfRule type="cellIs" dxfId="40" priority="5" operator="equal">
      <formula>"x"</formula>
    </cfRule>
  </conditionalFormatting>
  <conditionalFormatting sqref="D58">
    <cfRule type="cellIs" dxfId="39" priority="4" operator="equal">
      <formula>"x"</formula>
    </cfRule>
  </conditionalFormatting>
  <conditionalFormatting sqref="D60">
    <cfRule type="cellIs" dxfId="38" priority="6" operator="equal">
      <formula>"x"</formula>
    </cfRule>
  </conditionalFormatting>
  <conditionalFormatting sqref="D67">
    <cfRule type="cellIs" dxfId="37" priority="7" operator="equal">
      <formula>"x"</formula>
    </cfRule>
  </conditionalFormatting>
  <conditionalFormatting sqref="D85:D86">
    <cfRule type="cellIs" dxfId="36" priority="8" operator="equal">
      <formula>"x"</formula>
    </cfRule>
  </conditionalFormatting>
  <conditionalFormatting sqref="D119">
    <cfRule type="cellIs" dxfId="35" priority="9" operator="equal">
      <formula>"x"</formula>
    </cfRule>
  </conditionalFormatting>
  <conditionalFormatting sqref="D128">
    <cfRule type="cellIs" dxfId="34" priority="10" operator="equal">
      <formula>"x"</formula>
    </cfRule>
  </conditionalFormatting>
  <conditionalFormatting sqref="D141">
    <cfRule type="cellIs" dxfId="33" priority="11" operator="equal">
      <formula>"x"</formula>
    </cfRule>
  </conditionalFormatting>
  <conditionalFormatting sqref="D143">
    <cfRule type="cellIs" dxfId="32" priority="12" operator="equal">
      <formula>"x"</formula>
    </cfRule>
  </conditionalFormatting>
  <conditionalFormatting sqref="D148">
    <cfRule type="cellIs" dxfId="31" priority="13" operator="equal">
      <formula>"x"</formula>
    </cfRule>
  </conditionalFormatting>
  <conditionalFormatting sqref="D210">
    <cfRule type="cellIs" dxfId="30" priority="14" operator="equal">
      <formula>"x"</formula>
    </cfRule>
  </conditionalFormatting>
  <conditionalFormatting sqref="D225">
    <cfRule type="cellIs" dxfId="29" priority="3" operator="equal">
      <formula>"x"</formula>
    </cfRule>
  </conditionalFormatting>
  <conditionalFormatting sqref="D229">
    <cfRule type="cellIs" dxfId="28" priority="2" operator="equal">
      <formula>"x"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rowBreaks count="2" manualBreakCount="2">
    <brk id="59" min="1" max="23" man="1"/>
    <brk id="147" min="1" max="2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9901-6299-4FB8-BB92-F88BFF29D2B6}">
  <dimension ref="A1:AI277"/>
  <sheetViews>
    <sheetView topLeftCell="A76" zoomScale="85" zoomScaleNormal="85" workbookViewId="0">
      <selection activeCell="A76" sqref="A76"/>
    </sheetView>
  </sheetViews>
  <sheetFormatPr defaultColWidth="11.54296875" defaultRowHeight="12.75" customHeight="1" outlineLevelRow="2" outlineLevelCol="2" x14ac:dyDescent="0.3"/>
  <cols>
    <col min="1" max="1" width="6.54296875" style="80" bestFit="1" customWidth="1"/>
    <col min="2" max="2" width="4.26953125" style="80" customWidth="1" outlineLevel="1"/>
    <col min="3" max="3" width="72.81640625" style="81" bestFit="1" customWidth="1"/>
    <col min="4" max="4" width="5.26953125" style="82" bestFit="1" customWidth="1"/>
    <col min="5" max="5" width="6.7265625" style="83" bestFit="1" customWidth="1"/>
    <col min="6" max="6" width="10.7265625" style="86" hidden="1" customWidth="1" outlineLevel="2"/>
    <col min="7" max="7" width="17.7265625" style="86" hidden="1" customWidth="1" outlineLevel="2"/>
    <col min="8" max="8" width="10.7265625" style="86" hidden="1" customWidth="1" outlineLevel="2"/>
    <col min="9" max="9" width="10.7265625" style="441" hidden="1" customWidth="1" outlineLevel="2"/>
    <col min="10" max="10" width="10" style="441" hidden="1" customWidth="1" outlineLevel="2"/>
    <col min="11" max="11" width="10.7265625" style="86" hidden="1" customWidth="1" outlineLevel="2"/>
    <col min="12" max="12" width="11" style="88" hidden="1" customWidth="1" outlineLevel="2"/>
    <col min="13" max="13" width="10.7265625" style="86" customWidth="1" outlineLevel="1" collapsed="1"/>
    <col min="14" max="14" width="12" style="86" customWidth="1" outlineLevel="1"/>
    <col min="15" max="15" width="11" style="86" customWidth="1" outlineLevel="1"/>
    <col min="16" max="17" width="12" style="86" customWidth="1" outlineLevel="1"/>
    <col min="18" max="18" width="11" style="86" customWidth="1" outlineLevel="1"/>
    <col min="19" max="19" width="13.54296875" style="86" customWidth="1" outlineLevel="1"/>
    <col min="20" max="20" width="13.54296875" style="91" customWidth="1" outlineLevel="1"/>
    <col min="21" max="21" width="11" style="92" bestFit="1" customWidth="1"/>
    <col min="22" max="22" width="13.54296875" style="92" customWidth="1"/>
    <col min="23" max="23" width="13.7265625" style="135" bestFit="1" customWidth="1"/>
    <col min="24" max="24" width="6" style="94" bestFit="1" customWidth="1"/>
    <col min="25" max="25" width="10.7265625" style="94" bestFit="1" customWidth="1"/>
    <col min="26" max="26" width="14.453125" style="94" bestFit="1" customWidth="1"/>
    <col min="27" max="27" width="12.7265625" style="94" bestFit="1" customWidth="1"/>
    <col min="28" max="28" width="6.81640625" style="94" bestFit="1" customWidth="1"/>
    <col min="29" max="29" width="15.26953125" style="94" bestFit="1" customWidth="1"/>
    <col min="30" max="30" width="12.453125" style="94" customWidth="1"/>
    <col min="31" max="31" width="6.54296875" style="94" bestFit="1" customWidth="1"/>
    <col min="32" max="32" width="4" style="94" bestFit="1" customWidth="1"/>
    <col min="33" max="33" width="15.7265625" style="94" bestFit="1" customWidth="1"/>
    <col min="34" max="34" width="12.453125" style="94" customWidth="1"/>
    <col min="35" max="35" width="6.54296875" style="94" bestFit="1" customWidth="1"/>
    <col min="36" max="16384" width="11.54296875" style="94"/>
  </cols>
  <sheetData>
    <row r="1" spans="1:28" ht="12.75" customHeight="1" x14ac:dyDescent="0.3">
      <c r="F1" s="84" t="s">
        <v>42</v>
      </c>
      <c r="G1" s="85" t="s">
        <v>43</v>
      </c>
      <c r="I1" s="87"/>
      <c r="J1" s="87"/>
      <c r="N1" s="89"/>
      <c r="O1" s="89"/>
      <c r="P1" s="90"/>
      <c r="Q1" s="89"/>
      <c r="R1" s="89"/>
      <c r="V1" s="93" t="s">
        <v>44</v>
      </c>
      <c r="W1" s="93" t="s">
        <v>45</v>
      </c>
    </row>
    <row r="2" spans="1:28" ht="13" x14ac:dyDescent="0.3">
      <c r="F2" s="95" t="s">
        <v>46</v>
      </c>
      <c r="G2" s="85" t="s">
        <v>47</v>
      </c>
      <c r="I2" s="87"/>
      <c r="J2" s="87"/>
      <c r="N2" s="89"/>
      <c r="O2" s="89"/>
      <c r="P2" s="90"/>
      <c r="Q2" s="89"/>
      <c r="R2" s="89"/>
      <c r="V2" s="96">
        <f>+[9]GGBB!G4</f>
        <v>1280</v>
      </c>
      <c r="W2" s="96">
        <f>+[9]GGBB!H4</f>
        <v>1276</v>
      </c>
      <c r="Y2" s="97"/>
    </row>
    <row r="3" spans="1:28" s="108" customFormat="1" ht="13" x14ac:dyDescent="0.3">
      <c r="A3" s="98"/>
      <c r="B3" s="98"/>
      <c r="C3" s="99"/>
      <c r="D3" s="100"/>
      <c r="E3" s="101"/>
      <c r="F3" s="102" t="s">
        <v>48</v>
      </c>
      <c r="G3" s="85" t="s">
        <v>49</v>
      </c>
      <c r="H3" s="103"/>
      <c r="I3" s="103"/>
      <c r="J3" s="103"/>
      <c r="K3" s="103"/>
      <c r="L3" s="104"/>
      <c r="M3" s="103"/>
      <c r="N3" s="101"/>
      <c r="O3" s="101"/>
      <c r="P3" s="101"/>
      <c r="Q3" s="105"/>
      <c r="R3" s="105"/>
      <c r="S3" s="103"/>
      <c r="T3" s="106"/>
      <c r="U3" s="101"/>
      <c r="V3" s="101"/>
      <c r="W3" s="107"/>
      <c r="Y3" s="109"/>
    </row>
    <row r="4" spans="1:28" s="108" customFormat="1" ht="13" x14ac:dyDescent="0.3">
      <c r="A4" s="98"/>
      <c r="B4" s="98"/>
      <c r="C4" s="99"/>
      <c r="D4" s="100"/>
      <c r="E4" s="101"/>
      <c r="F4" s="110" t="s">
        <v>50</v>
      </c>
      <c r="G4" s="111" t="s">
        <v>51</v>
      </c>
      <c r="H4" s="103"/>
      <c r="I4" s="103"/>
      <c r="J4" s="103"/>
      <c r="K4" s="103"/>
      <c r="L4" s="104"/>
      <c r="M4" s="103"/>
      <c r="N4" s="103"/>
      <c r="O4" s="103"/>
      <c r="P4" s="101"/>
      <c r="Q4" s="112"/>
      <c r="R4" s="112"/>
      <c r="S4" s="103"/>
      <c r="T4" s="113"/>
      <c r="U4" s="101"/>
      <c r="V4" s="114">
        <v>45817</v>
      </c>
      <c r="W4" s="107"/>
      <c r="Y4" s="109"/>
    </row>
    <row r="5" spans="1:28" s="108" customFormat="1" ht="13" x14ac:dyDescent="0.3">
      <c r="A5" s="98"/>
      <c r="B5" s="98"/>
      <c r="C5" s="115" t="s">
        <v>52</v>
      </c>
      <c r="D5" s="100"/>
      <c r="E5" s="101"/>
      <c r="F5" s="1231" t="s">
        <v>53</v>
      </c>
      <c r="G5" s="1232"/>
      <c r="H5" s="1233"/>
      <c r="I5" s="1231" t="s">
        <v>54</v>
      </c>
      <c r="J5" s="1232"/>
      <c r="K5" s="1233"/>
      <c r="L5" s="119"/>
      <c r="M5" s="712"/>
      <c r="N5" s="1231" t="s">
        <v>53</v>
      </c>
      <c r="O5" s="1233"/>
      <c r="P5" s="1231" t="s">
        <v>54</v>
      </c>
      <c r="Q5" s="1233"/>
      <c r="R5" s="120"/>
      <c r="S5" s="103"/>
      <c r="T5" s="121">
        <f>+[9]GGBB!F61</f>
        <v>1.3564671245448743</v>
      </c>
      <c r="U5" s="103"/>
      <c r="V5" s="103"/>
      <c r="W5" s="107"/>
      <c r="Y5" s="109"/>
    </row>
    <row r="6" spans="1:28" s="108" customFormat="1" ht="13" x14ac:dyDescent="0.3">
      <c r="A6" s="98"/>
      <c r="B6" s="98"/>
      <c r="C6" s="115" t="s">
        <v>55</v>
      </c>
      <c r="D6" s="122"/>
      <c r="E6" s="123"/>
      <c r="F6" s="116"/>
      <c r="G6" s="117"/>
      <c r="H6" s="118"/>
      <c r="I6" s="116"/>
      <c r="J6" s="117"/>
      <c r="K6" s="118"/>
      <c r="L6" s="119"/>
      <c r="M6" s="103"/>
      <c r="N6" s="116"/>
      <c r="O6" s="117"/>
      <c r="P6" s="116"/>
      <c r="Q6" s="118"/>
      <c r="R6" s="120"/>
      <c r="S6" s="120"/>
      <c r="T6" s="109">
        <v>1.1000000000000001</v>
      </c>
      <c r="U6" s="124"/>
      <c r="V6" s="124"/>
      <c r="W6" s="107"/>
    </row>
    <row r="7" spans="1:28" ht="13" x14ac:dyDescent="0.3">
      <c r="A7" s="125" t="s">
        <v>56</v>
      </c>
      <c r="B7" s="126" t="s">
        <v>57</v>
      </c>
      <c r="C7" s="127" t="s">
        <v>58</v>
      </c>
      <c r="D7" s="128" t="s">
        <v>59</v>
      </c>
      <c r="E7" s="129" t="s">
        <v>60</v>
      </c>
      <c r="F7" s="130" t="s">
        <v>61</v>
      </c>
      <c r="G7" s="129" t="s">
        <v>62</v>
      </c>
      <c r="H7" s="131" t="s">
        <v>24</v>
      </c>
      <c r="I7" s="129" t="s">
        <v>61</v>
      </c>
      <c r="J7" s="129" t="s">
        <v>63</v>
      </c>
      <c r="K7" s="131" t="s">
        <v>24</v>
      </c>
      <c r="L7" s="129" t="s">
        <v>64</v>
      </c>
      <c r="M7" s="132" t="s">
        <v>65</v>
      </c>
      <c r="N7" s="129" t="s">
        <v>61</v>
      </c>
      <c r="O7" s="129" t="s">
        <v>62</v>
      </c>
      <c r="P7" s="129" t="s">
        <v>61</v>
      </c>
      <c r="Q7" s="129" t="s">
        <v>63</v>
      </c>
      <c r="R7" s="129" t="s">
        <v>64</v>
      </c>
      <c r="S7" s="133" t="s">
        <v>24</v>
      </c>
      <c r="T7" s="134" t="s">
        <v>25</v>
      </c>
      <c r="U7" s="134" t="s">
        <v>66</v>
      </c>
      <c r="V7" s="134" t="s">
        <v>25</v>
      </c>
    </row>
    <row r="8" spans="1:28" ht="13" x14ac:dyDescent="0.3">
      <c r="A8" s="136">
        <v>1</v>
      </c>
      <c r="B8" s="137"/>
      <c r="C8" s="138" t="s">
        <v>67</v>
      </c>
      <c r="D8" s="139"/>
      <c r="E8" s="140"/>
      <c r="F8" s="140"/>
      <c r="G8" s="140"/>
      <c r="H8" s="140"/>
      <c r="I8" s="140"/>
      <c r="J8" s="140"/>
      <c r="K8" s="140"/>
      <c r="L8" s="140"/>
      <c r="M8" s="141"/>
      <c r="N8" s="140"/>
      <c r="O8" s="140"/>
      <c r="P8" s="140"/>
      <c r="Q8" s="140"/>
      <c r="R8" s="140"/>
      <c r="S8" s="140"/>
      <c r="T8" s="142">
        <f>SUM(S9:S17)</f>
        <v>17207623.31651061</v>
      </c>
      <c r="U8" s="140"/>
      <c r="V8" s="140"/>
      <c r="W8" s="143">
        <f>SUM(V9:V17)</f>
        <v>23341584</v>
      </c>
      <c r="X8" s="144">
        <f>+W8/$W$213</f>
        <v>1.5150743523494733E-2</v>
      </c>
    </row>
    <row r="9" spans="1:28" ht="13" outlineLevel="1" x14ac:dyDescent="0.3">
      <c r="A9" s="145">
        <v>1.01</v>
      </c>
      <c r="B9" s="145" t="s">
        <v>42</v>
      </c>
      <c r="C9" s="146" t="s">
        <v>68</v>
      </c>
      <c r="D9" s="147" t="s">
        <v>69</v>
      </c>
      <c r="E9" s="148">
        <v>0</v>
      </c>
      <c r="F9" s="149"/>
      <c r="G9" s="149"/>
      <c r="H9" s="150">
        <f>F9+G9</f>
        <v>0</v>
      </c>
      <c r="I9" s="149"/>
      <c r="J9" s="149"/>
      <c r="K9" s="150">
        <f t="shared" ref="K9:K17" si="0">I9+J9</f>
        <v>0</v>
      </c>
      <c r="L9" s="149"/>
      <c r="M9" s="150">
        <f t="shared" ref="M9:M17" si="1">H9+K9+L9</f>
        <v>0</v>
      </c>
      <c r="N9" s="151">
        <f t="shared" ref="N9:N17" si="2">F9*E9</f>
        <v>0</v>
      </c>
      <c r="O9" s="151">
        <f t="shared" ref="O9:O17" si="3">G9*E9</f>
        <v>0</v>
      </c>
      <c r="P9" s="151">
        <f t="shared" ref="P9:P17" si="4">I9*E9</f>
        <v>0</v>
      </c>
      <c r="Q9" s="151">
        <f t="shared" ref="Q9:Q17" si="5">J9*E9</f>
        <v>0</v>
      </c>
      <c r="R9" s="151">
        <f t="shared" ref="R9:R17" si="6">+L9*E9</f>
        <v>0</v>
      </c>
      <c r="S9" s="152">
        <f t="shared" ref="S9:S17" si="7">SUM(N9:R9)</f>
        <v>0</v>
      </c>
      <c r="T9" s="153"/>
      <c r="U9" s="154">
        <f t="shared" ref="U9:U17" si="8">+ROUNDUP(M9*$T$5,0)</f>
        <v>0</v>
      </c>
      <c r="V9" s="154">
        <f t="shared" ref="V9:V17" si="9">+U9*E9</f>
        <v>0</v>
      </c>
      <c r="X9" s="144"/>
    </row>
    <row r="10" spans="1:28" ht="13" outlineLevel="1" x14ac:dyDescent="0.3">
      <c r="A10" s="155">
        <v>1.02</v>
      </c>
      <c r="B10" s="156" t="s">
        <v>42</v>
      </c>
      <c r="C10" s="157" t="s">
        <v>70</v>
      </c>
      <c r="D10" s="158" t="s">
        <v>71</v>
      </c>
      <c r="E10" s="159">
        <v>4</v>
      </c>
      <c r="F10" s="160">
        <f>+[9]Tareas!H8</f>
        <v>0</v>
      </c>
      <c r="G10" s="160">
        <f>+[9]Tareas!I8</f>
        <v>25000</v>
      </c>
      <c r="H10" s="161">
        <f>F10+G10</f>
        <v>25000</v>
      </c>
      <c r="I10" s="160">
        <f>+[9]Tareas!Q8</f>
        <v>214394.06177409831</v>
      </c>
      <c r="J10" s="160">
        <f>+[9]Tareas!R8</f>
        <v>67240.498860267617</v>
      </c>
      <c r="K10" s="161">
        <f t="shared" si="0"/>
        <v>281634.56063436595</v>
      </c>
      <c r="L10" s="160">
        <f>+(H10+K10)*0.015</f>
        <v>4599.5184095154891</v>
      </c>
      <c r="M10" s="161">
        <f t="shared" si="1"/>
        <v>311234.07904388144</v>
      </c>
      <c r="N10" s="162">
        <f t="shared" si="2"/>
        <v>0</v>
      </c>
      <c r="O10" s="162">
        <f t="shared" si="3"/>
        <v>100000</v>
      </c>
      <c r="P10" s="162">
        <f t="shared" si="4"/>
        <v>857576.24709639326</v>
      </c>
      <c r="Q10" s="162">
        <f t="shared" si="5"/>
        <v>268961.99544107047</v>
      </c>
      <c r="R10" s="162">
        <f t="shared" si="6"/>
        <v>18398.073638061956</v>
      </c>
      <c r="S10" s="163">
        <f t="shared" si="7"/>
        <v>1244936.3161755258</v>
      </c>
      <c r="T10" s="164"/>
      <c r="U10" s="165">
        <f t="shared" si="8"/>
        <v>422179</v>
      </c>
      <c r="V10" s="165">
        <f t="shared" si="9"/>
        <v>1688716</v>
      </c>
      <c r="X10" s="144"/>
    </row>
    <row r="11" spans="1:28" ht="13" outlineLevel="1" x14ac:dyDescent="0.3">
      <c r="A11" s="155">
        <v>1.03</v>
      </c>
      <c r="B11" s="155" t="s">
        <v>42</v>
      </c>
      <c r="C11" s="157" t="s">
        <v>72</v>
      </c>
      <c r="D11" s="166" t="s">
        <v>69</v>
      </c>
      <c r="E11" s="167">
        <v>1</v>
      </c>
      <c r="F11" s="167"/>
      <c r="G11" s="167"/>
      <c r="H11" s="161">
        <f t="shared" ref="H11:H17" si="10">F11+G11</f>
        <v>0</v>
      </c>
      <c r="I11" s="167"/>
      <c r="J11" s="167"/>
      <c r="K11" s="161">
        <f t="shared" si="0"/>
        <v>0</v>
      </c>
      <c r="L11" s="167"/>
      <c r="M11" s="161">
        <f t="shared" si="1"/>
        <v>0</v>
      </c>
      <c r="N11" s="162">
        <f t="shared" si="2"/>
        <v>0</v>
      </c>
      <c r="O11" s="162">
        <f t="shared" si="3"/>
        <v>0</v>
      </c>
      <c r="P11" s="162">
        <f t="shared" si="4"/>
        <v>0</v>
      </c>
      <c r="Q11" s="162">
        <f t="shared" si="5"/>
        <v>0</v>
      </c>
      <c r="R11" s="162">
        <f t="shared" si="6"/>
        <v>0</v>
      </c>
      <c r="S11" s="163">
        <f t="shared" si="7"/>
        <v>0</v>
      </c>
      <c r="T11" s="164"/>
      <c r="U11" s="165">
        <f t="shared" si="8"/>
        <v>0</v>
      </c>
      <c r="V11" s="165">
        <f t="shared" si="9"/>
        <v>0</v>
      </c>
      <c r="X11" s="144"/>
    </row>
    <row r="12" spans="1:28" ht="13" outlineLevel="1" x14ac:dyDescent="0.3">
      <c r="A12" s="155">
        <v>1.04</v>
      </c>
      <c r="B12" s="155" t="s">
        <v>42</v>
      </c>
      <c r="C12" s="157" t="s">
        <v>73</v>
      </c>
      <c r="D12" s="158" t="s">
        <v>74</v>
      </c>
      <c r="E12" s="159">
        <v>10</v>
      </c>
      <c r="F12" s="160">
        <f>+[9]Tareas!H12</f>
        <v>98815.568159228656</v>
      </c>
      <c r="G12" s="160">
        <f>+[9]Tareas!I12</f>
        <v>0</v>
      </c>
      <c r="H12" s="161">
        <f t="shared" si="10"/>
        <v>98815.568159228656</v>
      </c>
      <c r="I12" s="160">
        <f>+[9]Tareas!Q12</f>
        <v>0</v>
      </c>
      <c r="J12" s="160">
        <f>+[9]Tareas!R12</f>
        <v>111992.57496771208</v>
      </c>
      <c r="K12" s="161">
        <f t="shared" si="0"/>
        <v>111992.57496771208</v>
      </c>
      <c r="L12" s="160">
        <f>+(H12+K12)*0.015</f>
        <v>3162.1221469041111</v>
      </c>
      <c r="M12" s="161">
        <f t="shared" si="1"/>
        <v>213970.26527384485</v>
      </c>
      <c r="N12" s="162">
        <f t="shared" si="2"/>
        <v>988155.68159228656</v>
      </c>
      <c r="O12" s="162">
        <f t="shared" si="3"/>
        <v>0</v>
      </c>
      <c r="P12" s="162">
        <f t="shared" si="4"/>
        <v>0</v>
      </c>
      <c r="Q12" s="162">
        <f t="shared" si="5"/>
        <v>1119925.7496771207</v>
      </c>
      <c r="R12" s="162">
        <f t="shared" si="6"/>
        <v>31621.221469041113</v>
      </c>
      <c r="S12" s="163">
        <f t="shared" si="7"/>
        <v>2139702.6527384482</v>
      </c>
      <c r="T12" s="164"/>
      <c r="U12" s="165">
        <f t="shared" si="8"/>
        <v>290244</v>
      </c>
      <c r="V12" s="165">
        <f t="shared" si="9"/>
        <v>2902440</v>
      </c>
      <c r="X12" s="144"/>
      <c r="Y12" s="82"/>
      <c r="Z12" s="82"/>
      <c r="AA12" s="82"/>
    </row>
    <row r="13" spans="1:28" ht="13" outlineLevel="1" x14ac:dyDescent="0.3">
      <c r="A13" s="155">
        <v>1.05</v>
      </c>
      <c r="B13" s="168" t="s">
        <v>42</v>
      </c>
      <c r="C13" s="157" t="s">
        <v>75</v>
      </c>
      <c r="D13" s="158" t="s">
        <v>69</v>
      </c>
      <c r="E13" s="159">
        <v>1</v>
      </c>
      <c r="F13" s="169">
        <f>+[9]Tareas!H23</f>
        <v>2270625.1745922863</v>
      </c>
      <c r="G13" s="169">
        <f>+[9]Tareas!I23</f>
        <v>300000</v>
      </c>
      <c r="H13" s="161">
        <f t="shared" si="10"/>
        <v>2570625.1745922863</v>
      </c>
      <c r="I13" s="160">
        <f>+[9]Tareas!Q23</f>
        <v>1000000</v>
      </c>
      <c r="J13" s="160">
        <f>+[9]Tareas!R23</f>
        <v>5023936.3544306941</v>
      </c>
      <c r="K13" s="161">
        <f t="shared" si="0"/>
        <v>6023936.3544306941</v>
      </c>
      <c r="L13" s="160">
        <f>+(H13+K13)*0.015</f>
        <v>128918.4229353447</v>
      </c>
      <c r="M13" s="161">
        <f t="shared" si="1"/>
        <v>8723479.9519583248</v>
      </c>
      <c r="N13" s="162">
        <f t="shared" si="2"/>
        <v>2270625.1745922863</v>
      </c>
      <c r="O13" s="162">
        <f t="shared" si="3"/>
        <v>300000</v>
      </c>
      <c r="P13" s="162">
        <f t="shared" si="4"/>
        <v>1000000</v>
      </c>
      <c r="Q13" s="162">
        <f t="shared" si="5"/>
        <v>5023936.3544306941</v>
      </c>
      <c r="R13" s="162">
        <f t="shared" si="6"/>
        <v>128918.4229353447</v>
      </c>
      <c r="S13" s="163">
        <f t="shared" si="7"/>
        <v>8723479.9519583248</v>
      </c>
      <c r="T13" s="164"/>
      <c r="U13" s="165">
        <f t="shared" si="8"/>
        <v>11833114</v>
      </c>
      <c r="V13" s="165">
        <f t="shared" si="9"/>
        <v>11833114</v>
      </c>
      <c r="X13" s="144"/>
      <c r="Y13" s="170"/>
      <c r="Z13" s="170"/>
      <c r="AA13" s="171"/>
      <c r="AB13" s="172"/>
    </row>
    <row r="14" spans="1:28" ht="13" outlineLevel="1" x14ac:dyDescent="0.3">
      <c r="A14" s="155">
        <v>1.06</v>
      </c>
      <c r="B14" s="168" t="s">
        <v>42</v>
      </c>
      <c r="C14" s="157" t="s">
        <v>76</v>
      </c>
      <c r="D14" s="158" t="s">
        <v>77</v>
      </c>
      <c r="E14" s="159">
        <v>4</v>
      </c>
      <c r="F14" s="169">
        <f>+[9]Tareas!H47</f>
        <v>0</v>
      </c>
      <c r="G14" s="169">
        <f>+[9]Tareas!I47</f>
        <v>0</v>
      </c>
      <c r="H14" s="161">
        <f t="shared" si="10"/>
        <v>0</v>
      </c>
      <c r="I14" s="160">
        <f>+[9]Tareas!Q47</f>
        <v>260000</v>
      </c>
      <c r="J14" s="160">
        <f>+[9]Tareas!R47</f>
        <v>0</v>
      </c>
      <c r="K14" s="161">
        <f t="shared" si="0"/>
        <v>260000</v>
      </c>
      <c r="L14" s="167"/>
      <c r="M14" s="161">
        <f t="shared" si="1"/>
        <v>260000</v>
      </c>
      <c r="N14" s="162">
        <f t="shared" si="2"/>
        <v>0</v>
      </c>
      <c r="O14" s="162">
        <f t="shared" si="3"/>
        <v>0</v>
      </c>
      <c r="P14" s="162">
        <f t="shared" si="4"/>
        <v>1040000</v>
      </c>
      <c r="Q14" s="162">
        <f t="shared" si="5"/>
        <v>0</v>
      </c>
      <c r="R14" s="162">
        <f t="shared" si="6"/>
        <v>0</v>
      </c>
      <c r="S14" s="163">
        <f t="shared" si="7"/>
        <v>1040000</v>
      </c>
      <c r="T14" s="164"/>
      <c r="U14" s="165">
        <f t="shared" si="8"/>
        <v>352682</v>
      </c>
      <c r="V14" s="165">
        <f t="shared" si="9"/>
        <v>1410728</v>
      </c>
      <c r="X14" s="144"/>
      <c r="Y14" s="170"/>
    </row>
    <row r="15" spans="1:28" ht="13" outlineLevel="1" x14ac:dyDescent="0.3">
      <c r="A15" s="155">
        <v>1.07</v>
      </c>
      <c r="B15" s="173" t="s">
        <v>42</v>
      </c>
      <c r="C15" s="157" t="s">
        <v>78</v>
      </c>
      <c r="D15" s="158" t="s">
        <v>69</v>
      </c>
      <c r="E15" s="159">
        <v>1</v>
      </c>
      <c r="F15" s="169">
        <f>+[9]Tareas!H52</f>
        <v>1290000</v>
      </c>
      <c r="G15" s="169">
        <f>+[9]Tareas!I52</f>
        <v>100000</v>
      </c>
      <c r="H15" s="161">
        <f t="shared" si="10"/>
        <v>1390000</v>
      </c>
      <c r="I15" s="160">
        <f>+[9]Tareas!Q52</f>
        <v>0</v>
      </c>
      <c r="J15" s="160">
        <f>+[9]Tareas!R52</f>
        <v>661285.32432587864</v>
      </c>
      <c r="K15" s="161">
        <f t="shared" si="0"/>
        <v>661285.32432587864</v>
      </c>
      <c r="L15" s="160">
        <f>+(H15+K15)*0.015</f>
        <v>30769.27986488818</v>
      </c>
      <c r="M15" s="161">
        <f t="shared" si="1"/>
        <v>2082054.6041907668</v>
      </c>
      <c r="N15" s="162">
        <f t="shared" si="2"/>
        <v>1290000</v>
      </c>
      <c r="O15" s="162">
        <f t="shared" si="3"/>
        <v>100000</v>
      </c>
      <c r="P15" s="162">
        <f t="shared" si="4"/>
        <v>0</v>
      </c>
      <c r="Q15" s="162">
        <f t="shared" si="5"/>
        <v>661285.32432587864</v>
      </c>
      <c r="R15" s="162">
        <f t="shared" si="6"/>
        <v>30769.27986488818</v>
      </c>
      <c r="S15" s="163">
        <f t="shared" si="7"/>
        <v>2082054.6041907668</v>
      </c>
      <c r="T15" s="164"/>
      <c r="U15" s="165">
        <f t="shared" si="8"/>
        <v>2824239</v>
      </c>
      <c r="V15" s="165">
        <f t="shared" si="9"/>
        <v>2824239</v>
      </c>
      <c r="X15" s="144"/>
    </row>
    <row r="16" spans="1:28" ht="13" outlineLevel="1" x14ac:dyDescent="0.3">
      <c r="A16" s="155">
        <v>1.08</v>
      </c>
      <c r="B16" s="173" t="s">
        <v>42</v>
      </c>
      <c r="C16" s="157" t="s">
        <v>79</v>
      </c>
      <c r="D16" s="158" t="s">
        <v>69</v>
      </c>
      <c r="E16" s="159">
        <v>1</v>
      </c>
      <c r="F16" s="169">
        <f>+[9]Tareas!H59</f>
        <v>936000</v>
      </c>
      <c r="G16" s="169">
        <f>+[9]Tareas!I59</f>
        <v>0</v>
      </c>
      <c r="H16" s="161">
        <f t="shared" si="10"/>
        <v>936000</v>
      </c>
      <c r="I16" s="160">
        <f>+[9]Tareas!Q59</f>
        <v>0</v>
      </c>
      <c r="J16" s="160">
        <f>+[9]Tareas!R59</f>
        <v>536368.95177931583</v>
      </c>
      <c r="K16" s="161">
        <f t="shared" si="0"/>
        <v>536368.95177931583</v>
      </c>
      <c r="L16" s="160">
        <f>+(H16+K16)*0.015</f>
        <v>22085.534276689734</v>
      </c>
      <c r="M16" s="161">
        <f t="shared" si="1"/>
        <v>1494454.4860560053</v>
      </c>
      <c r="N16" s="162">
        <f t="shared" si="2"/>
        <v>936000</v>
      </c>
      <c r="O16" s="162">
        <f t="shared" si="3"/>
        <v>0</v>
      </c>
      <c r="P16" s="162">
        <f t="shared" si="4"/>
        <v>0</v>
      </c>
      <c r="Q16" s="162">
        <f t="shared" si="5"/>
        <v>536368.95177931583</v>
      </c>
      <c r="R16" s="162">
        <f t="shared" si="6"/>
        <v>22085.534276689734</v>
      </c>
      <c r="S16" s="163">
        <f t="shared" si="7"/>
        <v>1494454.4860560053</v>
      </c>
      <c r="T16" s="164"/>
      <c r="U16" s="165">
        <f t="shared" si="8"/>
        <v>2027179</v>
      </c>
      <c r="V16" s="165">
        <f t="shared" si="9"/>
        <v>2027179</v>
      </c>
      <c r="X16" s="144"/>
    </row>
    <row r="17" spans="1:29" ht="13" outlineLevel="1" x14ac:dyDescent="0.3">
      <c r="A17" s="155">
        <v>1.0900000000000001</v>
      </c>
      <c r="B17" s="173" t="s">
        <v>42</v>
      </c>
      <c r="C17" s="157" t="s">
        <v>80</v>
      </c>
      <c r="D17" s="158" t="s">
        <v>69</v>
      </c>
      <c r="E17" s="159">
        <v>1</v>
      </c>
      <c r="F17" s="169">
        <f>+[9]Tareas!H69</f>
        <v>0</v>
      </c>
      <c r="G17" s="169">
        <f>+[9]Tareas!I69</f>
        <v>0</v>
      </c>
      <c r="H17" s="161">
        <f t="shared" si="10"/>
        <v>0</v>
      </c>
      <c r="I17" s="160">
        <f>+[9]Tareas!Q69</f>
        <v>482995.30539154005</v>
      </c>
      <c r="J17" s="160">
        <f>+[9]Tareas!R69</f>
        <v>0</v>
      </c>
      <c r="K17" s="161">
        <f t="shared" si="0"/>
        <v>482995.30539154005</v>
      </c>
      <c r="L17" s="160"/>
      <c r="M17" s="161">
        <f t="shared" si="1"/>
        <v>482995.30539154005</v>
      </c>
      <c r="N17" s="162">
        <f t="shared" si="2"/>
        <v>0</v>
      </c>
      <c r="O17" s="162">
        <f t="shared" si="3"/>
        <v>0</v>
      </c>
      <c r="P17" s="162">
        <f t="shared" si="4"/>
        <v>482995.30539154005</v>
      </c>
      <c r="Q17" s="162">
        <f t="shared" si="5"/>
        <v>0</v>
      </c>
      <c r="R17" s="162">
        <f t="shared" si="6"/>
        <v>0</v>
      </c>
      <c r="S17" s="163">
        <f t="shared" si="7"/>
        <v>482995.30539154005</v>
      </c>
      <c r="T17" s="164"/>
      <c r="U17" s="165">
        <f t="shared" si="8"/>
        <v>655168</v>
      </c>
      <c r="V17" s="165">
        <f t="shared" si="9"/>
        <v>655168</v>
      </c>
      <c r="X17" s="144"/>
    </row>
    <row r="18" spans="1:29" ht="13" x14ac:dyDescent="0.3">
      <c r="A18" s="136">
        <v>2</v>
      </c>
      <c r="B18" s="137"/>
      <c r="C18" s="138" t="s">
        <v>81</v>
      </c>
      <c r="D18" s="139"/>
      <c r="E18" s="140"/>
      <c r="F18" s="140"/>
      <c r="G18" s="140"/>
      <c r="H18" s="140"/>
      <c r="I18" s="140"/>
      <c r="J18" s="140"/>
      <c r="K18" s="140"/>
      <c r="L18" s="140"/>
      <c r="M18" s="141"/>
      <c r="N18" s="140"/>
      <c r="O18" s="140"/>
      <c r="P18" s="140"/>
      <c r="Q18" s="140"/>
      <c r="R18" s="140"/>
      <c r="S18" s="140"/>
      <c r="T18" s="142">
        <f>SUM(S19:S22)</f>
        <v>12400627.836359235</v>
      </c>
      <c r="U18" s="140"/>
      <c r="V18" s="140"/>
      <c r="W18" s="143">
        <f>SUM(V19:V22)</f>
        <v>16821282</v>
      </c>
      <c r="X18" s="144">
        <f>+W18/$W$213</f>
        <v>1.0918493334401749E-2</v>
      </c>
      <c r="Z18" s="174"/>
      <c r="AA18" s="174"/>
      <c r="AB18" s="174"/>
      <c r="AC18" s="174"/>
    </row>
    <row r="19" spans="1:29" ht="26" outlineLevel="1" x14ac:dyDescent="0.3">
      <c r="A19" s="155">
        <v>2.0099999999999998</v>
      </c>
      <c r="B19" s="168" t="s">
        <v>42</v>
      </c>
      <c r="C19" s="175" t="s">
        <v>82</v>
      </c>
      <c r="D19" s="176" t="s">
        <v>83</v>
      </c>
      <c r="E19" s="177">
        <f>+[9]Exc.!G53</f>
        <v>219</v>
      </c>
      <c r="F19" s="160">
        <f>+[9]Tareas!H74</f>
        <v>0</v>
      </c>
      <c r="G19" s="160">
        <f>+[9]Tareas!I74</f>
        <v>0</v>
      </c>
      <c r="H19" s="161">
        <f>F19+G19</f>
        <v>0</v>
      </c>
      <c r="I19" s="160">
        <f>+[9]Tareas!Q74</f>
        <v>25907.444444444449</v>
      </c>
      <c r="J19" s="160">
        <f>+[9]Tareas!R74</f>
        <v>3070.34241371085</v>
      </c>
      <c r="K19" s="161">
        <f>I19+J19</f>
        <v>28977.786858155298</v>
      </c>
      <c r="L19" s="160"/>
      <c r="M19" s="161">
        <f>H19+K19+L19</f>
        <v>28977.786858155298</v>
      </c>
      <c r="N19" s="162">
        <f>F19*E19</f>
        <v>0</v>
      </c>
      <c r="O19" s="162">
        <f>G19*E19</f>
        <v>0</v>
      </c>
      <c r="P19" s="162">
        <f>I19*E19</f>
        <v>5673730.333333334</v>
      </c>
      <c r="Q19" s="162">
        <f>J19*E19</f>
        <v>672404.9886026762</v>
      </c>
      <c r="R19" s="162">
        <f>+L19*E19</f>
        <v>0</v>
      </c>
      <c r="S19" s="163">
        <f>SUM(N19:R19)</f>
        <v>6346135.3219360104</v>
      </c>
      <c r="T19" s="164"/>
      <c r="U19" s="165">
        <f>+ROUNDUP(M19*$T$5,0)</f>
        <v>39308</v>
      </c>
      <c r="V19" s="165">
        <f>+U19*E19</f>
        <v>8608452</v>
      </c>
      <c r="X19" s="144"/>
    </row>
    <row r="20" spans="1:29" ht="13" outlineLevel="1" x14ac:dyDescent="0.3">
      <c r="A20" s="155">
        <v>2.02</v>
      </c>
      <c r="B20" s="168" t="s">
        <v>42</v>
      </c>
      <c r="C20" s="178" t="s">
        <v>84</v>
      </c>
      <c r="D20" s="176" t="s">
        <v>85</v>
      </c>
      <c r="E20" s="177">
        <f>+[9]Exc.!I6</f>
        <v>100</v>
      </c>
      <c r="F20" s="160">
        <f>+[9]Tareas!H77</f>
        <v>0</v>
      </c>
      <c r="G20" s="160">
        <f>+[9]Tareas!I77</f>
        <v>0</v>
      </c>
      <c r="H20" s="161">
        <f>F20+G20</f>
        <v>0</v>
      </c>
      <c r="I20" s="179">
        <f>+[9]Tareas!Q77</f>
        <v>24440</v>
      </c>
      <c r="J20" s="179">
        <f>+[9]Tareas!R77</f>
        <v>6724.0498860267617</v>
      </c>
      <c r="K20" s="161">
        <f>I20+J20</f>
        <v>31164.049886026762</v>
      </c>
      <c r="L20" s="160">
        <f>+(H20+K20)*0.015</f>
        <v>467.4607482904014</v>
      </c>
      <c r="M20" s="161">
        <f>H20+K20+L20</f>
        <v>31631.510634317165</v>
      </c>
      <c r="N20" s="162">
        <f>F20*E20</f>
        <v>0</v>
      </c>
      <c r="O20" s="162">
        <f>G20*E20</f>
        <v>0</v>
      </c>
      <c r="P20" s="162">
        <f>I20*E20</f>
        <v>2444000</v>
      </c>
      <c r="Q20" s="162">
        <f>J20*E20</f>
        <v>672404.9886026762</v>
      </c>
      <c r="R20" s="162">
        <f>+L20*E20</f>
        <v>46746.074829040139</v>
      </c>
      <c r="S20" s="163">
        <f>SUM(N20:R20)</f>
        <v>3163151.0634317165</v>
      </c>
      <c r="T20" s="164"/>
      <c r="U20" s="165">
        <f>+ROUNDUP(M20*$T$5,0)</f>
        <v>42908</v>
      </c>
      <c r="V20" s="165">
        <f>+U20*E20</f>
        <v>4290800</v>
      </c>
      <c r="X20" s="144"/>
    </row>
    <row r="21" spans="1:29" ht="13" outlineLevel="1" x14ac:dyDescent="0.3">
      <c r="A21" s="155">
        <v>2.0299999999999998</v>
      </c>
      <c r="B21" s="168" t="s">
        <v>42</v>
      </c>
      <c r="C21" s="178" t="s">
        <v>86</v>
      </c>
      <c r="D21" s="176" t="s">
        <v>85</v>
      </c>
      <c r="E21" s="177">
        <f>+[9]Exc.!I8</f>
        <v>43</v>
      </c>
      <c r="F21" s="160"/>
      <c r="G21" s="160"/>
      <c r="H21" s="161">
        <f>F21+G21</f>
        <v>0</v>
      </c>
      <c r="I21" s="160"/>
      <c r="J21" s="180">
        <f>+'[9]P.MO 06.25'!B7</f>
        <v>67240.498860267617</v>
      </c>
      <c r="K21" s="161">
        <f>I21+J21</f>
        <v>67240.498860267617</v>
      </c>
      <c r="L21" s="160"/>
      <c r="M21" s="161">
        <f>H21+K21+L21</f>
        <v>67240.498860267617</v>
      </c>
      <c r="N21" s="162">
        <f>F21*E21</f>
        <v>0</v>
      </c>
      <c r="O21" s="162">
        <f>G21*E21</f>
        <v>0</v>
      </c>
      <c r="P21" s="162">
        <f>I21*E21</f>
        <v>0</v>
      </c>
      <c r="Q21" s="162">
        <f>J21*E21</f>
        <v>2891341.4509915076</v>
      </c>
      <c r="R21" s="162">
        <f>+L21*E21</f>
        <v>0</v>
      </c>
      <c r="S21" s="163">
        <f>SUM(N21:R21)</f>
        <v>2891341.4509915076</v>
      </c>
      <c r="T21" s="164"/>
      <c r="U21" s="165">
        <f>+ROUNDUP(M21*$T$5,0)</f>
        <v>91210</v>
      </c>
      <c r="V21" s="165">
        <f>+U21*E21</f>
        <v>3922030</v>
      </c>
      <c r="X21" s="144"/>
    </row>
    <row r="22" spans="1:29" ht="13" outlineLevel="1" x14ac:dyDescent="0.3">
      <c r="A22" s="155">
        <v>2.04</v>
      </c>
      <c r="B22" s="173" t="s">
        <v>42</v>
      </c>
      <c r="C22" s="181" t="s">
        <v>87</v>
      </c>
      <c r="D22" s="158" t="s">
        <v>69</v>
      </c>
      <c r="E22" s="173">
        <v>0</v>
      </c>
      <c r="F22" s="167"/>
      <c r="G22" s="167"/>
      <c r="H22" s="161">
        <f>F22+G22</f>
        <v>0</v>
      </c>
      <c r="I22" s="167"/>
      <c r="J22" s="167"/>
      <c r="K22" s="161">
        <f>I22+J22</f>
        <v>0</v>
      </c>
      <c r="L22" s="182"/>
      <c r="M22" s="161">
        <f>H22+K22+L22</f>
        <v>0</v>
      </c>
      <c r="N22" s="162">
        <f>F22*E22</f>
        <v>0</v>
      </c>
      <c r="O22" s="162">
        <f>G22*E22</f>
        <v>0</v>
      </c>
      <c r="P22" s="162">
        <f>I22*E22</f>
        <v>0</v>
      </c>
      <c r="Q22" s="162">
        <f>J22*E22</f>
        <v>0</v>
      </c>
      <c r="R22" s="162">
        <f>+L22*E22</f>
        <v>0</v>
      </c>
      <c r="S22" s="163">
        <f>SUM(N22:R22)</f>
        <v>0</v>
      </c>
      <c r="T22" s="164"/>
      <c r="U22" s="165">
        <f>+ROUNDUP(M22*$T$5,0)</f>
        <v>0</v>
      </c>
      <c r="V22" s="165">
        <f>+U22*E22</f>
        <v>0</v>
      </c>
      <c r="X22" s="144"/>
    </row>
    <row r="23" spans="1:29" ht="13" x14ac:dyDescent="0.3">
      <c r="A23" s="136">
        <v>3</v>
      </c>
      <c r="B23" s="137"/>
      <c r="C23" s="138" t="s">
        <v>88</v>
      </c>
      <c r="D23" s="139"/>
      <c r="E23" s="140"/>
      <c r="F23" s="140"/>
      <c r="G23" s="140"/>
      <c r="H23" s="140"/>
      <c r="I23" s="140"/>
      <c r="J23" s="140"/>
      <c r="K23" s="140"/>
      <c r="L23" s="140"/>
      <c r="M23" s="141"/>
      <c r="N23" s="183"/>
      <c r="O23" s="140"/>
      <c r="P23" s="140"/>
      <c r="Q23" s="140"/>
      <c r="R23" s="140"/>
      <c r="S23" s="140"/>
      <c r="T23" s="142">
        <f>SUM(S24:S45)</f>
        <v>333685768.71459728</v>
      </c>
      <c r="U23" s="140"/>
      <c r="V23" s="140"/>
      <c r="W23" s="143">
        <f>SUM(V24:V45)</f>
        <v>452634067</v>
      </c>
      <c r="X23" s="144">
        <f>+W23/$W$213</f>
        <v>0.2937993693621363</v>
      </c>
      <c r="Y23" s="184" t="s">
        <v>89</v>
      </c>
      <c r="Z23" s="97">
        <f>+SUM(P24:R41,Q19:R21)-P25</f>
        <v>133718465.13627595</v>
      </c>
      <c r="AA23" s="185"/>
      <c r="AB23" s="82"/>
    </row>
    <row r="24" spans="1:29" ht="13" outlineLevel="1" x14ac:dyDescent="0.3">
      <c r="A24" s="145">
        <v>3.01</v>
      </c>
      <c r="B24" s="186" t="s">
        <v>42</v>
      </c>
      <c r="C24" s="187" t="s">
        <v>90</v>
      </c>
      <c r="D24" s="188" t="s">
        <v>85</v>
      </c>
      <c r="E24" s="149">
        <v>3</v>
      </c>
      <c r="F24" s="189">
        <f>+[9]Tareas!H83</f>
        <v>120430</v>
      </c>
      <c r="G24" s="189">
        <f>+[9]Tareas!I83</f>
        <v>0</v>
      </c>
      <c r="H24" s="150">
        <f t="shared" ref="H24:H45" si="11">F24+G24</f>
        <v>120430</v>
      </c>
      <c r="I24" s="189">
        <f>+[9]Tareas!Q83</f>
        <v>0</v>
      </c>
      <c r="J24" s="189">
        <f>+[9]Tareas!R83</f>
        <v>155041.21996115817</v>
      </c>
      <c r="K24" s="150">
        <f t="shared" ref="K24:K45" si="12">I24+J24</f>
        <v>155041.21996115817</v>
      </c>
      <c r="L24" s="189">
        <f t="shared" ref="L24:L41" si="13">+(H24+K24)*0.015</f>
        <v>4132.0682994173721</v>
      </c>
      <c r="M24" s="150">
        <f t="shared" ref="M24:M25" si="14">H24+K24+L24</f>
        <v>279603.28826057556</v>
      </c>
      <c r="N24" s="151">
        <f t="shared" ref="N24:N25" si="15">F24*E24</f>
        <v>361290</v>
      </c>
      <c r="O24" s="151">
        <f t="shared" ref="O24:O25" si="16">G24*E24</f>
        <v>0</v>
      </c>
      <c r="P24" s="151">
        <f t="shared" ref="P24:P25" si="17">I24*E24</f>
        <v>0</v>
      </c>
      <c r="Q24" s="151">
        <f t="shared" ref="Q24:Q25" si="18">J24*E24</f>
        <v>465123.65988347452</v>
      </c>
      <c r="R24" s="151">
        <f t="shared" ref="R24:R25" si="19">+L24*E24</f>
        <v>12396.204898252116</v>
      </c>
      <c r="S24" s="152">
        <f t="shared" ref="S24:S45" si="20">SUM(N24:R24)</f>
        <v>838809.86478172662</v>
      </c>
      <c r="T24" s="164"/>
      <c r="U24" s="165">
        <f t="shared" ref="U24:U45" si="21">+ROUNDUP(M24*$T$5,0)</f>
        <v>379273</v>
      </c>
      <c r="V24" s="165">
        <f t="shared" ref="V24:V45" si="22">+U24*E24</f>
        <v>1137819</v>
      </c>
      <c r="X24" s="144"/>
      <c r="Y24" s="190" t="s">
        <v>91</v>
      </c>
      <c r="Z24" s="97">
        <f>+Z23/AA24</f>
        <v>83574040.710172459</v>
      </c>
      <c r="AA24" s="185">
        <v>1.6</v>
      </c>
      <c r="AB24" s="82"/>
      <c r="AC24" s="172"/>
    </row>
    <row r="25" spans="1:29" ht="13" outlineLevel="1" x14ac:dyDescent="0.3">
      <c r="A25" s="155">
        <v>3.02</v>
      </c>
      <c r="B25" s="168" t="s">
        <v>42</v>
      </c>
      <c r="C25" s="191" t="s">
        <v>92</v>
      </c>
      <c r="D25" s="166" t="s">
        <v>69</v>
      </c>
      <c r="E25" s="167">
        <v>1</v>
      </c>
      <c r="F25" s="160">
        <f>+[9]Tareas!H88</f>
        <v>11090041.199999999</v>
      </c>
      <c r="G25" s="160">
        <f>+[9]Tareas!I88</f>
        <v>0</v>
      </c>
      <c r="H25" s="161">
        <f t="shared" si="11"/>
        <v>11090041.199999999</v>
      </c>
      <c r="I25" s="160">
        <f>+[9]Tareas!Q88</f>
        <v>34350000</v>
      </c>
      <c r="J25" s="160">
        <f>+[9]Tareas!R88</f>
        <v>2460301.4945337288</v>
      </c>
      <c r="K25" s="161">
        <f t="shared" si="12"/>
        <v>36810301.494533733</v>
      </c>
      <c r="L25" s="160">
        <f t="shared" si="13"/>
        <v>718505.14041800599</v>
      </c>
      <c r="M25" s="161">
        <f t="shared" si="14"/>
        <v>48618847.834951743</v>
      </c>
      <c r="N25" s="162">
        <f t="shared" si="15"/>
        <v>11090041.199999999</v>
      </c>
      <c r="O25" s="162">
        <f t="shared" si="16"/>
        <v>0</v>
      </c>
      <c r="P25" s="162">
        <f t="shared" si="17"/>
        <v>34350000</v>
      </c>
      <c r="Q25" s="162">
        <f t="shared" si="18"/>
        <v>2460301.4945337288</v>
      </c>
      <c r="R25" s="162">
        <f t="shared" si="19"/>
        <v>718505.14041800599</v>
      </c>
      <c r="S25" s="163">
        <f t="shared" si="20"/>
        <v>48618847.834951743</v>
      </c>
      <c r="T25" s="164"/>
      <c r="U25" s="165">
        <f t="shared" si="21"/>
        <v>65949869</v>
      </c>
      <c r="V25" s="165">
        <f t="shared" si="22"/>
        <v>65949869</v>
      </c>
      <c r="X25" s="144"/>
      <c r="Y25" s="192" t="s">
        <v>93</v>
      </c>
      <c r="Z25" s="170">
        <f>+Z24/Z26</f>
        <v>8.145119836938095</v>
      </c>
      <c r="AB25" s="82"/>
      <c r="AC25" s="172"/>
    </row>
    <row r="26" spans="1:29" ht="13" outlineLevel="1" x14ac:dyDescent="0.3">
      <c r="A26" s="155">
        <v>3.03</v>
      </c>
      <c r="B26" s="168" t="s">
        <v>42</v>
      </c>
      <c r="C26" s="191" t="s">
        <v>94</v>
      </c>
      <c r="D26" s="166" t="s">
        <v>85</v>
      </c>
      <c r="E26" s="167">
        <f>+'[9]H°A° '!O4</f>
        <v>7</v>
      </c>
      <c r="F26" s="180">
        <f>+'[9]H°A° '!F47</f>
        <v>357146.16970278043</v>
      </c>
      <c r="G26" s="193"/>
      <c r="H26" s="161">
        <f>F26+G26</f>
        <v>357146.16970278043</v>
      </c>
      <c r="I26" s="194">
        <f>+'[9]MO HA AING'!C5</f>
        <v>222927.9598701543</v>
      </c>
      <c r="J26" s="180"/>
      <c r="K26" s="161">
        <f>I26+J26</f>
        <v>222927.9598701543</v>
      </c>
      <c r="L26" s="160">
        <f t="shared" si="13"/>
        <v>8701.11194359402</v>
      </c>
      <c r="M26" s="161">
        <f>H26+K26+L26</f>
        <v>588775.24151652877</v>
      </c>
      <c r="N26" s="162">
        <f>F26*E26</f>
        <v>2500023.187919463</v>
      </c>
      <c r="O26" s="162">
        <f>G26*E26</f>
        <v>0</v>
      </c>
      <c r="P26" s="162">
        <f>I26*E26</f>
        <v>1560495.7190910801</v>
      </c>
      <c r="Q26" s="162">
        <f>J26*E26</f>
        <v>0</v>
      </c>
      <c r="R26" s="162">
        <f>+L26*E26</f>
        <v>60907.78360515814</v>
      </c>
      <c r="S26" s="163">
        <f>SUM(N26:R26)</f>
        <v>4121426.6906157015</v>
      </c>
      <c r="T26" s="164"/>
      <c r="U26" s="165">
        <f>+ROUNDUP(M26*$T$5,0)</f>
        <v>798655</v>
      </c>
      <c r="V26" s="165">
        <f>+U26*E26</f>
        <v>5590585</v>
      </c>
      <c r="X26" s="144"/>
      <c r="Y26" s="195" t="s">
        <v>95</v>
      </c>
      <c r="Z26" s="97">
        <f>9*'[9]P.MO 06.25'!F5*22</f>
        <v>10260627.514792899</v>
      </c>
    </row>
    <row r="27" spans="1:29" ht="13" outlineLevel="1" x14ac:dyDescent="0.3">
      <c r="A27" s="155">
        <v>3.04</v>
      </c>
      <c r="B27" s="168" t="s">
        <v>42</v>
      </c>
      <c r="C27" s="191" t="s">
        <v>96</v>
      </c>
      <c r="D27" s="166" t="s">
        <v>85</v>
      </c>
      <c r="E27" s="167">
        <f>+'[9]H°A° '!O5</f>
        <v>4</v>
      </c>
      <c r="F27" s="180">
        <f>+'[9]H°A° '!F48</f>
        <v>537813.28786424536</v>
      </c>
      <c r="G27" s="193"/>
      <c r="H27" s="161">
        <f>F27+G27</f>
        <v>537813.28786424536</v>
      </c>
      <c r="I27" s="194">
        <f>+'[9]MO HA AING'!C6</f>
        <v>323083.99981181783</v>
      </c>
      <c r="J27" s="180"/>
      <c r="K27" s="161">
        <f>I27+J27</f>
        <v>323083.99981181783</v>
      </c>
      <c r="L27" s="160">
        <f t="shared" si="13"/>
        <v>12913.459315140946</v>
      </c>
      <c r="M27" s="161">
        <f>H27+K27+L27</f>
        <v>873810.7469912041</v>
      </c>
      <c r="N27" s="162">
        <f>F27*E27</f>
        <v>2151253.1514569814</v>
      </c>
      <c r="O27" s="162">
        <f>G27*E27</f>
        <v>0</v>
      </c>
      <c r="P27" s="162">
        <f>I27*E27</f>
        <v>1292335.9992472713</v>
      </c>
      <c r="Q27" s="162">
        <f>J27*E27</f>
        <v>0</v>
      </c>
      <c r="R27" s="162">
        <f>+L27*E27</f>
        <v>51653.837260563785</v>
      </c>
      <c r="S27" s="163">
        <f>SUM(N27:R27)</f>
        <v>3495242.9879648164</v>
      </c>
      <c r="T27" s="164"/>
      <c r="U27" s="165">
        <f>+ROUNDUP(M27*$T$5,0)</f>
        <v>1185296</v>
      </c>
      <c r="V27" s="165">
        <f>+U27*E27</f>
        <v>4741184</v>
      </c>
      <c r="X27" s="144"/>
      <c r="Y27" s="82"/>
      <c r="Z27" s="97"/>
    </row>
    <row r="28" spans="1:29" ht="13" outlineLevel="1" x14ac:dyDescent="0.3">
      <c r="A28" s="155">
        <v>3.05</v>
      </c>
      <c r="B28" s="168" t="s">
        <v>42</v>
      </c>
      <c r="C28" s="191" t="s">
        <v>97</v>
      </c>
      <c r="D28" s="166" t="s">
        <v>85</v>
      </c>
      <c r="E28" s="167">
        <f>+'[9]H°A° '!O6</f>
        <v>2</v>
      </c>
      <c r="F28" s="180">
        <f>+'[9]H°A° '!F49</f>
        <v>357146.16970278043</v>
      </c>
      <c r="G28" s="193"/>
      <c r="H28" s="161">
        <f t="shared" ref="H28:H33" si="23">F28+G28</f>
        <v>357146.16970278043</v>
      </c>
      <c r="I28" s="194">
        <f>+'[9]MO HA AING'!C5</f>
        <v>222927.9598701543</v>
      </c>
      <c r="J28" s="180"/>
      <c r="K28" s="161">
        <f t="shared" ref="K28:K36" si="24">I28+J28</f>
        <v>222927.9598701543</v>
      </c>
      <c r="L28" s="160">
        <f t="shared" si="13"/>
        <v>8701.11194359402</v>
      </c>
      <c r="M28" s="161">
        <f t="shared" ref="M28:M45" si="25">H28+K28+L28</f>
        <v>588775.24151652877</v>
      </c>
      <c r="N28" s="162">
        <f t="shared" ref="N28:N45" si="26">F28*E28</f>
        <v>714292.33940556087</v>
      </c>
      <c r="O28" s="162">
        <f t="shared" ref="O28:O45" si="27">G28*E28</f>
        <v>0</v>
      </c>
      <c r="P28" s="162">
        <f t="shared" ref="P28:P45" si="28">I28*E28</f>
        <v>445855.9197403086</v>
      </c>
      <c r="Q28" s="162">
        <f t="shared" ref="Q28:Q45" si="29">J28*E28</f>
        <v>0</v>
      </c>
      <c r="R28" s="162">
        <f t="shared" ref="R28:R45" si="30">+L28*E28</f>
        <v>17402.22388718804</v>
      </c>
      <c r="S28" s="163">
        <f t="shared" ref="S28:S34" si="31">SUM(N28:R28)</f>
        <v>1177550.4830330575</v>
      </c>
      <c r="T28" s="164"/>
      <c r="U28" s="165">
        <f t="shared" ref="U28:U30" si="32">+ROUNDUP(M28*$T$5,0)</f>
        <v>798655</v>
      </c>
      <c r="V28" s="165">
        <f t="shared" ref="V28:V30" si="33">+U28*E28</f>
        <v>1597310</v>
      </c>
      <c r="X28" s="144"/>
    </row>
    <row r="29" spans="1:29" ht="12.75" customHeight="1" outlineLevel="1" x14ac:dyDescent="0.3">
      <c r="A29" s="155">
        <v>3.06</v>
      </c>
      <c r="B29" s="168" t="s">
        <v>42</v>
      </c>
      <c r="C29" s="196" t="s">
        <v>98</v>
      </c>
      <c r="D29" s="197" t="s">
        <v>85</v>
      </c>
      <c r="E29" s="167">
        <f>+'[9]H°A° '!O7</f>
        <v>11</v>
      </c>
      <c r="F29" s="180">
        <f>+'[9]H°A° '!F50</f>
        <v>392586.16970278043</v>
      </c>
      <c r="G29" s="198"/>
      <c r="H29" s="161">
        <f t="shared" si="23"/>
        <v>392586.16970278043</v>
      </c>
      <c r="I29" s="194">
        <f>+'[9]MO HA AING'!C5</f>
        <v>222927.9598701543</v>
      </c>
      <c r="J29" s="199"/>
      <c r="K29" s="161">
        <f t="shared" si="24"/>
        <v>222927.9598701543</v>
      </c>
      <c r="L29" s="160">
        <f t="shared" si="13"/>
        <v>9232.7119435940203</v>
      </c>
      <c r="M29" s="161">
        <f t="shared" si="25"/>
        <v>624746.84151652874</v>
      </c>
      <c r="N29" s="162">
        <f t="shared" si="26"/>
        <v>4318447.8667305848</v>
      </c>
      <c r="O29" s="162">
        <f t="shared" si="27"/>
        <v>0</v>
      </c>
      <c r="P29" s="162">
        <f t="shared" si="28"/>
        <v>2452207.5585716972</v>
      </c>
      <c r="Q29" s="162">
        <f t="shared" si="29"/>
        <v>0</v>
      </c>
      <c r="R29" s="162">
        <f t="shared" si="30"/>
        <v>101559.83137953423</v>
      </c>
      <c r="S29" s="163">
        <f t="shared" si="31"/>
        <v>6872215.2566818167</v>
      </c>
      <c r="T29" s="164"/>
      <c r="U29" s="165">
        <f t="shared" si="32"/>
        <v>847449</v>
      </c>
      <c r="V29" s="165">
        <f t="shared" si="33"/>
        <v>9321939</v>
      </c>
    </row>
    <row r="30" spans="1:29" ht="13" outlineLevel="1" x14ac:dyDescent="0.3">
      <c r="A30" s="155">
        <v>3.07</v>
      </c>
      <c r="B30" s="168" t="s">
        <v>42</v>
      </c>
      <c r="C30" s="191" t="s">
        <v>99</v>
      </c>
      <c r="D30" s="166" t="s">
        <v>85</v>
      </c>
      <c r="E30" s="167">
        <f>+'[9]H°A° '!O8</f>
        <v>9</v>
      </c>
      <c r="F30" s="180">
        <f>+'[9]H°A° '!F51</f>
        <v>537813.28786424536</v>
      </c>
      <c r="G30" s="193"/>
      <c r="H30" s="161">
        <f t="shared" si="23"/>
        <v>537813.28786424536</v>
      </c>
      <c r="I30" s="194">
        <f>+'[9]MO HA AING'!C6</f>
        <v>323083.99981181783</v>
      </c>
      <c r="J30" s="180"/>
      <c r="K30" s="161">
        <f t="shared" si="24"/>
        <v>323083.99981181783</v>
      </c>
      <c r="L30" s="160">
        <f t="shared" si="13"/>
        <v>12913.459315140946</v>
      </c>
      <c r="M30" s="161">
        <f t="shared" si="25"/>
        <v>873810.7469912041</v>
      </c>
      <c r="N30" s="162">
        <f t="shared" si="26"/>
        <v>4840319.5907782083</v>
      </c>
      <c r="O30" s="162">
        <f t="shared" si="27"/>
        <v>0</v>
      </c>
      <c r="P30" s="162">
        <f t="shared" si="28"/>
        <v>2907755.9983063606</v>
      </c>
      <c r="Q30" s="162">
        <f t="shared" si="29"/>
        <v>0</v>
      </c>
      <c r="R30" s="162">
        <f t="shared" si="30"/>
        <v>116221.13383626852</v>
      </c>
      <c r="S30" s="163">
        <f t="shared" si="31"/>
        <v>7864296.7229208378</v>
      </c>
      <c r="T30" s="164"/>
      <c r="U30" s="165">
        <f t="shared" si="32"/>
        <v>1185296</v>
      </c>
      <c r="V30" s="165">
        <f t="shared" si="33"/>
        <v>10667664</v>
      </c>
      <c r="X30" s="144"/>
      <c r="Y30" s="200"/>
      <c r="Z30" s="97"/>
      <c r="AA30" s="185"/>
    </row>
    <row r="31" spans="1:29" ht="13" outlineLevel="1" x14ac:dyDescent="0.3">
      <c r="A31" s="155">
        <v>3.08</v>
      </c>
      <c r="B31" s="168" t="s">
        <v>42</v>
      </c>
      <c r="C31" s="191" t="s">
        <v>100</v>
      </c>
      <c r="D31" s="166" t="s">
        <v>85</v>
      </c>
      <c r="E31" s="167">
        <f>+'[9]H°A° '!O9</f>
        <v>9</v>
      </c>
      <c r="F31" s="180">
        <f>+'[9]H°A° '!F52</f>
        <v>394401.88571428572</v>
      </c>
      <c r="G31" s="160"/>
      <c r="H31" s="161">
        <f t="shared" si="23"/>
        <v>394401.88571428572</v>
      </c>
      <c r="I31" s="180">
        <f>+'[9]MO HA AING'!D72</f>
        <v>392678.73410221271</v>
      </c>
      <c r="J31" s="160"/>
      <c r="K31" s="161">
        <f t="shared" si="24"/>
        <v>392678.73410221271</v>
      </c>
      <c r="L31" s="160">
        <f t="shared" si="13"/>
        <v>11806.209297247475</v>
      </c>
      <c r="M31" s="161">
        <f t="shared" si="25"/>
        <v>798886.82911374583</v>
      </c>
      <c r="N31" s="162">
        <f t="shared" si="26"/>
        <v>3549616.9714285713</v>
      </c>
      <c r="O31" s="162">
        <f t="shared" si="27"/>
        <v>0</v>
      </c>
      <c r="P31" s="162">
        <f t="shared" si="28"/>
        <v>3534108.6069199145</v>
      </c>
      <c r="Q31" s="162">
        <f t="shared" si="29"/>
        <v>0</v>
      </c>
      <c r="R31" s="162">
        <f t="shared" si="30"/>
        <v>106255.88367522728</v>
      </c>
      <c r="S31" s="163">
        <f t="shared" si="31"/>
        <v>7189981.4620237127</v>
      </c>
      <c r="T31" s="164"/>
      <c r="U31" s="165">
        <f>+ROUNDUP(M31*$T$5,0)</f>
        <v>1083664</v>
      </c>
      <c r="V31" s="165">
        <f>+U31*E31</f>
        <v>9752976</v>
      </c>
      <c r="X31" s="144"/>
      <c r="Y31" s="195" t="s">
        <v>101</v>
      </c>
      <c r="Z31" s="97">
        <f>+Z24/AA31</f>
        <v>284265.44459242333</v>
      </c>
      <c r="AA31" s="185">
        <f>+SUM(E31:E40)</f>
        <v>294</v>
      </c>
      <c r="AB31" s="82"/>
      <c r="AC31" s="172"/>
    </row>
    <row r="32" spans="1:29" ht="13" outlineLevel="1" x14ac:dyDescent="0.3">
      <c r="A32" s="155">
        <v>3.09</v>
      </c>
      <c r="B32" s="168" t="s">
        <v>42</v>
      </c>
      <c r="C32" s="191" t="s">
        <v>102</v>
      </c>
      <c r="D32" s="166" t="s">
        <v>85</v>
      </c>
      <c r="E32" s="167">
        <v>1</v>
      </c>
      <c r="F32" s="180">
        <f>+'[9]H°A° '!F53</f>
        <v>542036.05081495689</v>
      </c>
      <c r="G32" s="160"/>
      <c r="H32" s="161">
        <f t="shared" si="23"/>
        <v>542036.05081495689</v>
      </c>
      <c r="I32" s="180">
        <f>+'[9]MO HA AING'!D47</f>
        <v>362209.60749629384</v>
      </c>
      <c r="J32" s="160"/>
      <c r="K32" s="161">
        <f t="shared" si="24"/>
        <v>362209.60749629384</v>
      </c>
      <c r="L32" s="160">
        <f t="shared" si="13"/>
        <v>13563.684874668761</v>
      </c>
      <c r="M32" s="161">
        <f t="shared" si="25"/>
        <v>917809.34318591945</v>
      </c>
      <c r="N32" s="162">
        <f t="shared" si="26"/>
        <v>542036.05081495689</v>
      </c>
      <c r="O32" s="162">
        <f t="shared" si="27"/>
        <v>0</v>
      </c>
      <c r="P32" s="162">
        <f t="shared" si="28"/>
        <v>362209.60749629384</v>
      </c>
      <c r="Q32" s="162">
        <f t="shared" si="29"/>
        <v>0</v>
      </c>
      <c r="R32" s="162">
        <f t="shared" si="30"/>
        <v>13563.684874668761</v>
      </c>
      <c r="S32" s="163">
        <f t="shared" si="31"/>
        <v>917809.34318591945</v>
      </c>
      <c r="T32" s="164"/>
      <c r="U32" s="165">
        <f t="shared" si="21"/>
        <v>1244979</v>
      </c>
      <c r="V32" s="165">
        <f t="shared" si="22"/>
        <v>1244979</v>
      </c>
      <c r="X32" s="144"/>
      <c r="AC32" s="172"/>
    </row>
    <row r="33" spans="1:24" ht="13" outlineLevel="1" x14ac:dyDescent="0.3">
      <c r="A33" s="155">
        <v>3.1</v>
      </c>
      <c r="B33" s="173" t="s">
        <v>42</v>
      </c>
      <c r="C33" s="157" t="s">
        <v>103</v>
      </c>
      <c r="D33" s="176" t="s">
        <v>85</v>
      </c>
      <c r="E33" s="167">
        <f>+'[9]H°A° '!O12</f>
        <v>32</v>
      </c>
      <c r="F33" s="180">
        <f>+'[9]H°A° '!F55</f>
        <v>648356.05081495689</v>
      </c>
      <c r="G33" s="180"/>
      <c r="H33" s="161">
        <f t="shared" si="23"/>
        <v>648356.05081495689</v>
      </c>
      <c r="I33" s="180">
        <f>+'[9]MO HA AING'!D47</f>
        <v>362209.60749629384</v>
      </c>
      <c r="J33" s="180"/>
      <c r="K33" s="161">
        <f t="shared" si="24"/>
        <v>362209.60749629384</v>
      </c>
      <c r="L33" s="160">
        <f t="shared" si="13"/>
        <v>15158.48487466876</v>
      </c>
      <c r="M33" s="161">
        <f t="shared" si="25"/>
        <v>1025724.1431859195</v>
      </c>
      <c r="N33" s="162">
        <f t="shared" si="26"/>
        <v>20747393.626078621</v>
      </c>
      <c r="O33" s="162">
        <f t="shared" si="27"/>
        <v>0</v>
      </c>
      <c r="P33" s="162">
        <f t="shared" si="28"/>
        <v>11590707.439881403</v>
      </c>
      <c r="Q33" s="162">
        <f t="shared" si="29"/>
        <v>0</v>
      </c>
      <c r="R33" s="162">
        <f t="shared" si="30"/>
        <v>485071.51598940033</v>
      </c>
      <c r="S33" s="163">
        <f t="shared" si="31"/>
        <v>32823172.581949424</v>
      </c>
      <c r="T33" s="164"/>
      <c r="U33" s="165">
        <f t="shared" si="21"/>
        <v>1391362</v>
      </c>
      <c r="V33" s="165">
        <f t="shared" si="22"/>
        <v>44523584</v>
      </c>
      <c r="X33" s="144"/>
    </row>
    <row r="34" spans="1:24" ht="13" outlineLevel="1" x14ac:dyDescent="0.3">
      <c r="A34" s="155">
        <v>3.11</v>
      </c>
      <c r="B34" s="173" t="s">
        <v>42</v>
      </c>
      <c r="C34" s="157" t="s">
        <v>104</v>
      </c>
      <c r="D34" s="176" t="s">
        <v>85</v>
      </c>
      <c r="E34" s="167">
        <f>+'[9]H°A° '!O13</f>
        <v>30</v>
      </c>
      <c r="F34" s="180">
        <f>+'[9]H°A° '!F56</f>
        <v>447561.88571428572</v>
      </c>
      <c r="G34" s="180"/>
      <c r="H34" s="161">
        <f t="shared" si="11"/>
        <v>447561.88571428572</v>
      </c>
      <c r="I34" s="180">
        <f>+'[9]MO HA AING'!D72</f>
        <v>392678.73410221271</v>
      </c>
      <c r="J34" s="180"/>
      <c r="K34" s="161">
        <f t="shared" si="24"/>
        <v>392678.73410221271</v>
      </c>
      <c r="L34" s="160">
        <f t="shared" si="13"/>
        <v>12603.609297247474</v>
      </c>
      <c r="M34" s="161">
        <f t="shared" si="25"/>
        <v>852844.22911374585</v>
      </c>
      <c r="N34" s="162">
        <f t="shared" si="26"/>
        <v>13426856.571428571</v>
      </c>
      <c r="O34" s="162">
        <f t="shared" si="27"/>
        <v>0</v>
      </c>
      <c r="P34" s="162">
        <f t="shared" si="28"/>
        <v>11780362.023066381</v>
      </c>
      <c r="Q34" s="162">
        <f t="shared" si="29"/>
        <v>0</v>
      </c>
      <c r="R34" s="162">
        <f t="shared" si="30"/>
        <v>378108.27891742421</v>
      </c>
      <c r="S34" s="163">
        <f t="shared" si="31"/>
        <v>25585326.873412378</v>
      </c>
      <c r="T34" s="164"/>
      <c r="U34" s="165">
        <f t="shared" si="21"/>
        <v>1156856</v>
      </c>
      <c r="V34" s="165">
        <f t="shared" si="22"/>
        <v>34705680</v>
      </c>
      <c r="X34" s="144"/>
    </row>
    <row r="35" spans="1:24" ht="13" outlineLevel="1" x14ac:dyDescent="0.3">
      <c r="A35" s="155">
        <v>3.12</v>
      </c>
      <c r="B35" s="173" t="s">
        <v>42</v>
      </c>
      <c r="C35" s="157" t="s">
        <v>105</v>
      </c>
      <c r="D35" s="176" t="s">
        <v>85</v>
      </c>
      <c r="E35" s="167">
        <f>+'[9]H°A° '!O14</f>
        <v>7</v>
      </c>
      <c r="F35" s="180">
        <f>+'[9]H°A° '!F57</f>
        <v>466389.29851905268</v>
      </c>
      <c r="G35" s="180"/>
      <c r="H35" s="161">
        <f t="shared" si="11"/>
        <v>466389.29851905268</v>
      </c>
      <c r="I35" s="180">
        <f>+'[9]MO HA AING'!D99</f>
        <v>629584.35516404966</v>
      </c>
      <c r="J35" s="194">
        <f>+I35*0.25</f>
        <v>157396.08879101241</v>
      </c>
      <c r="K35" s="161">
        <f t="shared" si="24"/>
        <v>786980.44395506207</v>
      </c>
      <c r="L35" s="160">
        <f t="shared" si="13"/>
        <v>18800.54613711172</v>
      </c>
      <c r="M35" s="161">
        <f t="shared" si="25"/>
        <v>1272170.2886112265</v>
      </c>
      <c r="N35" s="162">
        <f t="shared" si="26"/>
        <v>3264725.0896333689</v>
      </c>
      <c r="O35" s="162">
        <f t="shared" si="27"/>
        <v>0</v>
      </c>
      <c r="P35" s="162">
        <f t="shared" si="28"/>
        <v>4407090.4861483481</v>
      </c>
      <c r="Q35" s="162">
        <f t="shared" si="29"/>
        <v>1101772.621537087</v>
      </c>
      <c r="R35" s="162">
        <f t="shared" si="30"/>
        <v>131603.82295978203</v>
      </c>
      <c r="S35" s="163">
        <f t="shared" si="20"/>
        <v>8905192.0202785861</v>
      </c>
      <c r="T35" s="164"/>
      <c r="U35" s="165">
        <f t="shared" si="21"/>
        <v>1725658</v>
      </c>
      <c r="V35" s="165">
        <f t="shared" si="22"/>
        <v>12079606</v>
      </c>
      <c r="X35" s="144"/>
    </row>
    <row r="36" spans="1:24" ht="13" outlineLevel="1" x14ac:dyDescent="0.3">
      <c r="A36" s="155">
        <v>3.13</v>
      </c>
      <c r="B36" s="173" t="s">
        <v>42</v>
      </c>
      <c r="C36" s="157" t="s">
        <v>106</v>
      </c>
      <c r="D36" s="176" t="s">
        <v>85</v>
      </c>
      <c r="E36" s="167">
        <f>+'[9]H°A° '!O15</f>
        <v>12</v>
      </c>
      <c r="F36" s="180">
        <f>+'[9]H°A° '!F58</f>
        <v>578369.50878875039</v>
      </c>
      <c r="G36" s="180"/>
      <c r="H36" s="161">
        <f t="shared" si="11"/>
        <v>578369.50878875039</v>
      </c>
      <c r="I36" s="180">
        <f>+'[9]MO HA AING'!D99</f>
        <v>629584.35516404966</v>
      </c>
      <c r="J36" s="194">
        <f>+I36*0.25</f>
        <v>157396.08879101241</v>
      </c>
      <c r="K36" s="161">
        <f t="shared" si="24"/>
        <v>786980.44395506207</v>
      </c>
      <c r="L36" s="160">
        <f t="shared" si="13"/>
        <v>20480.249291157186</v>
      </c>
      <c r="M36" s="161">
        <f t="shared" si="25"/>
        <v>1385830.2020349696</v>
      </c>
      <c r="N36" s="162">
        <f t="shared" si="26"/>
        <v>6940434.1054650042</v>
      </c>
      <c r="O36" s="162">
        <f t="shared" si="27"/>
        <v>0</v>
      </c>
      <c r="P36" s="162">
        <f t="shared" si="28"/>
        <v>7555012.2619685959</v>
      </c>
      <c r="Q36" s="162">
        <f t="shared" si="29"/>
        <v>1888753.065492149</v>
      </c>
      <c r="R36" s="162">
        <f t="shared" si="30"/>
        <v>245762.99149388622</v>
      </c>
      <c r="S36" s="163">
        <f t="shared" si="20"/>
        <v>16629962.424419636</v>
      </c>
      <c r="T36" s="164"/>
      <c r="U36" s="165">
        <f t="shared" si="21"/>
        <v>1879834</v>
      </c>
      <c r="V36" s="165">
        <f t="shared" si="22"/>
        <v>22558008</v>
      </c>
      <c r="X36" s="144"/>
    </row>
    <row r="37" spans="1:24" ht="13" outlineLevel="1" x14ac:dyDescent="0.3">
      <c r="A37" s="155">
        <v>3.14</v>
      </c>
      <c r="B37" s="173" t="s">
        <v>42</v>
      </c>
      <c r="C37" s="157" t="s">
        <v>107</v>
      </c>
      <c r="D37" s="176" t="s">
        <v>85</v>
      </c>
      <c r="E37" s="167">
        <f>+'[9]H°A° '!O16</f>
        <v>41</v>
      </c>
      <c r="F37" s="180">
        <f>+'[9]H°A° '!F59</f>
        <v>472049.50878875039</v>
      </c>
      <c r="G37" s="180"/>
      <c r="H37" s="161">
        <f t="shared" si="11"/>
        <v>472049.50878875039</v>
      </c>
      <c r="I37" s="180">
        <f>+'[9]MO HA AING'!D99</f>
        <v>629584.35516404966</v>
      </c>
      <c r="J37" s="180"/>
      <c r="K37" s="161">
        <f t="shared" si="12"/>
        <v>629584.35516404966</v>
      </c>
      <c r="L37" s="160">
        <f t="shared" si="13"/>
        <v>16524.507959292001</v>
      </c>
      <c r="M37" s="161">
        <f t="shared" si="25"/>
        <v>1118158.3719120922</v>
      </c>
      <c r="N37" s="162">
        <f t="shared" si="26"/>
        <v>19354029.860338766</v>
      </c>
      <c r="O37" s="162">
        <f t="shared" si="27"/>
        <v>0</v>
      </c>
      <c r="P37" s="162">
        <f t="shared" si="28"/>
        <v>25812958.561726037</v>
      </c>
      <c r="Q37" s="162">
        <f t="shared" si="29"/>
        <v>0</v>
      </c>
      <c r="R37" s="162">
        <f t="shared" si="30"/>
        <v>677504.82633097202</v>
      </c>
      <c r="S37" s="163">
        <f t="shared" si="20"/>
        <v>45844493.248395778</v>
      </c>
      <c r="T37" s="164"/>
      <c r="U37" s="165">
        <f t="shared" si="21"/>
        <v>1516746</v>
      </c>
      <c r="V37" s="165">
        <f t="shared" si="22"/>
        <v>62186586</v>
      </c>
      <c r="X37" s="144"/>
    </row>
    <row r="38" spans="1:24" ht="13" outlineLevel="1" x14ac:dyDescent="0.3">
      <c r="A38" s="155">
        <v>3.15</v>
      </c>
      <c r="B38" s="173" t="s">
        <v>42</v>
      </c>
      <c r="C38" s="157" t="s">
        <v>108</v>
      </c>
      <c r="D38" s="176" t="s">
        <v>85</v>
      </c>
      <c r="E38" s="167">
        <f>+'[9]H°A° '!O17</f>
        <v>135</v>
      </c>
      <c r="F38" s="180">
        <f>+'[9]H°A° '!F60</f>
        <v>361563.22243528283</v>
      </c>
      <c r="G38" s="180"/>
      <c r="H38" s="161">
        <f t="shared" si="11"/>
        <v>361563.22243528283</v>
      </c>
      <c r="I38" s="180">
        <f>+'[9]MO HA AING'!D123</f>
        <v>253632.45059711847</v>
      </c>
      <c r="J38" s="180"/>
      <c r="K38" s="161">
        <f t="shared" si="12"/>
        <v>253632.45059711847</v>
      </c>
      <c r="L38" s="160">
        <f t="shared" si="13"/>
        <v>9227.9350954860201</v>
      </c>
      <c r="M38" s="161">
        <f t="shared" si="25"/>
        <v>624423.60812788736</v>
      </c>
      <c r="N38" s="162">
        <f t="shared" si="26"/>
        <v>48811035.028763182</v>
      </c>
      <c r="O38" s="162">
        <f t="shared" si="27"/>
        <v>0</v>
      </c>
      <c r="P38" s="162">
        <f t="shared" si="28"/>
        <v>34240380.830610991</v>
      </c>
      <c r="Q38" s="162">
        <f t="shared" si="29"/>
        <v>0</v>
      </c>
      <c r="R38" s="162">
        <f t="shared" si="30"/>
        <v>1245771.2378906128</v>
      </c>
      <c r="S38" s="163">
        <f t="shared" si="20"/>
        <v>84297187.097264782</v>
      </c>
      <c r="T38" s="164"/>
      <c r="U38" s="165">
        <f t="shared" si="21"/>
        <v>847011</v>
      </c>
      <c r="V38" s="165">
        <f t="shared" si="22"/>
        <v>114346485</v>
      </c>
      <c r="X38" s="144"/>
    </row>
    <row r="39" spans="1:24" ht="13" outlineLevel="1" x14ac:dyDescent="0.3">
      <c r="A39" s="155">
        <v>3.16</v>
      </c>
      <c r="B39" s="173" t="s">
        <v>42</v>
      </c>
      <c r="C39" s="157" t="s">
        <v>109</v>
      </c>
      <c r="D39" s="176" t="s">
        <v>85</v>
      </c>
      <c r="E39" s="167">
        <f>+'[9]H°A° '!O18</f>
        <v>13</v>
      </c>
      <c r="F39" s="180">
        <f>+'[9]H°A° '!F61</f>
        <v>367994.55172222533</v>
      </c>
      <c r="G39" s="180"/>
      <c r="H39" s="161">
        <f t="shared" si="11"/>
        <v>367994.55172222533</v>
      </c>
      <c r="I39" s="180">
        <f>+'[9]MO HA AING'!D123</f>
        <v>253632.45059711847</v>
      </c>
      <c r="J39" s="194">
        <f>+I39*0.25</f>
        <v>63408.112649279617</v>
      </c>
      <c r="K39" s="161">
        <f t="shared" si="12"/>
        <v>317040.56324639812</v>
      </c>
      <c r="L39" s="160">
        <f t="shared" si="13"/>
        <v>10275.526724529353</v>
      </c>
      <c r="M39" s="161">
        <f t="shared" si="25"/>
        <v>695310.64169315284</v>
      </c>
      <c r="N39" s="162">
        <f t="shared" si="26"/>
        <v>4783929.1723889289</v>
      </c>
      <c r="O39" s="162">
        <f t="shared" si="27"/>
        <v>0</v>
      </c>
      <c r="P39" s="162">
        <f t="shared" si="28"/>
        <v>3297221.8577625402</v>
      </c>
      <c r="Q39" s="162">
        <f t="shared" si="29"/>
        <v>824305.46444063506</v>
      </c>
      <c r="R39" s="162">
        <f t="shared" si="30"/>
        <v>133581.84741888157</v>
      </c>
      <c r="S39" s="163">
        <f t="shared" si="20"/>
        <v>9039038.3420109861</v>
      </c>
      <c r="T39" s="164"/>
      <c r="U39" s="165">
        <f t="shared" si="21"/>
        <v>943167</v>
      </c>
      <c r="V39" s="165">
        <f t="shared" si="22"/>
        <v>12261171</v>
      </c>
      <c r="X39" s="144"/>
    </row>
    <row r="40" spans="1:24" ht="13" outlineLevel="1" x14ac:dyDescent="0.3">
      <c r="A40" s="155">
        <v>3.17</v>
      </c>
      <c r="B40" s="173" t="s">
        <v>42</v>
      </c>
      <c r="C40" s="157" t="s">
        <v>110</v>
      </c>
      <c r="D40" s="176" t="s">
        <v>85</v>
      </c>
      <c r="E40" s="167">
        <f>+'[9]H°A° '!O19</f>
        <v>14</v>
      </c>
      <c r="F40" s="180">
        <f>+'[9]H°A° '!F62</f>
        <v>404870.23328859062</v>
      </c>
      <c r="G40" s="180"/>
      <c r="H40" s="161">
        <f t="shared" si="11"/>
        <v>404870.23328859062</v>
      </c>
      <c r="I40" s="180">
        <f>+'[9]MO HA AING'!D148</f>
        <v>370454.15079626895</v>
      </c>
      <c r="J40" s="180"/>
      <c r="K40" s="161">
        <f t="shared" si="12"/>
        <v>370454.15079626895</v>
      </c>
      <c r="L40" s="160">
        <f t="shared" si="13"/>
        <v>11629.865761272895</v>
      </c>
      <c r="M40" s="161">
        <f t="shared" si="25"/>
        <v>786954.24984613247</v>
      </c>
      <c r="N40" s="162">
        <f t="shared" si="26"/>
        <v>5668183.2660402684</v>
      </c>
      <c r="O40" s="162">
        <f t="shared" si="27"/>
        <v>0</v>
      </c>
      <c r="P40" s="162">
        <f t="shared" si="28"/>
        <v>5186358.1111477651</v>
      </c>
      <c r="Q40" s="162">
        <f t="shared" si="29"/>
        <v>0</v>
      </c>
      <c r="R40" s="162">
        <f t="shared" si="30"/>
        <v>162818.12065782052</v>
      </c>
      <c r="S40" s="163">
        <f t="shared" si="20"/>
        <v>11017359.497845855</v>
      </c>
      <c r="T40" s="164"/>
      <c r="U40" s="165">
        <f t="shared" si="21"/>
        <v>1067478</v>
      </c>
      <c r="V40" s="165">
        <f t="shared" si="22"/>
        <v>14944692</v>
      </c>
      <c r="X40" s="144"/>
    </row>
    <row r="41" spans="1:24" ht="13" outlineLevel="1" x14ac:dyDescent="0.3">
      <c r="A41" s="155">
        <v>3.18</v>
      </c>
      <c r="B41" s="173" t="s">
        <v>42</v>
      </c>
      <c r="C41" s="157" t="s">
        <v>111</v>
      </c>
      <c r="D41" s="176" t="s">
        <v>85</v>
      </c>
      <c r="E41" s="167">
        <f>+'[9]H°A° '!O20</f>
        <v>2</v>
      </c>
      <c r="F41" s="180">
        <f>+'[9]H°A° '!F63</f>
        <v>466389.29851905268</v>
      </c>
      <c r="G41" s="180"/>
      <c r="H41" s="161">
        <f t="shared" si="11"/>
        <v>466389.29851905268</v>
      </c>
      <c r="I41" s="180">
        <f>+'[9]MO HA AING'!D99</f>
        <v>629584.35516404966</v>
      </c>
      <c r="J41" s="194">
        <f>+I41*0.25</f>
        <v>157396.08879101241</v>
      </c>
      <c r="K41" s="161">
        <f t="shared" si="12"/>
        <v>786980.44395506207</v>
      </c>
      <c r="L41" s="160">
        <f t="shared" si="13"/>
        <v>18800.54613711172</v>
      </c>
      <c r="M41" s="161">
        <f t="shared" si="25"/>
        <v>1272170.2886112265</v>
      </c>
      <c r="N41" s="162">
        <f t="shared" si="26"/>
        <v>932778.59703810536</v>
      </c>
      <c r="O41" s="162">
        <f t="shared" si="27"/>
        <v>0</v>
      </c>
      <c r="P41" s="162">
        <f t="shared" si="28"/>
        <v>1259168.7103280993</v>
      </c>
      <c r="Q41" s="162">
        <f t="shared" si="29"/>
        <v>314792.17758202483</v>
      </c>
      <c r="R41" s="162">
        <f t="shared" si="30"/>
        <v>37601.09227422344</v>
      </c>
      <c r="S41" s="163">
        <f t="shared" si="20"/>
        <v>2544340.5772224525</v>
      </c>
      <c r="T41" s="164"/>
      <c r="U41" s="165">
        <f t="shared" si="21"/>
        <v>1725658</v>
      </c>
      <c r="V41" s="165">
        <f t="shared" si="22"/>
        <v>3451316</v>
      </c>
      <c r="X41" s="144"/>
    </row>
    <row r="42" spans="1:24" ht="13" outlineLevel="1" x14ac:dyDescent="0.3">
      <c r="A42" s="155">
        <v>3.19</v>
      </c>
      <c r="B42" s="173" t="s">
        <v>42</v>
      </c>
      <c r="C42" s="201" t="s">
        <v>112</v>
      </c>
      <c r="D42" s="176" t="s">
        <v>69</v>
      </c>
      <c r="E42" s="177">
        <v>1</v>
      </c>
      <c r="F42" s="198"/>
      <c r="G42" s="180"/>
      <c r="H42" s="161">
        <f t="shared" si="11"/>
        <v>0</v>
      </c>
      <c r="I42" s="199"/>
      <c r="J42" s="180"/>
      <c r="K42" s="161">
        <f t="shared" si="12"/>
        <v>0</v>
      </c>
      <c r="L42" s="180">
        <f>+'[9]ENCOFRADO '!G151</f>
        <v>10584987.993234448</v>
      </c>
      <c r="M42" s="161">
        <f t="shared" si="25"/>
        <v>10584987.993234448</v>
      </c>
      <c r="N42" s="162">
        <f t="shared" si="26"/>
        <v>0</v>
      </c>
      <c r="O42" s="162">
        <f t="shared" si="27"/>
        <v>0</v>
      </c>
      <c r="P42" s="162">
        <f t="shared" si="28"/>
        <v>0</v>
      </c>
      <c r="Q42" s="162">
        <f t="shared" si="29"/>
        <v>0</v>
      </c>
      <c r="R42" s="162">
        <f t="shared" si="30"/>
        <v>10584987.993234448</v>
      </c>
      <c r="S42" s="163">
        <f t="shared" si="20"/>
        <v>10584987.993234448</v>
      </c>
      <c r="T42" s="164"/>
      <c r="U42" s="165">
        <f t="shared" si="21"/>
        <v>14358189</v>
      </c>
      <c r="V42" s="165">
        <f t="shared" si="22"/>
        <v>14358189</v>
      </c>
      <c r="X42" s="144"/>
    </row>
    <row r="43" spans="1:24" ht="13" outlineLevel="1" x14ac:dyDescent="0.3">
      <c r="A43" s="155">
        <v>3.2</v>
      </c>
      <c r="B43" s="173" t="s">
        <v>42</v>
      </c>
      <c r="C43" s="201" t="s">
        <v>113</v>
      </c>
      <c r="D43" s="176" t="s">
        <v>114</v>
      </c>
      <c r="E43" s="177">
        <f>+'[9]H°A° '!S43</f>
        <v>13</v>
      </c>
      <c r="F43" s="202"/>
      <c r="G43" s="167"/>
      <c r="H43" s="161">
        <f t="shared" si="11"/>
        <v>0</v>
      </c>
      <c r="I43" s="180">
        <f>+'[9]H°A° '!S44</f>
        <v>246942.14876033057</v>
      </c>
      <c r="J43" s="167"/>
      <c r="K43" s="161">
        <f t="shared" si="12"/>
        <v>246942.14876033057</v>
      </c>
      <c r="L43" s="160"/>
      <c r="M43" s="161">
        <f t="shared" si="25"/>
        <v>246942.14876033057</v>
      </c>
      <c r="N43" s="162">
        <f t="shared" si="26"/>
        <v>0</v>
      </c>
      <c r="O43" s="162">
        <f t="shared" si="27"/>
        <v>0</v>
      </c>
      <c r="P43" s="162">
        <f t="shared" si="28"/>
        <v>3210247.9338842975</v>
      </c>
      <c r="Q43" s="162">
        <f t="shared" si="29"/>
        <v>0</v>
      </c>
      <c r="R43" s="162">
        <f t="shared" si="30"/>
        <v>0</v>
      </c>
      <c r="S43" s="163">
        <f t="shared" si="20"/>
        <v>3210247.9338842975</v>
      </c>
      <c r="T43" s="164"/>
      <c r="U43" s="165">
        <f t="shared" si="21"/>
        <v>334969</v>
      </c>
      <c r="V43" s="165">
        <f t="shared" si="22"/>
        <v>4354597</v>
      </c>
      <c r="X43" s="144"/>
    </row>
    <row r="44" spans="1:24" ht="13" outlineLevel="1" x14ac:dyDescent="0.3">
      <c r="A44" s="155">
        <v>3.21</v>
      </c>
      <c r="B44" s="173" t="s">
        <v>42</v>
      </c>
      <c r="C44" s="201" t="s">
        <v>115</v>
      </c>
      <c r="D44" s="176" t="s">
        <v>69</v>
      </c>
      <c r="E44" s="177">
        <f>+[9]GGBB!R12</f>
        <v>3</v>
      </c>
      <c r="F44" s="180">
        <v>55000</v>
      </c>
      <c r="G44" s="167"/>
      <c r="H44" s="161">
        <f t="shared" si="11"/>
        <v>55000</v>
      </c>
      <c r="I44" s="199"/>
      <c r="J44" s="167"/>
      <c r="K44" s="161">
        <f t="shared" si="12"/>
        <v>0</v>
      </c>
      <c r="L44" s="160"/>
      <c r="M44" s="161">
        <f t="shared" si="25"/>
        <v>55000</v>
      </c>
      <c r="N44" s="162">
        <f t="shared" si="26"/>
        <v>165000</v>
      </c>
      <c r="O44" s="162">
        <f t="shared" si="27"/>
        <v>0</v>
      </c>
      <c r="P44" s="162">
        <f t="shared" si="28"/>
        <v>0</v>
      </c>
      <c r="Q44" s="162">
        <f t="shared" si="29"/>
        <v>0</v>
      </c>
      <c r="R44" s="162">
        <f t="shared" si="30"/>
        <v>0</v>
      </c>
      <c r="S44" s="163">
        <f t="shared" si="20"/>
        <v>165000</v>
      </c>
      <c r="T44" s="164"/>
      <c r="U44" s="165">
        <f t="shared" si="21"/>
        <v>74606</v>
      </c>
      <c r="V44" s="165">
        <f t="shared" si="22"/>
        <v>223818</v>
      </c>
      <c r="X44" s="144"/>
    </row>
    <row r="45" spans="1:24" ht="26" outlineLevel="1" x14ac:dyDescent="0.3">
      <c r="A45" s="155">
        <v>3.22</v>
      </c>
      <c r="B45" s="203" t="s">
        <v>42</v>
      </c>
      <c r="C45" s="204" t="s">
        <v>116</v>
      </c>
      <c r="D45" s="205" t="s">
        <v>83</v>
      </c>
      <c r="E45" s="206">
        <f>+[9]Computo!H49</f>
        <v>65</v>
      </c>
      <c r="F45" s="207">
        <f>+[9]Tareas!H96</f>
        <v>4615.3846153846152</v>
      </c>
      <c r="G45" s="207">
        <f>+[9]Tareas!I96</f>
        <v>4615.3846153846152</v>
      </c>
      <c r="H45" s="208">
        <f t="shared" si="11"/>
        <v>9230.7692307692305</v>
      </c>
      <c r="I45" s="207">
        <f>+[9]Tareas!Q96</f>
        <v>0</v>
      </c>
      <c r="J45" s="207">
        <f>+[9]Tareas!R96</f>
        <v>20224.016347393997</v>
      </c>
      <c r="K45" s="208">
        <f t="shared" si="12"/>
        <v>20224.016347393997</v>
      </c>
      <c r="L45" s="207">
        <f>+(H45+K45)*0.015</f>
        <v>441.82178367244842</v>
      </c>
      <c r="M45" s="208">
        <f t="shared" si="25"/>
        <v>29896.607361835675</v>
      </c>
      <c r="N45" s="209">
        <f t="shared" si="26"/>
        <v>300000</v>
      </c>
      <c r="O45" s="209">
        <f t="shared" si="27"/>
        <v>300000</v>
      </c>
      <c r="P45" s="209">
        <f t="shared" si="28"/>
        <v>0</v>
      </c>
      <c r="Q45" s="209">
        <f t="shared" si="29"/>
        <v>1314561.0625806099</v>
      </c>
      <c r="R45" s="209">
        <f t="shared" si="30"/>
        <v>28718.415938709146</v>
      </c>
      <c r="S45" s="210">
        <f t="shared" si="20"/>
        <v>1943279.4785193191</v>
      </c>
      <c r="T45" s="164"/>
      <c r="U45" s="165">
        <f t="shared" si="21"/>
        <v>40554</v>
      </c>
      <c r="V45" s="165">
        <f t="shared" si="22"/>
        <v>2636010</v>
      </c>
      <c r="X45" s="144"/>
    </row>
    <row r="46" spans="1:24" ht="13" x14ac:dyDescent="0.3">
      <c r="A46" s="136">
        <v>4</v>
      </c>
      <c r="B46" s="137"/>
      <c r="C46" s="138" t="s">
        <v>117</v>
      </c>
      <c r="D46" s="139"/>
      <c r="E46" s="140"/>
      <c r="F46" s="140"/>
      <c r="G46" s="140"/>
      <c r="H46" s="140"/>
      <c r="I46" s="140"/>
      <c r="J46" s="140"/>
      <c r="K46" s="140"/>
      <c r="L46" s="140"/>
      <c r="M46" s="141"/>
      <c r="N46" s="140"/>
      <c r="O46" s="140"/>
      <c r="P46" s="140"/>
      <c r="Q46" s="140"/>
      <c r="R46" s="140"/>
      <c r="S46" s="140"/>
      <c r="T46" s="142">
        <f>SUM(S47:S52)</f>
        <v>59733583.745566234</v>
      </c>
      <c r="U46" s="140"/>
      <c r="V46" s="140"/>
      <c r="W46" s="143">
        <f>SUM(V47:V52)</f>
        <v>81027619</v>
      </c>
      <c r="X46" s="144">
        <f>+W46/$W$213</f>
        <v>5.2594060188393757E-2</v>
      </c>
    </row>
    <row r="47" spans="1:24" s="174" customFormat="1" ht="13" outlineLevel="1" x14ac:dyDescent="0.3">
      <c r="A47" s="145">
        <v>4.01</v>
      </c>
      <c r="B47" s="211" t="s">
        <v>42</v>
      </c>
      <c r="C47" s="146" t="s">
        <v>118</v>
      </c>
      <c r="D47" s="212" t="s">
        <v>83</v>
      </c>
      <c r="E47" s="213">
        <f>+[9]MAMP.!L218</f>
        <v>437</v>
      </c>
      <c r="F47" s="214"/>
      <c r="G47" s="214">
        <f>+'[9]APU 06.25'!E13</f>
        <v>10053.788111207799</v>
      </c>
      <c r="H47" s="150">
        <f t="shared" ref="H47:H52" si="34">F47+G47</f>
        <v>10053.788111207799</v>
      </c>
      <c r="I47" s="215"/>
      <c r="J47" s="214">
        <f>+'[9]APU 06.25'!H13</f>
        <v>10761.175782920433</v>
      </c>
      <c r="K47" s="150">
        <f>I47+J47</f>
        <v>10761.175782920433</v>
      </c>
      <c r="L47" s="214">
        <f>+'[9]APU 06.25'!K13</f>
        <v>255.78052240790058</v>
      </c>
      <c r="M47" s="150">
        <f>H47+K47+L47</f>
        <v>21070.744416536134</v>
      </c>
      <c r="N47" s="151">
        <f>F47*E47</f>
        <v>0</v>
      </c>
      <c r="O47" s="151">
        <f>G47*E47</f>
        <v>4393505.4045978086</v>
      </c>
      <c r="P47" s="151">
        <f>I47*E47</f>
        <v>0</v>
      </c>
      <c r="Q47" s="151">
        <f>J47*E47</f>
        <v>4702633.817136229</v>
      </c>
      <c r="R47" s="151">
        <f>+L47*E47</f>
        <v>111776.08829225255</v>
      </c>
      <c r="S47" s="152">
        <f t="shared" ref="S47:S70" si="35">SUM(N47:R47)</f>
        <v>9207915.3100262899</v>
      </c>
      <c r="T47" s="90"/>
      <c r="U47" s="154">
        <f>+ROUNDUP(M47*$T$5,0)</f>
        <v>28582</v>
      </c>
      <c r="V47" s="154">
        <f>+U47*E47</f>
        <v>12490334</v>
      </c>
      <c r="W47" s="216"/>
      <c r="X47" s="144"/>
    </row>
    <row r="48" spans="1:24" s="174" customFormat="1" ht="26" outlineLevel="1" x14ac:dyDescent="0.3">
      <c r="A48" s="155">
        <v>4.0199999999999996</v>
      </c>
      <c r="B48" s="173" t="s">
        <v>42</v>
      </c>
      <c r="C48" s="217" t="s">
        <v>119</v>
      </c>
      <c r="D48" s="176" t="s">
        <v>83</v>
      </c>
      <c r="E48" s="177">
        <f>+[9]MAMP.!N218</f>
        <v>723</v>
      </c>
      <c r="F48" s="218"/>
      <c r="G48" s="218">
        <f>+'[9]APU 06.25'!E17</f>
        <v>18207.260451115199</v>
      </c>
      <c r="H48" s="161">
        <f t="shared" si="34"/>
        <v>18207.260451115199</v>
      </c>
      <c r="I48" s="219"/>
      <c r="J48" s="218">
        <f>+'[9]APU 06.25'!H17</f>
        <v>10761.175782920433</v>
      </c>
      <c r="K48" s="161">
        <f>I48+J48</f>
        <v>10761.175782920433</v>
      </c>
      <c r="L48" s="218">
        <f>+'[9]APU 06.25'!K17</f>
        <v>255.78052240790058</v>
      </c>
      <c r="M48" s="161">
        <f>H48+K48+L48</f>
        <v>29224.216756443533</v>
      </c>
      <c r="N48" s="162">
        <f>F48*E48</f>
        <v>0</v>
      </c>
      <c r="O48" s="162">
        <f>G48*E48</f>
        <v>13163849.306156289</v>
      </c>
      <c r="P48" s="162">
        <f>I48*E48</f>
        <v>0</v>
      </c>
      <c r="Q48" s="162">
        <f>J48*E48</f>
        <v>7780330.0910514724</v>
      </c>
      <c r="R48" s="162">
        <f>+L48*E48</f>
        <v>184929.31770091213</v>
      </c>
      <c r="S48" s="163">
        <f>SUM(N48:R48)</f>
        <v>21129108.714908671</v>
      </c>
      <c r="T48" s="90"/>
      <c r="U48" s="220">
        <f>+ROUNDUP(M48*$T$5,0)</f>
        <v>39642</v>
      </c>
      <c r="V48" s="165">
        <f>+U48*E48</f>
        <v>28661166</v>
      </c>
      <c r="W48" s="216"/>
      <c r="X48" s="144"/>
    </row>
    <row r="49" spans="1:24" s="174" customFormat="1" ht="13" outlineLevel="1" x14ac:dyDescent="0.3">
      <c r="A49" s="155">
        <v>4.03</v>
      </c>
      <c r="B49" s="173" t="s">
        <v>42</v>
      </c>
      <c r="C49" s="157" t="s">
        <v>120</v>
      </c>
      <c r="D49" s="176" t="s">
        <v>83</v>
      </c>
      <c r="E49" s="177">
        <f>+[9]MAMP.!M218</f>
        <v>1008</v>
      </c>
      <c r="F49" s="218"/>
      <c r="G49" s="218">
        <f>+'[9]APU 06.25'!E14</f>
        <v>12465.037584000003</v>
      </c>
      <c r="H49" s="161">
        <f t="shared" si="34"/>
        <v>12465.037584000003</v>
      </c>
      <c r="I49" s="219"/>
      <c r="J49" s="218">
        <f>+'[9]APU 06.25'!H14</f>
        <v>10761.175782920433</v>
      </c>
      <c r="K49" s="161">
        <f>I49+J49</f>
        <v>10761.175782920433</v>
      </c>
      <c r="L49" s="218">
        <f>+'[9]APU 06.25'!K14</f>
        <v>255.78052240790058</v>
      </c>
      <c r="M49" s="161">
        <f>H49+K49+L49</f>
        <v>23481.993889328336</v>
      </c>
      <c r="N49" s="162">
        <f>F49*E49</f>
        <v>0</v>
      </c>
      <c r="O49" s="162">
        <f>G49*E49</f>
        <v>12564757.884672003</v>
      </c>
      <c r="P49" s="162">
        <f>I49*E49</f>
        <v>0</v>
      </c>
      <c r="Q49" s="162">
        <f>J49*E49</f>
        <v>10847265.189183796</v>
      </c>
      <c r="R49" s="162">
        <f>+L49*E49</f>
        <v>257826.76658716379</v>
      </c>
      <c r="S49" s="163">
        <f>SUM(N49:R49)</f>
        <v>23669849.840442963</v>
      </c>
      <c r="T49" s="90"/>
      <c r="U49" s="220">
        <f>+ROUNDUP(M49*$T$5,0)</f>
        <v>31853</v>
      </c>
      <c r="V49" s="165">
        <f>+U49*E49</f>
        <v>32107824</v>
      </c>
      <c r="W49" s="216"/>
      <c r="X49" s="144"/>
    </row>
    <row r="50" spans="1:24" s="174" customFormat="1" ht="26" outlineLevel="1" x14ac:dyDescent="0.3">
      <c r="A50" s="155">
        <v>4.04</v>
      </c>
      <c r="B50" s="173" t="s">
        <v>42</v>
      </c>
      <c r="C50" s="157" t="s">
        <v>121</v>
      </c>
      <c r="D50" s="176" t="s">
        <v>83</v>
      </c>
      <c r="E50" s="177">
        <f>+[9]MAMP.!O218</f>
        <v>199</v>
      </c>
      <c r="F50" s="219"/>
      <c r="G50" s="221">
        <f>+'[9]APU 06.25'!E17/3</f>
        <v>6069.0868170383992</v>
      </c>
      <c r="H50" s="161">
        <f t="shared" si="34"/>
        <v>6069.0868170383992</v>
      </c>
      <c r="I50" s="218"/>
      <c r="J50" s="218">
        <f>+'[9]APU 06.25'!H17/2</f>
        <v>5380.5878914602163</v>
      </c>
      <c r="K50" s="161">
        <f t="shared" ref="K50:K52" si="36">I50+J50</f>
        <v>5380.5878914602163</v>
      </c>
      <c r="L50" s="218">
        <f>+'[9]APU 06.25'!K13</f>
        <v>255.78052240790058</v>
      </c>
      <c r="M50" s="161">
        <f t="shared" ref="M50:M51" si="37">H50+K50+L50</f>
        <v>11705.455230906517</v>
      </c>
      <c r="N50" s="162">
        <f t="shared" ref="N50:N51" si="38">F50*E50</f>
        <v>0</v>
      </c>
      <c r="O50" s="162">
        <f t="shared" ref="O50:O51" si="39">G50*E50</f>
        <v>1207748.2765906414</v>
      </c>
      <c r="P50" s="162">
        <f t="shared" ref="P50:P51" si="40">I50*E50</f>
        <v>0</v>
      </c>
      <c r="Q50" s="162">
        <f t="shared" ref="Q50:Q51" si="41">J50*E50</f>
        <v>1070736.990400583</v>
      </c>
      <c r="R50" s="162">
        <f t="shared" ref="R50:R51" si="42">+L50*E50</f>
        <v>50900.323959172216</v>
      </c>
      <c r="S50" s="163">
        <f t="shared" ref="S50:S51" si="43">SUM(N50:R50)</f>
        <v>2329385.5909503964</v>
      </c>
      <c r="T50" s="90"/>
      <c r="U50" s="220">
        <f t="shared" ref="U50:U51" si="44">+ROUNDUP(M50*$T$5,0)</f>
        <v>15879</v>
      </c>
      <c r="V50" s="165">
        <f t="shared" ref="V50:V51" si="45">+U50*E50</f>
        <v>3159921</v>
      </c>
      <c r="W50" s="216"/>
      <c r="X50" s="144"/>
    </row>
    <row r="51" spans="1:24" s="174" customFormat="1" ht="13" outlineLevel="1" x14ac:dyDescent="0.3">
      <c r="A51" s="155">
        <v>4.05</v>
      </c>
      <c r="B51" s="173" t="s">
        <v>46</v>
      </c>
      <c r="C51" s="157" t="s">
        <v>122</v>
      </c>
      <c r="D51" s="176" t="s">
        <v>83</v>
      </c>
      <c r="E51" s="177">
        <f>+[9]MAMP.!Q218</f>
        <v>34</v>
      </c>
      <c r="F51" s="218">
        <f>+'[9]APU 06.25'!E46</f>
        <v>28944.105044419659</v>
      </c>
      <c r="G51" s="218"/>
      <c r="H51" s="161">
        <f t="shared" si="34"/>
        <v>28944.105044419659</v>
      </c>
      <c r="I51" s="218">
        <f>+'[9]APU 06.25'!H46</f>
        <v>27718.212708188163</v>
      </c>
      <c r="J51" s="218"/>
      <c r="K51" s="161">
        <f t="shared" si="36"/>
        <v>27718.212708188163</v>
      </c>
      <c r="L51" s="218">
        <f>+'[9]APU 06.25'!K46</f>
        <v>441.15834345223334</v>
      </c>
      <c r="M51" s="161">
        <f t="shared" si="37"/>
        <v>57103.476096060054</v>
      </c>
      <c r="N51" s="162">
        <f t="shared" si="38"/>
        <v>984099.57151026838</v>
      </c>
      <c r="O51" s="162">
        <f t="shared" si="39"/>
        <v>0</v>
      </c>
      <c r="P51" s="162">
        <f t="shared" si="40"/>
        <v>942419.23207839753</v>
      </c>
      <c r="Q51" s="162">
        <f t="shared" si="41"/>
        <v>0</v>
      </c>
      <c r="R51" s="162">
        <f t="shared" si="42"/>
        <v>14999.383677375934</v>
      </c>
      <c r="S51" s="163">
        <f t="shared" si="43"/>
        <v>1941518.187266042</v>
      </c>
      <c r="T51" s="90"/>
      <c r="U51" s="220">
        <f t="shared" si="44"/>
        <v>77459</v>
      </c>
      <c r="V51" s="165">
        <f t="shared" si="45"/>
        <v>2633606</v>
      </c>
      <c r="W51" s="216"/>
      <c r="X51" s="144"/>
    </row>
    <row r="52" spans="1:24" s="174" customFormat="1" ht="13" outlineLevel="1" x14ac:dyDescent="0.3">
      <c r="A52" s="155">
        <v>4.0599999999999996</v>
      </c>
      <c r="B52" s="173" t="s">
        <v>42</v>
      </c>
      <c r="C52" s="157" t="s">
        <v>123</v>
      </c>
      <c r="D52" s="176" t="s">
        <v>74</v>
      </c>
      <c r="E52" s="177">
        <f>+[9]Computo!C13</f>
        <v>24</v>
      </c>
      <c r="F52" s="160">
        <f>+[9]Tareas!H101</f>
        <v>23405.011666666669</v>
      </c>
      <c r="G52" s="160">
        <f>+[9]Tareas!I101</f>
        <v>0</v>
      </c>
      <c r="H52" s="161">
        <f t="shared" si="34"/>
        <v>23405.011666666669</v>
      </c>
      <c r="I52" s="160">
        <f>+[9]Tareas!Q101</f>
        <v>0</v>
      </c>
      <c r="J52" s="160">
        <f>+[9]Tareas!R101</f>
        <v>36357.143586693906</v>
      </c>
      <c r="K52" s="161">
        <f t="shared" si="36"/>
        <v>36357.143586693906</v>
      </c>
      <c r="L52" s="160">
        <f t="shared" ref="L52" si="46">(H52+K52)*0.015</f>
        <v>896.43232880040853</v>
      </c>
      <c r="M52" s="161">
        <f>H52+K52+L52</f>
        <v>60658.587582160981</v>
      </c>
      <c r="N52" s="162">
        <f>F52*E52</f>
        <v>561720.28</v>
      </c>
      <c r="O52" s="162">
        <f>G52*E52</f>
        <v>0</v>
      </c>
      <c r="P52" s="162">
        <f>I52*E52</f>
        <v>0</v>
      </c>
      <c r="Q52" s="162">
        <f>J52*E52</f>
        <v>872571.4460806537</v>
      </c>
      <c r="R52" s="162">
        <f>+L52*E52</f>
        <v>21514.375891209806</v>
      </c>
      <c r="S52" s="163">
        <f>SUM(N52:R52)</f>
        <v>1455806.1019718635</v>
      </c>
      <c r="T52" s="90"/>
      <c r="U52" s="220">
        <f>+ROUNDUP(M52*$T$5,0)</f>
        <v>82282</v>
      </c>
      <c r="V52" s="165">
        <f>+U52*E52</f>
        <v>1974768</v>
      </c>
      <c r="W52" s="216"/>
      <c r="X52" s="144"/>
    </row>
    <row r="53" spans="1:24" ht="13" x14ac:dyDescent="0.3">
      <c r="A53" s="136">
        <v>5</v>
      </c>
      <c r="B53" s="137"/>
      <c r="C53" s="138" t="s">
        <v>124</v>
      </c>
      <c r="D53" s="139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2">
        <f>SUM(S54:S59)</f>
        <v>12211792.518648423</v>
      </c>
      <c r="U53" s="140"/>
      <c r="V53" s="140"/>
      <c r="W53" s="143">
        <f>SUM(V54:V59)</f>
        <v>16565287</v>
      </c>
      <c r="X53" s="144">
        <f>+W53/$W$213</f>
        <v>1.075233003595992E-2</v>
      </c>
    </row>
    <row r="54" spans="1:24" s="174" customFormat="1" ht="26" outlineLevel="1" x14ac:dyDescent="0.3">
      <c r="A54" s="145">
        <v>5.01</v>
      </c>
      <c r="B54" s="211" t="s">
        <v>42</v>
      </c>
      <c r="C54" s="146" t="s">
        <v>125</v>
      </c>
      <c r="D54" s="212" t="s">
        <v>83</v>
      </c>
      <c r="E54" s="213">
        <f>+[9]Locales!AD100</f>
        <v>79</v>
      </c>
      <c r="F54" s="222">
        <f>+G54*0.35</f>
        <v>3050.8865484871444</v>
      </c>
      <c r="G54" s="214">
        <f>+'[9]APU 06.25'!E50</f>
        <v>8716.8187099632705</v>
      </c>
      <c r="H54" s="150">
        <f t="shared" ref="H54:H59" si="47">F54+G54</f>
        <v>11767.705258450414</v>
      </c>
      <c r="I54" s="223">
        <f>+J54*0.35</f>
        <v>4471.4667614205455</v>
      </c>
      <c r="J54" s="224">
        <f>+[9]SUBCONTRATOS!D75</f>
        <v>12775.619318344416</v>
      </c>
      <c r="K54" s="150">
        <f t="shared" ref="K54:K59" si="48">I54+J54</f>
        <v>17247.086079764962</v>
      </c>
      <c r="L54" s="214">
        <f>+'[9]APU 06.25'!K50</f>
        <v>34.976452245793809</v>
      </c>
      <c r="M54" s="150">
        <f t="shared" ref="M54:M59" si="49">H54+K54+L54</f>
        <v>29049.767790461174</v>
      </c>
      <c r="N54" s="151">
        <f t="shared" ref="N54:N59" si="50">F54*E54</f>
        <v>241020.0373304844</v>
      </c>
      <c r="O54" s="151">
        <f t="shared" ref="O54:O59" si="51">G54*E54</f>
        <v>688628.67808709841</v>
      </c>
      <c r="P54" s="151">
        <f t="shared" ref="P54:P59" si="52">I54*E54</f>
        <v>353245.87415222311</v>
      </c>
      <c r="Q54" s="151">
        <f t="shared" ref="Q54:Q59" si="53">J54*E54</f>
        <v>1009273.9261492088</v>
      </c>
      <c r="R54" s="151">
        <f t="shared" ref="R54:R59" si="54">+L54*E54</f>
        <v>2763.1397274177107</v>
      </c>
      <c r="S54" s="152">
        <f t="shared" si="35"/>
        <v>2294931.6554464325</v>
      </c>
      <c r="T54" s="164"/>
      <c r="U54" s="225">
        <f t="shared" ref="U54:U59" si="55">+ROUNDUP(M54*$T$5,0)</f>
        <v>39406</v>
      </c>
      <c r="V54" s="220">
        <f t="shared" ref="V54:V59" si="56">+U54*E54</f>
        <v>3113074</v>
      </c>
      <c r="W54" s="216"/>
      <c r="X54" s="144"/>
    </row>
    <row r="55" spans="1:24" s="174" customFormat="1" ht="13" outlineLevel="1" x14ac:dyDescent="0.3">
      <c r="A55" s="226">
        <v>5.0199999999999996</v>
      </c>
      <c r="B55" s="227" t="s">
        <v>42</v>
      </c>
      <c r="C55" s="228" t="s">
        <v>126</v>
      </c>
      <c r="D55" s="229" t="s">
        <v>74</v>
      </c>
      <c r="E55" s="230">
        <f>+[9]MAMP.!U41</f>
        <v>113</v>
      </c>
      <c r="F55" s="231"/>
      <c r="G55" s="218">
        <f>+'[9]APU 06.25'!E21</f>
        <v>827.27861400000006</v>
      </c>
      <c r="H55" s="161">
        <f t="shared" si="47"/>
        <v>827.27861400000006</v>
      </c>
      <c r="I55" s="232"/>
      <c r="J55" s="218">
        <f>+'[9]APU 06.25'!H21</f>
        <v>4324.0477652730679</v>
      </c>
      <c r="K55" s="161">
        <f t="shared" si="48"/>
        <v>4324.0477652730679</v>
      </c>
      <c r="L55" s="218">
        <f>+'[9]APU 06.25'!K21</f>
        <v>137.02527986137531</v>
      </c>
      <c r="M55" s="161">
        <f t="shared" si="49"/>
        <v>5288.3516591344433</v>
      </c>
      <c r="N55" s="162">
        <f t="shared" si="50"/>
        <v>0</v>
      </c>
      <c r="O55" s="162">
        <f t="shared" si="51"/>
        <v>93482.483382000006</v>
      </c>
      <c r="P55" s="162">
        <f t="shared" si="52"/>
        <v>0</v>
      </c>
      <c r="Q55" s="162">
        <f t="shared" si="53"/>
        <v>488617.39747585665</v>
      </c>
      <c r="R55" s="162">
        <f t="shared" si="54"/>
        <v>15483.856624335411</v>
      </c>
      <c r="S55" s="163">
        <f>SUM(N55:R55)</f>
        <v>597583.73748219211</v>
      </c>
      <c r="T55" s="164"/>
      <c r="U55" s="225">
        <f>+ROUNDUP(M55*$T$5,0)</f>
        <v>7174</v>
      </c>
      <c r="V55" s="165">
        <f>+U55*E55</f>
        <v>810662</v>
      </c>
      <c r="W55" s="216"/>
      <c r="X55" s="144"/>
    </row>
    <row r="56" spans="1:24" s="174" customFormat="1" ht="13" outlineLevel="1" x14ac:dyDescent="0.3">
      <c r="A56" s="226">
        <v>5.03</v>
      </c>
      <c r="B56" s="173" t="s">
        <v>42</v>
      </c>
      <c r="C56" s="157" t="s">
        <v>127</v>
      </c>
      <c r="D56" s="176" t="s">
        <v>83</v>
      </c>
      <c r="E56" s="177">
        <f>+[9]Locales!AF100</f>
        <v>207</v>
      </c>
      <c r="F56" s="219"/>
      <c r="G56" s="218">
        <f>+'[9]APU 06.25'!E21</f>
        <v>827.27861400000006</v>
      </c>
      <c r="H56" s="161">
        <f t="shared" si="47"/>
        <v>827.27861400000006</v>
      </c>
      <c r="I56" s="219"/>
      <c r="J56" s="218">
        <f>+'[9]APU 06.25'!H21</f>
        <v>4324.0477652730679</v>
      </c>
      <c r="K56" s="161">
        <f t="shared" si="48"/>
        <v>4324.0477652730679</v>
      </c>
      <c r="L56" s="218">
        <f>+'[9]APU 06.25'!K21</f>
        <v>137.02527986137531</v>
      </c>
      <c r="M56" s="161">
        <f t="shared" si="49"/>
        <v>5288.3516591344433</v>
      </c>
      <c r="N56" s="162">
        <f t="shared" si="50"/>
        <v>0</v>
      </c>
      <c r="O56" s="162">
        <f t="shared" si="51"/>
        <v>171246.673098</v>
      </c>
      <c r="P56" s="162">
        <f t="shared" si="52"/>
        <v>0</v>
      </c>
      <c r="Q56" s="162">
        <f t="shared" si="53"/>
        <v>895077.88741152501</v>
      </c>
      <c r="R56" s="162">
        <f t="shared" si="54"/>
        <v>28364.23293130469</v>
      </c>
      <c r="S56" s="163">
        <f t="shared" si="35"/>
        <v>1094688.7934408297</v>
      </c>
      <c r="T56" s="164"/>
      <c r="U56" s="225">
        <f>+ROUNDUP(M56*$T$5,0)</f>
        <v>7174</v>
      </c>
      <c r="V56" s="165">
        <f>+U56*E56</f>
        <v>1485018</v>
      </c>
      <c r="W56" s="216"/>
      <c r="X56" s="144"/>
    </row>
    <row r="57" spans="1:24" s="174" customFormat="1" ht="13" outlineLevel="1" x14ac:dyDescent="0.3">
      <c r="A57" s="155">
        <v>5.04</v>
      </c>
      <c r="B57" s="173" t="s">
        <v>42</v>
      </c>
      <c r="C57" s="157" t="s">
        <v>128</v>
      </c>
      <c r="D57" s="176" t="s">
        <v>83</v>
      </c>
      <c r="E57" s="177">
        <f>+[9]Locales!AH100</f>
        <v>165</v>
      </c>
      <c r="F57" s="219"/>
      <c r="G57" s="180">
        <f>+[9]Cotizaciones!D52</f>
        <v>3538.08</v>
      </c>
      <c r="H57" s="161">
        <f t="shared" si="47"/>
        <v>3538.08</v>
      </c>
      <c r="I57" s="219"/>
      <c r="J57" s="219"/>
      <c r="K57" s="161">
        <f t="shared" si="48"/>
        <v>0</v>
      </c>
      <c r="L57" s="219"/>
      <c r="M57" s="161">
        <f t="shared" si="49"/>
        <v>3538.08</v>
      </c>
      <c r="N57" s="162">
        <f t="shared" si="50"/>
        <v>0</v>
      </c>
      <c r="O57" s="162">
        <f t="shared" si="51"/>
        <v>583783.19999999995</v>
      </c>
      <c r="P57" s="162">
        <f t="shared" si="52"/>
        <v>0</v>
      </c>
      <c r="Q57" s="162">
        <f t="shared" si="53"/>
        <v>0</v>
      </c>
      <c r="R57" s="162">
        <f t="shared" si="54"/>
        <v>0</v>
      </c>
      <c r="S57" s="163">
        <f t="shared" si="35"/>
        <v>583783.19999999995</v>
      </c>
      <c r="T57" s="164"/>
      <c r="U57" s="225">
        <f t="shared" si="55"/>
        <v>4800</v>
      </c>
      <c r="V57" s="165">
        <f t="shared" si="56"/>
        <v>792000</v>
      </c>
      <c r="W57" s="216"/>
      <c r="X57" s="144"/>
    </row>
    <row r="58" spans="1:24" s="174" customFormat="1" ht="13" outlineLevel="1" x14ac:dyDescent="0.3">
      <c r="A58" s="226">
        <v>5.05</v>
      </c>
      <c r="B58" s="173" t="s">
        <v>42</v>
      </c>
      <c r="C58" s="157" t="s">
        <v>129</v>
      </c>
      <c r="D58" s="176" t="s">
        <v>83</v>
      </c>
      <c r="E58" s="177">
        <f>+[9]Locales!AG100</f>
        <v>165</v>
      </c>
      <c r="F58" s="219"/>
      <c r="G58" s="218">
        <f>+'[9]APU 06.25'!E56</f>
        <v>1392.6097669880623</v>
      </c>
      <c r="H58" s="161">
        <f t="shared" si="47"/>
        <v>1392.6097669880623</v>
      </c>
      <c r="I58" s="219"/>
      <c r="J58" s="218">
        <f>+'[9]APU 06.25'!H56</f>
        <v>2017.7204592975809</v>
      </c>
      <c r="K58" s="161">
        <f t="shared" si="48"/>
        <v>2017.7204592975809</v>
      </c>
      <c r="L58" s="218">
        <f>+'[9]APU 06.25'!K56</f>
        <v>10.930141326810567</v>
      </c>
      <c r="M58" s="161">
        <f t="shared" si="49"/>
        <v>3421.2603676124536</v>
      </c>
      <c r="N58" s="162">
        <f t="shared" si="50"/>
        <v>0</v>
      </c>
      <c r="O58" s="162">
        <f t="shared" si="51"/>
        <v>229780.61155303029</v>
      </c>
      <c r="P58" s="162">
        <f t="shared" si="52"/>
        <v>0</v>
      </c>
      <c r="Q58" s="162">
        <f t="shared" si="53"/>
        <v>332923.87578410085</v>
      </c>
      <c r="R58" s="162">
        <f t="shared" si="54"/>
        <v>1803.4733189237436</v>
      </c>
      <c r="S58" s="163">
        <f t="shared" si="35"/>
        <v>564507.9606560549</v>
      </c>
      <c r="T58" s="164"/>
      <c r="U58" s="225">
        <f t="shared" si="55"/>
        <v>4641</v>
      </c>
      <c r="V58" s="165">
        <f t="shared" si="56"/>
        <v>765765</v>
      </c>
      <c r="W58" s="216"/>
      <c r="X58" s="144"/>
    </row>
    <row r="59" spans="1:24" s="235" customFormat="1" ht="13" outlineLevel="1" x14ac:dyDescent="0.3">
      <c r="A59" s="155">
        <v>5.0599999999999996</v>
      </c>
      <c r="B59" s="173" t="s">
        <v>42</v>
      </c>
      <c r="C59" s="157" t="s">
        <v>130</v>
      </c>
      <c r="D59" s="233" t="s">
        <v>83</v>
      </c>
      <c r="E59" s="177">
        <f>+[9]Locales!AI100</f>
        <v>274</v>
      </c>
      <c r="F59" s="222">
        <f>+G59*0.2</f>
        <v>1743.3637419926542</v>
      </c>
      <c r="G59" s="218">
        <f>+'[9]APU 06.25'!E50</f>
        <v>8716.8187099632705</v>
      </c>
      <c r="H59" s="161">
        <f t="shared" si="47"/>
        <v>10460.182451955925</v>
      </c>
      <c r="I59" s="194">
        <f>+J59*0.2</f>
        <v>2555.1238636688831</v>
      </c>
      <c r="J59" s="180">
        <f>+[9]SUBCONTRATOS!D75</f>
        <v>12775.619318344416</v>
      </c>
      <c r="K59" s="161">
        <f t="shared" si="48"/>
        <v>15330.743182013299</v>
      </c>
      <c r="L59" s="218">
        <f>+'[9]APU 06.25'!K50</f>
        <v>34.976452245793809</v>
      </c>
      <c r="M59" s="161">
        <f t="shared" si="49"/>
        <v>25825.902086215017</v>
      </c>
      <c r="N59" s="162">
        <f t="shared" si="50"/>
        <v>477681.66530598723</v>
      </c>
      <c r="O59" s="162">
        <f t="shared" si="51"/>
        <v>2388408.3265299359</v>
      </c>
      <c r="P59" s="162">
        <f t="shared" si="52"/>
        <v>700103.93864527403</v>
      </c>
      <c r="Q59" s="162">
        <f t="shared" si="53"/>
        <v>3500519.69322637</v>
      </c>
      <c r="R59" s="162">
        <f t="shared" si="54"/>
        <v>9583.5479153475044</v>
      </c>
      <c r="S59" s="163">
        <f t="shared" si="35"/>
        <v>7076297.1716229143</v>
      </c>
      <c r="T59" s="164"/>
      <c r="U59" s="225">
        <f t="shared" si="55"/>
        <v>35032</v>
      </c>
      <c r="V59" s="165">
        <f t="shared" si="56"/>
        <v>9598768</v>
      </c>
      <c r="W59" s="234"/>
      <c r="X59" s="144"/>
    </row>
    <row r="60" spans="1:24" ht="13" x14ac:dyDescent="0.3">
      <c r="A60" s="136">
        <v>6</v>
      </c>
      <c r="B60" s="137"/>
      <c r="C60" s="138" t="s">
        <v>131</v>
      </c>
      <c r="D60" s="139"/>
      <c r="E60" s="140"/>
      <c r="F60" s="140"/>
      <c r="G60" s="140"/>
      <c r="H60" s="140"/>
      <c r="I60" s="140"/>
      <c r="J60" s="140"/>
      <c r="K60" s="140"/>
      <c r="L60" s="140"/>
      <c r="M60" s="141"/>
      <c r="N60" s="140"/>
      <c r="O60" s="140"/>
      <c r="P60" s="140"/>
      <c r="Q60" s="140"/>
      <c r="R60" s="140"/>
      <c r="S60" s="140"/>
      <c r="T60" s="142">
        <f>SUM(S61:S61)</f>
        <v>1090677.587358549</v>
      </c>
      <c r="U60" s="140"/>
      <c r="V60" s="140"/>
      <c r="W60" s="143">
        <f>SUM(V61:V61)</f>
        <v>1479500</v>
      </c>
      <c r="X60" s="144">
        <f>+W60/$W$213</f>
        <v>9.6032578778760072E-4</v>
      </c>
    </row>
    <row r="61" spans="1:24" s="235" customFormat="1" ht="13" outlineLevel="1" x14ac:dyDescent="0.3">
      <c r="A61" s="173">
        <v>6.01</v>
      </c>
      <c r="B61" s="173" t="s">
        <v>42</v>
      </c>
      <c r="C61" s="204" t="s">
        <v>132</v>
      </c>
      <c r="D61" s="236" t="s">
        <v>74</v>
      </c>
      <c r="E61" s="237">
        <f>25+9.5+9.5</f>
        <v>44</v>
      </c>
      <c r="F61" s="238">
        <f>+[9]Tareas!H117</f>
        <v>16294.997685950413</v>
      </c>
      <c r="G61" s="238">
        <f>+[9]Tareas!I117</f>
        <v>0</v>
      </c>
      <c r="H61" s="208">
        <f>F61+G61</f>
        <v>16294.997685950413</v>
      </c>
      <c r="I61" s="238">
        <f>+[9]Tareas!Q117</f>
        <v>0</v>
      </c>
      <c r="J61" s="238">
        <f>+[9]Tareas!R117</f>
        <v>8126.802299686603</v>
      </c>
      <c r="K61" s="208">
        <f>I61+J61</f>
        <v>8126.802299686603</v>
      </c>
      <c r="L61" s="160">
        <f>+(H61+K61)*0.015</f>
        <v>366.3269997845552</v>
      </c>
      <c r="M61" s="208">
        <f>H61+K61+L61</f>
        <v>24788.126985421572</v>
      </c>
      <c r="N61" s="209">
        <f>F61*E61</f>
        <v>716979.89818181819</v>
      </c>
      <c r="O61" s="209">
        <f>G61*E61</f>
        <v>0</v>
      </c>
      <c r="P61" s="209">
        <f>I61*E61</f>
        <v>0</v>
      </c>
      <c r="Q61" s="209">
        <f>J61*E61</f>
        <v>357579.30118621053</v>
      </c>
      <c r="R61" s="209">
        <f>+L61*E61</f>
        <v>16118.387990520429</v>
      </c>
      <c r="S61" s="210">
        <f>SUM(N61:R61)</f>
        <v>1090677.587358549</v>
      </c>
      <c r="T61" s="164"/>
      <c r="U61" s="165">
        <f>+ROUNDUP(M61*$T$5,0)</f>
        <v>33625</v>
      </c>
      <c r="V61" s="165">
        <f>+U61*E61</f>
        <v>1479500</v>
      </c>
      <c r="W61" s="234"/>
      <c r="X61" s="144"/>
    </row>
    <row r="62" spans="1:24" ht="13" x14ac:dyDescent="0.3">
      <c r="A62" s="136">
        <v>7</v>
      </c>
      <c r="B62" s="137"/>
      <c r="C62" s="138" t="s">
        <v>133</v>
      </c>
      <c r="D62" s="139"/>
      <c r="E62" s="140"/>
      <c r="F62" s="140"/>
      <c r="G62" s="140"/>
      <c r="H62" s="140"/>
      <c r="I62" s="140"/>
      <c r="J62" s="140"/>
      <c r="K62" s="140"/>
      <c r="L62" s="140"/>
      <c r="M62" s="141"/>
      <c r="N62" s="140"/>
      <c r="O62" s="140"/>
      <c r="P62" s="140"/>
      <c r="Q62" s="140"/>
      <c r="R62" s="140"/>
      <c r="S62" s="140"/>
      <c r="T62" s="142">
        <f>SUM(S63:S70)</f>
        <v>111771007.97148216</v>
      </c>
      <c r="U62" s="140"/>
      <c r="V62" s="140"/>
      <c r="W62" s="143">
        <f>SUM(V63:V70)</f>
        <v>151616626</v>
      </c>
      <c r="X62" s="144">
        <f>+W62/$W$213</f>
        <v>9.8412541943324119E-2</v>
      </c>
    </row>
    <row r="63" spans="1:24" s="174" customFormat="1" ht="13" outlineLevel="1" x14ac:dyDescent="0.3">
      <c r="A63" s="145">
        <v>7.01</v>
      </c>
      <c r="B63" s="211" t="s">
        <v>42</v>
      </c>
      <c r="C63" s="239" t="s">
        <v>134</v>
      </c>
      <c r="D63" s="212" t="s">
        <v>83</v>
      </c>
      <c r="E63" s="213">
        <f>+'[9]Rev.'!J54</f>
        <v>663</v>
      </c>
      <c r="F63" s="214"/>
      <c r="G63" s="214">
        <f>+'[9]APU 06.25'!E23</f>
        <v>4061.1650940000004</v>
      </c>
      <c r="H63" s="150">
        <f t="shared" ref="H63:H70" si="57">F63+G63</f>
        <v>4061.1650940000004</v>
      </c>
      <c r="I63" s="149"/>
      <c r="J63" s="214">
        <f>+'[9]APU 06.25'!H23</f>
        <v>11697.516278234732</v>
      </c>
      <c r="K63" s="150">
        <f>I63+J63</f>
        <v>11697.516278234732</v>
      </c>
      <c r="L63" s="214">
        <f>+'[9]APU 06.25'!K23</f>
        <v>333.62676835813119</v>
      </c>
      <c r="M63" s="150">
        <f>H63+K63+L63</f>
        <v>16092.308140592864</v>
      </c>
      <c r="N63" s="151">
        <f>F63*E63</f>
        <v>0</v>
      </c>
      <c r="O63" s="151">
        <f>G63*E63</f>
        <v>2692552.4573220001</v>
      </c>
      <c r="P63" s="151">
        <f>I63*E63</f>
        <v>0</v>
      </c>
      <c r="Q63" s="151">
        <f>J63*E63</f>
        <v>7755453.2924696272</v>
      </c>
      <c r="R63" s="151">
        <f>+L63*E63</f>
        <v>221194.54742144098</v>
      </c>
      <c r="S63" s="152">
        <f t="shared" si="35"/>
        <v>10669200.297213068</v>
      </c>
      <c r="T63" s="164"/>
      <c r="U63" s="154">
        <f t="shared" ref="U63:U70" si="58">+ROUNDUP(M63*$T$5,0)</f>
        <v>21829</v>
      </c>
      <c r="V63" s="154">
        <f t="shared" ref="V63:V70" si="59">+U63*E63</f>
        <v>14472627</v>
      </c>
      <c r="W63" s="240"/>
      <c r="X63" s="144"/>
    </row>
    <row r="64" spans="1:24" s="174" customFormat="1" ht="13" outlineLevel="1" x14ac:dyDescent="0.3">
      <c r="A64" s="155">
        <v>7.02</v>
      </c>
      <c r="B64" s="173" t="s">
        <v>42</v>
      </c>
      <c r="C64" s="241" t="s">
        <v>135</v>
      </c>
      <c r="D64" s="176" t="s">
        <v>83</v>
      </c>
      <c r="E64" s="177">
        <f>+'[9]Rev.'!J67</f>
        <v>1164</v>
      </c>
      <c r="F64" s="218"/>
      <c r="G64" s="218">
        <f>+'[9]APU 06.25'!E24</f>
        <v>4061.1650940000004</v>
      </c>
      <c r="H64" s="161">
        <f t="shared" si="57"/>
        <v>4061.1650940000004</v>
      </c>
      <c r="I64" s="160"/>
      <c r="J64" s="218">
        <f>+'[9]APU 06.25'!H24</f>
        <v>16815.179649962429</v>
      </c>
      <c r="K64" s="161">
        <f>I64+J64</f>
        <v>16815.179649962429</v>
      </c>
      <c r="L64" s="218">
        <f>+'[9]APU 06.25'!K24</f>
        <v>863.36280564123967</v>
      </c>
      <c r="M64" s="161">
        <f>H64+K64+L64</f>
        <v>21739.707549603667</v>
      </c>
      <c r="N64" s="162">
        <f t="shared" ref="N64:N70" si="60">F64*E64</f>
        <v>0</v>
      </c>
      <c r="O64" s="162">
        <f t="shared" ref="O64:O70" si="61">G64*E64</f>
        <v>4727196.1694160001</v>
      </c>
      <c r="P64" s="162">
        <f t="shared" ref="P64:P70" si="62">I64*E64</f>
        <v>0</v>
      </c>
      <c r="Q64" s="162">
        <f t="shared" ref="Q64:Q70" si="63">J64*E64</f>
        <v>19572869.112556268</v>
      </c>
      <c r="R64" s="162">
        <f t="shared" ref="R64:R70" si="64">+L64*E64</f>
        <v>1004954.305766403</v>
      </c>
      <c r="S64" s="163">
        <f t="shared" si="35"/>
        <v>25305019.58773867</v>
      </c>
      <c r="T64" s="164"/>
      <c r="U64" s="165">
        <f t="shared" si="58"/>
        <v>29490</v>
      </c>
      <c r="V64" s="165">
        <f t="shared" si="59"/>
        <v>34326360</v>
      </c>
      <c r="W64" s="234"/>
      <c r="X64" s="144"/>
    </row>
    <row r="65" spans="1:24" s="174" customFormat="1" ht="13" outlineLevel="1" x14ac:dyDescent="0.3">
      <c r="A65" s="155">
        <v>7.03</v>
      </c>
      <c r="B65" s="173" t="s">
        <v>42</v>
      </c>
      <c r="C65" s="241" t="s">
        <v>136</v>
      </c>
      <c r="D65" s="176" t="s">
        <v>74</v>
      </c>
      <c r="E65" s="177">
        <f>+'[9]Rev.'!J71</f>
        <v>500</v>
      </c>
      <c r="F65" s="218"/>
      <c r="G65" s="218"/>
      <c r="H65" s="161">
        <f t="shared" si="57"/>
        <v>0</v>
      </c>
      <c r="I65" s="180">
        <f>+[9]SUBCONTRATOS!D36</f>
        <v>11122.339160079795</v>
      </c>
      <c r="J65" s="218"/>
      <c r="K65" s="161">
        <f t="shared" ref="K65:K70" si="65">I65+J65</f>
        <v>11122.339160079795</v>
      </c>
      <c r="L65" s="218"/>
      <c r="M65" s="161">
        <f>H65+K65+L65</f>
        <v>11122.339160079795</v>
      </c>
      <c r="N65" s="162">
        <f>F65*E65</f>
        <v>0</v>
      </c>
      <c r="O65" s="162">
        <f>G65*E65</f>
        <v>0</v>
      </c>
      <c r="P65" s="162">
        <f>I65*E65</f>
        <v>5561169.5800398979</v>
      </c>
      <c r="Q65" s="162">
        <f>J65*E65</f>
        <v>0</v>
      </c>
      <c r="R65" s="162">
        <f>+L65*E65</f>
        <v>0</v>
      </c>
      <c r="S65" s="163">
        <f>SUM(N65:R65)</f>
        <v>5561169.5800398979</v>
      </c>
      <c r="T65" s="164"/>
      <c r="U65" s="165">
        <f>+ROUNDUP(M65*$T$5,0)</f>
        <v>15088</v>
      </c>
      <c r="V65" s="165">
        <f>+U65*E65</f>
        <v>7544000</v>
      </c>
      <c r="W65" s="234"/>
      <c r="X65" s="144"/>
    </row>
    <row r="66" spans="1:24" s="174" customFormat="1" ht="13" outlineLevel="1" x14ac:dyDescent="0.3">
      <c r="A66" s="155">
        <v>7.04</v>
      </c>
      <c r="B66" s="173" t="s">
        <v>42</v>
      </c>
      <c r="C66" s="157" t="s">
        <v>137</v>
      </c>
      <c r="D66" s="176" t="s">
        <v>83</v>
      </c>
      <c r="E66" s="177">
        <f>+[9]Locales!U100</f>
        <v>521</v>
      </c>
      <c r="F66" s="218"/>
      <c r="G66" s="218">
        <f>+'[9]APU 06.25'!E22</f>
        <v>2891.2175380000008</v>
      </c>
      <c r="H66" s="161">
        <f t="shared" si="57"/>
        <v>2891.2175380000008</v>
      </c>
      <c r="I66" s="167"/>
      <c r="J66" s="218">
        <f>+'[9]APU 06.25'!H22</f>
        <v>22980.57702378547</v>
      </c>
      <c r="K66" s="161">
        <f t="shared" si="65"/>
        <v>22980.57702378547</v>
      </c>
      <c r="L66" s="218">
        <f>+'[9]APU 06.25'!K22</f>
        <v>639.45130601975143</v>
      </c>
      <c r="M66" s="161">
        <f t="shared" ref="M66:M70" si="66">H66+K66+L66</f>
        <v>26511.245867805221</v>
      </c>
      <c r="N66" s="162">
        <f t="shared" si="60"/>
        <v>0</v>
      </c>
      <c r="O66" s="162">
        <f t="shared" si="61"/>
        <v>1506324.3372980005</v>
      </c>
      <c r="P66" s="162">
        <f t="shared" si="62"/>
        <v>0</v>
      </c>
      <c r="Q66" s="162">
        <f t="shared" si="63"/>
        <v>11972880.629392231</v>
      </c>
      <c r="R66" s="162">
        <f t="shared" si="64"/>
        <v>333154.13043629052</v>
      </c>
      <c r="S66" s="163">
        <f t="shared" si="35"/>
        <v>13812359.097126521</v>
      </c>
      <c r="T66" s="164"/>
      <c r="U66" s="165">
        <f t="shared" si="58"/>
        <v>35962</v>
      </c>
      <c r="V66" s="165">
        <f t="shared" si="59"/>
        <v>18736202</v>
      </c>
      <c r="W66" s="234"/>
      <c r="X66" s="144"/>
    </row>
    <row r="67" spans="1:24" s="174" customFormat="1" ht="13" outlineLevel="1" x14ac:dyDescent="0.3">
      <c r="A67" s="155">
        <v>7.05</v>
      </c>
      <c r="B67" s="173" t="s">
        <v>42</v>
      </c>
      <c r="C67" s="157" t="s">
        <v>138</v>
      </c>
      <c r="D67" s="176" t="s">
        <v>83</v>
      </c>
      <c r="E67" s="177">
        <f>+[9]Locales!Z100</f>
        <v>2180</v>
      </c>
      <c r="F67" s="160">
        <f>+[9]Tareas!H123</f>
        <v>0</v>
      </c>
      <c r="G67" s="160">
        <f>+[9]Tareas!I123</f>
        <v>5780.8668990825699</v>
      </c>
      <c r="H67" s="161">
        <f t="shared" si="57"/>
        <v>5780.8668990825699</v>
      </c>
      <c r="I67" s="160">
        <f>+[9]Tareas!Q123</f>
        <v>12252.548573720227</v>
      </c>
      <c r="J67" s="160">
        <f>+[9]Tareas!R123</f>
        <v>0</v>
      </c>
      <c r="K67" s="161">
        <f t="shared" si="65"/>
        <v>12252.548573720227</v>
      </c>
      <c r="L67" s="160">
        <f t="shared" ref="L67:L69" si="67">+(H67+K67)*0.015</f>
        <v>270.50123209204196</v>
      </c>
      <c r="M67" s="161">
        <f t="shared" si="66"/>
        <v>18303.91670489484</v>
      </c>
      <c r="N67" s="162">
        <f t="shared" si="60"/>
        <v>0</v>
      </c>
      <c r="O67" s="162">
        <f t="shared" si="61"/>
        <v>12602289.840000002</v>
      </c>
      <c r="P67" s="162">
        <f t="shared" si="62"/>
        <v>26710555.890710097</v>
      </c>
      <c r="Q67" s="162">
        <f t="shared" si="63"/>
        <v>0</v>
      </c>
      <c r="R67" s="162">
        <f t="shared" si="64"/>
        <v>589692.68596065149</v>
      </c>
      <c r="S67" s="163">
        <f t="shared" si="35"/>
        <v>39902538.416670747</v>
      </c>
      <c r="T67" s="164"/>
      <c r="U67" s="165">
        <f t="shared" si="58"/>
        <v>24829</v>
      </c>
      <c r="V67" s="165">
        <f t="shared" si="59"/>
        <v>54127220</v>
      </c>
      <c r="W67" s="234"/>
      <c r="X67" s="144"/>
    </row>
    <row r="68" spans="1:24" s="174" customFormat="1" ht="13" outlineLevel="1" x14ac:dyDescent="0.3">
      <c r="A68" s="155">
        <v>7.06</v>
      </c>
      <c r="B68" s="173" t="s">
        <v>42</v>
      </c>
      <c r="C68" s="242" t="s">
        <v>139</v>
      </c>
      <c r="D68" s="176" t="s">
        <v>74</v>
      </c>
      <c r="E68" s="177">
        <f>+[9]Locales!AA100</f>
        <v>255</v>
      </c>
      <c r="F68" s="160">
        <f>+[9]Tareas!H128</f>
        <v>0</v>
      </c>
      <c r="G68" s="160">
        <f>+[9]Tareas!I128</f>
        <v>0</v>
      </c>
      <c r="H68" s="161">
        <f t="shared" si="57"/>
        <v>0</v>
      </c>
      <c r="I68" s="160">
        <f>+[9]Tareas!Q128</f>
        <v>13144.582643730666</v>
      </c>
      <c r="J68" s="160">
        <f>+[9]Tareas!R128</f>
        <v>0</v>
      </c>
      <c r="K68" s="161">
        <f t="shared" si="65"/>
        <v>13144.582643730666</v>
      </c>
      <c r="L68" s="160">
        <f t="shared" si="67"/>
        <v>197.16873965596</v>
      </c>
      <c r="M68" s="161">
        <f>H68+K68+L68</f>
        <v>13341.751383386625</v>
      </c>
      <c r="N68" s="162">
        <f t="shared" si="60"/>
        <v>0</v>
      </c>
      <c r="O68" s="162">
        <f t="shared" si="61"/>
        <v>0</v>
      </c>
      <c r="P68" s="162">
        <f t="shared" si="62"/>
        <v>3351868.5741513199</v>
      </c>
      <c r="Q68" s="162">
        <f t="shared" si="63"/>
        <v>0</v>
      </c>
      <c r="R68" s="162">
        <f t="shared" si="64"/>
        <v>50278.028612269802</v>
      </c>
      <c r="S68" s="163">
        <f t="shared" si="35"/>
        <v>3402146.6027635899</v>
      </c>
      <c r="T68" s="164"/>
      <c r="U68" s="165">
        <f t="shared" si="58"/>
        <v>18098</v>
      </c>
      <c r="V68" s="165">
        <f t="shared" si="59"/>
        <v>4614990</v>
      </c>
      <c r="W68" s="234"/>
      <c r="X68" s="144"/>
    </row>
    <row r="69" spans="1:24" s="174" customFormat="1" ht="13" outlineLevel="1" x14ac:dyDescent="0.3">
      <c r="A69" s="155">
        <v>7.07</v>
      </c>
      <c r="B69" s="173" t="s">
        <v>42</v>
      </c>
      <c r="C69" s="242" t="s">
        <v>140</v>
      </c>
      <c r="D69" s="176" t="s">
        <v>114</v>
      </c>
      <c r="E69" s="177">
        <f>+[9]Locales!AB100</f>
        <v>102</v>
      </c>
      <c r="F69" s="160">
        <f>+[9]Tareas!H130</f>
        <v>0</v>
      </c>
      <c r="G69" s="160">
        <f>+[9]Tareas!I130</f>
        <v>1658.1176470588234</v>
      </c>
      <c r="H69" s="161">
        <f t="shared" si="57"/>
        <v>1658.1176470588234</v>
      </c>
      <c r="I69" s="160">
        <f>+[9]Tareas!Q130</f>
        <v>13917.793387479527</v>
      </c>
      <c r="J69" s="160">
        <f>+[9]Tareas!R130</f>
        <v>0</v>
      </c>
      <c r="K69" s="161">
        <f t="shared" si="65"/>
        <v>13917.793387479527</v>
      </c>
      <c r="L69" s="160">
        <f t="shared" si="67"/>
        <v>233.63866551807524</v>
      </c>
      <c r="M69" s="161">
        <f>H69+K69+L69</f>
        <v>15809.549700056426</v>
      </c>
      <c r="N69" s="162">
        <f t="shared" si="60"/>
        <v>0</v>
      </c>
      <c r="O69" s="162">
        <f t="shared" si="61"/>
        <v>169128</v>
      </c>
      <c r="P69" s="162">
        <f t="shared" si="62"/>
        <v>1419614.9255229118</v>
      </c>
      <c r="Q69" s="162">
        <f t="shared" si="63"/>
        <v>0</v>
      </c>
      <c r="R69" s="162">
        <f t="shared" si="64"/>
        <v>23831.143882843673</v>
      </c>
      <c r="S69" s="163">
        <f t="shared" si="35"/>
        <v>1612574.0694057555</v>
      </c>
      <c r="T69" s="164"/>
      <c r="U69" s="165">
        <f t="shared" si="58"/>
        <v>21446</v>
      </c>
      <c r="V69" s="165">
        <f t="shared" si="59"/>
        <v>2187492</v>
      </c>
      <c r="W69" s="234"/>
      <c r="X69" s="144"/>
    </row>
    <row r="70" spans="1:24" s="174" customFormat="1" ht="13" outlineLevel="1" x14ac:dyDescent="0.3">
      <c r="A70" s="155">
        <v>7.08</v>
      </c>
      <c r="B70" s="173" t="s">
        <v>42</v>
      </c>
      <c r="C70" s="157" t="s">
        <v>141</v>
      </c>
      <c r="D70" s="176" t="s">
        <v>83</v>
      </c>
      <c r="E70" s="177">
        <f>+[9]Locales!X100</f>
        <v>715</v>
      </c>
      <c r="F70" s="219"/>
      <c r="G70" s="218">
        <f>+'[9]APU 06.25'!E23</f>
        <v>4061.1650940000004</v>
      </c>
      <c r="H70" s="161">
        <f t="shared" si="57"/>
        <v>4061.1650940000004</v>
      </c>
      <c r="I70" s="167"/>
      <c r="J70" s="218">
        <f>+'[9]APU 06.25'!H23</f>
        <v>11697.516278234732</v>
      </c>
      <c r="K70" s="161">
        <f t="shared" si="65"/>
        <v>11697.516278234732</v>
      </c>
      <c r="L70" s="218">
        <f>+'[9]APU 06.25'!K23</f>
        <v>333.62676835813119</v>
      </c>
      <c r="M70" s="161">
        <f t="shared" si="66"/>
        <v>16092.308140592864</v>
      </c>
      <c r="N70" s="162">
        <f t="shared" si="60"/>
        <v>0</v>
      </c>
      <c r="O70" s="162">
        <f t="shared" si="61"/>
        <v>2903733.0422100001</v>
      </c>
      <c r="P70" s="162">
        <f t="shared" si="62"/>
        <v>0</v>
      </c>
      <c r="Q70" s="162">
        <f t="shared" si="63"/>
        <v>8363724.1389378337</v>
      </c>
      <c r="R70" s="162">
        <f t="shared" si="64"/>
        <v>238543.1393760638</v>
      </c>
      <c r="S70" s="163">
        <f t="shared" si="35"/>
        <v>11506000.320523897</v>
      </c>
      <c r="T70" s="164"/>
      <c r="U70" s="165">
        <f t="shared" si="58"/>
        <v>21829</v>
      </c>
      <c r="V70" s="165">
        <f t="shared" si="59"/>
        <v>15607735</v>
      </c>
      <c r="W70" s="234"/>
      <c r="X70" s="144"/>
    </row>
    <row r="71" spans="1:24" ht="13" x14ac:dyDescent="0.3">
      <c r="A71" s="136">
        <v>8</v>
      </c>
      <c r="B71" s="137"/>
      <c r="C71" s="138" t="s">
        <v>142</v>
      </c>
      <c r="D71" s="139"/>
      <c r="E71" s="140"/>
      <c r="F71" s="140"/>
      <c r="G71" s="140"/>
      <c r="H71" s="140"/>
      <c r="I71" s="140"/>
      <c r="J71" s="140"/>
      <c r="K71" s="140"/>
      <c r="L71" s="140"/>
      <c r="M71" s="141"/>
      <c r="N71" s="140"/>
      <c r="O71" s="140"/>
      <c r="P71" s="140"/>
      <c r="Q71" s="140"/>
      <c r="R71" s="140"/>
      <c r="S71" s="140"/>
      <c r="T71" s="142">
        <f>SUM(S72:S79)</f>
        <v>36756191.980246909</v>
      </c>
      <c r="U71" s="140"/>
      <c r="V71" s="140"/>
      <c r="W71" s="143">
        <f>SUM(V72:V79)</f>
        <v>49859719</v>
      </c>
      <c r="X71" s="144">
        <f>+W71/$W$213</f>
        <v>3.2363348379549448E-2</v>
      </c>
    </row>
    <row r="72" spans="1:24" s="174" customFormat="1" ht="13" outlineLevel="1" x14ac:dyDescent="0.3">
      <c r="A72" s="145">
        <v>8.01</v>
      </c>
      <c r="B72" s="211" t="s">
        <v>42</v>
      </c>
      <c r="C72" s="146" t="s">
        <v>143</v>
      </c>
      <c r="D72" s="212" t="s">
        <v>83</v>
      </c>
      <c r="E72" s="213">
        <f>+[9]Locales!O100</f>
        <v>21</v>
      </c>
      <c r="F72" s="189"/>
      <c r="G72" s="214">
        <f>+'[9]APU 06.25'!E25*0.2</f>
        <v>13595.3268924</v>
      </c>
      <c r="H72" s="150">
        <f>F72+G72</f>
        <v>13595.3268924</v>
      </c>
      <c r="I72" s="189"/>
      <c r="J72" s="214">
        <f>+'[9]APU 06.25'!H25*0.2</f>
        <v>19696.193181845971</v>
      </c>
      <c r="K72" s="150">
        <f t="shared" ref="K72:K78" si="68">I72+J72</f>
        <v>19696.193181845971</v>
      </c>
      <c r="L72" s="214">
        <f>+'[9]APU 06.25'!K25*0.2</f>
        <v>503.75749216141679</v>
      </c>
      <c r="M72" s="150">
        <f t="shared" ref="M72:M79" si="69">H72+K72+L72</f>
        <v>33795.277566407385</v>
      </c>
      <c r="N72" s="151">
        <f t="shared" ref="N72:N79" si="70">F72*E72</f>
        <v>0</v>
      </c>
      <c r="O72" s="151">
        <f t="shared" ref="O72:O79" si="71">G72*E72</f>
        <v>285501.86474039999</v>
      </c>
      <c r="P72" s="151">
        <f t="shared" ref="P72:P79" si="72">I72*E72</f>
        <v>0</v>
      </c>
      <c r="Q72" s="151">
        <f t="shared" ref="Q72:Q79" si="73">J72*E72</f>
        <v>413620.05681876536</v>
      </c>
      <c r="R72" s="151">
        <f t="shared" ref="R72:R79" si="74">+L72*E72</f>
        <v>10578.907335389753</v>
      </c>
      <c r="S72" s="152">
        <f t="shared" ref="S72:S79" si="75">SUM(N72:R72)</f>
        <v>709700.8288945551</v>
      </c>
      <c r="T72" s="243"/>
      <c r="U72" s="220">
        <f t="shared" ref="U72:U79" si="76">+ROUNDUP(M72*$T$5,0)</f>
        <v>45843</v>
      </c>
      <c r="V72" s="220">
        <f t="shared" ref="V72:V79" si="77">+U72*E72</f>
        <v>962703</v>
      </c>
      <c r="W72" s="216"/>
      <c r="X72" s="144"/>
    </row>
    <row r="73" spans="1:24" s="174" customFormat="1" ht="13" outlineLevel="1" x14ac:dyDescent="0.3">
      <c r="A73" s="155">
        <v>8.02</v>
      </c>
      <c r="B73" s="173" t="s">
        <v>42</v>
      </c>
      <c r="C73" s="157" t="s">
        <v>144</v>
      </c>
      <c r="D73" s="176" t="s">
        <v>83</v>
      </c>
      <c r="E73" s="177">
        <f>+[9]Locales!P100</f>
        <v>201</v>
      </c>
      <c r="F73" s="169">
        <f>+[9]Tareas!H133</f>
        <v>28415.373134328358</v>
      </c>
      <c r="G73" s="169">
        <f>+[9]Tareas!I133</f>
        <v>2539.3791691542287</v>
      </c>
      <c r="H73" s="161">
        <f t="shared" ref="H73:H79" si="78">F73+G73</f>
        <v>30954.752303482586</v>
      </c>
      <c r="I73" s="160">
        <f>+[9]Tareas!Q133</f>
        <v>0</v>
      </c>
      <c r="J73" s="160">
        <f>+[9]Tareas!R133</f>
        <v>8768.7308756746588</v>
      </c>
      <c r="K73" s="161">
        <f t="shared" si="68"/>
        <v>8768.7308756746588</v>
      </c>
      <c r="L73" s="160">
        <f>+(H73+K73)*0.015</f>
        <v>595.85224768735861</v>
      </c>
      <c r="M73" s="161">
        <f t="shared" si="69"/>
        <v>40319.335426844598</v>
      </c>
      <c r="N73" s="162">
        <f t="shared" si="70"/>
        <v>5711490</v>
      </c>
      <c r="O73" s="162">
        <f t="shared" si="71"/>
        <v>510415.21299999999</v>
      </c>
      <c r="P73" s="162">
        <f t="shared" si="72"/>
        <v>0</v>
      </c>
      <c r="Q73" s="162">
        <f t="shared" si="73"/>
        <v>1762514.9060106063</v>
      </c>
      <c r="R73" s="162">
        <f t="shared" si="74"/>
        <v>119766.30178515908</v>
      </c>
      <c r="S73" s="163">
        <f t="shared" si="75"/>
        <v>8104186.4207957648</v>
      </c>
      <c r="T73" s="243"/>
      <c r="U73" s="220">
        <f t="shared" si="76"/>
        <v>54692</v>
      </c>
      <c r="V73" s="220">
        <f t="shared" si="77"/>
        <v>10993092</v>
      </c>
      <c r="W73" s="216"/>
      <c r="X73" s="144"/>
    </row>
    <row r="74" spans="1:24" s="174" customFormat="1" ht="13" outlineLevel="1" x14ac:dyDescent="0.3">
      <c r="A74" s="155">
        <v>8.0299999999999994</v>
      </c>
      <c r="B74" s="173" t="s">
        <v>42</v>
      </c>
      <c r="C74" s="157" t="s">
        <v>145</v>
      </c>
      <c r="D74" s="176" t="s">
        <v>83</v>
      </c>
      <c r="E74" s="177">
        <f>+[9]Locales!N100</f>
        <v>107</v>
      </c>
      <c r="F74" s="160"/>
      <c r="G74" s="218">
        <f>+'[9]APU 06.25'!E25*0.2</f>
        <v>13595.3268924</v>
      </c>
      <c r="H74" s="161">
        <f t="shared" si="78"/>
        <v>13595.3268924</v>
      </c>
      <c r="I74" s="160"/>
      <c r="J74" s="218">
        <f>+'[9]APU 06.25'!H25*0.2</f>
        <v>19696.193181845971</v>
      </c>
      <c r="K74" s="161">
        <f>I74+J74</f>
        <v>19696.193181845971</v>
      </c>
      <c r="L74" s="218">
        <f>+'[9]APU 06.25'!K25*0.2</f>
        <v>503.75749216141679</v>
      </c>
      <c r="M74" s="161">
        <f t="shared" si="69"/>
        <v>33795.277566407385</v>
      </c>
      <c r="N74" s="162">
        <f t="shared" si="70"/>
        <v>0</v>
      </c>
      <c r="O74" s="162">
        <f t="shared" si="71"/>
        <v>1454699.9774867999</v>
      </c>
      <c r="P74" s="162">
        <f t="shared" si="72"/>
        <v>0</v>
      </c>
      <c r="Q74" s="162">
        <f t="shared" si="73"/>
        <v>2107492.6704575187</v>
      </c>
      <c r="R74" s="162">
        <f t="shared" si="74"/>
        <v>53902.051661271595</v>
      </c>
      <c r="S74" s="163">
        <f t="shared" si="75"/>
        <v>3616094.6996055902</v>
      </c>
      <c r="T74" s="243"/>
      <c r="U74" s="165">
        <f t="shared" si="76"/>
        <v>45843</v>
      </c>
      <c r="V74" s="165">
        <f t="shared" si="77"/>
        <v>4905201</v>
      </c>
      <c r="W74" s="216"/>
      <c r="X74" s="144"/>
    </row>
    <row r="75" spans="1:24" s="174" customFormat="1" ht="13" outlineLevel="1" x14ac:dyDescent="0.3">
      <c r="A75" s="155">
        <v>8.0399999999999991</v>
      </c>
      <c r="B75" s="173" t="s">
        <v>42</v>
      </c>
      <c r="C75" s="157" t="s">
        <v>146</v>
      </c>
      <c r="D75" s="176" t="s">
        <v>83</v>
      </c>
      <c r="E75" s="177">
        <f>+[9]Locales!Q100</f>
        <v>850</v>
      </c>
      <c r="F75" s="160"/>
      <c r="G75" s="218">
        <f>+'[9]APU 06.25'!E27</f>
        <v>6717.8752369750009</v>
      </c>
      <c r="H75" s="161">
        <f t="shared" si="78"/>
        <v>6717.8752369750009</v>
      </c>
      <c r="I75" s="160"/>
      <c r="J75" s="218">
        <f>+'[9]APU 06.25'!H27</f>
        <v>11145.0220670823</v>
      </c>
      <c r="K75" s="161">
        <f t="shared" si="68"/>
        <v>11145.0220670823</v>
      </c>
      <c r="L75" s="218">
        <f>+'[9]APU 06.25'!K27</f>
        <v>130.47811125144119</v>
      </c>
      <c r="M75" s="161">
        <f t="shared" si="69"/>
        <v>17993.375415308743</v>
      </c>
      <c r="N75" s="162">
        <f t="shared" si="70"/>
        <v>0</v>
      </c>
      <c r="O75" s="162">
        <f t="shared" si="71"/>
        <v>5710193.9514287505</v>
      </c>
      <c r="P75" s="162">
        <f t="shared" si="72"/>
        <v>0</v>
      </c>
      <c r="Q75" s="162">
        <f t="shared" si="73"/>
        <v>9473268.7570199557</v>
      </c>
      <c r="R75" s="162">
        <f t="shared" si="74"/>
        <v>110906.39456372501</v>
      </c>
      <c r="S75" s="163">
        <f t="shared" si="75"/>
        <v>15294369.103012431</v>
      </c>
      <c r="T75" s="243"/>
      <c r="U75" s="165">
        <f t="shared" si="76"/>
        <v>24408</v>
      </c>
      <c r="V75" s="165">
        <f t="shared" si="77"/>
        <v>20746800</v>
      </c>
      <c r="W75" s="216"/>
      <c r="X75" s="144"/>
    </row>
    <row r="76" spans="1:24" s="174" customFormat="1" ht="13" outlineLevel="1" x14ac:dyDescent="0.3">
      <c r="A76" s="155">
        <v>8.0500000000000007</v>
      </c>
      <c r="B76" s="173" t="s">
        <v>42</v>
      </c>
      <c r="C76" s="157" t="s">
        <v>147</v>
      </c>
      <c r="D76" s="176" t="s">
        <v>83</v>
      </c>
      <c r="E76" s="177">
        <f>+[9]Locales!R100</f>
        <v>365</v>
      </c>
      <c r="F76" s="160"/>
      <c r="G76" s="218">
        <f>+'[9]APU 06.25'!E26</f>
        <v>3420.3193200000005</v>
      </c>
      <c r="H76" s="161">
        <f t="shared" si="78"/>
        <v>3420.3193200000005</v>
      </c>
      <c r="I76" s="218"/>
      <c r="J76" s="218">
        <f>+'[9]APU 06.25'!H26</f>
        <v>8295.6908247106203</v>
      </c>
      <c r="K76" s="161">
        <f t="shared" si="68"/>
        <v>8295.6908247106203</v>
      </c>
      <c r="L76" s="218">
        <f>+'[9]APU 06.25'!K26</f>
        <v>235.08682967532781</v>
      </c>
      <c r="M76" s="161">
        <f t="shared" si="69"/>
        <v>11951.096974385948</v>
      </c>
      <c r="N76" s="162">
        <f t="shared" si="70"/>
        <v>0</v>
      </c>
      <c r="O76" s="162">
        <f t="shared" si="71"/>
        <v>1248416.5518000002</v>
      </c>
      <c r="P76" s="162">
        <f t="shared" si="72"/>
        <v>0</v>
      </c>
      <c r="Q76" s="162">
        <f t="shared" si="73"/>
        <v>3027927.1510193762</v>
      </c>
      <c r="R76" s="162">
        <f t="shared" si="74"/>
        <v>85806.692831494656</v>
      </c>
      <c r="S76" s="163">
        <f t="shared" si="75"/>
        <v>4362150.3956508711</v>
      </c>
      <c r="T76" s="243"/>
      <c r="U76" s="165">
        <f t="shared" si="76"/>
        <v>16212</v>
      </c>
      <c r="V76" s="165">
        <f t="shared" si="77"/>
        <v>5917380</v>
      </c>
      <c r="W76" s="216"/>
      <c r="X76" s="144"/>
    </row>
    <row r="77" spans="1:24" s="174" customFormat="1" ht="13" outlineLevel="1" x14ac:dyDescent="0.3">
      <c r="A77" s="155">
        <v>8.06</v>
      </c>
      <c r="B77" s="173" t="s">
        <v>42</v>
      </c>
      <c r="C77" s="157" t="s">
        <v>148</v>
      </c>
      <c r="D77" s="176" t="s">
        <v>83</v>
      </c>
      <c r="E77" s="177">
        <f>+[9]Locales!S100</f>
        <v>357</v>
      </c>
      <c r="F77" s="160"/>
      <c r="G77" s="218">
        <f>+'[9]APU 06.25'!E26</f>
        <v>3420.3193200000005</v>
      </c>
      <c r="H77" s="161">
        <f t="shared" si="78"/>
        <v>3420.3193200000005</v>
      </c>
      <c r="I77" s="218"/>
      <c r="J77" s="218">
        <f>+'[9]APU 06.25'!H26</f>
        <v>8295.6908247106203</v>
      </c>
      <c r="K77" s="161">
        <f t="shared" si="68"/>
        <v>8295.6908247106203</v>
      </c>
      <c r="L77" s="218">
        <f>+'[9]APU 06.25'!K26</f>
        <v>235.08682967532781</v>
      </c>
      <c r="M77" s="161">
        <f t="shared" si="69"/>
        <v>11951.096974385948</v>
      </c>
      <c r="N77" s="162">
        <f t="shared" si="70"/>
        <v>0</v>
      </c>
      <c r="O77" s="162">
        <f t="shared" si="71"/>
        <v>1221053.9972400002</v>
      </c>
      <c r="P77" s="162">
        <f t="shared" si="72"/>
        <v>0</v>
      </c>
      <c r="Q77" s="162">
        <f t="shared" si="73"/>
        <v>2961561.6244216915</v>
      </c>
      <c r="R77" s="162">
        <f t="shared" si="74"/>
        <v>83925.998194092026</v>
      </c>
      <c r="S77" s="163">
        <f t="shared" si="75"/>
        <v>4266541.6198557839</v>
      </c>
      <c r="T77" s="243"/>
      <c r="U77" s="165">
        <f t="shared" si="76"/>
        <v>16212</v>
      </c>
      <c r="V77" s="165">
        <f t="shared" si="77"/>
        <v>5787684</v>
      </c>
      <c r="W77" s="216"/>
      <c r="X77" s="144"/>
    </row>
    <row r="78" spans="1:24" s="174" customFormat="1" ht="13" outlineLevel="1" x14ac:dyDescent="0.3">
      <c r="A78" s="155">
        <v>8.07</v>
      </c>
      <c r="B78" s="173" t="s">
        <v>50</v>
      </c>
      <c r="C78" s="157" t="s">
        <v>149</v>
      </c>
      <c r="D78" s="176" t="s">
        <v>69</v>
      </c>
      <c r="E78" s="177">
        <v>0</v>
      </c>
      <c r="F78" s="160"/>
      <c r="G78" s="160"/>
      <c r="H78" s="161">
        <f t="shared" si="78"/>
        <v>0</v>
      </c>
      <c r="I78" s="160"/>
      <c r="J78" s="160"/>
      <c r="K78" s="161">
        <f t="shared" si="68"/>
        <v>0</v>
      </c>
      <c r="L78" s="160"/>
      <c r="M78" s="161">
        <f t="shared" si="69"/>
        <v>0</v>
      </c>
      <c r="N78" s="162">
        <f t="shared" si="70"/>
        <v>0</v>
      </c>
      <c r="O78" s="162">
        <f t="shared" si="71"/>
        <v>0</v>
      </c>
      <c r="P78" s="162">
        <f t="shared" si="72"/>
        <v>0</v>
      </c>
      <c r="Q78" s="162">
        <f t="shared" si="73"/>
        <v>0</v>
      </c>
      <c r="R78" s="162">
        <f t="shared" si="74"/>
        <v>0</v>
      </c>
      <c r="S78" s="163">
        <f>SUM(N78:R78)</f>
        <v>0</v>
      </c>
      <c r="T78" s="243"/>
      <c r="U78" s="165">
        <f t="shared" si="76"/>
        <v>0</v>
      </c>
      <c r="V78" s="165">
        <f t="shared" si="77"/>
        <v>0</v>
      </c>
      <c r="W78" s="216"/>
      <c r="X78" s="144"/>
    </row>
    <row r="79" spans="1:24" s="174" customFormat="1" ht="13" outlineLevel="1" x14ac:dyDescent="0.3">
      <c r="A79" s="155">
        <v>8.08</v>
      </c>
      <c r="B79" s="173" t="s">
        <v>42</v>
      </c>
      <c r="C79" s="204" t="s">
        <v>150</v>
      </c>
      <c r="D79" s="244" t="s">
        <v>69</v>
      </c>
      <c r="E79" s="206">
        <v>1</v>
      </c>
      <c r="F79" s="207">
        <f>+[9]Tareas!H142</f>
        <v>0</v>
      </c>
      <c r="G79" s="207">
        <f>+[9]Tareas!I142</f>
        <v>93485.023591276869</v>
      </c>
      <c r="H79" s="208">
        <f t="shared" si="78"/>
        <v>93485.023591276869</v>
      </c>
      <c r="I79" s="207">
        <f>+[9]Tareas!Q142</f>
        <v>0</v>
      </c>
      <c r="J79" s="207">
        <f>+[9]Tareas!R142</f>
        <v>303706.02313966805</v>
      </c>
      <c r="K79" s="208">
        <f>I79+J79</f>
        <v>303706.02313966805</v>
      </c>
      <c r="L79" s="160">
        <f>+(H79+K79)*0.015</f>
        <v>5957.8657009641729</v>
      </c>
      <c r="M79" s="208">
        <f t="shared" si="69"/>
        <v>403148.91243190906</v>
      </c>
      <c r="N79" s="209">
        <f t="shared" si="70"/>
        <v>0</v>
      </c>
      <c r="O79" s="209">
        <f t="shared" si="71"/>
        <v>93485.023591276869</v>
      </c>
      <c r="P79" s="209">
        <f t="shared" si="72"/>
        <v>0</v>
      </c>
      <c r="Q79" s="209">
        <f t="shared" si="73"/>
        <v>303706.02313966805</v>
      </c>
      <c r="R79" s="209">
        <f t="shared" si="74"/>
        <v>5957.8657009641729</v>
      </c>
      <c r="S79" s="210">
        <f t="shared" si="75"/>
        <v>403148.91243190906</v>
      </c>
      <c r="T79" s="90"/>
      <c r="U79" s="165">
        <f t="shared" si="76"/>
        <v>546859</v>
      </c>
      <c r="V79" s="165">
        <f t="shared" si="77"/>
        <v>546859</v>
      </c>
      <c r="W79" s="216"/>
      <c r="X79" s="144"/>
    </row>
    <row r="80" spans="1:24" ht="13" x14ac:dyDescent="0.3">
      <c r="A80" s="136">
        <v>9</v>
      </c>
      <c r="B80" s="137"/>
      <c r="C80" s="138" t="s">
        <v>151</v>
      </c>
      <c r="D80" s="139"/>
      <c r="E80" s="140"/>
      <c r="F80" s="140"/>
      <c r="G80" s="140"/>
      <c r="H80" s="140"/>
      <c r="I80" s="140"/>
      <c r="J80" s="140"/>
      <c r="K80" s="140"/>
      <c r="L80" s="140"/>
      <c r="M80" s="141"/>
      <c r="N80" s="140"/>
      <c r="O80" s="140"/>
      <c r="P80" s="140"/>
      <c r="Q80" s="140"/>
      <c r="R80" s="140"/>
      <c r="S80" s="140"/>
      <c r="T80" s="142">
        <f>SUM(S81:S83)</f>
        <v>5878458.4255675683</v>
      </c>
      <c r="U80" s="140"/>
      <c r="V80" s="140"/>
      <c r="W80" s="143">
        <f>SUM(V81:V83)</f>
        <v>7973948</v>
      </c>
      <c r="X80" s="144">
        <f>+W80/$W$213</f>
        <v>5.1757944541246121E-3</v>
      </c>
    </row>
    <row r="81" spans="1:28" ht="13" outlineLevel="1" x14ac:dyDescent="0.3">
      <c r="A81" s="226">
        <v>9.01</v>
      </c>
      <c r="B81" s="227" t="s">
        <v>42</v>
      </c>
      <c r="C81" s="228" t="s">
        <v>152</v>
      </c>
      <c r="D81" s="245" t="s">
        <v>69</v>
      </c>
      <c r="E81" s="230">
        <v>1</v>
      </c>
      <c r="F81" s="246">
        <f>+[9]Tareas!H147</f>
        <v>427508.24284309684</v>
      </c>
      <c r="G81" s="246">
        <f>+[9]Tareas!I147</f>
        <v>0</v>
      </c>
      <c r="H81" s="161">
        <f>F81+G81</f>
        <v>427508.24284309684</v>
      </c>
      <c r="I81" s="246">
        <f>+[9]Tareas!Q147</f>
        <v>0</v>
      </c>
      <c r="J81" s="246">
        <f>+[9]Tareas!R147</f>
        <v>2044758.1970187626</v>
      </c>
      <c r="K81" s="161">
        <f>I81+J81</f>
        <v>2044758.1970187626</v>
      </c>
      <c r="L81" s="160">
        <f>+(H81+K81)*0.015</f>
        <v>37083.996597927886</v>
      </c>
      <c r="M81" s="161">
        <f>H81+K81+L81</f>
        <v>2509350.4364597872</v>
      </c>
      <c r="N81" s="162">
        <f>F81*E81</f>
        <v>427508.24284309684</v>
      </c>
      <c r="O81" s="162">
        <f>G81*E81</f>
        <v>0</v>
      </c>
      <c r="P81" s="162">
        <f>I81*E81</f>
        <v>0</v>
      </c>
      <c r="Q81" s="162">
        <f>J81*E81</f>
        <v>2044758.1970187626</v>
      </c>
      <c r="R81" s="162">
        <f>+L81*E81</f>
        <v>37083.996597927886</v>
      </c>
      <c r="S81" s="163">
        <f>SUM(N81:R81)</f>
        <v>2509350.4364597872</v>
      </c>
      <c r="T81" s="90"/>
      <c r="U81" s="165">
        <f>+ROUNDUP(M81*$T$5,0)</f>
        <v>3403852</v>
      </c>
      <c r="V81" s="165">
        <f>+U81*E81</f>
        <v>3403852</v>
      </c>
      <c r="W81" s="90"/>
      <c r="X81" s="247"/>
      <c r="Y81" s="248"/>
      <c r="Z81" s="248"/>
      <c r="AA81" s="248"/>
      <c r="AB81" s="172"/>
    </row>
    <row r="82" spans="1:28" ht="13" outlineLevel="1" x14ac:dyDescent="0.3">
      <c r="A82" s="226">
        <v>9.02</v>
      </c>
      <c r="B82" s="227" t="s">
        <v>42</v>
      </c>
      <c r="C82" s="228" t="s">
        <v>153</v>
      </c>
      <c r="D82" s="245" t="s">
        <v>69</v>
      </c>
      <c r="E82" s="230">
        <v>1</v>
      </c>
      <c r="F82" s="246">
        <f>+[9]Tareas!H151</f>
        <v>463902.76859504136</v>
      </c>
      <c r="G82" s="246">
        <f>+[9]Tareas!I151</f>
        <v>0</v>
      </c>
      <c r="H82" s="161">
        <f>F82+G82</f>
        <v>463902.76859504136</v>
      </c>
      <c r="I82" s="246">
        <f>+[9]Tareas!Q151</f>
        <v>0</v>
      </c>
      <c r="J82" s="246">
        <f>+[9]Tareas!R151</f>
        <v>1775796.2015776923</v>
      </c>
      <c r="K82" s="161">
        <f>I82+J82</f>
        <v>1775796.2015776923</v>
      </c>
      <c r="L82" s="160">
        <f>+(H82+K82)*0.015</f>
        <v>33595.484552590999</v>
      </c>
      <c r="M82" s="161">
        <f>H82+K82+L82</f>
        <v>2273294.4547253246</v>
      </c>
      <c r="N82" s="162">
        <f>F82*E82</f>
        <v>463902.76859504136</v>
      </c>
      <c r="O82" s="162">
        <f>G82*E82</f>
        <v>0</v>
      </c>
      <c r="P82" s="162">
        <f>I82*E82</f>
        <v>0</v>
      </c>
      <c r="Q82" s="162">
        <f>J82*E82</f>
        <v>1775796.2015776923</v>
      </c>
      <c r="R82" s="162">
        <f>+L82*E82</f>
        <v>33595.484552590999</v>
      </c>
      <c r="S82" s="163">
        <f>SUM(N82:R82)</f>
        <v>2273294.4547253246</v>
      </c>
      <c r="T82" s="90"/>
      <c r="U82" s="165">
        <f>+ROUNDUP(M82*$T$5,0)</f>
        <v>3083650</v>
      </c>
      <c r="V82" s="165">
        <f>+U82*E82</f>
        <v>3083650</v>
      </c>
      <c r="W82" s="90"/>
      <c r="X82" s="247"/>
      <c r="Y82" s="248"/>
      <c r="Z82" s="248"/>
      <c r="AA82" s="248"/>
      <c r="AB82" s="172"/>
    </row>
    <row r="83" spans="1:28" ht="13" outlineLevel="1" x14ac:dyDescent="0.3">
      <c r="A83" s="155">
        <v>9.0299999999999994</v>
      </c>
      <c r="B83" s="173" t="s">
        <v>42</v>
      </c>
      <c r="C83" s="157" t="s">
        <v>154</v>
      </c>
      <c r="D83" s="249" t="s">
        <v>74</v>
      </c>
      <c r="E83" s="177">
        <f>+[9]Computo!G201</f>
        <v>114</v>
      </c>
      <c r="F83" s="160"/>
      <c r="G83" s="218">
        <f>+'[9]APU 06.25'!E21</f>
        <v>827.27861400000006</v>
      </c>
      <c r="H83" s="161">
        <f>F83+G83</f>
        <v>827.27861400000006</v>
      </c>
      <c r="I83" s="222">
        <f>+J83</f>
        <v>4324.0477652730679</v>
      </c>
      <c r="J83" s="218">
        <f>+'[9]APU 06.25'!H21</f>
        <v>4324.0477652730679</v>
      </c>
      <c r="K83" s="161">
        <f>I83+J83</f>
        <v>8648.0955305461357</v>
      </c>
      <c r="L83" s="218">
        <f>+'[9]APU 06.25'!K21</f>
        <v>137.02527986137531</v>
      </c>
      <c r="M83" s="161">
        <f>H83+K83+L83</f>
        <v>9612.3994244075111</v>
      </c>
      <c r="N83" s="162">
        <f>F83*E83</f>
        <v>0</v>
      </c>
      <c r="O83" s="162">
        <f>G83*E83</f>
        <v>94309.761996000001</v>
      </c>
      <c r="P83" s="162">
        <f>I83*E83</f>
        <v>492941.44524112972</v>
      </c>
      <c r="Q83" s="162">
        <f>J83*E83</f>
        <v>492941.44524112972</v>
      </c>
      <c r="R83" s="162">
        <f>+L83*E83</f>
        <v>15620.881904196785</v>
      </c>
      <c r="S83" s="163">
        <f>SUM(N83:R83)</f>
        <v>1095813.5343824562</v>
      </c>
      <c r="T83" s="90"/>
      <c r="U83" s="165">
        <f>+ROUNDUP(M83*$T$5,0)</f>
        <v>13039</v>
      </c>
      <c r="V83" s="165">
        <f>+U83*E83</f>
        <v>1486446</v>
      </c>
      <c r="W83" s="90"/>
      <c r="X83" s="247"/>
    </row>
    <row r="84" spans="1:28" ht="13" x14ac:dyDescent="0.3">
      <c r="A84" s="136">
        <v>10</v>
      </c>
      <c r="B84" s="137"/>
      <c r="C84" s="138" t="s">
        <v>155</v>
      </c>
      <c r="D84" s="139"/>
      <c r="E84" s="140"/>
      <c r="F84" s="140"/>
      <c r="G84" s="140"/>
      <c r="H84" s="140"/>
      <c r="I84" s="140"/>
      <c r="J84" s="140"/>
      <c r="K84" s="140"/>
      <c r="L84" s="140"/>
      <c r="M84" s="141"/>
      <c r="N84" s="140"/>
      <c r="O84" s="140"/>
      <c r="P84" s="140"/>
      <c r="Q84" s="140"/>
      <c r="R84" s="140"/>
      <c r="S84" s="140"/>
      <c r="T84" s="142">
        <f>SUM(S85:S87)</f>
        <v>4784536.0258750627</v>
      </c>
      <c r="U84" s="140"/>
      <c r="V84" s="140"/>
      <c r="W84" s="143">
        <f>SUM(V85:V87)</f>
        <v>6490071</v>
      </c>
      <c r="X84" s="144">
        <f>+W84/$W$213</f>
        <v>4.2126276078894636E-3</v>
      </c>
    </row>
    <row r="85" spans="1:28" ht="13" outlineLevel="1" x14ac:dyDescent="0.3">
      <c r="A85" s="145">
        <v>10.01</v>
      </c>
      <c r="B85" s="250" t="s">
        <v>42</v>
      </c>
      <c r="C85" s="146" t="s">
        <v>156</v>
      </c>
      <c r="D85" s="251" t="s">
        <v>69</v>
      </c>
      <c r="E85" s="148">
        <v>1</v>
      </c>
      <c r="F85" s="160">
        <f>+[9]Tareas!H157</f>
        <v>250000</v>
      </c>
      <c r="G85" s="160">
        <f>+[9]Tareas!I157</f>
        <v>0</v>
      </c>
      <c r="H85" s="150">
        <f>F85+G85</f>
        <v>250000</v>
      </c>
      <c r="I85" s="160">
        <f>+[9]Tareas!Q157</f>
        <v>0</v>
      </c>
      <c r="J85" s="160">
        <f>+[9]Tareas!R157</f>
        <v>1663092.7624912898</v>
      </c>
      <c r="K85" s="150">
        <f>I85+J85</f>
        <v>1663092.7624912898</v>
      </c>
      <c r="L85" s="160">
        <f>(H85+K85)*0.015</f>
        <v>28696.391437369344</v>
      </c>
      <c r="M85" s="150">
        <f>H85+K85+L85</f>
        <v>1941789.1539286592</v>
      </c>
      <c r="N85" s="151">
        <f>F85*E85</f>
        <v>250000</v>
      </c>
      <c r="O85" s="151">
        <f>G85*E85</f>
        <v>0</v>
      </c>
      <c r="P85" s="151">
        <f>I85*E85</f>
        <v>0</v>
      </c>
      <c r="Q85" s="151">
        <f>J85*E85</f>
        <v>1663092.7624912898</v>
      </c>
      <c r="R85" s="151">
        <f>+L85*E85</f>
        <v>28696.391437369344</v>
      </c>
      <c r="S85" s="152">
        <f>SUM(N85:R85)</f>
        <v>1941789.1539286592</v>
      </c>
      <c r="T85" s="164"/>
      <c r="U85" s="165">
        <f>+ROUNDUP(M85*$T$5,0)</f>
        <v>2633974</v>
      </c>
      <c r="V85" s="165">
        <f>+U85*E85</f>
        <v>2633974</v>
      </c>
      <c r="X85" s="144"/>
    </row>
    <row r="86" spans="1:28" ht="13" outlineLevel="1" x14ac:dyDescent="0.3">
      <c r="A86" s="155">
        <v>10.02</v>
      </c>
      <c r="B86" s="156" t="s">
        <v>42</v>
      </c>
      <c r="C86" s="157" t="s">
        <v>157</v>
      </c>
      <c r="D86" s="197" t="s">
        <v>69</v>
      </c>
      <c r="E86" s="159">
        <v>1</v>
      </c>
      <c r="F86" s="160">
        <f>+[9]Tareas!H160</f>
        <v>250000</v>
      </c>
      <c r="G86" s="160">
        <f>+[9]Tareas!I160</f>
        <v>0</v>
      </c>
      <c r="H86" s="161">
        <f>F86+G86</f>
        <v>250000</v>
      </c>
      <c r="I86" s="160">
        <f>+[9]Tareas!Q160</f>
        <v>0</v>
      </c>
      <c r="J86" s="160">
        <f>+[9]Tareas!R160</f>
        <v>1663092.7624912898</v>
      </c>
      <c r="K86" s="161">
        <f>I86+J86</f>
        <v>1663092.7624912898</v>
      </c>
      <c r="L86" s="160">
        <f>(H86+K86)*0.015</f>
        <v>28696.391437369344</v>
      </c>
      <c r="M86" s="161">
        <f>H86+K86+L86</f>
        <v>1941789.1539286592</v>
      </c>
      <c r="N86" s="162">
        <f>F86*E86</f>
        <v>250000</v>
      </c>
      <c r="O86" s="162">
        <f>G86*E86</f>
        <v>0</v>
      </c>
      <c r="P86" s="162">
        <f>I86*E86</f>
        <v>0</v>
      </c>
      <c r="Q86" s="162">
        <f>J86*E86</f>
        <v>1663092.7624912898</v>
      </c>
      <c r="R86" s="162">
        <f>+L86*E86</f>
        <v>28696.391437369344</v>
      </c>
      <c r="S86" s="163">
        <f>SUM(N86:R86)</f>
        <v>1941789.1539286592</v>
      </c>
      <c r="T86" s="164"/>
      <c r="U86" s="165">
        <f>+ROUNDUP(M86*$T$5,0)</f>
        <v>2633974</v>
      </c>
      <c r="V86" s="165">
        <f>+U86*E86</f>
        <v>2633974</v>
      </c>
      <c r="W86" s="252"/>
      <c r="X86" s="144"/>
    </row>
    <row r="87" spans="1:28" s="174" customFormat="1" ht="13" outlineLevel="1" x14ac:dyDescent="0.3">
      <c r="A87" s="253">
        <v>10.029999999999999</v>
      </c>
      <c r="B87" s="203" t="s">
        <v>42</v>
      </c>
      <c r="C87" s="204" t="s">
        <v>158</v>
      </c>
      <c r="D87" s="244" t="s">
        <v>114</v>
      </c>
      <c r="E87" s="206">
        <v>7</v>
      </c>
      <c r="F87" s="160">
        <f>+[9]Tareas!H163</f>
        <v>31772.280991735541</v>
      </c>
      <c r="G87" s="160">
        <f>+[9]Tareas!I163</f>
        <v>0</v>
      </c>
      <c r="H87" s="208">
        <f>F87+G87</f>
        <v>31772.280991735541</v>
      </c>
      <c r="I87" s="160">
        <f>+[9]Tareas!Q163</f>
        <v>0</v>
      </c>
      <c r="J87" s="160">
        <f>+[9]Tareas!R163</f>
        <v>95033.872142359411</v>
      </c>
      <c r="K87" s="208">
        <f>I87+J87</f>
        <v>95033.872142359411</v>
      </c>
      <c r="L87" s="160">
        <f>(H87+K87)*0.015</f>
        <v>1902.0922970114243</v>
      </c>
      <c r="M87" s="208">
        <f>H87+K87+L87</f>
        <v>128708.24543110638</v>
      </c>
      <c r="N87" s="209">
        <f>F87*E87</f>
        <v>222405.96694214878</v>
      </c>
      <c r="O87" s="209">
        <f>G87*E87</f>
        <v>0</v>
      </c>
      <c r="P87" s="209">
        <f>I87*E87</f>
        <v>0</v>
      </c>
      <c r="Q87" s="209">
        <f>J87*E87</f>
        <v>665237.1049965159</v>
      </c>
      <c r="R87" s="209">
        <f>+L87*E87</f>
        <v>13314.64607907997</v>
      </c>
      <c r="S87" s="210">
        <f>SUM(N87:R87)</f>
        <v>900957.7180177446</v>
      </c>
      <c r="T87" s="164"/>
      <c r="U87" s="165">
        <f>+ROUNDUP(M87*$T$5,0)</f>
        <v>174589</v>
      </c>
      <c r="V87" s="165">
        <f>+U87*E87</f>
        <v>1222123</v>
      </c>
      <c r="W87" s="216"/>
      <c r="X87" s="144"/>
    </row>
    <row r="88" spans="1:28" ht="13" x14ac:dyDescent="0.3">
      <c r="A88" s="136">
        <v>11</v>
      </c>
      <c r="B88" s="137"/>
      <c r="C88" s="138" t="s">
        <v>159</v>
      </c>
      <c r="D88" s="139"/>
      <c r="E88" s="140"/>
      <c r="F88" s="140"/>
      <c r="G88" s="140"/>
      <c r="H88" s="140"/>
      <c r="I88" s="140"/>
      <c r="J88" s="140"/>
      <c r="K88" s="140"/>
      <c r="L88" s="140"/>
      <c r="M88" s="141"/>
      <c r="N88" s="140"/>
      <c r="O88" s="140"/>
      <c r="P88" s="140"/>
      <c r="Q88" s="140"/>
      <c r="R88" s="140"/>
      <c r="S88" s="140"/>
      <c r="T88" s="142">
        <f>SUM(S89:S95)</f>
        <v>27324424.68684407</v>
      </c>
      <c r="U88" s="140"/>
      <c r="V88" s="140"/>
      <c r="W88" s="143">
        <f>SUM(V89:V95)</f>
        <v>37065194</v>
      </c>
      <c r="X88" s="144">
        <f>+W88/$W$213</f>
        <v>2.4058574942582123E-2</v>
      </c>
    </row>
    <row r="89" spans="1:28" ht="13" outlineLevel="1" x14ac:dyDescent="0.3">
      <c r="A89" s="145">
        <v>11.01</v>
      </c>
      <c r="B89" s="211" t="s">
        <v>42</v>
      </c>
      <c r="C89" s="146" t="s">
        <v>160</v>
      </c>
      <c r="D89" s="254" t="s">
        <v>83</v>
      </c>
      <c r="E89" s="213">
        <f>+[9]Locales!BE100</f>
        <v>101</v>
      </c>
      <c r="F89" s="189"/>
      <c r="G89" s="214">
        <f>+'[9]APU 06.25'!E36</f>
        <v>6932.2708051239661</v>
      </c>
      <c r="H89" s="150">
        <f>F89+G89</f>
        <v>6932.2708051239661</v>
      </c>
      <c r="I89" s="189"/>
      <c r="J89" s="214">
        <f>+'[9]APU 06.25'!H36</f>
        <v>12793.021249932997</v>
      </c>
      <c r="K89" s="150">
        <f>I89+J89</f>
        <v>12793.021249932997</v>
      </c>
      <c r="L89" s="214">
        <f>+'[9]APU 06.25'!K36</f>
        <v>245.43420967337988</v>
      </c>
      <c r="M89" s="150">
        <f t="shared" ref="M89:M95" si="79">H89+K89+L89</f>
        <v>19970.726264730343</v>
      </c>
      <c r="N89" s="151">
        <f t="shared" ref="N89:N95" si="80">F89*E89</f>
        <v>0</v>
      </c>
      <c r="O89" s="151">
        <f t="shared" ref="O89:O95" si="81">G89*E89</f>
        <v>700159.3513175206</v>
      </c>
      <c r="P89" s="151">
        <f t="shared" ref="P89:P95" si="82">I89*E89</f>
        <v>0</v>
      </c>
      <c r="Q89" s="151">
        <f t="shared" ref="Q89:Q95" si="83">J89*E89</f>
        <v>1292095.1462432328</v>
      </c>
      <c r="R89" s="151">
        <f t="shared" ref="R89:R95" si="84">+L89*E89</f>
        <v>24788.85517701137</v>
      </c>
      <c r="S89" s="152">
        <f t="shared" ref="S89:S95" si="85">SUM(N89:R89)</f>
        <v>2017043.3527377648</v>
      </c>
      <c r="T89" s="243"/>
      <c r="U89" s="165">
        <f t="shared" ref="U89:U95" si="86">+ROUNDUP(M89*$T$5,0)</f>
        <v>27090</v>
      </c>
      <c r="V89" s="165">
        <f t="shared" ref="V89:V95" si="87">+U89*E89</f>
        <v>2736090</v>
      </c>
      <c r="W89" s="234"/>
      <c r="X89" s="247"/>
    </row>
    <row r="90" spans="1:28" ht="13" outlineLevel="1" x14ac:dyDescent="0.3">
      <c r="A90" s="155">
        <v>11.02</v>
      </c>
      <c r="B90" s="173" t="s">
        <v>42</v>
      </c>
      <c r="C90" s="157" t="s">
        <v>161</v>
      </c>
      <c r="D90" s="249" t="s">
        <v>83</v>
      </c>
      <c r="E90" s="177">
        <f>+[9]Locales!BF100</f>
        <v>898</v>
      </c>
      <c r="F90" s="160"/>
      <c r="G90" s="218">
        <f>+'[9]APU 06.25'!E36</f>
        <v>6932.2708051239661</v>
      </c>
      <c r="H90" s="161">
        <f t="shared" ref="H90:H95" si="88">F90+G90</f>
        <v>6932.2708051239661</v>
      </c>
      <c r="I90" s="160"/>
      <c r="J90" s="218">
        <f>+'[9]APU 06.25'!H36</f>
        <v>12793.021249932997</v>
      </c>
      <c r="K90" s="161">
        <f t="shared" ref="K90:K95" si="89">I90+J90</f>
        <v>12793.021249932997</v>
      </c>
      <c r="L90" s="218">
        <f>+'[9]APU 06.25'!K36</f>
        <v>245.43420967337988</v>
      </c>
      <c r="M90" s="161">
        <f t="shared" si="79"/>
        <v>19970.726264730343</v>
      </c>
      <c r="N90" s="162">
        <f t="shared" si="80"/>
        <v>0</v>
      </c>
      <c r="O90" s="162">
        <f t="shared" si="81"/>
        <v>6225179.1830013217</v>
      </c>
      <c r="P90" s="162">
        <f t="shared" si="82"/>
        <v>0</v>
      </c>
      <c r="Q90" s="162">
        <f t="shared" si="83"/>
        <v>11488133.082439832</v>
      </c>
      <c r="R90" s="162">
        <f t="shared" si="84"/>
        <v>220399.92028669512</v>
      </c>
      <c r="S90" s="163">
        <f t="shared" si="85"/>
        <v>17933712.18572785</v>
      </c>
      <c r="T90" s="90"/>
      <c r="U90" s="165">
        <f t="shared" si="86"/>
        <v>27090</v>
      </c>
      <c r="V90" s="165">
        <f t="shared" si="87"/>
        <v>24326820</v>
      </c>
      <c r="W90" s="90"/>
      <c r="X90" s="247"/>
    </row>
    <row r="91" spans="1:28" ht="13" outlineLevel="1" x14ac:dyDescent="0.3">
      <c r="A91" s="155">
        <v>11.03</v>
      </c>
      <c r="B91" s="173" t="s">
        <v>42</v>
      </c>
      <c r="C91" s="157" t="s">
        <v>162</v>
      </c>
      <c r="D91" s="249" t="s">
        <v>83</v>
      </c>
      <c r="E91" s="177">
        <f>+[9]Locales!BG100</f>
        <v>88</v>
      </c>
      <c r="F91" s="160"/>
      <c r="G91" s="218">
        <f>+'[9]APU 06.25'!E37</f>
        <v>6932.2708051239661</v>
      </c>
      <c r="H91" s="161">
        <f t="shared" si="88"/>
        <v>6932.2708051239661</v>
      </c>
      <c r="I91" s="160"/>
      <c r="J91" s="218">
        <f>+'[9]APU 06.25'!H37</f>
        <v>16630.927624912896</v>
      </c>
      <c r="K91" s="161">
        <f t="shared" si="89"/>
        <v>16630.927624912896</v>
      </c>
      <c r="L91" s="218">
        <f>+'[9]APU 06.25'!K37</f>
        <v>319.06447257539384</v>
      </c>
      <c r="M91" s="161">
        <f t="shared" si="79"/>
        <v>23882.262902612259</v>
      </c>
      <c r="N91" s="162">
        <f t="shared" si="80"/>
        <v>0</v>
      </c>
      <c r="O91" s="162">
        <f t="shared" si="81"/>
        <v>610039.830850909</v>
      </c>
      <c r="P91" s="162">
        <f t="shared" si="82"/>
        <v>0</v>
      </c>
      <c r="Q91" s="162">
        <f t="shared" si="83"/>
        <v>1463521.6309923348</v>
      </c>
      <c r="R91" s="162">
        <f t="shared" si="84"/>
        <v>28077.673586634657</v>
      </c>
      <c r="S91" s="163">
        <f t="shared" si="85"/>
        <v>2101639.1354298783</v>
      </c>
      <c r="T91" s="90"/>
      <c r="U91" s="165">
        <f t="shared" si="86"/>
        <v>32396</v>
      </c>
      <c r="V91" s="165">
        <f t="shared" si="87"/>
        <v>2850848</v>
      </c>
      <c r="W91" s="90"/>
      <c r="X91" s="247"/>
    </row>
    <row r="92" spans="1:28" ht="13" outlineLevel="1" x14ac:dyDescent="0.3">
      <c r="A92" s="155">
        <v>11.04</v>
      </c>
      <c r="B92" s="173" t="s">
        <v>42</v>
      </c>
      <c r="C92" s="255" t="s">
        <v>163</v>
      </c>
      <c r="D92" s="249" t="s">
        <v>83</v>
      </c>
      <c r="E92" s="177">
        <f>+[9]Locales!BD100</f>
        <v>63</v>
      </c>
      <c r="F92" s="160"/>
      <c r="G92" s="218">
        <f>+'[9]APU 06.25'!E36</f>
        <v>6932.2708051239661</v>
      </c>
      <c r="H92" s="161">
        <f t="shared" si="88"/>
        <v>6932.2708051239661</v>
      </c>
      <c r="I92" s="160"/>
      <c r="J92" s="218">
        <f>+'[9]APU 06.25'!H36</f>
        <v>12793.021249932997</v>
      </c>
      <c r="K92" s="161">
        <f t="shared" si="89"/>
        <v>12793.021249932997</v>
      </c>
      <c r="L92" s="218">
        <f>+'[9]APU 06.25'!K36</f>
        <v>245.43420967337988</v>
      </c>
      <c r="M92" s="161">
        <f t="shared" si="79"/>
        <v>19970.726264730343</v>
      </c>
      <c r="N92" s="162">
        <f t="shared" si="80"/>
        <v>0</v>
      </c>
      <c r="O92" s="162">
        <f t="shared" si="81"/>
        <v>436733.06072280987</v>
      </c>
      <c r="P92" s="162">
        <f t="shared" si="82"/>
        <v>0</v>
      </c>
      <c r="Q92" s="162">
        <f t="shared" si="83"/>
        <v>805960.33874577878</v>
      </c>
      <c r="R92" s="162">
        <f t="shared" si="84"/>
        <v>15462.355209422933</v>
      </c>
      <c r="S92" s="163">
        <f t="shared" si="85"/>
        <v>1258155.7546780116</v>
      </c>
      <c r="T92" s="90"/>
      <c r="U92" s="165">
        <f t="shared" si="86"/>
        <v>27090</v>
      </c>
      <c r="V92" s="165">
        <f t="shared" si="87"/>
        <v>1706670</v>
      </c>
      <c r="W92" s="90"/>
      <c r="X92" s="247"/>
    </row>
    <row r="93" spans="1:28" ht="13" outlineLevel="1" x14ac:dyDescent="0.3">
      <c r="A93" s="155">
        <v>11.05</v>
      </c>
      <c r="B93" s="173" t="s">
        <v>42</v>
      </c>
      <c r="C93" s="157" t="s">
        <v>164</v>
      </c>
      <c r="D93" s="249" t="s">
        <v>83</v>
      </c>
      <c r="E93" s="177">
        <f>+[9]Locales!BI100</f>
        <v>25</v>
      </c>
      <c r="F93" s="160"/>
      <c r="G93" s="218"/>
      <c r="H93" s="161">
        <f t="shared" si="88"/>
        <v>0</v>
      </c>
      <c r="I93" s="160"/>
      <c r="J93" s="218"/>
      <c r="K93" s="161">
        <f t="shared" si="89"/>
        <v>0</v>
      </c>
      <c r="L93" s="218"/>
      <c r="M93" s="161">
        <f t="shared" si="79"/>
        <v>0</v>
      </c>
      <c r="N93" s="162">
        <f t="shared" si="80"/>
        <v>0</v>
      </c>
      <c r="O93" s="162">
        <f t="shared" si="81"/>
        <v>0</v>
      </c>
      <c r="P93" s="162">
        <f t="shared" si="82"/>
        <v>0</v>
      </c>
      <c r="Q93" s="162">
        <f t="shared" si="83"/>
        <v>0</v>
      </c>
      <c r="R93" s="162">
        <f t="shared" si="84"/>
        <v>0</v>
      </c>
      <c r="S93" s="163">
        <f t="shared" si="85"/>
        <v>0</v>
      </c>
      <c r="T93" s="90"/>
      <c r="U93" s="165">
        <f t="shared" si="86"/>
        <v>0</v>
      </c>
      <c r="V93" s="165">
        <f t="shared" si="87"/>
        <v>0</v>
      </c>
      <c r="W93" s="90"/>
      <c r="X93" s="247"/>
    </row>
    <row r="94" spans="1:28" s="174" customFormat="1" ht="13" outlineLevel="1" x14ac:dyDescent="0.3">
      <c r="A94" s="155">
        <v>11.06</v>
      </c>
      <c r="B94" s="173" t="s">
        <v>42</v>
      </c>
      <c r="C94" s="157" t="s">
        <v>165</v>
      </c>
      <c r="D94" s="176" t="s">
        <v>83</v>
      </c>
      <c r="E94" s="177">
        <f>+[9]Locales!BH100</f>
        <v>27</v>
      </c>
      <c r="F94" s="160"/>
      <c r="G94" s="218">
        <f>+'[9]APU 06.25'!E29</f>
        <v>4104.3831840000012</v>
      </c>
      <c r="H94" s="161">
        <f t="shared" si="88"/>
        <v>4104.3831840000012</v>
      </c>
      <c r="I94" s="160"/>
      <c r="J94" s="218">
        <f>+'[9]APU 06.25'!H29</f>
        <v>11112.816288145448</v>
      </c>
      <c r="K94" s="161">
        <f t="shared" si="89"/>
        <v>11112.816288145448</v>
      </c>
      <c r="L94" s="218">
        <f>+'[9]APU 06.25'!K29</f>
        <v>306.63499522868841</v>
      </c>
      <c r="M94" s="161">
        <f t="shared" si="79"/>
        <v>15523.834467374139</v>
      </c>
      <c r="N94" s="162">
        <f t="shared" si="80"/>
        <v>0</v>
      </c>
      <c r="O94" s="162">
        <f t="shared" si="81"/>
        <v>110818.34596800004</v>
      </c>
      <c r="P94" s="162">
        <f t="shared" si="82"/>
        <v>0</v>
      </c>
      <c r="Q94" s="162">
        <f t="shared" si="83"/>
        <v>300046.03977992712</v>
      </c>
      <c r="R94" s="162">
        <f t="shared" si="84"/>
        <v>8279.144871174587</v>
      </c>
      <c r="S94" s="163">
        <f t="shared" si="85"/>
        <v>419143.53061910172</v>
      </c>
      <c r="T94" s="90"/>
      <c r="U94" s="165">
        <f t="shared" si="86"/>
        <v>21058</v>
      </c>
      <c r="V94" s="165">
        <f t="shared" si="87"/>
        <v>568566</v>
      </c>
      <c r="W94" s="216"/>
      <c r="X94" s="144"/>
    </row>
    <row r="95" spans="1:28" ht="13" outlineLevel="1" x14ac:dyDescent="0.3">
      <c r="A95" s="155">
        <v>11.07</v>
      </c>
      <c r="B95" s="173" t="s">
        <v>42</v>
      </c>
      <c r="C95" s="157" t="s">
        <v>166</v>
      </c>
      <c r="D95" s="249" t="s">
        <v>83</v>
      </c>
      <c r="E95" s="177">
        <f>+[9]Locales!BJ100</f>
        <v>180</v>
      </c>
      <c r="F95" s="160"/>
      <c r="G95" s="218">
        <f>+'[9]APU 06.25'!E36</f>
        <v>6932.2708051239661</v>
      </c>
      <c r="H95" s="161">
        <f t="shared" si="88"/>
        <v>6932.2708051239661</v>
      </c>
      <c r="I95" s="160"/>
      <c r="J95" s="218">
        <f>+'[9]APU 06.25'!H36</f>
        <v>12793.021249932997</v>
      </c>
      <c r="K95" s="161">
        <f t="shared" si="89"/>
        <v>12793.021249932997</v>
      </c>
      <c r="L95" s="218">
        <f>+'[9]APU 06.25'!K36</f>
        <v>245.43420967337988</v>
      </c>
      <c r="M95" s="161">
        <f t="shared" si="79"/>
        <v>19970.726264730343</v>
      </c>
      <c r="N95" s="162">
        <f t="shared" si="80"/>
        <v>0</v>
      </c>
      <c r="O95" s="162">
        <f t="shared" si="81"/>
        <v>1247808.7449223138</v>
      </c>
      <c r="P95" s="162">
        <f t="shared" si="82"/>
        <v>0</v>
      </c>
      <c r="Q95" s="162">
        <f t="shared" si="83"/>
        <v>2302743.8249879396</v>
      </c>
      <c r="R95" s="162">
        <f t="shared" si="84"/>
        <v>44178.157741208379</v>
      </c>
      <c r="S95" s="163">
        <f t="shared" si="85"/>
        <v>3594730.727651462</v>
      </c>
      <c r="T95" s="90"/>
      <c r="U95" s="165">
        <f t="shared" si="86"/>
        <v>27090</v>
      </c>
      <c r="V95" s="165">
        <f t="shared" si="87"/>
        <v>4876200</v>
      </c>
      <c r="W95" s="234"/>
      <c r="X95" s="247"/>
    </row>
    <row r="96" spans="1:28" ht="13" x14ac:dyDescent="0.3">
      <c r="A96" s="136">
        <v>12</v>
      </c>
      <c r="B96" s="137"/>
      <c r="C96" s="138" t="s">
        <v>167</v>
      </c>
      <c r="D96" s="139"/>
      <c r="E96" s="140"/>
      <c r="F96" s="140"/>
      <c r="G96" s="140"/>
      <c r="H96" s="140"/>
      <c r="I96" s="140"/>
      <c r="J96" s="140"/>
      <c r="K96" s="140"/>
      <c r="L96" s="140"/>
      <c r="M96" s="141"/>
      <c r="N96" s="140"/>
      <c r="O96" s="140"/>
      <c r="P96" s="140"/>
      <c r="Q96" s="140"/>
      <c r="R96" s="140"/>
      <c r="S96" s="140"/>
      <c r="T96" s="142">
        <f>SUM(S97:S100)</f>
        <v>11405978.079095781</v>
      </c>
      <c r="U96" s="140"/>
      <c r="V96" s="140"/>
      <c r="W96" s="143">
        <f>SUM(V97:V100)</f>
        <v>15472374</v>
      </c>
      <c r="X96" s="144">
        <f>+W96/$W$213</f>
        <v>1.0042933254812026E-2</v>
      </c>
    </row>
    <row r="97" spans="1:24" ht="13" outlineLevel="1" x14ac:dyDescent="0.3">
      <c r="A97" s="145">
        <v>12.01</v>
      </c>
      <c r="B97" s="211" t="s">
        <v>42</v>
      </c>
      <c r="C97" s="146" t="s">
        <v>168</v>
      </c>
      <c r="D97" s="254" t="s">
        <v>74</v>
      </c>
      <c r="E97" s="213">
        <f>+[9]Locales!BL100</f>
        <v>792</v>
      </c>
      <c r="F97" s="189">
        <f>+[9]Tareas!H169</f>
        <v>4349.9864345938731</v>
      </c>
      <c r="G97" s="189">
        <f>+[9]Tareas!I169</f>
        <v>0</v>
      </c>
      <c r="H97" s="150">
        <f>F97+G97</f>
        <v>4349.9864345938731</v>
      </c>
      <c r="I97" s="189">
        <f>+[9]Tareas!Q169</f>
        <v>0</v>
      </c>
      <c r="J97" s="189">
        <f>+[9]Tareas!R169</f>
        <v>5122.3554254865312</v>
      </c>
      <c r="K97" s="150">
        <f>I97+J97</f>
        <v>5122.3554254865312</v>
      </c>
      <c r="L97" s="189">
        <f>(H97+K97)*0.015</f>
        <v>142.08512790120605</v>
      </c>
      <c r="M97" s="150">
        <f>H97+K97+L97</f>
        <v>9614.4269879816093</v>
      </c>
      <c r="N97" s="151">
        <f>F97*E97</f>
        <v>3445189.2561983475</v>
      </c>
      <c r="O97" s="151">
        <f>G97*E97</f>
        <v>0</v>
      </c>
      <c r="P97" s="151">
        <f>I97*E97</f>
        <v>0</v>
      </c>
      <c r="Q97" s="151">
        <f>J97*E97</f>
        <v>4056905.4969853326</v>
      </c>
      <c r="R97" s="151">
        <f>+L97*E97</f>
        <v>112531.42129775519</v>
      </c>
      <c r="S97" s="152">
        <f>SUM(N97:R97)</f>
        <v>7614626.1744814347</v>
      </c>
      <c r="T97" s="164"/>
      <c r="U97" s="165">
        <f>+ROUNDUP(M97*$T$5,0)</f>
        <v>13042</v>
      </c>
      <c r="V97" s="165">
        <f>+U97*E97</f>
        <v>10329264</v>
      </c>
      <c r="X97" s="144"/>
    </row>
    <row r="98" spans="1:24" ht="13" outlineLevel="1" x14ac:dyDescent="0.3">
      <c r="A98" s="226">
        <v>12.02</v>
      </c>
      <c r="B98" s="227" t="s">
        <v>42</v>
      </c>
      <c r="C98" s="228" t="s">
        <v>169</v>
      </c>
      <c r="D98" s="245" t="s">
        <v>74</v>
      </c>
      <c r="E98" s="230">
        <f>+[9]Locales!BN100</f>
        <v>282</v>
      </c>
      <c r="F98" s="246"/>
      <c r="G98" s="218">
        <f>+'[9]APU 06.25'!E38</f>
        <v>1001.4972036694213</v>
      </c>
      <c r="H98" s="161">
        <f>F98+G98</f>
        <v>1001.4972036694213</v>
      </c>
      <c r="I98" s="246"/>
      <c r="J98" s="218">
        <f>+'[9]APU 06.25'!H38</f>
        <v>5543.6425416376323</v>
      </c>
      <c r="K98" s="161">
        <f>I98+J98</f>
        <v>5543.6425416376323</v>
      </c>
      <c r="L98" s="218">
        <f>+'[9]APU 06.25'!K38</f>
        <v>106.35482419179795</v>
      </c>
      <c r="M98" s="161">
        <f>H98+K98+L98</f>
        <v>6651.4945694988519</v>
      </c>
      <c r="N98" s="162">
        <f t="shared" ref="N98:N99" si="90">F98*E98</f>
        <v>0</v>
      </c>
      <c r="O98" s="162">
        <f t="shared" ref="O98:O99" si="91">G98*E98</f>
        <v>282422.21143477684</v>
      </c>
      <c r="P98" s="162">
        <f t="shared" ref="P98:P99" si="92">I98*E98</f>
        <v>0</v>
      </c>
      <c r="Q98" s="162">
        <f t="shared" ref="Q98:Q99" si="93">J98*E98</f>
        <v>1563307.1967418124</v>
      </c>
      <c r="R98" s="162">
        <f t="shared" ref="R98:R99" si="94">+L98*E98</f>
        <v>29992.060422087019</v>
      </c>
      <c r="S98" s="163">
        <f t="shared" ref="S98:S99" si="95">SUM(N98:R98)</f>
        <v>1875721.4685986764</v>
      </c>
      <c r="T98" s="164"/>
      <c r="U98" s="165">
        <f t="shared" ref="U98:U99" si="96">+ROUNDUP(M98*$T$5,0)</f>
        <v>9023</v>
      </c>
      <c r="V98" s="165">
        <f t="shared" ref="V98:V99" si="97">+U98*E98</f>
        <v>2544486</v>
      </c>
      <c r="X98" s="144"/>
    </row>
    <row r="99" spans="1:24" ht="13" outlineLevel="1" x14ac:dyDescent="0.3">
      <c r="A99" s="226">
        <v>12.03</v>
      </c>
      <c r="B99" s="227" t="s">
        <v>42</v>
      </c>
      <c r="C99" s="256" t="s">
        <v>170</v>
      </c>
      <c r="D99" s="245" t="s">
        <v>74</v>
      </c>
      <c r="E99" s="230">
        <f>+[9]Locales!BO100</f>
        <v>263</v>
      </c>
      <c r="F99" s="246"/>
      <c r="G99" s="218">
        <f>+'[9]APU 06.25'!E38</f>
        <v>1001.4972036694213</v>
      </c>
      <c r="H99" s="161">
        <f>F99+G99</f>
        <v>1001.4972036694213</v>
      </c>
      <c r="I99" s="246"/>
      <c r="J99" s="218">
        <f>+'[9]APU 06.25'!H38</f>
        <v>5543.6425416376323</v>
      </c>
      <c r="K99" s="161">
        <f>I99+J99</f>
        <v>5543.6425416376323</v>
      </c>
      <c r="L99" s="218">
        <f>+'[9]APU 06.25'!K38</f>
        <v>106.35482419179795</v>
      </c>
      <c r="M99" s="161">
        <f>H99+K99+L99</f>
        <v>6651.4945694988519</v>
      </c>
      <c r="N99" s="162">
        <f t="shared" si="90"/>
        <v>0</v>
      </c>
      <c r="O99" s="162">
        <f t="shared" si="91"/>
        <v>263393.76456505782</v>
      </c>
      <c r="P99" s="162">
        <f t="shared" si="92"/>
        <v>0</v>
      </c>
      <c r="Q99" s="162">
        <f t="shared" si="93"/>
        <v>1457977.9884506974</v>
      </c>
      <c r="R99" s="162">
        <f t="shared" si="94"/>
        <v>27971.318762442861</v>
      </c>
      <c r="S99" s="163">
        <f t="shared" si="95"/>
        <v>1749343.071778198</v>
      </c>
      <c r="T99" s="164"/>
      <c r="U99" s="165">
        <f t="shared" si="96"/>
        <v>9023</v>
      </c>
      <c r="V99" s="165">
        <f t="shared" si="97"/>
        <v>2373049</v>
      </c>
      <c r="X99" s="144"/>
    </row>
    <row r="100" spans="1:24" ht="13" outlineLevel="1" x14ac:dyDescent="0.3">
      <c r="A100" s="253">
        <v>12.04</v>
      </c>
      <c r="B100" s="203" t="s">
        <v>42</v>
      </c>
      <c r="C100" s="204" t="s">
        <v>171</v>
      </c>
      <c r="D100" s="257" t="s">
        <v>74</v>
      </c>
      <c r="E100" s="206">
        <f>+[9]Locales!BK100</f>
        <v>25</v>
      </c>
      <c r="F100" s="207"/>
      <c r="G100" s="218">
        <f>+'[9]APU 06.25'!E38</f>
        <v>1001.4972036694213</v>
      </c>
      <c r="H100" s="208">
        <f>F100+G100</f>
        <v>1001.4972036694213</v>
      </c>
      <c r="I100" s="207"/>
      <c r="J100" s="218">
        <f>+'[9]APU 06.25'!H38</f>
        <v>5543.6425416376323</v>
      </c>
      <c r="K100" s="208">
        <f>I100+J100</f>
        <v>5543.6425416376323</v>
      </c>
      <c r="L100" s="218">
        <f>+'[9]APU 06.25'!K38</f>
        <v>106.35482419179795</v>
      </c>
      <c r="M100" s="208">
        <f>H100+K100+L100</f>
        <v>6651.4945694988519</v>
      </c>
      <c r="N100" s="209">
        <f>F100*E100</f>
        <v>0</v>
      </c>
      <c r="O100" s="209">
        <f>G100*E100</f>
        <v>25037.430091735532</v>
      </c>
      <c r="P100" s="209">
        <f>I100*E100</f>
        <v>0</v>
      </c>
      <c r="Q100" s="209">
        <f>J100*E100</f>
        <v>138591.06354094081</v>
      </c>
      <c r="R100" s="209">
        <f>+L100*E100</f>
        <v>2658.8706047949486</v>
      </c>
      <c r="S100" s="210">
        <f>SUM(N100:R100)</f>
        <v>166287.36423747128</v>
      </c>
      <c r="T100" s="164"/>
      <c r="U100" s="165">
        <f>+ROUNDUP(M100*$T$5,0)</f>
        <v>9023</v>
      </c>
      <c r="V100" s="165">
        <f>+U100*E100</f>
        <v>225575</v>
      </c>
      <c r="X100" s="144"/>
    </row>
    <row r="101" spans="1:24" ht="13" x14ac:dyDescent="0.3">
      <c r="A101" s="136">
        <v>13</v>
      </c>
      <c r="B101" s="137"/>
      <c r="C101" s="138" t="s">
        <v>172</v>
      </c>
      <c r="D101" s="139"/>
      <c r="E101" s="140"/>
      <c r="F101" s="140"/>
      <c r="G101" s="140"/>
      <c r="H101" s="140"/>
      <c r="I101" s="140"/>
      <c r="J101" s="140"/>
      <c r="K101" s="140"/>
      <c r="L101" s="140"/>
      <c r="M101" s="141"/>
      <c r="N101" s="140"/>
      <c r="O101" s="140"/>
      <c r="P101" s="140"/>
      <c r="Q101" s="140"/>
      <c r="R101" s="140"/>
      <c r="S101" s="140"/>
      <c r="T101" s="142">
        <f>SUM(S102:S104)</f>
        <v>14743328.343565872</v>
      </c>
      <c r="U101" s="140"/>
      <c r="V101" s="140"/>
      <c r="W101" s="143">
        <f>SUM(V102:V104)</f>
        <v>19999196</v>
      </c>
      <c r="X101" s="144">
        <f>+W101/$W$213</f>
        <v>1.298123937399029E-2</v>
      </c>
    </row>
    <row r="102" spans="1:24" ht="13" outlineLevel="1" x14ac:dyDescent="0.3">
      <c r="A102" s="173">
        <v>13.01</v>
      </c>
      <c r="B102" s="173" t="s">
        <v>42</v>
      </c>
      <c r="C102" s="255" t="s">
        <v>173</v>
      </c>
      <c r="D102" s="197" t="s">
        <v>83</v>
      </c>
      <c r="E102" s="159">
        <f>+[9]Locales!BR100</f>
        <v>493</v>
      </c>
      <c r="F102" s="218"/>
      <c r="G102" s="218">
        <f>+'[9]APU 06.25'!E37</f>
        <v>6932.2708051239661</v>
      </c>
      <c r="H102" s="161">
        <f t="shared" ref="H102:H104" si="98">F102+G102</f>
        <v>6932.2708051239661</v>
      </c>
      <c r="I102" s="218"/>
      <c r="J102" s="218">
        <f>+'[9]APU 06.25'!H37</f>
        <v>16630.927624912896</v>
      </c>
      <c r="K102" s="161">
        <f t="shared" ref="K102:K104" si="99">I102+J102</f>
        <v>16630.927624912896</v>
      </c>
      <c r="L102" s="218">
        <f>+'[9]APU 06.25'!K37</f>
        <v>319.06447257539384</v>
      </c>
      <c r="M102" s="161">
        <f t="shared" ref="M102:M104" si="100">H102+K102+L102</f>
        <v>23882.262902612259</v>
      </c>
      <c r="N102" s="162">
        <f t="shared" ref="N102:N104" si="101">F102*E102</f>
        <v>0</v>
      </c>
      <c r="O102" s="162">
        <f t="shared" ref="O102:O104" si="102">G102*E102</f>
        <v>3417609.5069261151</v>
      </c>
      <c r="P102" s="162">
        <f t="shared" ref="P102:P104" si="103">I102*E102</f>
        <v>0</v>
      </c>
      <c r="Q102" s="162">
        <f t="shared" ref="Q102:Q104" si="104">J102*E102</f>
        <v>8199047.319082058</v>
      </c>
      <c r="R102" s="162">
        <f t="shared" ref="R102:R104" si="105">+L102*E102</f>
        <v>157298.78497966917</v>
      </c>
      <c r="S102" s="163">
        <f t="shared" ref="S102:S104" si="106">SUM(N102:R102)</f>
        <v>11773955.610987842</v>
      </c>
      <c r="T102" s="90"/>
      <c r="U102" s="165">
        <f t="shared" ref="U102:U104" si="107">+ROUNDUP(M102*$T$5,0)</f>
        <v>32396</v>
      </c>
      <c r="V102" s="165">
        <f t="shared" ref="V102:V104" si="108">+U102*E102</f>
        <v>15971228</v>
      </c>
      <c r="X102" s="144"/>
    </row>
    <row r="103" spans="1:24" ht="13" outlineLevel="1" x14ac:dyDescent="0.3">
      <c r="A103" s="173">
        <v>13.02</v>
      </c>
      <c r="B103" s="173" t="s">
        <v>42</v>
      </c>
      <c r="C103" s="255" t="s">
        <v>174</v>
      </c>
      <c r="D103" s="197" t="s">
        <v>83</v>
      </c>
      <c r="E103" s="159">
        <f>+[9]Locales!BQ100</f>
        <v>82</v>
      </c>
      <c r="F103" s="218"/>
      <c r="G103" s="218">
        <f>+'[9]APU 06.25'!E37</f>
        <v>6932.2708051239661</v>
      </c>
      <c r="H103" s="161">
        <f t="shared" si="98"/>
        <v>6932.2708051239661</v>
      </c>
      <c r="I103" s="218"/>
      <c r="J103" s="218">
        <f>+'[9]APU 06.25'!H37</f>
        <v>16630.927624912896</v>
      </c>
      <c r="K103" s="161">
        <f t="shared" si="99"/>
        <v>16630.927624912896</v>
      </c>
      <c r="L103" s="218">
        <f>+'[9]APU 06.25'!K37</f>
        <v>319.06447257539384</v>
      </c>
      <c r="M103" s="161">
        <f t="shared" si="100"/>
        <v>23882.262902612259</v>
      </c>
      <c r="N103" s="162">
        <f t="shared" si="101"/>
        <v>0</v>
      </c>
      <c r="O103" s="162">
        <f t="shared" si="102"/>
        <v>568446.20602016523</v>
      </c>
      <c r="P103" s="162">
        <f t="shared" si="103"/>
        <v>0</v>
      </c>
      <c r="Q103" s="162">
        <f t="shared" si="104"/>
        <v>1363736.0652428574</v>
      </c>
      <c r="R103" s="162">
        <f t="shared" si="105"/>
        <v>26163.286751182295</v>
      </c>
      <c r="S103" s="163">
        <f t="shared" si="106"/>
        <v>1958345.558014205</v>
      </c>
      <c r="T103" s="90"/>
      <c r="U103" s="165">
        <f t="shared" si="107"/>
        <v>32396</v>
      </c>
      <c r="V103" s="165">
        <f t="shared" si="108"/>
        <v>2656472</v>
      </c>
      <c r="X103" s="144"/>
    </row>
    <row r="104" spans="1:24" ht="26" outlineLevel="1" x14ac:dyDescent="0.3">
      <c r="A104" s="173">
        <v>13.03</v>
      </c>
      <c r="B104" s="203" t="s">
        <v>42</v>
      </c>
      <c r="C104" s="204" t="s">
        <v>175</v>
      </c>
      <c r="D104" s="258" t="s">
        <v>74</v>
      </c>
      <c r="E104" s="237">
        <f>+[9]Computo!F132</f>
        <v>152</v>
      </c>
      <c r="F104" s="259"/>
      <c r="G104" s="218">
        <f>+'[9]APU 06.25'!E38</f>
        <v>1001.4972036694213</v>
      </c>
      <c r="H104" s="208">
        <f t="shared" si="98"/>
        <v>1001.4972036694213</v>
      </c>
      <c r="I104" s="259"/>
      <c r="J104" s="218">
        <f>+'[9]APU 06.25'!H38</f>
        <v>5543.6425416376323</v>
      </c>
      <c r="K104" s="208">
        <f t="shared" si="99"/>
        <v>5543.6425416376323</v>
      </c>
      <c r="L104" s="218">
        <f>+'[9]APU 06.25'!K38</f>
        <v>106.35482419179795</v>
      </c>
      <c r="M104" s="208">
        <f t="shared" si="100"/>
        <v>6651.4945694988519</v>
      </c>
      <c r="N104" s="209">
        <f t="shared" si="101"/>
        <v>0</v>
      </c>
      <c r="O104" s="209">
        <f t="shared" si="102"/>
        <v>152227.57495775205</v>
      </c>
      <c r="P104" s="209">
        <f t="shared" si="103"/>
        <v>0</v>
      </c>
      <c r="Q104" s="209">
        <f t="shared" si="104"/>
        <v>842633.66632892017</v>
      </c>
      <c r="R104" s="209">
        <f t="shared" si="105"/>
        <v>16165.933277153288</v>
      </c>
      <c r="S104" s="210">
        <f t="shared" si="106"/>
        <v>1011027.1745638255</v>
      </c>
      <c r="T104" s="90"/>
      <c r="U104" s="260">
        <f t="shared" si="107"/>
        <v>9023</v>
      </c>
      <c r="V104" s="260">
        <f t="shared" si="108"/>
        <v>1371496</v>
      </c>
      <c r="X104" s="144"/>
    </row>
    <row r="105" spans="1:24" s="174" customFormat="1" ht="13" x14ac:dyDescent="0.3">
      <c r="A105" s="136">
        <v>14</v>
      </c>
      <c r="B105" s="137"/>
      <c r="C105" s="138" t="s">
        <v>176</v>
      </c>
      <c r="D105" s="139"/>
      <c r="E105" s="140"/>
      <c r="F105" s="140"/>
      <c r="G105" s="140"/>
      <c r="H105" s="140"/>
      <c r="I105" s="140"/>
      <c r="J105" s="140"/>
      <c r="K105" s="140"/>
      <c r="L105" s="140"/>
      <c r="M105" s="141"/>
      <c r="N105" s="140"/>
      <c r="O105" s="140"/>
      <c r="P105" s="140"/>
      <c r="Q105" s="140"/>
      <c r="R105" s="140"/>
      <c r="S105" s="140"/>
      <c r="T105" s="142">
        <f>SUM(S106:S113)</f>
        <v>35256356.862572774</v>
      </c>
      <c r="U105" s="140"/>
      <c r="V105" s="140"/>
      <c r="W105" s="143">
        <f>SUM(V106:V113)</f>
        <v>47824730</v>
      </c>
      <c r="X105" s="144">
        <f>+W105/$W$213</f>
        <v>3.1042461313267527E-2</v>
      </c>
    </row>
    <row r="106" spans="1:24" ht="13" outlineLevel="1" x14ac:dyDescent="0.3">
      <c r="A106" s="145">
        <f>+A105+0.01</f>
        <v>14.01</v>
      </c>
      <c r="B106" s="211" t="s">
        <v>42</v>
      </c>
      <c r="C106" s="146" t="s">
        <v>177</v>
      </c>
      <c r="D106" s="251" t="s">
        <v>83</v>
      </c>
      <c r="E106" s="148">
        <f>+[9]Locales!AL100</f>
        <v>146</v>
      </c>
      <c r="F106" s="214">
        <f>+'[9]APU 06.25'!E40</f>
        <v>10667.044969530953</v>
      </c>
      <c r="G106" s="214"/>
      <c r="H106" s="150">
        <f>F106+G106</f>
        <v>10667.044969530953</v>
      </c>
      <c r="I106" s="214">
        <f>+'[9]APU 06.25'!H40</f>
        <v>17506.239605171471</v>
      </c>
      <c r="J106" s="214"/>
      <c r="K106" s="150">
        <f>I106+J106</f>
        <v>17506.239605171471</v>
      </c>
      <c r="L106" s="214">
        <f>+'[9]APU 06.25'!K40</f>
        <v>286.6463366158178</v>
      </c>
      <c r="M106" s="150">
        <f>H106+K106+L106</f>
        <v>28459.930911318243</v>
      </c>
      <c r="N106" s="151">
        <f>F106*E106</f>
        <v>1557388.5655515192</v>
      </c>
      <c r="O106" s="151">
        <f>G106*E106</f>
        <v>0</v>
      </c>
      <c r="P106" s="151">
        <f>I106*E106</f>
        <v>2555910.9823550349</v>
      </c>
      <c r="Q106" s="151">
        <f>J106*E106</f>
        <v>0</v>
      </c>
      <c r="R106" s="151">
        <f>+L106*E106</f>
        <v>41850.365145909396</v>
      </c>
      <c r="S106" s="152">
        <f>SUM(N106:R106)</f>
        <v>4155149.9130524639</v>
      </c>
      <c r="T106" s="164"/>
      <c r="U106" s="165">
        <f>+ROUNDUP(M106*$T$5,0)</f>
        <v>38605</v>
      </c>
      <c r="V106" s="165">
        <f>+U106*E106</f>
        <v>5636330</v>
      </c>
      <c r="X106" s="144"/>
    </row>
    <row r="107" spans="1:24" ht="13" outlineLevel="1" x14ac:dyDescent="0.3">
      <c r="A107" s="155">
        <v>14.02</v>
      </c>
      <c r="B107" s="173" t="s">
        <v>42</v>
      </c>
      <c r="C107" s="157" t="s">
        <v>178</v>
      </c>
      <c r="D107" s="197" t="s">
        <v>83</v>
      </c>
      <c r="E107" s="159">
        <f>+[9]Locales!AM100</f>
        <v>89</v>
      </c>
      <c r="F107" s="218">
        <f>+'[9]APU 06.25'!E41</f>
        <v>14748.700231069415</v>
      </c>
      <c r="G107" s="218"/>
      <c r="H107" s="161">
        <f t="shared" ref="H107:H113" si="109">F107+G107</f>
        <v>14748.700231069415</v>
      </c>
      <c r="I107" s="218">
        <f>+'[9]APU 06.25'!H41</f>
        <v>17506.239605171471</v>
      </c>
      <c r="J107" s="218"/>
      <c r="K107" s="161">
        <f t="shared" ref="K107:K113" si="110">I107+J107</f>
        <v>17506.239605171471</v>
      </c>
      <c r="L107" s="218">
        <f>+'[9]APU 06.25'!K41</f>
        <v>286.6463366158178</v>
      </c>
      <c r="M107" s="161">
        <f>H107+K107+L107</f>
        <v>32541.586172856703</v>
      </c>
      <c r="N107" s="162">
        <f>F107*E107</f>
        <v>1312634.3205651781</v>
      </c>
      <c r="O107" s="162">
        <f>G107*E107</f>
        <v>0</v>
      </c>
      <c r="P107" s="162">
        <f>I107*E107</f>
        <v>1558055.3248602611</v>
      </c>
      <c r="Q107" s="162">
        <f>J107*E107</f>
        <v>0</v>
      </c>
      <c r="R107" s="162">
        <f>+L107*E107</f>
        <v>25511.523958807786</v>
      </c>
      <c r="S107" s="163">
        <f>SUM(N107:R107)</f>
        <v>2896201.1693842467</v>
      </c>
      <c r="T107" s="164"/>
      <c r="U107" s="165">
        <f>+ROUNDUP(M107*$T$5,0)</f>
        <v>44142</v>
      </c>
      <c r="V107" s="165">
        <f>+U107*E107</f>
        <v>3928638</v>
      </c>
      <c r="X107" s="144"/>
    </row>
    <row r="108" spans="1:24" ht="13" outlineLevel="1" x14ac:dyDescent="0.3">
      <c r="A108" s="155">
        <v>14.03</v>
      </c>
      <c r="B108" s="173" t="s">
        <v>42</v>
      </c>
      <c r="C108" s="157" t="s">
        <v>179</v>
      </c>
      <c r="D108" s="197" t="s">
        <v>74</v>
      </c>
      <c r="E108" s="159">
        <f>+[9]Locales!AP100</f>
        <v>62</v>
      </c>
      <c r="F108" s="218">
        <f>+'[9]APU 06.25'!E40</f>
        <v>10667.044969530953</v>
      </c>
      <c r="G108" s="218">
        <f>+'[9]APU 06.25'!E60</f>
        <v>987.17450099173561</v>
      </c>
      <c r="H108" s="161">
        <f t="shared" si="109"/>
        <v>11654.219470522688</v>
      </c>
      <c r="I108" s="218">
        <f>+'[9]APU 06.25'!H40</f>
        <v>17506.239605171471</v>
      </c>
      <c r="J108" s="218">
        <f>+'[9]APU 06.25'!H60</f>
        <v>6278.4758589025905</v>
      </c>
      <c r="K108" s="161">
        <f t="shared" si="110"/>
        <v>23784.715464074063</v>
      </c>
      <c r="L108" s="218">
        <f>+'[9]APU 06.25'!K40+'[9]APU 06.25'!K60</f>
        <v>468.18901647250243</v>
      </c>
      <c r="M108" s="161">
        <f t="shared" ref="M108:M113" si="111">H108+K108+L108</f>
        <v>35907.123951069254</v>
      </c>
      <c r="N108" s="162">
        <f t="shared" ref="N108:N113" si="112">F108*E108</f>
        <v>661356.78811091906</v>
      </c>
      <c r="O108" s="162">
        <f t="shared" ref="O108:O113" si="113">G108*E108</f>
        <v>61204.819061487608</v>
      </c>
      <c r="P108" s="162">
        <f t="shared" ref="P108:P113" si="114">I108*E108</f>
        <v>1085386.8555206312</v>
      </c>
      <c r="Q108" s="162">
        <f t="shared" ref="Q108:Q113" si="115">J108*E108</f>
        <v>389265.50325196062</v>
      </c>
      <c r="R108" s="162">
        <f t="shared" ref="R108:R113" si="116">+L108*E108</f>
        <v>29027.71902129515</v>
      </c>
      <c r="S108" s="163">
        <f t="shared" ref="S108:S113" si="117">SUM(N108:R108)</f>
        <v>2226241.6849662936</v>
      </c>
      <c r="T108" s="164"/>
      <c r="U108" s="165">
        <f>+ROUNDUP(M108*$T$5,0)</f>
        <v>48707</v>
      </c>
      <c r="V108" s="165">
        <f>+U108*E108</f>
        <v>3019834</v>
      </c>
      <c r="X108" s="144"/>
    </row>
    <row r="109" spans="1:24" ht="13" outlineLevel="1" x14ac:dyDescent="0.3">
      <c r="A109" s="155">
        <v>14.04</v>
      </c>
      <c r="B109" s="173" t="s">
        <v>42</v>
      </c>
      <c r="C109" s="157" t="s">
        <v>180</v>
      </c>
      <c r="D109" s="197" t="s">
        <v>74</v>
      </c>
      <c r="E109" s="159">
        <f>+[9]Locales!AO102</f>
        <v>689</v>
      </c>
      <c r="F109" s="218">
        <f>+'[9]APU 06.25'!E60</f>
        <v>987.17450099173561</v>
      </c>
      <c r="G109" s="160"/>
      <c r="H109" s="161">
        <f t="shared" si="109"/>
        <v>987.17450099173561</v>
      </c>
      <c r="I109" s="218">
        <f>+'[9]APU 06.25'!H60</f>
        <v>6278.4758589025905</v>
      </c>
      <c r="J109" s="160"/>
      <c r="K109" s="161">
        <f t="shared" si="110"/>
        <v>6278.4758589025905</v>
      </c>
      <c r="L109" s="218">
        <f>+'[9]APU 06.25'!K60</f>
        <v>181.5426798566846</v>
      </c>
      <c r="M109" s="161">
        <f t="shared" si="111"/>
        <v>7447.1930397510114</v>
      </c>
      <c r="N109" s="162">
        <f t="shared" si="112"/>
        <v>680163.23118330585</v>
      </c>
      <c r="O109" s="162">
        <f t="shared" si="113"/>
        <v>0</v>
      </c>
      <c r="P109" s="162">
        <f t="shared" si="114"/>
        <v>4325869.8667838853</v>
      </c>
      <c r="Q109" s="162">
        <f t="shared" si="115"/>
        <v>0</v>
      </c>
      <c r="R109" s="162">
        <f t="shared" si="116"/>
        <v>125082.90642125568</v>
      </c>
      <c r="S109" s="163">
        <f t="shared" si="117"/>
        <v>5131116.004388446</v>
      </c>
      <c r="T109" s="164"/>
      <c r="U109" s="165">
        <f t="shared" ref="U109:U113" si="118">+ROUNDUP(M109*$T$5,0)</f>
        <v>10102</v>
      </c>
      <c r="V109" s="165">
        <f t="shared" ref="V109:V113" si="119">+U109*E109</f>
        <v>6960278</v>
      </c>
      <c r="X109" s="144"/>
    </row>
    <row r="110" spans="1:24" s="174" customFormat="1" ht="13" outlineLevel="1" x14ac:dyDescent="0.3">
      <c r="A110" s="155">
        <v>14.05</v>
      </c>
      <c r="B110" s="173" t="s">
        <v>42</v>
      </c>
      <c r="C110" s="157" t="s">
        <v>181</v>
      </c>
      <c r="D110" s="197" t="s">
        <v>83</v>
      </c>
      <c r="E110" s="159">
        <f>+[9]Locales!AR100</f>
        <v>668</v>
      </c>
      <c r="F110" s="160">
        <f>+[9]Tareas!H174</f>
        <v>0</v>
      </c>
      <c r="G110" s="160">
        <f>+[9]Tareas!I174</f>
        <v>6515.4063473053884</v>
      </c>
      <c r="H110" s="161">
        <f t="shared" si="109"/>
        <v>6515.4063473053884</v>
      </c>
      <c r="I110" s="160">
        <f>+[9]Tareas!Q174</f>
        <v>12252.548573720227</v>
      </c>
      <c r="J110" s="160">
        <f>+[9]Tareas!R174</f>
        <v>0</v>
      </c>
      <c r="K110" s="161">
        <f t="shared" si="110"/>
        <v>12252.548573720227</v>
      </c>
      <c r="L110" s="160">
        <f>+(H110+K110)*0.015</f>
        <v>281.51932381538421</v>
      </c>
      <c r="M110" s="161">
        <f t="shared" si="111"/>
        <v>19049.474244841</v>
      </c>
      <c r="N110" s="162">
        <f t="shared" si="112"/>
        <v>0</v>
      </c>
      <c r="O110" s="162">
        <f t="shared" si="113"/>
        <v>4352291.4399999995</v>
      </c>
      <c r="P110" s="162">
        <f t="shared" si="114"/>
        <v>8184702.4472451117</v>
      </c>
      <c r="Q110" s="162">
        <f t="shared" si="115"/>
        <v>0</v>
      </c>
      <c r="R110" s="162">
        <f t="shared" si="116"/>
        <v>188054.90830867665</v>
      </c>
      <c r="S110" s="163">
        <f t="shared" si="117"/>
        <v>12725048.795553789</v>
      </c>
      <c r="T110" s="164"/>
      <c r="U110" s="165">
        <f t="shared" si="118"/>
        <v>25840</v>
      </c>
      <c r="V110" s="165">
        <f t="shared" si="119"/>
        <v>17261120</v>
      </c>
      <c r="W110" s="216"/>
      <c r="X110" s="144"/>
    </row>
    <row r="111" spans="1:24" s="174" customFormat="1" ht="13" outlineLevel="1" x14ac:dyDescent="0.3">
      <c r="A111" s="155">
        <v>14.06</v>
      </c>
      <c r="B111" s="173" t="s">
        <v>42</v>
      </c>
      <c r="C111" s="157" t="s">
        <v>182</v>
      </c>
      <c r="D111" s="197" t="s">
        <v>74</v>
      </c>
      <c r="E111" s="159">
        <f>+[9]Locales!AS100</f>
        <v>446</v>
      </c>
      <c r="F111" s="160"/>
      <c r="G111" s="167"/>
      <c r="H111" s="161">
        <f t="shared" si="109"/>
        <v>0</v>
      </c>
      <c r="I111" s="180">
        <f>+[9]SUBCONTRATOS!D33</f>
        <v>13144.582643730666</v>
      </c>
      <c r="J111" s="167"/>
      <c r="K111" s="161">
        <f t="shared" si="110"/>
        <v>13144.582643730666</v>
      </c>
      <c r="L111" s="160">
        <f>+(H111+K111)*0.015</f>
        <v>197.16873965596</v>
      </c>
      <c r="M111" s="161">
        <f t="shared" si="111"/>
        <v>13341.751383386625</v>
      </c>
      <c r="N111" s="162">
        <f t="shared" si="112"/>
        <v>0</v>
      </c>
      <c r="O111" s="162">
        <f t="shared" si="113"/>
        <v>0</v>
      </c>
      <c r="P111" s="162">
        <f t="shared" si="114"/>
        <v>5862483.8591038771</v>
      </c>
      <c r="Q111" s="162">
        <f t="shared" si="115"/>
        <v>0</v>
      </c>
      <c r="R111" s="162">
        <f t="shared" si="116"/>
        <v>87937.25788655816</v>
      </c>
      <c r="S111" s="163">
        <f t="shared" si="117"/>
        <v>5950421.1169904349</v>
      </c>
      <c r="T111" s="164"/>
      <c r="U111" s="165">
        <f t="shared" si="118"/>
        <v>18098</v>
      </c>
      <c r="V111" s="165">
        <f t="shared" si="119"/>
        <v>8071708</v>
      </c>
      <c r="W111" s="216"/>
      <c r="X111" s="144"/>
    </row>
    <row r="112" spans="1:24" s="174" customFormat="1" ht="13" outlineLevel="1" x14ac:dyDescent="0.3">
      <c r="A112" s="155">
        <v>14.07</v>
      </c>
      <c r="B112" s="173" t="s">
        <v>42</v>
      </c>
      <c r="C112" s="157" t="s">
        <v>139</v>
      </c>
      <c r="D112" s="261" t="s">
        <v>74</v>
      </c>
      <c r="E112" s="262">
        <f>+[9]Locales!AT100</f>
        <v>2</v>
      </c>
      <c r="F112" s="160"/>
      <c r="G112" s="167"/>
      <c r="H112" s="161">
        <f t="shared" si="109"/>
        <v>0</v>
      </c>
      <c r="I112" s="180">
        <f>+[9]SUBCONTRATOS!D34</f>
        <v>13144.582643730666</v>
      </c>
      <c r="J112" s="167"/>
      <c r="K112" s="161">
        <f t="shared" si="110"/>
        <v>13144.582643730666</v>
      </c>
      <c r="L112" s="160"/>
      <c r="M112" s="161">
        <f t="shared" si="111"/>
        <v>13144.582643730666</v>
      </c>
      <c r="N112" s="162">
        <f t="shared" si="112"/>
        <v>0</v>
      </c>
      <c r="O112" s="162">
        <f t="shared" si="113"/>
        <v>0</v>
      </c>
      <c r="P112" s="162">
        <f t="shared" si="114"/>
        <v>26289.165287461332</v>
      </c>
      <c r="Q112" s="162">
        <f t="shared" si="115"/>
        <v>0</v>
      </c>
      <c r="R112" s="162">
        <f t="shared" si="116"/>
        <v>0</v>
      </c>
      <c r="S112" s="163">
        <f t="shared" si="117"/>
        <v>26289.165287461332</v>
      </c>
      <c r="T112" s="164"/>
      <c r="U112" s="165">
        <f t="shared" si="118"/>
        <v>17831</v>
      </c>
      <c r="V112" s="165">
        <f t="shared" si="119"/>
        <v>35662</v>
      </c>
      <c r="W112" s="216"/>
      <c r="X112" s="144"/>
    </row>
    <row r="113" spans="1:24" ht="13" outlineLevel="1" x14ac:dyDescent="0.3">
      <c r="A113" s="155">
        <v>14.08</v>
      </c>
      <c r="B113" s="173" t="s">
        <v>42</v>
      </c>
      <c r="C113" s="204" t="s">
        <v>183</v>
      </c>
      <c r="D113" s="258" t="s">
        <v>83</v>
      </c>
      <c r="E113" s="237">
        <f>+[9]Locales!AU100</f>
        <v>370</v>
      </c>
      <c r="F113" s="160">
        <f>+[9]Tareas!H178</f>
        <v>0</v>
      </c>
      <c r="G113" s="160">
        <f>+[9]Tareas!I178</f>
        <v>1351.3513513513512</v>
      </c>
      <c r="H113" s="161">
        <f t="shared" si="109"/>
        <v>1351.3513513513512</v>
      </c>
      <c r="I113" s="160">
        <f>+[9]Tareas!Q178</f>
        <v>0</v>
      </c>
      <c r="J113" s="160">
        <f>+[9]Tareas!R178</f>
        <v>4362.6388309136892</v>
      </c>
      <c r="K113" s="161">
        <f t="shared" si="110"/>
        <v>4362.6388309136892</v>
      </c>
      <c r="L113" s="160">
        <f>+(H113+K113)*0.015</f>
        <v>85.709852733975609</v>
      </c>
      <c r="M113" s="161">
        <f t="shared" si="111"/>
        <v>5799.7000349990167</v>
      </c>
      <c r="N113" s="162">
        <f t="shared" si="112"/>
        <v>0</v>
      </c>
      <c r="O113" s="162">
        <f t="shared" si="113"/>
        <v>499999.99999999994</v>
      </c>
      <c r="P113" s="162">
        <f t="shared" si="114"/>
        <v>0</v>
      </c>
      <c r="Q113" s="162">
        <f t="shared" si="115"/>
        <v>1614176.3674380649</v>
      </c>
      <c r="R113" s="162">
        <f t="shared" si="116"/>
        <v>31712.645511570976</v>
      </c>
      <c r="S113" s="163">
        <f t="shared" si="117"/>
        <v>2145889.0129496357</v>
      </c>
      <c r="T113" s="164"/>
      <c r="U113" s="165">
        <f t="shared" si="118"/>
        <v>7868</v>
      </c>
      <c r="V113" s="165">
        <f t="shared" si="119"/>
        <v>2911160</v>
      </c>
      <c r="X113" s="144"/>
    </row>
    <row r="114" spans="1:24" ht="13" x14ac:dyDescent="0.3">
      <c r="A114" s="136">
        <v>15</v>
      </c>
      <c r="B114" s="137"/>
      <c r="C114" s="138" t="s">
        <v>184</v>
      </c>
      <c r="D114" s="139"/>
      <c r="E114" s="140"/>
      <c r="F114" s="140"/>
      <c r="G114" s="140"/>
      <c r="H114" s="140"/>
      <c r="I114" s="140"/>
      <c r="J114" s="140"/>
      <c r="K114" s="140"/>
      <c r="L114" s="140"/>
      <c r="M114" s="141"/>
      <c r="N114" s="140"/>
      <c r="O114" s="140"/>
      <c r="P114" s="140"/>
      <c r="Q114" s="140"/>
      <c r="R114" s="140"/>
      <c r="S114" s="140"/>
      <c r="T114" s="142">
        <f>SUM(S115:S126)</f>
        <v>90860672.0287112</v>
      </c>
      <c r="U114" s="140"/>
      <c r="V114" s="140"/>
      <c r="W114" s="143">
        <f>SUM(V115:V126)</f>
        <v>123253570</v>
      </c>
      <c r="X114" s="144">
        <f>+W114/$W$213</f>
        <v>8.0002420890763232E-2</v>
      </c>
    </row>
    <row r="115" spans="1:24" ht="13" outlineLevel="1" x14ac:dyDescent="0.3">
      <c r="A115" s="155">
        <v>15.01</v>
      </c>
      <c r="B115" s="173" t="s">
        <v>42</v>
      </c>
      <c r="C115" s="157" t="s">
        <v>185</v>
      </c>
      <c r="D115" s="249" t="s">
        <v>83</v>
      </c>
      <c r="E115" s="177">
        <f>+[9]Locales!BU100</f>
        <v>2180</v>
      </c>
      <c r="F115" s="218">
        <f>+'[9]APU 06.25'!E80</f>
        <v>2880.1572752851243</v>
      </c>
      <c r="G115" s="231"/>
      <c r="H115" s="161">
        <f t="shared" ref="H115:H124" si="120">F115+G115</f>
        <v>2880.1572752851243</v>
      </c>
      <c r="I115" s="218">
        <f>+'[9]APU 06.25'!H80</f>
        <v>4708.8568941769427</v>
      </c>
      <c r="J115" s="231"/>
      <c r="K115" s="161">
        <f t="shared" ref="K115:K126" si="121">I115+J115</f>
        <v>4708.8568941769427</v>
      </c>
      <c r="L115" s="218">
        <f>+'[9]APU 06.25'!K80</f>
        <v>104.55249790152297</v>
      </c>
      <c r="M115" s="161">
        <f t="shared" ref="M115:M126" si="122">H115+K115+L115</f>
        <v>7693.5666673635897</v>
      </c>
      <c r="N115" s="162">
        <f t="shared" ref="N115:N126" si="123">F115*E115</f>
        <v>6278742.8601215715</v>
      </c>
      <c r="O115" s="162">
        <f t="shared" ref="O115:O126" si="124">G115*E115</f>
        <v>0</v>
      </c>
      <c r="P115" s="162">
        <f t="shared" ref="P115:P126" si="125">I115*E115</f>
        <v>10265308.029305736</v>
      </c>
      <c r="Q115" s="162">
        <f t="shared" ref="Q115:Q126" si="126">J115*E115</f>
        <v>0</v>
      </c>
      <c r="R115" s="162">
        <f t="shared" ref="R115:R126" si="127">+L115*E115</f>
        <v>227924.44542532007</v>
      </c>
      <c r="S115" s="163">
        <f t="shared" ref="S115:S126" si="128">SUM(N115:R115)</f>
        <v>16771975.334852628</v>
      </c>
      <c r="T115" s="164"/>
      <c r="U115" s="165">
        <f t="shared" ref="U115:U126" si="129">+ROUNDUP(M115*$T$5,0)</f>
        <v>10437</v>
      </c>
      <c r="V115" s="165">
        <f t="shared" ref="V115:V126" si="130">+U115*E115</f>
        <v>22752660</v>
      </c>
      <c r="X115" s="144"/>
    </row>
    <row r="116" spans="1:24" ht="13" outlineLevel="1" x14ac:dyDescent="0.3">
      <c r="A116" s="155">
        <v>15.02</v>
      </c>
      <c r="B116" s="173" t="s">
        <v>42</v>
      </c>
      <c r="C116" s="157" t="s">
        <v>186</v>
      </c>
      <c r="D116" s="249" t="s">
        <v>83</v>
      </c>
      <c r="E116" s="177">
        <f>+[9]Locales!BV100</f>
        <v>525</v>
      </c>
      <c r="F116" s="218">
        <f>+'[9]APU 06.25'!E89</f>
        <v>2664.568019086777</v>
      </c>
      <c r="G116" s="231"/>
      <c r="H116" s="161">
        <f t="shared" si="120"/>
        <v>2664.568019086777</v>
      </c>
      <c r="I116" s="218">
        <f>+'[9]APU 06.25'!H89</f>
        <v>3767.0855153415546</v>
      </c>
      <c r="J116" s="231"/>
      <c r="K116" s="161">
        <f t="shared" si="121"/>
        <v>3767.0855153415546</v>
      </c>
      <c r="L116" s="218">
        <f>+'[9]APU 06.25'!K89</f>
        <v>83.641998321218381</v>
      </c>
      <c r="M116" s="161">
        <f t="shared" si="122"/>
        <v>6515.2955327495492</v>
      </c>
      <c r="N116" s="162">
        <f t="shared" si="123"/>
        <v>1398898.210020558</v>
      </c>
      <c r="O116" s="162">
        <f t="shared" si="124"/>
        <v>0</v>
      </c>
      <c r="P116" s="162">
        <f t="shared" si="125"/>
        <v>1977719.8955543162</v>
      </c>
      <c r="Q116" s="162">
        <f t="shared" si="126"/>
        <v>0</v>
      </c>
      <c r="R116" s="162">
        <f t="shared" si="127"/>
        <v>43912.049118639647</v>
      </c>
      <c r="S116" s="163">
        <f t="shared" si="128"/>
        <v>3420530.1546935136</v>
      </c>
      <c r="T116" s="164"/>
      <c r="U116" s="165">
        <f t="shared" si="129"/>
        <v>8838</v>
      </c>
      <c r="V116" s="165">
        <f t="shared" si="130"/>
        <v>4639950</v>
      </c>
      <c r="X116" s="144"/>
    </row>
    <row r="117" spans="1:24" ht="13" outlineLevel="1" x14ac:dyDescent="0.3">
      <c r="A117" s="155">
        <v>15.03</v>
      </c>
      <c r="B117" s="173" t="s">
        <v>42</v>
      </c>
      <c r="C117" s="255" t="s">
        <v>187</v>
      </c>
      <c r="D117" s="249" t="s">
        <v>83</v>
      </c>
      <c r="E117" s="177">
        <f>+[9]Locales!BT100</f>
        <v>136</v>
      </c>
      <c r="F117" s="218">
        <f>+'[9]APU 06.25'!E31</f>
        <v>4251.3981882128101</v>
      </c>
      <c r="G117" s="231"/>
      <c r="H117" s="161">
        <f t="shared" si="120"/>
        <v>4251.3981882128101</v>
      </c>
      <c r="I117" s="218">
        <f>+'[9]APU 06.25'!H31</f>
        <v>9503.3872142359414</v>
      </c>
      <c r="J117" s="231"/>
      <c r="K117" s="161">
        <f t="shared" si="121"/>
        <v>9503.3872142359414</v>
      </c>
      <c r="L117" s="218">
        <f>+'[9]APU 06.25'!K31</f>
        <v>262.01469147676113</v>
      </c>
      <c r="M117" s="161">
        <f t="shared" si="122"/>
        <v>14016.800093925513</v>
      </c>
      <c r="N117" s="162">
        <f t="shared" si="123"/>
        <v>578190.1535969422</v>
      </c>
      <c r="O117" s="162">
        <f t="shared" si="124"/>
        <v>0</v>
      </c>
      <c r="P117" s="162">
        <f t="shared" si="125"/>
        <v>1292460.661136088</v>
      </c>
      <c r="Q117" s="162">
        <f t="shared" si="126"/>
        <v>0</v>
      </c>
      <c r="R117" s="162">
        <f t="shared" si="127"/>
        <v>35633.998040839513</v>
      </c>
      <c r="S117" s="163">
        <f t="shared" si="128"/>
        <v>1906284.8127738698</v>
      </c>
      <c r="T117" s="164"/>
      <c r="U117" s="165">
        <f t="shared" si="129"/>
        <v>19014</v>
      </c>
      <c r="V117" s="165">
        <f t="shared" si="130"/>
        <v>2585904</v>
      </c>
      <c r="X117" s="144"/>
    </row>
    <row r="118" spans="1:24" ht="13" outlineLevel="1" x14ac:dyDescent="0.3">
      <c r="A118" s="155">
        <v>15.04</v>
      </c>
      <c r="B118" s="173" t="s">
        <v>42</v>
      </c>
      <c r="C118" s="157" t="s">
        <v>188</v>
      </c>
      <c r="D118" s="249" t="s">
        <v>83</v>
      </c>
      <c r="E118" s="177">
        <f>+[9]Locales!BW100</f>
        <v>296</v>
      </c>
      <c r="F118" s="218">
        <f>+'[9]APU 06.25'!E31</f>
        <v>4251.3981882128101</v>
      </c>
      <c r="G118" s="231"/>
      <c r="H118" s="161">
        <f>F118+G118</f>
        <v>4251.3981882128101</v>
      </c>
      <c r="I118" s="218">
        <f>+'[9]APU 06.25'!H31</f>
        <v>9503.3872142359414</v>
      </c>
      <c r="J118" s="231"/>
      <c r="K118" s="161">
        <f>I118+J118</f>
        <v>9503.3872142359414</v>
      </c>
      <c r="L118" s="218">
        <f>+'[9]APU 06.25'!K31</f>
        <v>262.01469147676113</v>
      </c>
      <c r="M118" s="161">
        <f>H118+K118+L118</f>
        <v>14016.800093925513</v>
      </c>
      <c r="N118" s="162">
        <f>F118*E118</f>
        <v>1258413.8637109918</v>
      </c>
      <c r="O118" s="162">
        <f>G118*E118</f>
        <v>0</v>
      </c>
      <c r="P118" s="162">
        <f>I118*E118</f>
        <v>2813002.6154138385</v>
      </c>
      <c r="Q118" s="162">
        <f>J118*E118</f>
        <v>0</v>
      </c>
      <c r="R118" s="162">
        <f>+L118*E118</f>
        <v>77556.348677121292</v>
      </c>
      <c r="S118" s="163">
        <f>SUM(N118:R118)</f>
        <v>4148972.8278019512</v>
      </c>
      <c r="T118" s="164"/>
      <c r="U118" s="165">
        <f>+ROUNDUP(M118*$T$5,0)</f>
        <v>19014</v>
      </c>
      <c r="V118" s="165">
        <f>+U118*E118</f>
        <v>5628144</v>
      </c>
      <c r="X118" s="144"/>
    </row>
    <row r="119" spans="1:24" ht="13" outlineLevel="1" x14ac:dyDescent="0.3">
      <c r="A119" s="155">
        <v>15.05</v>
      </c>
      <c r="B119" s="173" t="s">
        <v>42</v>
      </c>
      <c r="C119" s="255" t="s">
        <v>189</v>
      </c>
      <c r="D119" s="249" t="s">
        <v>83</v>
      </c>
      <c r="E119" s="177">
        <f>+[9]Locales!BX100</f>
        <v>668</v>
      </c>
      <c r="F119" s="218">
        <f>+'[9]APU 06.25'!E80</f>
        <v>2880.1572752851243</v>
      </c>
      <c r="G119" s="231"/>
      <c r="H119" s="161">
        <f t="shared" si="120"/>
        <v>2880.1572752851243</v>
      </c>
      <c r="I119" s="218">
        <f>+'[9]APU 06.25'!H80</f>
        <v>4708.8568941769427</v>
      </c>
      <c r="J119" s="231"/>
      <c r="K119" s="161">
        <f t="shared" si="121"/>
        <v>4708.8568941769427</v>
      </c>
      <c r="L119" s="218">
        <f>+'[9]APU 06.25'!K80</f>
        <v>104.55249790152297</v>
      </c>
      <c r="M119" s="161">
        <f t="shared" si="122"/>
        <v>7693.5666673635897</v>
      </c>
      <c r="N119" s="162">
        <f t="shared" si="123"/>
        <v>1923945.059890463</v>
      </c>
      <c r="O119" s="162">
        <f t="shared" si="124"/>
        <v>0</v>
      </c>
      <c r="P119" s="162">
        <f t="shared" si="125"/>
        <v>3145516.4053101977</v>
      </c>
      <c r="Q119" s="162">
        <f t="shared" si="126"/>
        <v>0</v>
      </c>
      <c r="R119" s="162">
        <f t="shared" si="127"/>
        <v>69841.068598217345</v>
      </c>
      <c r="S119" s="163">
        <f t="shared" si="128"/>
        <v>5139302.5337988781</v>
      </c>
      <c r="T119" s="164"/>
      <c r="U119" s="165">
        <f t="shared" si="129"/>
        <v>10437</v>
      </c>
      <c r="V119" s="165">
        <f t="shared" si="130"/>
        <v>6971916</v>
      </c>
      <c r="X119" s="144"/>
    </row>
    <row r="120" spans="1:24" ht="26" outlineLevel="1" x14ac:dyDescent="0.3">
      <c r="A120" s="155">
        <v>15.06</v>
      </c>
      <c r="B120" s="173" t="s">
        <v>42</v>
      </c>
      <c r="C120" s="157" t="s">
        <v>190</v>
      </c>
      <c r="D120" s="249" t="s">
        <v>83</v>
      </c>
      <c r="E120" s="177">
        <f>+[9]Locales!BZ100</f>
        <v>281</v>
      </c>
      <c r="F120" s="218">
        <f>+'[9]APU 06.25'!E89</f>
        <v>2664.568019086777</v>
      </c>
      <c r="G120" s="231"/>
      <c r="H120" s="161">
        <f>F120+G120</f>
        <v>2664.568019086777</v>
      </c>
      <c r="I120" s="218">
        <f>+'[9]APU 06.25'!H89</f>
        <v>3767.0855153415546</v>
      </c>
      <c r="J120" s="231"/>
      <c r="K120" s="161">
        <f>I120+J120</f>
        <v>3767.0855153415546</v>
      </c>
      <c r="L120" s="218">
        <f>+'[9]APU 06.25'!K89</f>
        <v>83.641998321218381</v>
      </c>
      <c r="M120" s="161">
        <f>H120+K120+L120</f>
        <v>6515.2955327495492</v>
      </c>
      <c r="N120" s="162">
        <f>F120*E120</f>
        <v>748743.61336338439</v>
      </c>
      <c r="O120" s="162">
        <f>G120*E120</f>
        <v>0</v>
      </c>
      <c r="P120" s="162">
        <f>I120*E120</f>
        <v>1058551.0298109769</v>
      </c>
      <c r="Q120" s="162">
        <f>J120*E120</f>
        <v>0</v>
      </c>
      <c r="R120" s="162">
        <f>+L120*E120</f>
        <v>23503.401528262366</v>
      </c>
      <c r="S120" s="163">
        <f>SUM(N120:R120)</f>
        <v>1830798.0447026237</v>
      </c>
      <c r="T120" s="164"/>
      <c r="U120" s="165">
        <f>+ROUNDUP(M120*$T$5,0)</f>
        <v>8838</v>
      </c>
      <c r="V120" s="165">
        <f>+U120*E120</f>
        <v>2483478</v>
      </c>
      <c r="X120" s="144"/>
    </row>
    <row r="121" spans="1:24" ht="13" outlineLevel="1" x14ac:dyDescent="0.3">
      <c r="A121" s="155">
        <v>15.07</v>
      </c>
      <c r="B121" s="173" t="s">
        <v>42</v>
      </c>
      <c r="C121" s="157" t="s">
        <v>191</v>
      </c>
      <c r="D121" s="249" t="s">
        <v>83</v>
      </c>
      <c r="E121" s="177">
        <f>+'[9]Rev.'!N69</f>
        <v>752</v>
      </c>
      <c r="F121" s="218">
        <f>+'[9]APU 06.25'!E35</f>
        <v>6929.1780082644646</v>
      </c>
      <c r="G121" s="231"/>
      <c r="H121" s="161">
        <f t="shared" si="120"/>
        <v>6929.1780082644646</v>
      </c>
      <c r="I121" s="218">
        <f>+'[9]APU 06.25'!H35</f>
        <v>12350.904731051611</v>
      </c>
      <c r="J121" s="218"/>
      <c r="K121" s="161">
        <f t="shared" si="121"/>
        <v>12350.904731051611</v>
      </c>
      <c r="L121" s="218">
        <f>+'[9]APU 06.25'!K35</f>
        <v>197.48055343380668</v>
      </c>
      <c r="M121" s="161">
        <f t="shared" si="122"/>
        <v>19477.563292749885</v>
      </c>
      <c r="N121" s="162">
        <f t="shared" si="123"/>
        <v>5210741.8622148773</v>
      </c>
      <c r="O121" s="162">
        <f t="shared" si="124"/>
        <v>0</v>
      </c>
      <c r="P121" s="162">
        <f t="shared" si="125"/>
        <v>9287880.3577508107</v>
      </c>
      <c r="Q121" s="162">
        <f t="shared" si="126"/>
        <v>0</v>
      </c>
      <c r="R121" s="162">
        <f t="shared" si="127"/>
        <v>148505.37618222262</v>
      </c>
      <c r="S121" s="163">
        <f t="shared" si="128"/>
        <v>14647127.596147912</v>
      </c>
      <c r="T121" s="164"/>
      <c r="U121" s="165">
        <f t="shared" si="129"/>
        <v>26421</v>
      </c>
      <c r="V121" s="165">
        <f t="shared" si="130"/>
        <v>19868592</v>
      </c>
      <c r="X121" s="144"/>
    </row>
    <row r="122" spans="1:24" ht="13" outlineLevel="1" x14ac:dyDescent="0.3">
      <c r="A122" s="155">
        <v>15.08</v>
      </c>
      <c r="B122" s="173" t="s">
        <v>42</v>
      </c>
      <c r="C122" s="255" t="s">
        <v>192</v>
      </c>
      <c r="D122" s="249" t="s">
        <v>83</v>
      </c>
      <c r="E122" s="177">
        <f>+'[9]Rev.'!O69</f>
        <v>433</v>
      </c>
      <c r="F122" s="218">
        <f>+'[9]APU 06.25'!E35</f>
        <v>6929.1780082644646</v>
      </c>
      <c r="G122" s="231"/>
      <c r="H122" s="161">
        <f t="shared" si="120"/>
        <v>6929.1780082644646</v>
      </c>
      <c r="I122" s="218">
        <f>+'[9]APU 06.25'!H35</f>
        <v>12350.904731051611</v>
      </c>
      <c r="J122" s="222">
        <f>+I122*0.4</f>
        <v>4940.3618924206448</v>
      </c>
      <c r="K122" s="161">
        <f t="shared" si="121"/>
        <v>17291.266623472256</v>
      </c>
      <c r="L122" s="218">
        <f>+'[9]APU 06.25'!K35</f>
        <v>197.48055343380668</v>
      </c>
      <c r="M122" s="161">
        <f t="shared" si="122"/>
        <v>24417.92518517053</v>
      </c>
      <c r="N122" s="162">
        <f t="shared" si="123"/>
        <v>3000334.077578513</v>
      </c>
      <c r="O122" s="162">
        <f t="shared" si="124"/>
        <v>0</v>
      </c>
      <c r="P122" s="162">
        <f t="shared" si="125"/>
        <v>5347941.7485453477</v>
      </c>
      <c r="Q122" s="162">
        <f t="shared" si="126"/>
        <v>2139176.6994181392</v>
      </c>
      <c r="R122" s="162">
        <f t="shared" si="127"/>
        <v>85509.079636838287</v>
      </c>
      <c r="S122" s="163">
        <f t="shared" si="128"/>
        <v>10572961.605178839</v>
      </c>
      <c r="T122" s="164"/>
      <c r="U122" s="165">
        <f t="shared" si="129"/>
        <v>33123</v>
      </c>
      <c r="V122" s="165">
        <f t="shared" si="130"/>
        <v>14342259</v>
      </c>
      <c r="X122" s="144"/>
    </row>
    <row r="123" spans="1:24" ht="26" outlineLevel="1" x14ac:dyDescent="0.3">
      <c r="A123" s="155">
        <v>15.09</v>
      </c>
      <c r="B123" s="173" t="s">
        <v>42</v>
      </c>
      <c r="C123" s="157" t="s">
        <v>193</v>
      </c>
      <c r="D123" s="249" t="s">
        <v>83</v>
      </c>
      <c r="E123" s="177">
        <f>+'[9]Rev.'!G88</f>
        <v>219</v>
      </c>
      <c r="F123" s="160">
        <f>+[9]Tareas!H182</f>
        <v>11872.146118721461</v>
      </c>
      <c r="G123" s="160">
        <f>+[9]Tareas!I182</f>
        <v>0</v>
      </c>
      <c r="H123" s="161">
        <f t="shared" si="120"/>
        <v>11872.146118721461</v>
      </c>
      <c r="I123" s="160">
        <f>+[9]Tareas!Q182</f>
        <v>0</v>
      </c>
      <c r="J123" s="160">
        <f>+[9]Tareas!R182</f>
        <v>9112.837054746793</v>
      </c>
      <c r="K123" s="161">
        <f t="shared" si="121"/>
        <v>9112.837054746793</v>
      </c>
      <c r="L123" s="160">
        <f t="shared" ref="L123:L126" si="131">(H123+K123)*0.015</f>
        <v>314.77474760202375</v>
      </c>
      <c r="M123" s="161">
        <f t="shared" si="122"/>
        <v>21299.757921070275</v>
      </c>
      <c r="N123" s="162">
        <f t="shared" si="123"/>
        <v>2600000</v>
      </c>
      <c r="O123" s="162">
        <f t="shared" si="124"/>
        <v>0</v>
      </c>
      <c r="P123" s="162">
        <f t="shared" si="125"/>
        <v>0</v>
      </c>
      <c r="Q123" s="162">
        <f t="shared" si="126"/>
        <v>1995711.3149895477</v>
      </c>
      <c r="R123" s="162">
        <f t="shared" si="127"/>
        <v>68935.669724843203</v>
      </c>
      <c r="S123" s="163">
        <f t="shared" si="128"/>
        <v>4664646.9847143916</v>
      </c>
      <c r="T123" s="164"/>
      <c r="U123" s="165">
        <f t="shared" si="129"/>
        <v>28893</v>
      </c>
      <c r="V123" s="165">
        <f t="shared" si="130"/>
        <v>6327567</v>
      </c>
      <c r="X123" s="144"/>
    </row>
    <row r="124" spans="1:24" ht="13" outlineLevel="1" x14ac:dyDescent="0.3">
      <c r="A124" s="155">
        <v>15.1</v>
      </c>
      <c r="B124" s="173" t="s">
        <v>42</v>
      </c>
      <c r="C124" s="255" t="s">
        <v>194</v>
      </c>
      <c r="D124" s="249" t="s">
        <v>83</v>
      </c>
      <c r="E124" s="177">
        <f>+'[9]Rev.'!Q67</f>
        <v>861</v>
      </c>
      <c r="F124" s="160">
        <f>+[9]Tareas!H187</f>
        <v>3455.5245198260718</v>
      </c>
      <c r="G124" s="160">
        <f>+[9]Tareas!I187</f>
        <v>0</v>
      </c>
      <c r="H124" s="161">
        <f t="shared" si="120"/>
        <v>3455.5245198260718</v>
      </c>
      <c r="I124" s="160">
        <f>+[9]Tareas!Q187</f>
        <v>9286.8099362944613</v>
      </c>
      <c r="J124" s="160">
        <f>+[9]Tareas!R187</f>
        <v>0</v>
      </c>
      <c r="K124" s="161">
        <f t="shared" si="121"/>
        <v>9286.8099362944613</v>
      </c>
      <c r="L124" s="160">
        <f t="shared" si="131"/>
        <v>191.13501684180801</v>
      </c>
      <c r="M124" s="161">
        <f t="shared" si="122"/>
        <v>12933.469472962342</v>
      </c>
      <c r="N124" s="162">
        <f t="shared" si="123"/>
        <v>2975206.6115702479</v>
      </c>
      <c r="O124" s="162">
        <f t="shared" si="124"/>
        <v>0</v>
      </c>
      <c r="P124" s="162">
        <f t="shared" si="125"/>
        <v>7995943.3551495308</v>
      </c>
      <c r="Q124" s="162">
        <f t="shared" si="126"/>
        <v>0</v>
      </c>
      <c r="R124" s="162">
        <f t="shared" si="127"/>
        <v>164567.24950079669</v>
      </c>
      <c r="S124" s="163">
        <f t="shared" si="128"/>
        <v>11135717.216220574</v>
      </c>
      <c r="T124" s="164"/>
      <c r="U124" s="165">
        <f t="shared" si="129"/>
        <v>17544</v>
      </c>
      <c r="V124" s="165">
        <f t="shared" si="130"/>
        <v>15105384</v>
      </c>
      <c r="X124" s="144"/>
    </row>
    <row r="125" spans="1:24" ht="13" outlineLevel="1" x14ac:dyDescent="0.3">
      <c r="A125" s="155">
        <v>15.11</v>
      </c>
      <c r="B125" s="173" t="s">
        <v>42</v>
      </c>
      <c r="C125" s="157" t="s">
        <v>195</v>
      </c>
      <c r="D125" s="249" t="s">
        <v>71</v>
      </c>
      <c r="E125" s="177">
        <f>+[9]Computo!C60</f>
        <v>88</v>
      </c>
      <c r="F125" s="160">
        <f>+[9]Tareas!H193</f>
        <v>25797.295320790283</v>
      </c>
      <c r="G125" s="160">
        <f>+[9]Tareas!I193</f>
        <v>0</v>
      </c>
      <c r="H125" s="161">
        <f>F125+G125</f>
        <v>25797.295320790283</v>
      </c>
      <c r="I125" s="160">
        <f>+[9]Tareas!Q193</f>
        <v>67446.39491606447</v>
      </c>
      <c r="J125" s="160">
        <f>+[9]Tareas!R193</f>
        <v>13753.738403236557</v>
      </c>
      <c r="K125" s="161">
        <f t="shared" si="121"/>
        <v>81200.133319301021</v>
      </c>
      <c r="L125" s="160">
        <f t="shared" si="131"/>
        <v>1604.9614296013694</v>
      </c>
      <c r="M125" s="161">
        <f t="shared" si="122"/>
        <v>108602.39006969267</v>
      </c>
      <c r="N125" s="162">
        <f t="shared" si="123"/>
        <v>2270161.9882295448</v>
      </c>
      <c r="O125" s="162">
        <f t="shared" si="124"/>
        <v>0</v>
      </c>
      <c r="P125" s="162">
        <f t="shared" si="125"/>
        <v>5935282.752613673</v>
      </c>
      <c r="Q125" s="162">
        <f t="shared" si="126"/>
        <v>1210328.979484817</v>
      </c>
      <c r="R125" s="162">
        <f t="shared" si="127"/>
        <v>141236.60580492052</v>
      </c>
      <c r="S125" s="163">
        <f t="shared" si="128"/>
        <v>9557010.326132955</v>
      </c>
      <c r="T125" s="164"/>
      <c r="U125" s="165">
        <f t="shared" si="129"/>
        <v>147316</v>
      </c>
      <c r="V125" s="165">
        <f t="shared" si="130"/>
        <v>12963808</v>
      </c>
      <c r="X125" s="144"/>
    </row>
    <row r="126" spans="1:24" ht="26" outlineLevel="1" x14ac:dyDescent="0.3">
      <c r="A126" s="155">
        <v>15.12</v>
      </c>
      <c r="B126" s="203" t="s">
        <v>42</v>
      </c>
      <c r="C126" s="263" t="s">
        <v>196</v>
      </c>
      <c r="D126" s="257" t="s">
        <v>69</v>
      </c>
      <c r="E126" s="206">
        <v>1</v>
      </c>
      <c r="F126" s="207">
        <f>+[9]Tareas!H197</f>
        <v>1266522.9190993388</v>
      </c>
      <c r="G126" s="207">
        <f>+[9]Tareas!I197</f>
        <v>0</v>
      </c>
      <c r="H126" s="208">
        <f>F126+G126</f>
        <v>1266522.9190993388</v>
      </c>
      <c r="I126" s="207">
        <f>+[9]Tareas!Q197</f>
        <v>5694407.7131105876</v>
      </c>
      <c r="J126" s="207">
        <f>+[9]Tareas!R197</f>
        <v>0</v>
      </c>
      <c r="K126" s="161">
        <f t="shared" si="121"/>
        <v>5694407.7131105876</v>
      </c>
      <c r="L126" s="160">
        <f t="shared" si="131"/>
        <v>104413.95948314889</v>
      </c>
      <c r="M126" s="161">
        <f t="shared" si="122"/>
        <v>7065344.5916930754</v>
      </c>
      <c r="N126" s="162">
        <f t="shared" si="123"/>
        <v>1266522.9190993388</v>
      </c>
      <c r="O126" s="162">
        <f t="shared" si="124"/>
        <v>0</v>
      </c>
      <c r="P126" s="162">
        <f t="shared" si="125"/>
        <v>5694407.7131105876</v>
      </c>
      <c r="Q126" s="162">
        <f t="shared" si="126"/>
        <v>0</v>
      </c>
      <c r="R126" s="162">
        <f t="shared" si="127"/>
        <v>104413.95948314889</v>
      </c>
      <c r="S126" s="163">
        <f t="shared" si="128"/>
        <v>7065344.5916930754</v>
      </c>
      <c r="T126" s="164"/>
      <c r="U126" s="165">
        <f t="shared" si="129"/>
        <v>9583908</v>
      </c>
      <c r="V126" s="165">
        <f t="shared" si="130"/>
        <v>9583908</v>
      </c>
      <c r="X126" s="144"/>
    </row>
    <row r="127" spans="1:24" ht="13" x14ac:dyDescent="0.3">
      <c r="A127" s="136">
        <v>16</v>
      </c>
      <c r="B127" s="137"/>
      <c r="C127" s="264" t="s">
        <v>197</v>
      </c>
      <c r="D127" s="139"/>
      <c r="E127" s="140"/>
      <c r="F127" s="140"/>
      <c r="G127" s="140"/>
      <c r="H127" s="140"/>
      <c r="I127" s="140"/>
      <c r="J127" s="140"/>
      <c r="K127" s="140"/>
      <c r="L127" s="140"/>
      <c r="M127" s="141"/>
      <c r="N127" s="140"/>
      <c r="O127" s="140"/>
      <c r="P127" s="140"/>
      <c r="Q127" s="140"/>
      <c r="R127" s="140"/>
      <c r="S127" s="140"/>
      <c r="T127" s="142">
        <f>SUM(S128:S128)</f>
        <v>0</v>
      </c>
      <c r="U127" s="140"/>
      <c r="V127" s="140"/>
      <c r="W127" s="143">
        <f>SUM(V128:V128)</f>
        <v>0</v>
      </c>
      <c r="X127" s="144">
        <f>+W127/$W$213</f>
        <v>0</v>
      </c>
    </row>
    <row r="128" spans="1:24" s="174" customFormat="1" ht="13" outlineLevel="1" x14ac:dyDescent="0.3">
      <c r="A128" s="145"/>
      <c r="B128" s="211"/>
      <c r="C128" s="146"/>
      <c r="D128" s="212"/>
      <c r="E128" s="213"/>
      <c r="F128" s="189"/>
      <c r="G128" s="189"/>
      <c r="H128" s="150">
        <f>F128+G128</f>
        <v>0</v>
      </c>
      <c r="I128" s="189"/>
      <c r="J128" s="189"/>
      <c r="K128" s="150">
        <f>I128+J128</f>
        <v>0</v>
      </c>
      <c r="L128" s="214"/>
      <c r="M128" s="150">
        <f>H128+K128+L128</f>
        <v>0</v>
      </c>
      <c r="N128" s="151">
        <f>F128*E128</f>
        <v>0</v>
      </c>
      <c r="O128" s="151">
        <f>G128*E128</f>
        <v>0</v>
      </c>
      <c r="P128" s="151">
        <f>I128*E128</f>
        <v>0</v>
      </c>
      <c r="Q128" s="151">
        <f>J128*E128</f>
        <v>0</v>
      </c>
      <c r="R128" s="151">
        <f>+L128*E128</f>
        <v>0</v>
      </c>
      <c r="S128" s="152">
        <f>SUM(N128:R128)</f>
        <v>0</v>
      </c>
      <c r="T128" s="164"/>
      <c r="U128" s="225">
        <f>+ROUNDUP(M128*$T$5,0)</f>
        <v>0</v>
      </c>
      <c r="V128" s="220">
        <f>+U128*E128</f>
        <v>0</v>
      </c>
      <c r="W128" s="234"/>
      <c r="X128" s="247"/>
    </row>
    <row r="129" spans="1:31" s="174" customFormat="1" ht="13" x14ac:dyDescent="0.3">
      <c r="A129" s="136">
        <v>17</v>
      </c>
      <c r="B129" s="137"/>
      <c r="C129" s="138" t="s">
        <v>198</v>
      </c>
      <c r="D129" s="139"/>
      <c r="E129" s="140"/>
      <c r="F129" s="140"/>
      <c r="G129" s="140"/>
      <c r="H129" s="140"/>
      <c r="I129" s="140"/>
      <c r="J129" s="140"/>
      <c r="K129" s="140"/>
      <c r="L129" s="140"/>
      <c r="M129" s="141"/>
      <c r="N129" s="140"/>
      <c r="O129" s="140"/>
      <c r="P129" s="140"/>
      <c r="Q129" s="140"/>
      <c r="R129" s="140"/>
      <c r="S129" s="140"/>
      <c r="T129" s="142">
        <f>SUM(S130:S133)</f>
        <v>9063477.9625211228</v>
      </c>
      <c r="U129" s="140"/>
      <c r="V129" s="140"/>
      <c r="W129" s="143">
        <f>SUM(V130:V133)</f>
        <v>12294387</v>
      </c>
      <c r="X129" s="144">
        <f>+W129/$W$213</f>
        <v>7.9801398317949565E-3</v>
      </c>
    </row>
    <row r="130" spans="1:31" s="174" customFormat="1" ht="13" outlineLevel="1" x14ac:dyDescent="0.3">
      <c r="A130" s="145">
        <f>+A129+0.01</f>
        <v>17.010000000000002</v>
      </c>
      <c r="B130" s="211" t="s">
        <v>42</v>
      </c>
      <c r="C130" s="265" t="s">
        <v>199</v>
      </c>
      <c r="D130" s="266" t="s">
        <v>114</v>
      </c>
      <c r="E130" s="177">
        <f>+[9]Locales!AY100</f>
        <v>43</v>
      </c>
      <c r="F130" s="214"/>
      <c r="G130" s="214">
        <f>+'[9]APU 06.25'!E18</f>
        <v>4104.3831840000003</v>
      </c>
      <c r="H130" s="150">
        <f>F130+G130</f>
        <v>4104.3831840000003</v>
      </c>
      <c r="I130" s="267"/>
      <c r="J130" s="214">
        <f>+'[9]APU 06.25'!H18</f>
        <v>60531.613778927429</v>
      </c>
      <c r="K130" s="150">
        <f>I130+J130</f>
        <v>60531.613778927429</v>
      </c>
      <c r="L130" s="214">
        <f>+'[9]APU 06.25'!K18</f>
        <v>440.78780564123963</v>
      </c>
      <c r="M130" s="150">
        <f>H130+K130+L130</f>
        <v>65076.784768568665</v>
      </c>
      <c r="N130" s="151">
        <f>F130*E130</f>
        <v>0</v>
      </c>
      <c r="O130" s="151">
        <f>G130*E130</f>
        <v>176488.47691200001</v>
      </c>
      <c r="P130" s="151">
        <f>I130*E130</f>
        <v>0</v>
      </c>
      <c r="Q130" s="151">
        <f>J130*E130</f>
        <v>2602859.3924938794</v>
      </c>
      <c r="R130" s="151">
        <f>+L130*E130</f>
        <v>18953.875642573305</v>
      </c>
      <c r="S130" s="152">
        <f>SUM(N130:R130)</f>
        <v>2798301.7450484531</v>
      </c>
      <c r="T130" s="234"/>
      <c r="U130" s="154">
        <f>+ROUNDUP(M130*$T$5,0)</f>
        <v>88275</v>
      </c>
      <c r="V130" s="154">
        <f>+U130*E130</f>
        <v>3795825</v>
      </c>
      <c r="W130" s="216"/>
      <c r="X130" s="144"/>
    </row>
    <row r="131" spans="1:31" s="174" customFormat="1" ht="13" outlineLevel="1" x14ac:dyDescent="0.3">
      <c r="A131" s="155">
        <v>17.02</v>
      </c>
      <c r="B131" s="173" t="s">
        <v>42</v>
      </c>
      <c r="C131" s="268" t="s">
        <v>200</v>
      </c>
      <c r="D131" s="269" t="s">
        <v>114</v>
      </c>
      <c r="E131" s="177">
        <f>+[9]Locales!AZ102</f>
        <v>38</v>
      </c>
      <c r="F131" s="218"/>
      <c r="G131" s="218">
        <f>+'[9]APU 06.25'!E18</f>
        <v>4104.3831840000003</v>
      </c>
      <c r="H131" s="161">
        <f>F131+G131</f>
        <v>4104.3831840000003</v>
      </c>
      <c r="I131" s="270"/>
      <c r="J131" s="218">
        <f>+'[9]APU 06.25'!H18</f>
        <v>60531.613778927429</v>
      </c>
      <c r="K131" s="161">
        <f>I131+J131</f>
        <v>60531.613778927429</v>
      </c>
      <c r="L131" s="218">
        <f>+'[9]APU 06.25'!K18</f>
        <v>440.78780564123963</v>
      </c>
      <c r="M131" s="161">
        <f>H131+K131+L131</f>
        <v>65076.784768568665</v>
      </c>
      <c r="N131" s="162">
        <f>F131*E131</f>
        <v>0</v>
      </c>
      <c r="O131" s="162">
        <f>G131*E131</f>
        <v>155966.56099200001</v>
      </c>
      <c r="P131" s="162">
        <f>I131*E131</f>
        <v>0</v>
      </c>
      <c r="Q131" s="162">
        <f>J131*E131</f>
        <v>2300201.3235992421</v>
      </c>
      <c r="R131" s="162">
        <f>+L131*E131</f>
        <v>16749.936614367107</v>
      </c>
      <c r="S131" s="163">
        <f>SUM(N131:R131)</f>
        <v>2472917.8212056095</v>
      </c>
      <c r="T131" s="234"/>
      <c r="U131" s="165">
        <f>+ROUNDUP(M131*$T$5,0)</f>
        <v>88275</v>
      </c>
      <c r="V131" s="165">
        <f>+U131*E131</f>
        <v>3354450</v>
      </c>
      <c r="W131" s="216"/>
      <c r="X131" s="144"/>
    </row>
    <row r="132" spans="1:31" s="174" customFormat="1" ht="13" outlineLevel="1" x14ac:dyDescent="0.3">
      <c r="A132" s="155">
        <v>17.03</v>
      </c>
      <c r="B132" s="173" t="s">
        <v>42</v>
      </c>
      <c r="C132" s="268" t="s">
        <v>201</v>
      </c>
      <c r="D132" s="269" t="s">
        <v>114</v>
      </c>
      <c r="E132" s="177">
        <f>+[9]Locales!BB100</f>
        <v>72</v>
      </c>
      <c r="F132" s="218"/>
      <c r="G132" s="218">
        <f>+'[9]APU 06.25'!E19</f>
        <v>1501.8311196</v>
      </c>
      <c r="H132" s="161">
        <f>F132+G132</f>
        <v>1501.8311196</v>
      </c>
      <c r="I132" s="218"/>
      <c r="J132" s="218">
        <f>+'[9]APU 06.25'!H19</f>
        <v>40354.409185951619</v>
      </c>
      <c r="K132" s="161">
        <f>I132+J132</f>
        <v>40354.409185951619</v>
      </c>
      <c r="L132" s="218">
        <f>+'[9]APU 06.25'!K19</f>
        <v>220.39390282061981</v>
      </c>
      <c r="M132" s="161">
        <f t="shared" ref="M132:M133" si="132">H132+K132+L132</f>
        <v>42076.634208372241</v>
      </c>
      <c r="N132" s="162">
        <f t="shared" ref="N132:N133" si="133">F132*E132</f>
        <v>0</v>
      </c>
      <c r="O132" s="162">
        <f t="shared" ref="O132:O133" si="134">G132*E132</f>
        <v>108131.84061119999</v>
      </c>
      <c r="P132" s="162">
        <f t="shared" ref="P132:P133" si="135">I132*E132</f>
        <v>0</v>
      </c>
      <c r="Q132" s="162">
        <f t="shared" ref="Q132:Q133" si="136">J132*E132</f>
        <v>2905517.4613885167</v>
      </c>
      <c r="R132" s="162">
        <f t="shared" ref="R132:R133" si="137">+L132*E132</f>
        <v>15868.361003084627</v>
      </c>
      <c r="S132" s="163">
        <f t="shared" ref="S132:S133" si="138">SUM(N132:R132)</f>
        <v>3029517.6630028011</v>
      </c>
      <c r="T132" s="234"/>
      <c r="U132" s="165">
        <f t="shared" ref="U132:U133" si="139">+ROUNDUP(M132*$T$5,0)</f>
        <v>57076</v>
      </c>
      <c r="V132" s="165">
        <f t="shared" ref="V132:V133" si="140">+U132*E132</f>
        <v>4109472</v>
      </c>
      <c r="W132" s="216"/>
      <c r="X132" s="144"/>
    </row>
    <row r="133" spans="1:31" s="174" customFormat="1" ht="13" outlineLevel="1" x14ac:dyDescent="0.3">
      <c r="A133" s="155">
        <v>17.04</v>
      </c>
      <c r="B133" s="203" t="s">
        <v>42</v>
      </c>
      <c r="C133" s="204" t="s">
        <v>202</v>
      </c>
      <c r="D133" s="244" t="s">
        <v>114</v>
      </c>
      <c r="E133" s="206">
        <f>+[9]Locales!BA100</f>
        <v>8</v>
      </c>
      <c r="F133" s="271"/>
      <c r="G133" s="271">
        <f>+G130</f>
        <v>4104.3831840000003</v>
      </c>
      <c r="H133" s="208">
        <f>F133+G133</f>
        <v>4104.3831840000003</v>
      </c>
      <c r="I133" s="272">
        <f>+J133*0.5</f>
        <v>30265.806889463714</v>
      </c>
      <c r="J133" s="271">
        <f>+J130</f>
        <v>60531.613778927429</v>
      </c>
      <c r="K133" s="161">
        <f>I133+J133</f>
        <v>90797.420668391147</v>
      </c>
      <c r="L133" s="271">
        <f>+L130</f>
        <v>440.78780564123963</v>
      </c>
      <c r="M133" s="161">
        <f t="shared" si="132"/>
        <v>95342.591658032397</v>
      </c>
      <c r="N133" s="162">
        <f t="shared" si="133"/>
        <v>0</v>
      </c>
      <c r="O133" s="162">
        <f t="shared" si="134"/>
        <v>32835.065472000002</v>
      </c>
      <c r="P133" s="162">
        <f t="shared" si="135"/>
        <v>242126.45511570972</v>
      </c>
      <c r="Q133" s="162">
        <f t="shared" si="136"/>
        <v>484252.91023141943</v>
      </c>
      <c r="R133" s="162">
        <f t="shared" si="137"/>
        <v>3526.302445129917</v>
      </c>
      <c r="S133" s="163">
        <f t="shared" si="138"/>
        <v>762740.73326425906</v>
      </c>
      <c r="T133" s="234"/>
      <c r="U133" s="165">
        <f t="shared" si="139"/>
        <v>129330</v>
      </c>
      <c r="V133" s="165">
        <f t="shared" si="140"/>
        <v>1034640</v>
      </c>
      <c r="W133" s="216"/>
      <c r="X133" s="144"/>
    </row>
    <row r="134" spans="1:31" ht="13" x14ac:dyDescent="0.3">
      <c r="A134" s="136">
        <v>18</v>
      </c>
      <c r="B134" s="137"/>
      <c r="C134" s="138" t="s">
        <v>203</v>
      </c>
      <c r="D134" s="139"/>
      <c r="E134" s="140"/>
      <c r="F134" s="140"/>
      <c r="G134" s="140"/>
      <c r="H134" s="140"/>
      <c r="I134" s="140"/>
      <c r="J134" s="140"/>
      <c r="K134" s="140"/>
      <c r="L134" s="140"/>
      <c r="M134" s="141"/>
      <c r="N134" s="140"/>
      <c r="O134" s="140"/>
      <c r="P134" s="140"/>
      <c r="Q134" s="140"/>
      <c r="R134" s="140"/>
      <c r="S134" s="140"/>
      <c r="T134" s="142">
        <f>SUM(S135:S161)</f>
        <v>101081826.28201465</v>
      </c>
      <c r="U134" s="140"/>
      <c r="V134" s="140"/>
      <c r="W134" s="143">
        <f>SUM(V135:V161)</f>
        <v>137114765</v>
      </c>
      <c r="X134" s="144">
        <f>+W134/$W$213</f>
        <v>8.8999557090866335E-2</v>
      </c>
      <c r="Z134" s="273" t="s">
        <v>204</v>
      </c>
      <c r="AA134" s="273" t="s">
        <v>205</v>
      </c>
      <c r="AB134" s="273"/>
      <c r="AC134" s="273" t="s">
        <v>206</v>
      </c>
      <c r="AD134" s="82" t="s">
        <v>207</v>
      </c>
      <c r="AE134" s="82" t="s">
        <v>208</v>
      </c>
    </row>
    <row r="135" spans="1:31" ht="13" outlineLevel="1" x14ac:dyDescent="0.3">
      <c r="A135" s="274">
        <v>18.010000000000002</v>
      </c>
      <c r="B135" s="211" t="s">
        <v>42</v>
      </c>
      <c r="C135" s="275" t="s">
        <v>209</v>
      </c>
      <c r="D135" s="276" t="s">
        <v>114</v>
      </c>
      <c r="E135" s="277">
        <f>+[9]Locales!CE100</f>
        <v>222</v>
      </c>
      <c r="F135" s="214">
        <f>+'[9]APU 06.25'!E90</f>
        <v>18798.887787420623</v>
      </c>
      <c r="G135" s="278"/>
      <c r="H135" s="150">
        <f t="shared" ref="H135:H161" si="141">F135+G135</f>
        <v>18798.887787420623</v>
      </c>
      <c r="I135" s="214">
        <f>+'[9]APU 06.25'!H90</f>
        <v>49666.965151940458</v>
      </c>
      <c r="J135" s="278"/>
      <c r="K135" s="150">
        <f>I135+J135</f>
        <v>49666.965151940458</v>
      </c>
      <c r="L135" s="214">
        <f>+'[9]APU 06.25'!K90</f>
        <v>1812.1956821517972</v>
      </c>
      <c r="M135" s="150">
        <f t="shared" ref="M135:M161" si="142">H135+K135+L135</f>
        <v>70278.048621512877</v>
      </c>
      <c r="N135" s="151">
        <f t="shared" ref="N135:N161" si="143">F135*E135</f>
        <v>4173353.0888073784</v>
      </c>
      <c r="O135" s="151">
        <f t="shared" ref="O135:O161" si="144">G135*E135</f>
        <v>0</v>
      </c>
      <c r="P135" s="151">
        <f t="shared" ref="P135:P161" si="145">I135*E135</f>
        <v>11026066.263730781</v>
      </c>
      <c r="Q135" s="151">
        <f t="shared" ref="Q135:Q161" si="146">J135*E135</f>
        <v>0</v>
      </c>
      <c r="R135" s="151">
        <f t="shared" ref="R135:R161" si="147">+L135*E135</f>
        <v>402307.44143769896</v>
      </c>
      <c r="S135" s="152">
        <f t="shared" ref="S135:S161" si="148">SUM(N135:R135)</f>
        <v>15601726.793975858</v>
      </c>
      <c r="T135" s="153"/>
      <c r="U135" s="154">
        <f t="shared" ref="U135:U161" si="149">+ROUNDUP(M135*$T$5,0)</f>
        <v>95330</v>
      </c>
      <c r="V135" s="154">
        <f t="shared" ref="V135:V161" si="150">+U135*E135</f>
        <v>21163260</v>
      </c>
      <c r="X135" s="144"/>
      <c r="Z135" s="97">
        <f>+SUM(P135:R161)</f>
        <v>63506648.133335046</v>
      </c>
      <c r="AA135" s="172">
        <f>+Z135/T134</f>
        <v>0.62826969465464333</v>
      </c>
      <c r="AB135" s="94">
        <v>1.6</v>
      </c>
      <c r="AC135" s="97">
        <f>+Z135/AB135</f>
        <v>39691655.083334401</v>
      </c>
      <c r="AD135" s="97">
        <v>3000000</v>
      </c>
      <c r="AE135" s="170">
        <f>+AC135/AD135</f>
        <v>13.230551694444801</v>
      </c>
    </row>
    <row r="136" spans="1:31" ht="13" outlineLevel="1" x14ac:dyDescent="0.3">
      <c r="A136" s="279">
        <v>18.02</v>
      </c>
      <c r="B136" s="173" t="s">
        <v>42</v>
      </c>
      <c r="C136" s="280" t="s">
        <v>210</v>
      </c>
      <c r="D136" s="281" t="s">
        <v>114</v>
      </c>
      <c r="E136" s="282">
        <f>+[9]Locales!CF100</f>
        <v>67</v>
      </c>
      <c r="F136" s="218">
        <f>+'[9]APU 06.25'!E63</f>
        <v>17610.205138368772</v>
      </c>
      <c r="G136" s="283"/>
      <c r="H136" s="161">
        <f t="shared" si="141"/>
        <v>17610.205138368772</v>
      </c>
      <c r="I136" s="218">
        <f>+'[9]APU 06.25'!H63</f>
        <v>49666.965151940458</v>
      </c>
      <c r="J136" s="283"/>
      <c r="K136" s="161">
        <f t="shared" ref="K136:K161" si="151">I136+J136</f>
        <v>49666.965151940458</v>
      </c>
      <c r="L136" s="218">
        <f>+'[9]APU 06.25'!K63</f>
        <v>1812.1956821517972</v>
      </c>
      <c r="M136" s="161">
        <f t="shared" si="142"/>
        <v>69089.365972461033</v>
      </c>
      <c r="N136" s="162">
        <f t="shared" si="143"/>
        <v>1179883.7442707077</v>
      </c>
      <c r="O136" s="162">
        <f t="shared" si="144"/>
        <v>0</v>
      </c>
      <c r="P136" s="162">
        <f t="shared" si="145"/>
        <v>3327686.6651800107</v>
      </c>
      <c r="Q136" s="162">
        <f t="shared" si="146"/>
        <v>0</v>
      </c>
      <c r="R136" s="162">
        <f t="shared" si="147"/>
        <v>121417.11070417041</v>
      </c>
      <c r="S136" s="163">
        <f t="shared" si="148"/>
        <v>4628987.5201548887</v>
      </c>
      <c r="T136" s="164"/>
      <c r="U136" s="165">
        <f t="shared" si="149"/>
        <v>93718</v>
      </c>
      <c r="V136" s="165">
        <f t="shared" si="150"/>
        <v>6279106</v>
      </c>
      <c r="X136" s="144"/>
      <c r="Z136" s="97"/>
    </row>
    <row r="137" spans="1:31" ht="13" outlineLevel="1" x14ac:dyDescent="0.3">
      <c r="A137" s="279">
        <v>18.03</v>
      </c>
      <c r="B137" s="173" t="s">
        <v>42</v>
      </c>
      <c r="C137" s="280" t="s">
        <v>211</v>
      </c>
      <c r="D137" s="281" t="s">
        <v>114</v>
      </c>
      <c r="E137" s="282">
        <f>+[9]Locales!CG100</f>
        <v>23</v>
      </c>
      <c r="F137" s="218">
        <f>+'[9]APU 06.25'!E63</f>
        <v>17610.205138368772</v>
      </c>
      <c r="G137" s="283"/>
      <c r="H137" s="161">
        <f t="shared" si="141"/>
        <v>17610.205138368772</v>
      </c>
      <c r="I137" s="218">
        <f>+'[9]APU 06.25'!H63</f>
        <v>49666.965151940458</v>
      </c>
      <c r="J137" s="283"/>
      <c r="K137" s="161">
        <f t="shared" si="151"/>
        <v>49666.965151940458</v>
      </c>
      <c r="L137" s="218">
        <f>+'[9]APU 06.25'!K63</f>
        <v>1812.1956821517972</v>
      </c>
      <c r="M137" s="161">
        <f t="shared" si="142"/>
        <v>69089.365972461033</v>
      </c>
      <c r="N137" s="162">
        <f t="shared" si="143"/>
        <v>405034.71818248177</v>
      </c>
      <c r="O137" s="162">
        <f t="shared" si="144"/>
        <v>0</v>
      </c>
      <c r="P137" s="162">
        <f t="shared" si="145"/>
        <v>1142340.1984946306</v>
      </c>
      <c r="Q137" s="162">
        <f t="shared" si="146"/>
        <v>0</v>
      </c>
      <c r="R137" s="162">
        <f t="shared" si="147"/>
        <v>41680.500689491339</v>
      </c>
      <c r="S137" s="163">
        <f t="shared" si="148"/>
        <v>1589055.4173666039</v>
      </c>
      <c r="T137" s="164"/>
      <c r="U137" s="165">
        <f t="shared" si="149"/>
        <v>93718</v>
      </c>
      <c r="V137" s="165">
        <f t="shared" si="150"/>
        <v>2155514</v>
      </c>
      <c r="X137" s="144"/>
    </row>
    <row r="138" spans="1:31" ht="13" outlineLevel="1" x14ac:dyDescent="0.3">
      <c r="A138" s="279">
        <v>18.04</v>
      </c>
      <c r="B138" s="173" t="s">
        <v>42</v>
      </c>
      <c r="C138" s="280" t="s">
        <v>212</v>
      </c>
      <c r="D138" s="281" t="s">
        <v>114</v>
      </c>
      <c r="E138" s="282">
        <f>+[9]Locales!CB100</f>
        <v>11</v>
      </c>
      <c r="F138" s="218">
        <f>+'[9]APU 06.25'!E63</f>
        <v>17610.205138368772</v>
      </c>
      <c r="G138" s="283"/>
      <c r="H138" s="161">
        <f t="shared" si="141"/>
        <v>17610.205138368772</v>
      </c>
      <c r="I138" s="218">
        <f>+'[9]APU 06.25'!H63</f>
        <v>49666.965151940458</v>
      </c>
      <c r="J138" s="283"/>
      <c r="K138" s="161">
        <f t="shared" si="151"/>
        <v>49666.965151940458</v>
      </c>
      <c r="L138" s="218">
        <f>+'[9]APU 06.25'!K63</f>
        <v>1812.1956821517972</v>
      </c>
      <c r="M138" s="161">
        <f t="shared" si="142"/>
        <v>69089.365972461033</v>
      </c>
      <c r="N138" s="162">
        <f t="shared" si="143"/>
        <v>193712.2565220565</v>
      </c>
      <c r="O138" s="162">
        <f t="shared" si="144"/>
        <v>0</v>
      </c>
      <c r="P138" s="162">
        <f t="shared" si="145"/>
        <v>546336.61667134508</v>
      </c>
      <c r="Q138" s="162">
        <f t="shared" si="146"/>
        <v>0</v>
      </c>
      <c r="R138" s="162">
        <f t="shared" si="147"/>
        <v>19934.152503669768</v>
      </c>
      <c r="S138" s="163">
        <f t="shared" si="148"/>
        <v>759983.02569707134</v>
      </c>
      <c r="T138" s="164"/>
      <c r="U138" s="165">
        <f t="shared" si="149"/>
        <v>93718</v>
      </c>
      <c r="V138" s="165">
        <f t="shared" si="150"/>
        <v>1030898</v>
      </c>
      <c r="X138" s="144"/>
    </row>
    <row r="139" spans="1:31" ht="13" outlineLevel="1" x14ac:dyDescent="0.3">
      <c r="A139" s="279">
        <v>18.05</v>
      </c>
      <c r="B139" s="173" t="s">
        <v>42</v>
      </c>
      <c r="C139" s="280" t="s">
        <v>213</v>
      </c>
      <c r="D139" s="281" t="s">
        <v>114</v>
      </c>
      <c r="E139" s="282">
        <f>+[9]Locales!CM102</f>
        <v>313</v>
      </c>
      <c r="F139" s="218">
        <f>+'[9]APU 06.25'!E64</f>
        <v>15896.430633907985</v>
      </c>
      <c r="G139" s="283"/>
      <c r="H139" s="161">
        <f t="shared" si="141"/>
        <v>15896.430633907985</v>
      </c>
      <c r="I139" s="218">
        <f>+'[9]APU 06.25'!H64</f>
        <v>49666.965151940458</v>
      </c>
      <c r="J139" s="283"/>
      <c r="K139" s="161">
        <f t="shared" si="151"/>
        <v>49666.965151940458</v>
      </c>
      <c r="L139" s="218">
        <f>+'[9]APU 06.25'!K64</f>
        <v>1812.1956821517972</v>
      </c>
      <c r="M139" s="161">
        <f t="shared" si="142"/>
        <v>67375.591468000232</v>
      </c>
      <c r="N139" s="162">
        <f t="shared" si="143"/>
        <v>4975582.7884131996</v>
      </c>
      <c r="O139" s="162">
        <f t="shared" si="144"/>
        <v>0</v>
      </c>
      <c r="P139" s="162">
        <f t="shared" si="145"/>
        <v>15545760.092557363</v>
      </c>
      <c r="Q139" s="162">
        <f t="shared" si="146"/>
        <v>0</v>
      </c>
      <c r="R139" s="162">
        <f t="shared" si="147"/>
        <v>567217.24851351255</v>
      </c>
      <c r="S139" s="163">
        <f t="shared" si="148"/>
        <v>21088560.129484076</v>
      </c>
      <c r="T139" s="164"/>
      <c r="U139" s="165">
        <f t="shared" si="149"/>
        <v>91393</v>
      </c>
      <c r="V139" s="165">
        <f t="shared" si="150"/>
        <v>28606009</v>
      </c>
      <c r="X139" s="144"/>
      <c r="AD139" s="97"/>
    </row>
    <row r="140" spans="1:31" ht="13" outlineLevel="1" x14ac:dyDescent="0.3">
      <c r="A140" s="279">
        <v>18.059999999999999</v>
      </c>
      <c r="B140" s="173" t="s">
        <v>42</v>
      </c>
      <c r="C140" s="280" t="s">
        <v>214</v>
      </c>
      <c r="D140" s="281" t="s">
        <v>114</v>
      </c>
      <c r="E140" s="282">
        <f>+[9]Locales!CP100</f>
        <v>40</v>
      </c>
      <c r="F140" s="218">
        <f>+'[9]APU 06.25'!E91</f>
        <v>34095.002044916851</v>
      </c>
      <c r="G140" s="218"/>
      <c r="H140" s="161">
        <f t="shared" si="141"/>
        <v>34095.002044916851</v>
      </c>
      <c r="I140" s="218">
        <f>+'[9]APU 06.25'!H91</f>
        <v>49666.965151940458</v>
      </c>
      <c r="J140" s="283"/>
      <c r="K140" s="161">
        <f t="shared" si="151"/>
        <v>49666.965151940458</v>
      </c>
      <c r="L140" s="218">
        <f>+'[9]APU 06.25'!K91</f>
        <v>1812.1956821517972</v>
      </c>
      <c r="M140" s="161">
        <f t="shared" si="142"/>
        <v>85574.162879009105</v>
      </c>
      <c r="N140" s="162">
        <f t="shared" si="143"/>
        <v>1363800.0817966741</v>
      </c>
      <c r="O140" s="162">
        <f t="shared" si="144"/>
        <v>0</v>
      </c>
      <c r="P140" s="162">
        <f t="shared" si="145"/>
        <v>1986678.6060776184</v>
      </c>
      <c r="Q140" s="162">
        <f t="shared" si="146"/>
        <v>0</v>
      </c>
      <c r="R140" s="162">
        <f t="shared" si="147"/>
        <v>72487.827286071886</v>
      </c>
      <c r="S140" s="163">
        <f t="shared" si="148"/>
        <v>3422966.5151603646</v>
      </c>
      <c r="T140" s="164"/>
      <c r="U140" s="165">
        <f t="shared" si="149"/>
        <v>116079</v>
      </c>
      <c r="V140" s="165">
        <f t="shared" si="150"/>
        <v>4643160</v>
      </c>
      <c r="X140" s="144"/>
    </row>
    <row r="141" spans="1:31" ht="13" outlineLevel="1" x14ac:dyDescent="0.3">
      <c r="A141" s="279">
        <v>18.07</v>
      </c>
      <c r="B141" s="173" t="s">
        <v>42</v>
      </c>
      <c r="C141" s="280" t="s">
        <v>215</v>
      </c>
      <c r="D141" s="281" t="s">
        <v>114</v>
      </c>
      <c r="E141" s="282">
        <f>+[9]Locales!CO100</f>
        <v>50</v>
      </c>
      <c r="F141" s="218">
        <f>+'[9]APU 06.25'!E91</f>
        <v>34095.002044916851</v>
      </c>
      <c r="G141" s="218"/>
      <c r="H141" s="161">
        <f t="shared" si="141"/>
        <v>34095.002044916851</v>
      </c>
      <c r="I141" s="218">
        <f>+'[9]APU 06.25'!H91</f>
        <v>49666.965151940458</v>
      </c>
      <c r="J141" s="283"/>
      <c r="K141" s="161">
        <f t="shared" si="151"/>
        <v>49666.965151940458</v>
      </c>
      <c r="L141" s="218">
        <f>+'[9]APU 06.25'!K91</f>
        <v>1812.1956821517972</v>
      </c>
      <c r="M141" s="161">
        <f t="shared" si="142"/>
        <v>85574.162879009105</v>
      </c>
      <c r="N141" s="162">
        <f t="shared" si="143"/>
        <v>1704750.1022458426</v>
      </c>
      <c r="O141" s="162">
        <f t="shared" si="144"/>
        <v>0</v>
      </c>
      <c r="P141" s="162">
        <f t="shared" si="145"/>
        <v>2483348.2575970227</v>
      </c>
      <c r="Q141" s="162">
        <f t="shared" si="146"/>
        <v>0</v>
      </c>
      <c r="R141" s="162">
        <f t="shared" si="147"/>
        <v>90609.784107589861</v>
      </c>
      <c r="S141" s="163">
        <f t="shared" si="148"/>
        <v>4278708.1439504549</v>
      </c>
      <c r="T141" s="164"/>
      <c r="U141" s="165">
        <f t="shared" si="149"/>
        <v>116079</v>
      </c>
      <c r="V141" s="165">
        <f t="shared" si="150"/>
        <v>5803950</v>
      </c>
      <c r="X141" s="144"/>
    </row>
    <row r="142" spans="1:31" ht="13" outlineLevel="1" x14ac:dyDescent="0.3">
      <c r="A142" s="279">
        <v>18.079999999999998</v>
      </c>
      <c r="B142" s="173" t="s">
        <v>42</v>
      </c>
      <c r="C142" s="280" t="s">
        <v>216</v>
      </c>
      <c r="D142" s="281" t="s">
        <v>114</v>
      </c>
      <c r="E142" s="282">
        <v>0</v>
      </c>
      <c r="F142" s="218">
        <f>+'[9]APU 06.25'!E64</f>
        <v>15896.430633907985</v>
      </c>
      <c r="G142" s="283"/>
      <c r="H142" s="161">
        <f>F142+G142</f>
        <v>15896.430633907985</v>
      </c>
      <c r="I142" s="218">
        <f>+'[9]APU 06.25'!H64</f>
        <v>49666.965151940458</v>
      </c>
      <c r="J142" s="283"/>
      <c r="K142" s="161">
        <f>I142+J142</f>
        <v>49666.965151940458</v>
      </c>
      <c r="L142" s="218">
        <f>+'[9]APU 06.25'!K64</f>
        <v>1812.1956821517972</v>
      </c>
      <c r="M142" s="161">
        <f t="shared" si="142"/>
        <v>67375.591468000232</v>
      </c>
      <c r="N142" s="162">
        <f t="shared" si="143"/>
        <v>0</v>
      </c>
      <c r="O142" s="162">
        <f t="shared" si="144"/>
        <v>0</v>
      </c>
      <c r="P142" s="162">
        <f t="shared" si="145"/>
        <v>0</v>
      </c>
      <c r="Q142" s="162">
        <f t="shared" si="146"/>
        <v>0</v>
      </c>
      <c r="R142" s="162">
        <f t="shared" si="147"/>
        <v>0</v>
      </c>
      <c r="S142" s="163">
        <f t="shared" si="148"/>
        <v>0</v>
      </c>
      <c r="T142" s="164"/>
      <c r="U142" s="165">
        <f t="shared" si="149"/>
        <v>91393</v>
      </c>
      <c r="V142" s="165">
        <f t="shared" si="150"/>
        <v>0</v>
      </c>
      <c r="X142" s="144"/>
    </row>
    <row r="143" spans="1:31" ht="13" outlineLevel="1" x14ac:dyDescent="0.3">
      <c r="A143" s="279">
        <v>18.09</v>
      </c>
      <c r="B143" s="173" t="s">
        <v>42</v>
      </c>
      <c r="C143" s="280" t="s">
        <v>217</v>
      </c>
      <c r="D143" s="281" t="s">
        <v>114</v>
      </c>
      <c r="E143" s="282">
        <f>+[9]Locales!CX100</f>
        <v>40</v>
      </c>
      <c r="F143" s="218">
        <f>+'[9]APU 06.25'!E92</f>
        <v>10557.999723719837</v>
      </c>
      <c r="G143" s="283"/>
      <c r="H143" s="161">
        <f t="shared" si="141"/>
        <v>10557.999723719837</v>
      </c>
      <c r="I143" s="218">
        <f>+'[9]APU 06.25'!H92</f>
        <v>32283.527348761294</v>
      </c>
      <c r="J143" s="283"/>
      <c r="K143" s="161">
        <f t="shared" si="151"/>
        <v>32283.527348761294</v>
      </c>
      <c r="L143" s="218">
        <f>+'[9]APU 06.25'!K92</f>
        <v>1177.9271933986681</v>
      </c>
      <c r="M143" s="161">
        <f t="shared" si="142"/>
        <v>44019.454265879795</v>
      </c>
      <c r="N143" s="162">
        <f t="shared" si="143"/>
        <v>422319.9889487935</v>
      </c>
      <c r="O143" s="162">
        <f t="shared" si="144"/>
        <v>0</v>
      </c>
      <c r="P143" s="162">
        <f t="shared" si="145"/>
        <v>1291341.0939504518</v>
      </c>
      <c r="Q143" s="162">
        <f t="shared" si="146"/>
        <v>0</v>
      </c>
      <c r="R143" s="162">
        <f t="shared" si="147"/>
        <v>47117.087735946727</v>
      </c>
      <c r="S143" s="163">
        <f t="shared" si="148"/>
        <v>1760778.1706351922</v>
      </c>
      <c r="T143" s="164"/>
      <c r="U143" s="165">
        <f t="shared" si="149"/>
        <v>59711</v>
      </c>
      <c r="V143" s="165">
        <f t="shared" si="150"/>
        <v>2388440</v>
      </c>
      <c r="X143" s="144"/>
    </row>
    <row r="144" spans="1:31" ht="13" outlineLevel="1" x14ac:dyDescent="0.3">
      <c r="A144" s="279">
        <v>18.100000000000001</v>
      </c>
      <c r="B144" s="173" t="s">
        <v>42</v>
      </c>
      <c r="C144" s="280" t="s">
        <v>218</v>
      </c>
      <c r="D144" s="281" t="s">
        <v>114</v>
      </c>
      <c r="E144" s="282">
        <v>0</v>
      </c>
      <c r="F144" s="218">
        <f>+'[9]APU 06.25'!E92</f>
        <v>10557.999723719837</v>
      </c>
      <c r="G144" s="283"/>
      <c r="H144" s="161">
        <f t="shared" si="141"/>
        <v>10557.999723719837</v>
      </c>
      <c r="I144" s="218">
        <f>+'[9]APU 06.25'!H92</f>
        <v>32283.527348761294</v>
      </c>
      <c r="J144" s="283"/>
      <c r="K144" s="161">
        <f t="shared" si="151"/>
        <v>32283.527348761294</v>
      </c>
      <c r="L144" s="218">
        <f>+'[9]APU 06.25'!K92</f>
        <v>1177.9271933986681</v>
      </c>
      <c r="M144" s="161">
        <f t="shared" si="142"/>
        <v>44019.454265879795</v>
      </c>
      <c r="N144" s="162">
        <f t="shared" si="143"/>
        <v>0</v>
      </c>
      <c r="O144" s="162">
        <f t="shared" si="144"/>
        <v>0</v>
      </c>
      <c r="P144" s="162">
        <f t="shared" si="145"/>
        <v>0</v>
      </c>
      <c r="Q144" s="162">
        <f t="shared" si="146"/>
        <v>0</v>
      </c>
      <c r="R144" s="162">
        <f t="shared" si="147"/>
        <v>0</v>
      </c>
      <c r="S144" s="163">
        <f t="shared" si="148"/>
        <v>0</v>
      </c>
      <c r="T144" s="164"/>
      <c r="U144" s="165">
        <f t="shared" si="149"/>
        <v>59711</v>
      </c>
      <c r="V144" s="165">
        <f t="shared" si="150"/>
        <v>0</v>
      </c>
      <c r="X144" s="144"/>
    </row>
    <row r="145" spans="1:28" ht="13" outlineLevel="1" x14ac:dyDescent="0.3">
      <c r="A145" s="279">
        <v>18.11</v>
      </c>
      <c r="B145" s="173" t="s">
        <v>42</v>
      </c>
      <c r="C145" s="280" t="s">
        <v>219</v>
      </c>
      <c r="D145" s="281" t="s">
        <v>114</v>
      </c>
      <c r="E145" s="282">
        <v>1</v>
      </c>
      <c r="F145" s="284">
        <f>+[9]ELECT!H5</f>
        <v>1409151.0752583144</v>
      </c>
      <c r="G145" s="285"/>
      <c r="H145" s="161">
        <f t="shared" si="141"/>
        <v>1409151.0752583144</v>
      </c>
      <c r="I145" s="284">
        <f>+[9]SUBCONTRATOS!D55</f>
        <v>434240.10000000003</v>
      </c>
      <c r="J145" s="285"/>
      <c r="K145" s="161">
        <f t="shared" si="151"/>
        <v>434240.10000000003</v>
      </c>
      <c r="L145" s="160">
        <f>(H145+K145)*0.015</f>
        <v>27650.867628874716</v>
      </c>
      <c r="M145" s="161">
        <f t="shared" si="142"/>
        <v>1871042.0428871892</v>
      </c>
      <c r="N145" s="162">
        <f t="shared" si="143"/>
        <v>1409151.0752583144</v>
      </c>
      <c r="O145" s="162">
        <f t="shared" si="144"/>
        <v>0</v>
      </c>
      <c r="P145" s="162">
        <f t="shared" si="145"/>
        <v>434240.10000000003</v>
      </c>
      <c r="Q145" s="162">
        <f t="shared" si="146"/>
        <v>0</v>
      </c>
      <c r="R145" s="162">
        <f t="shared" si="147"/>
        <v>27650.867628874716</v>
      </c>
      <c r="S145" s="163">
        <f t="shared" si="148"/>
        <v>1871042.0428871892</v>
      </c>
      <c r="T145" s="164"/>
      <c r="U145" s="165">
        <f t="shared" si="149"/>
        <v>2538008</v>
      </c>
      <c r="V145" s="165">
        <f t="shared" si="150"/>
        <v>2538008</v>
      </c>
      <c r="X145" s="144"/>
    </row>
    <row r="146" spans="1:28" ht="13" outlineLevel="1" x14ac:dyDescent="0.3">
      <c r="A146" s="279">
        <v>18.12</v>
      </c>
      <c r="B146" s="173" t="s">
        <v>42</v>
      </c>
      <c r="C146" s="280" t="s">
        <v>220</v>
      </c>
      <c r="D146" s="281" t="s">
        <v>114</v>
      </c>
      <c r="E146" s="282">
        <v>1</v>
      </c>
      <c r="F146" s="284">
        <f>+[9]ELECT!H35</f>
        <v>610540.33970065822</v>
      </c>
      <c r="G146" s="283"/>
      <c r="H146" s="161">
        <f t="shared" si="141"/>
        <v>610540.33970065822</v>
      </c>
      <c r="I146" s="284">
        <f>+[9]SUBCONTRATOS!$D$54</f>
        <v>289506.60000000003</v>
      </c>
      <c r="J146" s="283"/>
      <c r="K146" s="161">
        <f t="shared" si="151"/>
        <v>289506.60000000003</v>
      </c>
      <c r="L146" s="160">
        <f t="shared" ref="L146:L152" si="152">(H146+K146)*0.015</f>
        <v>13500.704095509873</v>
      </c>
      <c r="M146" s="161">
        <f t="shared" si="142"/>
        <v>913547.64379616803</v>
      </c>
      <c r="N146" s="162">
        <f t="shared" si="143"/>
        <v>610540.33970065822</v>
      </c>
      <c r="O146" s="162">
        <f t="shared" si="144"/>
        <v>0</v>
      </c>
      <c r="P146" s="162">
        <f t="shared" si="145"/>
        <v>289506.60000000003</v>
      </c>
      <c r="Q146" s="162">
        <f t="shared" si="146"/>
        <v>0</v>
      </c>
      <c r="R146" s="162">
        <f t="shared" si="147"/>
        <v>13500.704095509873</v>
      </c>
      <c r="S146" s="163">
        <f t="shared" si="148"/>
        <v>913547.64379616803</v>
      </c>
      <c r="T146" s="164"/>
      <c r="U146" s="165">
        <f t="shared" si="149"/>
        <v>1239198</v>
      </c>
      <c r="V146" s="165">
        <f t="shared" si="150"/>
        <v>1239198</v>
      </c>
      <c r="X146" s="144"/>
    </row>
    <row r="147" spans="1:28" ht="13" outlineLevel="1" x14ac:dyDescent="0.3">
      <c r="A147" s="279">
        <v>18.13</v>
      </c>
      <c r="B147" s="173" t="s">
        <v>42</v>
      </c>
      <c r="C147" s="280" t="s">
        <v>221</v>
      </c>
      <c r="D147" s="281" t="s">
        <v>114</v>
      </c>
      <c r="E147" s="282">
        <v>1</v>
      </c>
      <c r="F147" s="180">
        <f>+[9]ELECT!H45</f>
        <v>290879.99749432731</v>
      </c>
      <c r="G147" s="198"/>
      <c r="H147" s="161">
        <f t="shared" si="141"/>
        <v>290879.99749432731</v>
      </c>
      <c r="I147" s="284">
        <f>+[9]SUBCONTRATOS!$D$54</f>
        <v>289506.60000000003</v>
      </c>
      <c r="J147" s="283"/>
      <c r="K147" s="161">
        <f t="shared" si="151"/>
        <v>289506.60000000003</v>
      </c>
      <c r="L147" s="160">
        <f t="shared" si="152"/>
        <v>8705.7989624149104</v>
      </c>
      <c r="M147" s="161">
        <f t="shared" si="142"/>
        <v>589092.39645674231</v>
      </c>
      <c r="N147" s="162">
        <f t="shared" si="143"/>
        <v>290879.99749432731</v>
      </c>
      <c r="O147" s="162">
        <f t="shared" si="144"/>
        <v>0</v>
      </c>
      <c r="P147" s="162">
        <f t="shared" si="145"/>
        <v>289506.60000000003</v>
      </c>
      <c r="Q147" s="162">
        <f t="shared" si="146"/>
        <v>0</v>
      </c>
      <c r="R147" s="162">
        <f t="shared" si="147"/>
        <v>8705.7989624149104</v>
      </c>
      <c r="S147" s="163">
        <f t="shared" si="148"/>
        <v>589092.39645674231</v>
      </c>
      <c r="T147" s="164"/>
      <c r="U147" s="165">
        <f t="shared" si="149"/>
        <v>799085</v>
      </c>
      <c r="V147" s="165">
        <f t="shared" si="150"/>
        <v>799085</v>
      </c>
      <c r="X147" s="144"/>
    </row>
    <row r="148" spans="1:28" ht="13" outlineLevel="1" x14ac:dyDescent="0.3">
      <c r="A148" s="279">
        <v>18.14</v>
      </c>
      <c r="B148" s="173" t="s">
        <v>42</v>
      </c>
      <c r="C148" s="280" t="s">
        <v>222</v>
      </c>
      <c r="D148" s="281" t="s">
        <v>114</v>
      </c>
      <c r="E148" s="282">
        <v>1</v>
      </c>
      <c r="F148" s="180">
        <f>+[9]ELECT!H52</f>
        <v>502957.66935239022</v>
      </c>
      <c r="G148" s="283"/>
      <c r="H148" s="161">
        <f t="shared" si="141"/>
        <v>502957.66935239022</v>
      </c>
      <c r="I148" s="284">
        <f>+[9]SUBCONTRATOS!$D$54</f>
        <v>289506.60000000003</v>
      </c>
      <c r="J148" s="283"/>
      <c r="K148" s="161">
        <f t="shared" si="151"/>
        <v>289506.60000000003</v>
      </c>
      <c r="L148" s="160">
        <f t="shared" si="152"/>
        <v>11886.964040285853</v>
      </c>
      <c r="M148" s="161">
        <f t="shared" si="142"/>
        <v>804351.23339267611</v>
      </c>
      <c r="N148" s="162">
        <f t="shared" si="143"/>
        <v>502957.66935239022</v>
      </c>
      <c r="O148" s="162">
        <f t="shared" si="144"/>
        <v>0</v>
      </c>
      <c r="P148" s="162">
        <f t="shared" si="145"/>
        <v>289506.60000000003</v>
      </c>
      <c r="Q148" s="162">
        <f t="shared" si="146"/>
        <v>0</v>
      </c>
      <c r="R148" s="162">
        <f t="shared" si="147"/>
        <v>11886.964040285853</v>
      </c>
      <c r="S148" s="163">
        <f t="shared" si="148"/>
        <v>804351.23339267611</v>
      </c>
      <c r="T148" s="164"/>
      <c r="U148" s="165">
        <f t="shared" si="149"/>
        <v>1091077</v>
      </c>
      <c r="V148" s="165">
        <f t="shared" si="150"/>
        <v>1091077</v>
      </c>
      <c r="X148" s="144"/>
    </row>
    <row r="149" spans="1:28" ht="13" outlineLevel="1" x14ac:dyDescent="0.3">
      <c r="A149" s="279">
        <v>18.149999999999999</v>
      </c>
      <c r="B149" s="173" t="s">
        <v>42</v>
      </c>
      <c r="C149" s="286" t="s">
        <v>223</v>
      </c>
      <c r="D149" s="281" t="s">
        <v>114</v>
      </c>
      <c r="E149" s="282">
        <f>+[9]Locales!CQ100</f>
        <v>11</v>
      </c>
      <c r="F149" s="284">
        <f>+[9]ELECT!H62</f>
        <v>136527.37438721894</v>
      </c>
      <c r="G149" s="283"/>
      <c r="H149" s="161">
        <f t="shared" si="141"/>
        <v>136527.37438721894</v>
      </c>
      <c r="I149" s="284">
        <f>+[9]SUBCONTRATOS!$D$54</f>
        <v>289506.60000000003</v>
      </c>
      <c r="J149" s="283"/>
      <c r="K149" s="161">
        <f t="shared" si="151"/>
        <v>289506.60000000003</v>
      </c>
      <c r="L149" s="160">
        <f t="shared" si="152"/>
        <v>6390.5096158082843</v>
      </c>
      <c r="M149" s="161">
        <f t="shared" si="142"/>
        <v>432424.4840030272</v>
      </c>
      <c r="N149" s="162">
        <f t="shared" si="143"/>
        <v>1501801.1182594083</v>
      </c>
      <c r="O149" s="162">
        <f t="shared" si="144"/>
        <v>0</v>
      </c>
      <c r="P149" s="162">
        <f t="shared" si="145"/>
        <v>3184572.6000000006</v>
      </c>
      <c r="Q149" s="162">
        <f t="shared" si="146"/>
        <v>0</v>
      </c>
      <c r="R149" s="162">
        <f t="shared" si="147"/>
        <v>70295.605773891133</v>
      </c>
      <c r="S149" s="163">
        <f t="shared" si="148"/>
        <v>4756669.3240333004</v>
      </c>
      <c r="T149" s="164"/>
      <c r="U149" s="165">
        <f t="shared" si="149"/>
        <v>586570</v>
      </c>
      <c r="V149" s="165">
        <f t="shared" si="150"/>
        <v>6452270</v>
      </c>
      <c r="X149" s="144"/>
    </row>
    <row r="150" spans="1:28" ht="13" outlineLevel="1" x14ac:dyDescent="0.3">
      <c r="A150" s="279">
        <v>18.16</v>
      </c>
      <c r="B150" s="173" t="s">
        <v>42</v>
      </c>
      <c r="C150" s="280" t="s">
        <v>224</v>
      </c>
      <c r="D150" s="281" t="s">
        <v>114</v>
      </c>
      <c r="E150" s="282">
        <f>+[9]Locales!CR100</f>
        <v>14</v>
      </c>
      <c r="F150" s="284">
        <f>+[9]ELECT!H70</f>
        <v>210979.27800770043</v>
      </c>
      <c r="G150" s="283"/>
      <c r="H150" s="161">
        <f t="shared" si="141"/>
        <v>210979.27800770043</v>
      </c>
      <c r="I150" s="284">
        <f>+[9]SUBCONTRATOS!$D$54</f>
        <v>289506.60000000003</v>
      </c>
      <c r="J150" s="283"/>
      <c r="K150" s="161">
        <f t="shared" si="151"/>
        <v>289506.60000000003</v>
      </c>
      <c r="L150" s="160">
        <f t="shared" si="152"/>
        <v>7507.2881701155065</v>
      </c>
      <c r="M150" s="161">
        <f t="shared" si="142"/>
        <v>507993.16617781593</v>
      </c>
      <c r="N150" s="162">
        <f t="shared" si="143"/>
        <v>2953709.8921078062</v>
      </c>
      <c r="O150" s="162">
        <f t="shared" si="144"/>
        <v>0</v>
      </c>
      <c r="P150" s="162">
        <f t="shared" si="145"/>
        <v>4053092.4000000004</v>
      </c>
      <c r="Q150" s="162">
        <f t="shared" si="146"/>
        <v>0</v>
      </c>
      <c r="R150" s="162">
        <f t="shared" si="147"/>
        <v>105102.03438161709</v>
      </c>
      <c r="S150" s="163">
        <f t="shared" si="148"/>
        <v>7111904.3264894234</v>
      </c>
      <c r="T150" s="164"/>
      <c r="U150" s="165">
        <f t="shared" si="149"/>
        <v>689077</v>
      </c>
      <c r="V150" s="165">
        <f t="shared" si="150"/>
        <v>9647078</v>
      </c>
      <c r="X150" s="144"/>
    </row>
    <row r="151" spans="1:28" ht="13" outlineLevel="1" x14ac:dyDescent="0.3">
      <c r="A151" s="279">
        <v>18.170000000000002</v>
      </c>
      <c r="B151" s="173" t="s">
        <v>42</v>
      </c>
      <c r="C151" s="280" t="s">
        <v>225</v>
      </c>
      <c r="D151" s="281" t="s">
        <v>69</v>
      </c>
      <c r="E151" s="282">
        <v>1</v>
      </c>
      <c r="F151" s="285">
        <f>+[9]Tareas!H205</f>
        <v>6941648.2775356993</v>
      </c>
      <c r="G151" s="285">
        <f>+[9]Tareas!I205</f>
        <v>0</v>
      </c>
      <c r="H151" s="161">
        <f t="shared" si="141"/>
        <v>6941648.2775356993</v>
      </c>
      <c r="I151" s="285">
        <f>+[9]Tareas!Q205</f>
        <v>0</v>
      </c>
      <c r="J151" s="285">
        <f>+[9]Tareas!R205</f>
        <v>3269696.8515315522</v>
      </c>
      <c r="K151" s="161">
        <f t="shared" si="151"/>
        <v>3269696.8515315522</v>
      </c>
      <c r="L151" s="160">
        <f t="shared" si="152"/>
        <v>153170.17693600876</v>
      </c>
      <c r="M151" s="161">
        <f t="shared" si="142"/>
        <v>10364515.306003259</v>
      </c>
      <c r="N151" s="162">
        <f t="shared" si="143"/>
        <v>6941648.2775356993</v>
      </c>
      <c r="O151" s="162">
        <f t="shared" si="144"/>
        <v>0</v>
      </c>
      <c r="P151" s="162">
        <f t="shared" si="145"/>
        <v>0</v>
      </c>
      <c r="Q151" s="162">
        <f t="shared" si="146"/>
        <v>3269696.8515315522</v>
      </c>
      <c r="R151" s="162">
        <f t="shared" si="147"/>
        <v>153170.17693600876</v>
      </c>
      <c r="S151" s="163">
        <f t="shared" si="148"/>
        <v>10364515.306003259</v>
      </c>
      <c r="T151" s="164"/>
      <c r="U151" s="165">
        <f t="shared" si="149"/>
        <v>14059125</v>
      </c>
      <c r="V151" s="165">
        <f t="shared" si="150"/>
        <v>14059125</v>
      </c>
      <c r="X151" s="144"/>
    </row>
    <row r="152" spans="1:28" ht="13" outlineLevel="1" x14ac:dyDescent="0.3">
      <c r="A152" s="279">
        <v>18.18</v>
      </c>
      <c r="B152" s="173" t="s">
        <v>42</v>
      </c>
      <c r="C152" s="280" t="s">
        <v>226</v>
      </c>
      <c r="D152" s="281" t="s">
        <v>69</v>
      </c>
      <c r="E152" s="282">
        <v>1</v>
      </c>
      <c r="F152" s="285">
        <f>+[9]Tareas!H210</f>
        <v>896755.5936702406</v>
      </c>
      <c r="G152" s="285">
        <f>+[9]Tareas!I210</f>
        <v>0</v>
      </c>
      <c r="H152" s="161">
        <f t="shared" si="141"/>
        <v>896755.5936702406</v>
      </c>
      <c r="I152" s="285">
        <f>+[9]Tareas!Q210</f>
        <v>0</v>
      </c>
      <c r="J152" s="285">
        <f>+[9]Tareas!R210</f>
        <v>1634848.4257657761</v>
      </c>
      <c r="K152" s="161">
        <f t="shared" si="151"/>
        <v>1634848.4257657761</v>
      </c>
      <c r="L152" s="160">
        <f t="shared" si="152"/>
        <v>37974.060291540249</v>
      </c>
      <c r="M152" s="161">
        <f t="shared" si="142"/>
        <v>2569578.079727557</v>
      </c>
      <c r="N152" s="162">
        <f t="shared" si="143"/>
        <v>896755.5936702406</v>
      </c>
      <c r="O152" s="162">
        <f t="shared" si="144"/>
        <v>0</v>
      </c>
      <c r="P152" s="162">
        <f t="shared" si="145"/>
        <v>0</v>
      </c>
      <c r="Q152" s="162">
        <f t="shared" si="146"/>
        <v>1634848.4257657761</v>
      </c>
      <c r="R152" s="162">
        <f t="shared" si="147"/>
        <v>37974.060291540249</v>
      </c>
      <c r="S152" s="163">
        <f t="shared" si="148"/>
        <v>2569578.079727557</v>
      </c>
      <c r="T152" s="164"/>
      <c r="U152" s="165">
        <f t="shared" si="149"/>
        <v>3485549</v>
      </c>
      <c r="V152" s="165">
        <f t="shared" si="150"/>
        <v>3485549</v>
      </c>
      <c r="X152" s="144"/>
    </row>
    <row r="153" spans="1:28" ht="13" outlineLevel="1" x14ac:dyDescent="0.3">
      <c r="A153" s="279">
        <v>18.190000000000001</v>
      </c>
      <c r="B153" s="173" t="s">
        <v>42</v>
      </c>
      <c r="C153" s="280" t="s">
        <v>227</v>
      </c>
      <c r="D153" s="281" t="s">
        <v>69</v>
      </c>
      <c r="E153" s="282">
        <v>0</v>
      </c>
      <c r="F153" s="285"/>
      <c r="G153" s="285"/>
      <c r="H153" s="161">
        <f t="shared" si="141"/>
        <v>0</v>
      </c>
      <c r="I153" s="285"/>
      <c r="J153" s="285"/>
      <c r="K153" s="161">
        <f t="shared" si="151"/>
        <v>0</v>
      </c>
      <c r="L153" s="160"/>
      <c r="M153" s="161">
        <f t="shared" si="142"/>
        <v>0</v>
      </c>
      <c r="N153" s="162">
        <f t="shared" si="143"/>
        <v>0</v>
      </c>
      <c r="O153" s="162">
        <f t="shared" si="144"/>
        <v>0</v>
      </c>
      <c r="P153" s="162">
        <f t="shared" si="145"/>
        <v>0</v>
      </c>
      <c r="Q153" s="162">
        <f t="shared" si="146"/>
        <v>0</v>
      </c>
      <c r="R153" s="162">
        <f t="shared" si="147"/>
        <v>0</v>
      </c>
      <c r="S153" s="163">
        <f t="shared" si="148"/>
        <v>0</v>
      </c>
      <c r="T153" s="164"/>
      <c r="U153" s="165">
        <f t="shared" si="149"/>
        <v>0</v>
      </c>
      <c r="V153" s="165">
        <f t="shared" si="150"/>
        <v>0</v>
      </c>
      <c r="X153" s="144"/>
    </row>
    <row r="154" spans="1:28" ht="13" outlineLevel="1" x14ac:dyDescent="0.3">
      <c r="A154" s="279">
        <v>18.2</v>
      </c>
      <c r="B154" s="173" t="s">
        <v>42</v>
      </c>
      <c r="C154" s="280" t="s">
        <v>228</v>
      </c>
      <c r="D154" s="281" t="s">
        <v>114</v>
      </c>
      <c r="E154" s="282">
        <f>+[9]Locales!CK102</f>
        <v>119</v>
      </c>
      <c r="F154" s="285"/>
      <c r="G154" s="285"/>
      <c r="H154" s="161">
        <f t="shared" si="141"/>
        <v>0</v>
      </c>
      <c r="I154" s="284">
        <f>+[9]SUBCONTRATOS!$D$49</f>
        <v>9575.2999999999993</v>
      </c>
      <c r="J154" s="285"/>
      <c r="K154" s="161">
        <f t="shared" si="151"/>
        <v>9575.2999999999993</v>
      </c>
      <c r="L154" s="160">
        <f t="shared" ref="L154:L160" si="153">(H154+K154)*0.015</f>
        <v>143.62949999999998</v>
      </c>
      <c r="M154" s="161">
        <f t="shared" si="142"/>
        <v>9718.9294999999984</v>
      </c>
      <c r="N154" s="162">
        <f t="shared" si="143"/>
        <v>0</v>
      </c>
      <c r="O154" s="162">
        <f t="shared" si="144"/>
        <v>0</v>
      </c>
      <c r="P154" s="162">
        <f t="shared" si="145"/>
        <v>1139460.7</v>
      </c>
      <c r="Q154" s="162">
        <f t="shared" si="146"/>
        <v>0</v>
      </c>
      <c r="R154" s="162">
        <f t="shared" si="147"/>
        <v>17091.910499999998</v>
      </c>
      <c r="S154" s="163">
        <f t="shared" si="148"/>
        <v>1156552.6105</v>
      </c>
      <c r="T154" s="164"/>
      <c r="U154" s="165">
        <f t="shared" si="149"/>
        <v>13184</v>
      </c>
      <c r="V154" s="165">
        <f t="shared" si="150"/>
        <v>1568896</v>
      </c>
      <c r="X154" s="144"/>
    </row>
    <row r="155" spans="1:28" ht="13" outlineLevel="1" x14ac:dyDescent="0.3">
      <c r="A155" s="279">
        <v>18.21</v>
      </c>
      <c r="B155" s="173" t="s">
        <v>42</v>
      </c>
      <c r="C155" s="280" t="s">
        <v>229</v>
      </c>
      <c r="D155" s="281" t="s">
        <v>114</v>
      </c>
      <c r="E155" s="282">
        <f>+[9]Locales!CH100</f>
        <v>16</v>
      </c>
      <c r="F155" s="285"/>
      <c r="G155" s="285"/>
      <c r="H155" s="161">
        <f t="shared" si="141"/>
        <v>0</v>
      </c>
      <c r="I155" s="284">
        <f>+[9]SUBCONTRATOS!$D$49</f>
        <v>9575.2999999999993</v>
      </c>
      <c r="J155" s="285"/>
      <c r="K155" s="161">
        <f t="shared" si="151"/>
        <v>9575.2999999999993</v>
      </c>
      <c r="L155" s="160">
        <f t="shared" si="153"/>
        <v>143.62949999999998</v>
      </c>
      <c r="M155" s="161">
        <f t="shared" si="142"/>
        <v>9718.9294999999984</v>
      </c>
      <c r="N155" s="162">
        <f t="shared" si="143"/>
        <v>0</v>
      </c>
      <c r="O155" s="162">
        <f t="shared" si="144"/>
        <v>0</v>
      </c>
      <c r="P155" s="162">
        <f t="shared" si="145"/>
        <v>153204.79999999999</v>
      </c>
      <c r="Q155" s="162">
        <f t="shared" si="146"/>
        <v>0</v>
      </c>
      <c r="R155" s="162">
        <f t="shared" si="147"/>
        <v>2298.0719999999997</v>
      </c>
      <c r="S155" s="163">
        <f t="shared" si="148"/>
        <v>155502.87199999997</v>
      </c>
      <c r="T155" s="164"/>
      <c r="U155" s="165">
        <f t="shared" si="149"/>
        <v>13184</v>
      </c>
      <c r="V155" s="165">
        <f t="shared" si="150"/>
        <v>210944</v>
      </c>
      <c r="X155" s="144"/>
    </row>
    <row r="156" spans="1:28" ht="13" outlineLevel="1" x14ac:dyDescent="0.3">
      <c r="A156" s="279">
        <v>18.22</v>
      </c>
      <c r="B156" s="173" t="s">
        <v>42</v>
      </c>
      <c r="C156" s="280" t="s">
        <v>230</v>
      </c>
      <c r="D156" s="281" t="s">
        <v>114</v>
      </c>
      <c r="E156" s="282">
        <f>+[9]Locales!CM103</f>
        <v>363</v>
      </c>
      <c r="F156" s="285"/>
      <c r="G156" s="285"/>
      <c r="H156" s="161">
        <f t="shared" si="141"/>
        <v>0</v>
      </c>
      <c r="I156" s="284">
        <f>+[9]SUBCONTRATOS!$D$49</f>
        <v>9575.2999999999993</v>
      </c>
      <c r="J156" s="285"/>
      <c r="K156" s="161">
        <f t="shared" si="151"/>
        <v>9575.2999999999993</v>
      </c>
      <c r="L156" s="160">
        <f t="shared" si="153"/>
        <v>143.62949999999998</v>
      </c>
      <c r="M156" s="161">
        <f t="shared" si="142"/>
        <v>9718.9294999999984</v>
      </c>
      <c r="N156" s="162">
        <f t="shared" si="143"/>
        <v>0</v>
      </c>
      <c r="O156" s="162">
        <f t="shared" si="144"/>
        <v>0</v>
      </c>
      <c r="P156" s="162">
        <f t="shared" si="145"/>
        <v>3475833.9</v>
      </c>
      <c r="Q156" s="162">
        <f t="shared" si="146"/>
        <v>0</v>
      </c>
      <c r="R156" s="162">
        <f t="shared" si="147"/>
        <v>52137.508499999989</v>
      </c>
      <c r="S156" s="163">
        <f t="shared" si="148"/>
        <v>3527971.4084999999</v>
      </c>
      <c r="T156" s="164"/>
      <c r="U156" s="165">
        <f t="shared" si="149"/>
        <v>13184</v>
      </c>
      <c r="V156" s="165">
        <f t="shared" si="150"/>
        <v>4785792</v>
      </c>
      <c r="X156" s="144"/>
    </row>
    <row r="157" spans="1:28" ht="26" outlineLevel="1" x14ac:dyDescent="0.3">
      <c r="A157" s="279">
        <v>18.23</v>
      </c>
      <c r="B157" s="173" t="s">
        <v>42</v>
      </c>
      <c r="C157" s="280" t="s">
        <v>231</v>
      </c>
      <c r="D157" s="281" t="s">
        <v>114</v>
      </c>
      <c r="E157" s="282">
        <f>+[9]Locales!CC100</f>
        <v>119</v>
      </c>
      <c r="F157" s="287"/>
      <c r="G157" s="283"/>
      <c r="H157" s="161">
        <f t="shared" si="141"/>
        <v>0</v>
      </c>
      <c r="I157" s="288">
        <f>+[9]SUBCONTRATOS!D50</f>
        <v>14693.699999999999</v>
      </c>
      <c r="J157" s="283"/>
      <c r="K157" s="161">
        <f t="shared" si="151"/>
        <v>14693.699999999999</v>
      </c>
      <c r="L157" s="160">
        <f t="shared" si="153"/>
        <v>220.40549999999999</v>
      </c>
      <c r="M157" s="161">
        <f t="shared" si="142"/>
        <v>14914.1055</v>
      </c>
      <c r="N157" s="162">
        <f t="shared" si="143"/>
        <v>0</v>
      </c>
      <c r="O157" s="162">
        <f t="shared" si="144"/>
        <v>0</v>
      </c>
      <c r="P157" s="162">
        <f t="shared" si="145"/>
        <v>1748550.2999999998</v>
      </c>
      <c r="Q157" s="162">
        <f t="shared" si="146"/>
        <v>0</v>
      </c>
      <c r="R157" s="162">
        <f t="shared" si="147"/>
        <v>26228.254499999999</v>
      </c>
      <c r="S157" s="163">
        <f t="shared" si="148"/>
        <v>1774778.5544999999</v>
      </c>
      <c r="T157" s="164"/>
      <c r="U157" s="165">
        <f t="shared" si="149"/>
        <v>20231</v>
      </c>
      <c r="V157" s="165">
        <f t="shared" si="150"/>
        <v>2407489</v>
      </c>
      <c r="X157" s="144"/>
    </row>
    <row r="158" spans="1:28" ht="13" outlineLevel="1" x14ac:dyDescent="0.3">
      <c r="A158" s="279">
        <v>18.239999999999998</v>
      </c>
      <c r="B158" s="173" t="s">
        <v>42</v>
      </c>
      <c r="C158" s="280" t="s">
        <v>232</v>
      </c>
      <c r="D158" s="281" t="s">
        <v>114</v>
      </c>
      <c r="E158" s="282">
        <f>+[9]Locales!CD100</f>
        <v>25</v>
      </c>
      <c r="F158" s="287"/>
      <c r="G158" s="283"/>
      <c r="H158" s="161">
        <f t="shared" si="141"/>
        <v>0</v>
      </c>
      <c r="I158" s="288">
        <f>+[9]SUBCONTRATOS!D50</f>
        <v>14693.699999999999</v>
      </c>
      <c r="J158" s="283"/>
      <c r="K158" s="161">
        <f>I158+J158</f>
        <v>14693.699999999999</v>
      </c>
      <c r="L158" s="160">
        <f t="shared" si="153"/>
        <v>220.40549999999999</v>
      </c>
      <c r="M158" s="161">
        <f t="shared" si="142"/>
        <v>14914.1055</v>
      </c>
      <c r="N158" s="162">
        <f t="shared" si="143"/>
        <v>0</v>
      </c>
      <c r="O158" s="162">
        <f t="shared" si="144"/>
        <v>0</v>
      </c>
      <c r="P158" s="162">
        <f t="shared" si="145"/>
        <v>367342.5</v>
      </c>
      <c r="Q158" s="162">
        <f t="shared" si="146"/>
        <v>0</v>
      </c>
      <c r="R158" s="162">
        <f t="shared" si="147"/>
        <v>5510.1374999999998</v>
      </c>
      <c r="S158" s="163">
        <f t="shared" si="148"/>
        <v>372852.63750000001</v>
      </c>
      <c r="T158" s="164"/>
      <c r="U158" s="165">
        <f t="shared" si="149"/>
        <v>20231</v>
      </c>
      <c r="V158" s="165">
        <f t="shared" si="150"/>
        <v>505775</v>
      </c>
      <c r="X158" s="144"/>
    </row>
    <row r="159" spans="1:28" ht="26" outlineLevel="1" x14ac:dyDescent="0.3">
      <c r="A159" s="279">
        <v>18.25</v>
      </c>
      <c r="B159" s="173" t="s">
        <v>42</v>
      </c>
      <c r="C159" s="280" t="s">
        <v>233</v>
      </c>
      <c r="D159" s="281" t="s">
        <v>69</v>
      </c>
      <c r="E159" s="282">
        <v>1</v>
      </c>
      <c r="F159" s="289">
        <f>+[9]Tareas!H215</f>
        <v>6991302.4321481157</v>
      </c>
      <c r="G159" s="285">
        <f>+[9]Tareas!I215</f>
        <v>0</v>
      </c>
      <c r="H159" s="161">
        <f t="shared" si="141"/>
        <v>6991302.4321481157</v>
      </c>
      <c r="I159" s="289">
        <f>+[9]Tareas!Q215</f>
        <v>3242733.2</v>
      </c>
      <c r="J159" s="285">
        <f>+[9]Tareas!R215</f>
        <v>0</v>
      </c>
      <c r="K159" s="161">
        <f>I159+J159</f>
        <v>3242733.2</v>
      </c>
      <c r="L159" s="160">
        <f t="shared" si="153"/>
        <v>153510.53448222176</v>
      </c>
      <c r="M159" s="161">
        <f t="shared" si="142"/>
        <v>10387546.166630339</v>
      </c>
      <c r="N159" s="162">
        <f t="shared" si="143"/>
        <v>6991302.4321481157</v>
      </c>
      <c r="O159" s="162">
        <f t="shared" si="144"/>
        <v>0</v>
      </c>
      <c r="P159" s="162">
        <f t="shared" si="145"/>
        <v>3242733.2</v>
      </c>
      <c r="Q159" s="162">
        <f t="shared" si="146"/>
        <v>0</v>
      </c>
      <c r="R159" s="162">
        <f t="shared" si="147"/>
        <v>153510.53448222176</v>
      </c>
      <c r="S159" s="163">
        <f t="shared" si="148"/>
        <v>10387546.166630339</v>
      </c>
      <c r="T159" s="164"/>
      <c r="U159" s="165">
        <f t="shared" si="149"/>
        <v>14090365</v>
      </c>
      <c r="V159" s="165">
        <f t="shared" si="150"/>
        <v>14090365</v>
      </c>
      <c r="X159" s="144"/>
    </row>
    <row r="160" spans="1:28" ht="13" outlineLevel="1" x14ac:dyDescent="0.3">
      <c r="A160" s="279">
        <v>18.260000000000002</v>
      </c>
      <c r="B160" s="173" t="s">
        <v>42</v>
      </c>
      <c r="C160" s="280" t="s">
        <v>234</v>
      </c>
      <c r="D160" s="281" t="s">
        <v>69</v>
      </c>
      <c r="E160" s="282">
        <v>1</v>
      </c>
      <c r="F160" s="285">
        <f>+[9]Tareas!H222</f>
        <v>1057994.9839655068</v>
      </c>
      <c r="G160" s="285">
        <f>+[9]Tareas!I222</f>
        <v>0</v>
      </c>
      <c r="H160" s="161">
        <f t="shared" si="141"/>
        <v>1057994.9839655068</v>
      </c>
      <c r="I160" s="160">
        <f>+[9]Tareas!Q222</f>
        <v>401985.49999999994</v>
      </c>
      <c r="J160" s="160">
        <f>+[9]Tareas!R222</f>
        <v>0</v>
      </c>
      <c r="K160" s="161">
        <f>I160+J160</f>
        <v>401985.49999999994</v>
      </c>
      <c r="L160" s="160">
        <f t="shared" si="153"/>
        <v>21899.707259482602</v>
      </c>
      <c r="M160" s="161">
        <f t="shared" si="142"/>
        <v>1481880.1912249895</v>
      </c>
      <c r="N160" s="162">
        <f t="shared" si="143"/>
        <v>1057994.9839655068</v>
      </c>
      <c r="O160" s="162">
        <f t="shared" si="144"/>
        <v>0</v>
      </c>
      <c r="P160" s="162">
        <f t="shared" si="145"/>
        <v>401985.49999999994</v>
      </c>
      <c r="Q160" s="162">
        <f t="shared" si="146"/>
        <v>0</v>
      </c>
      <c r="R160" s="162">
        <f t="shared" si="147"/>
        <v>21899.707259482602</v>
      </c>
      <c r="S160" s="163">
        <f t="shared" si="148"/>
        <v>1481880.1912249895</v>
      </c>
      <c r="T160" s="164"/>
      <c r="U160" s="165">
        <f t="shared" si="149"/>
        <v>2010122</v>
      </c>
      <c r="V160" s="165">
        <f t="shared" si="150"/>
        <v>2010122</v>
      </c>
      <c r="X160" s="144"/>
      <c r="AA160" s="97">
        <v>4046.5</v>
      </c>
      <c r="AB160" s="290">
        <v>45200</v>
      </c>
    </row>
    <row r="161" spans="1:35" ht="13" outlineLevel="1" x14ac:dyDescent="0.3">
      <c r="A161" s="279">
        <v>18.27</v>
      </c>
      <c r="B161" s="173" t="s">
        <v>42</v>
      </c>
      <c r="C161" s="291" t="s">
        <v>235</v>
      </c>
      <c r="D161" s="292" t="s">
        <v>69</v>
      </c>
      <c r="E161" s="293">
        <v>1</v>
      </c>
      <c r="F161" s="294"/>
      <c r="G161" s="295"/>
      <c r="H161" s="208">
        <f t="shared" si="141"/>
        <v>0</v>
      </c>
      <c r="I161" s="296">
        <f>+[9]SUBCONTRATOS!D15</f>
        <v>113275.77194850451</v>
      </c>
      <c r="J161" s="295"/>
      <c r="K161" s="208">
        <f t="shared" si="151"/>
        <v>113275.77194850451</v>
      </c>
      <c r="L161" s="207"/>
      <c r="M161" s="208">
        <f t="shared" si="142"/>
        <v>113275.77194850451</v>
      </c>
      <c r="N161" s="209">
        <f t="shared" si="143"/>
        <v>0</v>
      </c>
      <c r="O161" s="209">
        <f t="shared" si="144"/>
        <v>0</v>
      </c>
      <c r="P161" s="209">
        <f t="shared" si="145"/>
        <v>113275.77194850451</v>
      </c>
      <c r="Q161" s="209">
        <f t="shared" si="146"/>
        <v>0</v>
      </c>
      <c r="R161" s="209">
        <f t="shared" si="147"/>
        <v>0</v>
      </c>
      <c r="S161" s="210">
        <f t="shared" si="148"/>
        <v>113275.77194850451</v>
      </c>
      <c r="T161" s="297"/>
      <c r="U161" s="260">
        <f t="shared" si="149"/>
        <v>153655</v>
      </c>
      <c r="V161" s="260">
        <f t="shared" si="150"/>
        <v>153655</v>
      </c>
      <c r="X161" s="144"/>
      <c r="AA161" s="97">
        <v>13334.9</v>
      </c>
      <c r="AB161" s="290">
        <v>45778</v>
      </c>
    </row>
    <row r="162" spans="1:35" ht="13" x14ac:dyDescent="0.3">
      <c r="A162" s="136">
        <v>19</v>
      </c>
      <c r="B162" s="137"/>
      <c r="C162" s="138" t="s">
        <v>236</v>
      </c>
      <c r="D162" s="139"/>
      <c r="E162" s="140"/>
      <c r="F162" s="140"/>
      <c r="G162" s="140"/>
      <c r="H162" s="140"/>
      <c r="I162" s="140"/>
      <c r="J162" s="140"/>
      <c r="K162" s="140"/>
      <c r="L162" s="140"/>
      <c r="M162" s="141"/>
      <c r="N162" s="140"/>
      <c r="O162" s="140"/>
      <c r="P162" s="140"/>
      <c r="Q162" s="140"/>
      <c r="R162" s="140"/>
      <c r="S162" s="140"/>
      <c r="T162" s="298"/>
      <c r="U162" s="299"/>
      <c r="V162" s="299"/>
      <c r="W162" s="300"/>
      <c r="Y162" s="144"/>
      <c r="AA162" s="97">
        <f>+AA161/AA160</f>
        <v>3.2954157914246878</v>
      </c>
      <c r="AB162" s="97"/>
    </row>
    <row r="163" spans="1:35" ht="13" outlineLevel="1" x14ac:dyDescent="0.3">
      <c r="A163" s="136"/>
      <c r="B163" s="137"/>
      <c r="C163" s="138" t="s">
        <v>237</v>
      </c>
      <c r="D163" s="139"/>
      <c r="E163" s="140"/>
      <c r="F163" s="140"/>
      <c r="G163" s="140"/>
      <c r="H163" s="301"/>
      <c r="I163" s="140"/>
      <c r="J163" s="140"/>
      <c r="K163" s="140"/>
      <c r="L163" s="140"/>
      <c r="M163" s="141"/>
      <c r="N163" s="140"/>
      <c r="O163" s="140"/>
      <c r="P163" s="140"/>
      <c r="Q163" s="140"/>
      <c r="R163" s="140"/>
      <c r="S163" s="140"/>
      <c r="T163" s="142">
        <f>SUM(S164:S166)</f>
        <v>17119420.081876706</v>
      </c>
      <c r="U163" s="140"/>
      <c r="V163" s="140"/>
      <c r="W163" s="143">
        <f>SUM(V164:V166)</f>
        <v>23221932</v>
      </c>
      <c r="X163" s="144">
        <f>+W163/$W$213</f>
        <v>1.507307883869557E-2</v>
      </c>
      <c r="Y163" s="82"/>
      <c r="Z163" s="302" t="s">
        <v>238</v>
      </c>
      <c r="AA163" s="302" t="s">
        <v>239</v>
      </c>
      <c r="AB163" s="302" t="s">
        <v>240</v>
      </c>
      <c r="AC163" s="302" t="s">
        <v>241</v>
      </c>
      <c r="AD163" s="302" t="s">
        <v>242</v>
      </c>
    </row>
    <row r="164" spans="1:35" ht="13" outlineLevel="2" x14ac:dyDescent="0.3">
      <c r="A164" s="145">
        <v>19.010000000000002</v>
      </c>
      <c r="B164" s="211" t="s">
        <v>42</v>
      </c>
      <c r="C164" s="187" t="s">
        <v>243</v>
      </c>
      <c r="D164" s="188" t="s">
        <v>69</v>
      </c>
      <c r="E164" s="149">
        <v>1</v>
      </c>
      <c r="F164" s="224">
        <f>+[9]CLOACAL!G195</f>
        <v>559930.45499047067</v>
      </c>
      <c r="G164" s="149"/>
      <c r="H164" s="150">
        <f>F164+G164</f>
        <v>559930.45499047067</v>
      </c>
      <c r="I164" s="224">
        <f>+[9]CLOACAL!P195</f>
        <v>931720.65894092771</v>
      </c>
      <c r="J164" s="149"/>
      <c r="K164" s="150">
        <f t="shared" ref="K164:K180" si="154">I164+J164</f>
        <v>931720.65894092771</v>
      </c>
      <c r="L164" s="189">
        <f>(H164+K164)*0.015</f>
        <v>22374.766708970976</v>
      </c>
      <c r="M164" s="150">
        <f>H164+K164+L164</f>
        <v>1514025.8806403694</v>
      </c>
      <c r="N164" s="151">
        <f>F164*E164</f>
        <v>559930.45499047067</v>
      </c>
      <c r="O164" s="151">
        <f t="shared" ref="O164:O178" si="155">G164*E164</f>
        <v>0</v>
      </c>
      <c r="P164" s="151">
        <f t="shared" ref="P164:P178" si="156">I164*E164</f>
        <v>931720.65894092771</v>
      </c>
      <c r="Q164" s="151">
        <f t="shared" ref="Q164:Q178" si="157">J164*E164</f>
        <v>0</v>
      </c>
      <c r="R164" s="151">
        <f t="shared" ref="R164:R178" si="158">+L164*E164</f>
        <v>22374.766708970976</v>
      </c>
      <c r="S164" s="152">
        <f>SUM(N164:R164)</f>
        <v>1514025.8806403694</v>
      </c>
      <c r="T164" s="164"/>
      <c r="U164" s="220">
        <f>+ROUNDUP(M164*$T$5,0)</f>
        <v>2053727</v>
      </c>
      <c r="V164" s="220">
        <f>+U164*E164</f>
        <v>2053727</v>
      </c>
      <c r="X164" s="144"/>
      <c r="Y164" s="195" t="s">
        <v>244</v>
      </c>
      <c r="Z164" s="86">
        <v>4600000</v>
      </c>
      <c r="AA164" s="86">
        <f>+Z164*$AA$162</f>
        <v>15158912.640553564</v>
      </c>
      <c r="AB164" s="97">
        <v>0.8</v>
      </c>
      <c r="AC164" s="86">
        <f>+AA164*AB164</f>
        <v>12127130.112442851</v>
      </c>
      <c r="AD164" s="303">
        <f>+SUM(I164:I169,I180)</f>
        <v>16765870.016648004</v>
      </c>
      <c r="AE164" s="172">
        <f>+AD164/AC164</f>
        <v>1.3825092879514542</v>
      </c>
    </row>
    <row r="165" spans="1:35" ht="13" outlineLevel="2" x14ac:dyDescent="0.3">
      <c r="A165" s="155">
        <v>19.02</v>
      </c>
      <c r="B165" s="173" t="s">
        <v>42</v>
      </c>
      <c r="C165" s="191" t="s">
        <v>245</v>
      </c>
      <c r="D165" s="166" t="s">
        <v>69</v>
      </c>
      <c r="E165" s="167">
        <v>1</v>
      </c>
      <c r="F165" s="180">
        <f>+[9]CLOACAL!G149</f>
        <v>4309627.8633777518</v>
      </c>
      <c r="G165" s="167"/>
      <c r="H165" s="161">
        <f>F165+G165</f>
        <v>4309627.8633777518</v>
      </c>
      <c r="I165" s="180">
        <f>+[9]CLOACAL!P149</f>
        <v>7439542.8720526136</v>
      </c>
      <c r="J165" s="167"/>
      <c r="K165" s="161">
        <f t="shared" si="154"/>
        <v>7439542.8720526136</v>
      </c>
      <c r="L165" s="160">
        <f>(H165+K165)*0.015</f>
        <v>176237.56103145547</v>
      </c>
      <c r="M165" s="161">
        <f>H165+K165+L165</f>
        <v>11925408.296461821</v>
      </c>
      <c r="N165" s="162">
        <f>F165*E165</f>
        <v>4309627.8633777518</v>
      </c>
      <c r="O165" s="162">
        <f t="shared" si="155"/>
        <v>0</v>
      </c>
      <c r="P165" s="162">
        <f t="shared" si="156"/>
        <v>7439542.8720526136</v>
      </c>
      <c r="Q165" s="162">
        <f t="shared" si="157"/>
        <v>0</v>
      </c>
      <c r="R165" s="162">
        <f t="shared" si="158"/>
        <v>176237.56103145547</v>
      </c>
      <c r="S165" s="163">
        <f>SUM(N165:R165)</f>
        <v>11925408.296461821</v>
      </c>
      <c r="T165" s="164"/>
      <c r="U165" s="165">
        <f>+ROUNDUP(M165*$T$5,0)</f>
        <v>16176425</v>
      </c>
      <c r="V165" s="165">
        <f>+U165*E165</f>
        <v>16176425</v>
      </c>
      <c r="X165" s="144"/>
      <c r="Y165" s="195" t="s">
        <v>246</v>
      </c>
      <c r="Z165" s="86">
        <v>8900000</v>
      </c>
      <c r="AA165" s="86">
        <f>+Z165*$AA$162</f>
        <v>29329200.543679722</v>
      </c>
      <c r="AB165" s="97">
        <v>0.8</v>
      </c>
      <c r="AC165" s="86">
        <f>+AA165*AB165</f>
        <v>23463360.43494378</v>
      </c>
      <c r="AD165" s="86">
        <f>+SUM(I171:I178)</f>
        <v>23937099.113155</v>
      </c>
      <c r="AE165" s="172">
        <f t="shared" ref="AE165:AE169" si="159">+AD165/AC165</f>
        <v>1.0201905724256652</v>
      </c>
    </row>
    <row r="166" spans="1:35" ht="13" outlineLevel="2" x14ac:dyDescent="0.3">
      <c r="A166" s="253">
        <v>19.03</v>
      </c>
      <c r="B166" s="203" t="s">
        <v>42</v>
      </c>
      <c r="C166" s="304" t="s">
        <v>247</v>
      </c>
      <c r="D166" s="305" t="s">
        <v>69</v>
      </c>
      <c r="E166" s="259">
        <v>1</v>
      </c>
      <c r="F166" s="296">
        <f>+[9]CLOACAL!G169</f>
        <v>1446561.6458157445</v>
      </c>
      <c r="G166" s="259"/>
      <c r="H166" s="208">
        <f>F166+G166</f>
        <v>1446561.6458157445</v>
      </c>
      <c r="I166" s="296">
        <f>+[9]CLOACAL!P169</f>
        <v>2179040.2308093952</v>
      </c>
      <c r="J166" s="259"/>
      <c r="K166" s="208">
        <f>I166+J166</f>
        <v>2179040.2308093952</v>
      </c>
      <c r="L166" s="207">
        <f>(H166+K166)*0.015</f>
        <v>54384.028149377096</v>
      </c>
      <c r="M166" s="208">
        <f>H166+K166+L166</f>
        <v>3679985.9047745168</v>
      </c>
      <c r="N166" s="209">
        <f>F166*E166</f>
        <v>1446561.6458157445</v>
      </c>
      <c r="O166" s="209">
        <f t="shared" si="155"/>
        <v>0</v>
      </c>
      <c r="P166" s="209">
        <f t="shared" si="156"/>
        <v>2179040.2308093952</v>
      </c>
      <c r="Q166" s="209">
        <f t="shared" si="157"/>
        <v>0</v>
      </c>
      <c r="R166" s="209">
        <f t="shared" si="158"/>
        <v>54384.028149377096</v>
      </c>
      <c r="S166" s="210">
        <f>SUM(N166:R166)</f>
        <v>3679985.9047745168</v>
      </c>
      <c r="T166" s="164"/>
      <c r="U166" s="165">
        <f>+ROUNDUP(M166*$T$5,0)</f>
        <v>4991780</v>
      </c>
      <c r="V166" s="165">
        <f>+U166*E166</f>
        <v>4991780</v>
      </c>
      <c r="X166" s="144"/>
      <c r="Y166" s="195" t="s">
        <v>248</v>
      </c>
      <c r="Z166" s="86">
        <v>1200000</v>
      </c>
      <c r="AA166" s="86">
        <f>+Z166*$AA$162</f>
        <v>3954498.9497096254</v>
      </c>
      <c r="AB166" s="97">
        <v>0.8</v>
      </c>
      <c r="AC166" s="86">
        <f>+AA166*AB166</f>
        <v>3163599.1597677004</v>
      </c>
      <c r="AD166" s="303">
        <f>+SUM(I182)</f>
        <v>3490533.2546783453</v>
      </c>
      <c r="AE166" s="172">
        <f t="shared" si="159"/>
        <v>1.1033424521881121</v>
      </c>
    </row>
    <row r="167" spans="1:35" ht="13" outlineLevel="1" x14ac:dyDescent="0.3">
      <c r="A167" s="306"/>
      <c r="B167" s="307"/>
      <c r="C167" s="308" t="s">
        <v>249</v>
      </c>
      <c r="D167" s="122"/>
      <c r="E167" s="123"/>
      <c r="F167" s="123"/>
      <c r="G167" s="123"/>
      <c r="H167" s="123"/>
      <c r="I167" s="123"/>
      <c r="J167" s="123"/>
      <c r="K167" s="123"/>
      <c r="L167" s="309"/>
      <c r="M167" s="123"/>
      <c r="N167" s="123"/>
      <c r="O167" s="123"/>
      <c r="P167" s="123"/>
      <c r="Q167" s="123"/>
      <c r="R167" s="123"/>
      <c r="S167" s="123"/>
      <c r="T167" s="142">
        <f>SUM(S168:S169)</f>
        <v>7140265.3158300463</v>
      </c>
      <c r="U167" s="140"/>
      <c r="V167" s="140"/>
      <c r="W167" s="143">
        <f>SUM(V168:V169)</f>
        <v>9685536</v>
      </c>
      <c r="X167" s="144">
        <f>+W167/$W$213</f>
        <v>6.2867657920548615E-3</v>
      </c>
      <c r="Y167" s="195" t="s">
        <v>250</v>
      </c>
      <c r="Z167" s="86">
        <v>2300000</v>
      </c>
      <c r="AA167" s="86">
        <f>+Z167*$AA$162</f>
        <v>7579456.3202767819</v>
      </c>
      <c r="AB167" s="97">
        <v>0.7</v>
      </c>
      <c r="AC167" s="86">
        <f>+AA167*AB167</f>
        <v>5305619.4241937473</v>
      </c>
      <c r="AD167" s="303">
        <f>+SUM(I184:J185)</f>
        <v>5469344.4646947132</v>
      </c>
      <c r="AE167" s="172">
        <f t="shared" si="159"/>
        <v>1.0308587984570428</v>
      </c>
    </row>
    <row r="168" spans="1:35" ht="13" outlineLevel="2" x14ac:dyDescent="0.3">
      <c r="A168" s="145">
        <v>19.04</v>
      </c>
      <c r="B168" s="211" t="s">
        <v>42</v>
      </c>
      <c r="C168" s="187" t="s">
        <v>251</v>
      </c>
      <c r="D168" s="188" t="s">
        <v>69</v>
      </c>
      <c r="E168" s="149">
        <v>1</v>
      </c>
      <c r="F168" s="224">
        <f>+[9]PLU!G20</f>
        <v>460664.73864557059</v>
      </c>
      <c r="G168" s="149"/>
      <c r="H168" s="150">
        <f>F168+G168</f>
        <v>460664.73864557059</v>
      </c>
      <c r="I168" s="224">
        <f>+[9]PLU!P20</f>
        <v>931720.65894092771</v>
      </c>
      <c r="J168" s="149"/>
      <c r="K168" s="150">
        <f t="shared" si="154"/>
        <v>931720.65894092771</v>
      </c>
      <c r="L168" s="189">
        <f>(H168+K168)*0.015</f>
        <v>20885.780963797475</v>
      </c>
      <c r="M168" s="150">
        <f>H168+K168+L168</f>
        <v>1413271.178550296</v>
      </c>
      <c r="N168" s="151">
        <f>F168*E168</f>
        <v>460664.73864557059</v>
      </c>
      <c r="O168" s="151">
        <f t="shared" si="155"/>
        <v>0</v>
      </c>
      <c r="P168" s="151">
        <f t="shared" si="156"/>
        <v>931720.65894092771</v>
      </c>
      <c r="Q168" s="151">
        <f t="shared" si="157"/>
        <v>0</v>
      </c>
      <c r="R168" s="151">
        <f t="shared" si="158"/>
        <v>20885.780963797475</v>
      </c>
      <c r="S168" s="152">
        <f>SUM(N168:R168)</f>
        <v>1413271.178550296</v>
      </c>
      <c r="T168" s="90"/>
      <c r="U168" s="165">
        <f>+ROUNDUP(M168*$T$5,0)</f>
        <v>1917056</v>
      </c>
      <c r="V168" s="165">
        <f>+U168*E168</f>
        <v>1917056</v>
      </c>
      <c r="X168" s="144"/>
      <c r="Z168" s="97"/>
      <c r="AA168" s="97"/>
      <c r="AB168" s="97"/>
      <c r="AC168" s="97"/>
      <c r="AD168" s="248"/>
      <c r="AF168" s="174"/>
      <c r="AG168" s="273" t="s">
        <v>252</v>
      </c>
      <c r="AH168" s="82" t="s">
        <v>207</v>
      </c>
      <c r="AI168" s="82" t="s">
        <v>208</v>
      </c>
    </row>
    <row r="169" spans="1:35" ht="13" outlineLevel="2" x14ac:dyDescent="0.3">
      <c r="A169" s="155">
        <v>19.05</v>
      </c>
      <c r="B169" s="173" t="s">
        <v>42</v>
      </c>
      <c r="C169" s="191" t="s">
        <v>253</v>
      </c>
      <c r="D169" s="166" t="s">
        <v>69</v>
      </c>
      <c r="E169" s="167">
        <v>1</v>
      </c>
      <c r="F169" s="180">
        <f>+[9]PLU!G69</f>
        <v>2104760.5606523557</v>
      </c>
      <c r="G169" s="167"/>
      <c r="H169" s="161">
        <f>F169+G169</f>
        <v>2104760.5606523557</v>
      </c>
      <c r="I169" s="180">
        <f>+[9]PLU!P69</f>
        <v>3537598.1952882847</v>
      </c>
      <c r="J169" s="167"/>
      <c r="K169" s="161">
        <f t="shared" si="154"/>
        <v>3537598.1952882847</v>
      </c>
      <c r="L169" s="160">
        <f>(H169+K169)*0.015</f>
        <v>84635.381339109605</v>
      </c>
      <c r="M169" s="161">
        <f>H169+K169+L169</f>
        <v>5726994.1372797498</v>
      </c>
      <c r="N169" s="162">
        <f>F169*E169</f>
        <v>2104760.5606523557</v>
      </c>
      <c r="O169" s="162">
        <f t="shared" si="155"/>
        <v>0</v>
      </c>
      <c r="P169" s="162">
        <f t="shared" si="156"/>
        <v>3537598.1952882847</v>
      </c>
      <c r="Q169" s="162">
        <f t="shared" si="157"/>
        <v>0</v>
      </c>
      <c r="R169" s="162">
        <f t="shared" si="158"/>
        <v>84635.381339109605</v>
      </c>
      <c r="S169" s="163">
        <f>SUM(N169:R169)</f>
        <v>5726994.1372797498</v>
      </c>
      <c r="T169" s="90"/>
      <c r="U169" s="165">
        <f>+ROUNDUP(M169*$T$5,0)</f>
        <v>7768480</v>
      </c>
      <c r="V169" s="165">
        <f>+U169*E169</f>
        <v>7768480</v>
      </c>
      <c r="X169" s="144"/>
      <c r="Z169" s="91">
        <f>SUM(Z164:Z168)</f>
        <v>17000000</v>
      </c>
      <c r="AA169" s="91">
        <f>SUM(AA164:AA168)</f>
        <v>56022068.454219691</v>
      </c>
      <c r="AB169" s="97"/>
      <c r="AC169" s="91">
        <f>+SUM(AC164:AC168)</f>
        <v>44059709.131348081</v>
      </c>
      <c r="AD169" s="91">
        <f>+SUM(AD164:AD168)</f>
        <v>49662846.849176064</v>
      </c>
      <c r="AE169" s="172">
        <f t="shared" si="159"/>
        <v>1.1271714640948776</v>
      </c>
      <c r="AF169" s="94">
        <v>1.6</v>
      </c>
      <c r="AG169" s="97">
        <f>+AD169/AF169</f>
        <v>31039279.280735038</v>
      </c>
      <c r="AH169" s="97">
        <v>3000000</v>
      </c>
      <c r="AI169" s="170">
        <f>+AG169/AH169</f>
        <v>10.346426426911679</v>
      </c>
    </row>
    <row r="170" spans="1:35" ht="13" outlineLevel="1" x14ac:dyDescent="0.3">
      <c r="A170" s="136"/>
      <c r="B170" s="137"/>
      <c r="C170" s="138" t="s">
        <v>254</v>
      </c>
      <c r="D170" s="139"/>
      <c r="E170" s="140"/>
      <c r="F170" s="140"/>
      <c r="G170" s="140"/>
      <c r="H170" s="140"/>
      <c r="I170" s="140"/>
      <c r="J170" s="140"/>
      <c r="K170" s="140"/>
      <c r="L170" s="140"/>
      <c r="M170" s="141"/>
      <c r="N170" s="140"/>
      <c r="O170" s="140"/>
      <c r="P170" s="140"/>
      <c r="Q170" s="140"/>
      <c r="R170" s="140"/>
      <c r="S170" s="140"/>
      <c r="T170" s="142">
        <f>SUM(S171:S178)</f>
        <v>34914033.336993761</v>
      </c>
      <c r="U170" s="140"/>
      <c r="V170" s="140"/>
      <c r="W170" s="143">
        <f>SUM(V171:V178)</f>
        <v>47359743</v>
      </c>
      <c r="X170" s="144">
        <f>+W170/$W$213</f>
        <v>3.0740643802563913E-2</v>
      </c>
      <c r="AA170" s="97"/>
      <c r="AB170" s="97"/>
      <c r="AF170" s="174"/>
      <c r="AG170" s="174"/>
    </row>
    <row r="171" spans="1:35" ht="26" outlineLevel="2" x14ac:dyDescent="0.3">
      <c r="A171" s="250">
        <v>19.059999999999999</v>
      </c>
      <c r="B171" s="211" t="s">
        <v>42</v>
      </c>
      <c r="C171" s="310" t="s">
        <v>255</v>
      </c>
      <c r="D171" s="188" t="s">
        <v>69</v>
      </c>
      <c r="E171" s="149">
        <v>1</v>
      </c>
      <c r="F171" s="224">
        <f>+'[9]AF Y AC'!G206</f>
        <v>809170.17674968636</v>
      </c>
      <c r="G171" s="149"/>
      <c r="H171" s="150">
        <f t="shared" ref="H171:H178" si="160">F171+G171</f>
        <v>809170.17674968636</v>
      </c>
      <c r="I171" s="224">
        <f>+'[9]AF Y AC'!P206</f>
        <v>1746247.4006158544</v>
      </c>
      <c r="J171" s="149"/>
      <c r="K171" s="150">
        <f t="shared" si="154"/>
        <v>1746247.4006158544</v>
      </c>
      <c r="L171" s="189">
        <f t="shared" ref="L171:L178" si="161">(H171+K171)*0.015</f>
        <v>38331.263660483113</v>
      </c>
      <c r="M171" s="150">
        <f t="shared" ref="M171:M178" si="162">H171+K171+L171</f>
        <v>2593748.841026024</v>
      </c>
      <c r="N171" s="151">
        <f t="shared" ref="N171:N178" si="163">F171*E171</f>
        <v>809170.17674968636</v>
      </c>
      <c r="O171" s="151">
        <f t="shared" si="155"/>
        <v>0</v>
      </c>
      <c r="P171" s="151">
        <f t="shared" si="156"/>
        <v>1746247.4006158544</v>
      </c>
      <c r="Q171" s="151">
        <f t="shared" si="157"/>
        <v>0</v>
      </c>
      <c r="R171" s="151">
        <f t="shared" si="158"/>
        <v>38331.263660483113</v>
      </c>
      <c r="S171" s="152">
        <f t="shared" ref="S171:S178" si="164">SUM(N171:R171)</f>
        <v>2593748.841026024</v>
      </c>
      <c r="T171" s="153"/>
      <c r="U171" s="154">
        <f t="shared" ref="U171:U178" si="165">+ROUNDUP(M171*$T$5,0)</f>
        <v>3518336</v>
      </c>
      <c r="V171" s="154">
        <f t="shared" ref="V171:V178" si="166">+U171*E171</f>
        <v>3518336</v>
      </c>
      <c r="X171" s="144"/>
      <c r="AB171" s="97"/>
      <c r="AF171" s="174"/>
      <c r="AG171" s="174"/>
    </row>
    <row r="172" spans="1:35" ht="26" outlineLevel="2" x14ac:dyDescent="0.3">
      <c r="A172" s="156">
        <v>19.07</v>
      </c>
      <c r="B172" s="173" t="s">
        <v>42</v>
      </c>
      <c r="C172" s="311" t="s">
        <v>256</v>
      </c>
      <c r="D172" s="166" t="s">
        <v>69</v>
      </c>
      <c r="E172" s="167">
        <v>1</v>
      </c>
      <c r="F172" s="180">
        <f>+'[9]AF Y AC'!G161</f>
        <v>1906561.7747600852</v>
      </c>
      <c r="G172" s="167"/>
      <c r="H172" s="161">
        <f t="shared" si="160"/>
        <v>1906561.7747600852</v>
      </c>
      <c r="I172" s="180">
        <f>+'[9]AF Y AC'!P161</f>
        <v>3598731.4622267308</v>
      </c>
      <c r="J172" s="167"/>
      <c r="K172" s="161">
        <f t="shared" si="154"/>
        <v>3598731.4622267308</v>
      </c>
      <c r="L172" s="160">
        <f t="shared" si="161"/>
        <v>82579.398554802232</v>
      </c>
      <c r="M172" s="161">
        <f t="shared" si="162"/>
        <v>5587872.6355416179</v>
      </c>
      <c r="N172" s="162">
        <f t="shared" si="163"/>
        <v>1906561.7747600852</v>
      </c>
      <c r="O172" s="162">
        <f t="shared" si="155"/>
        <v>0</v>
      </c>
      <c r="P172" s="162">
        <f t="shared" si="156"/>
        <v>3598731.4622267308</v>
      </c>
      <c r="Q172" s="162">
        <f t="shared" si="157"/>
        <v>0</v>
      </c>
      <c r="R172" s="162">
        <f t="shared" si="158"/>
        <v>82579.398554802232</v>
      </c>
      <c r="S172" s="163">
        <f t="shared" si="164"/>
        <v>5587872.6355416179</v>
      </c>
      <c r="T172" s="164"/>
      <c r="U172" s="165">
        <f t="shared" si="165"/>
        <v>7579766</v>
      </c>
      <c r="V172" s="165">
        <f t="shared" si="166"/>
        <v>7579766</v>
      </c>
      <c r="X172" s="144"/>
      <c r="AB172" s="97"/>
    </row>
    <row r="173" spans="1:35" ht="13" outlineLevel="2" x14ac:dyDescent="0.3">
      <c r="A173" s="156">
        <v>19.079999999999998</v>
      </c>
      <c r="B173" s="173" t="s">
        <v>42</v>
      </c>
      <c r="C173" s="196" t="s">
        <v>257</v>
      </c>
      <c r="D173" s="166" t="s">
        <v>69</v>
      </c>
      <c r="E173" s="167">
        <v>1</v>
      </c>
      <c r="F173" s="180">
        <f>+'[9]AF Y AC'!G253</f>
        <v>1435578.064712029</v>
      </c>
      <c r="G173" s="167"/>
      <c r="H173" s="161">
        <f t="shared" si="160"/>
        <v>1435578.064712029</v>
      </c>
      <c r="I173" s="180">
        <f>+'[9]AF Y AC'!P253</f>
        <v>2500015.0564415548</v>
      </c>
      <c r="J173" s="167"/>
      <c r="K173" s="161">
        <f t="shared" si="154"/>
        <v>2500015.0564415548</v>
      </c>
      <c r="L173" s="160">
        <f t="shared" si="161"/>
        <v>59033.896817303757</v>
      </c>
      <c r="M173" s="161">
        <f>H173+K173+L173</f>
        <v>3994627.0179708875</v>
      </c>
      <c r="N173" s="162">
        <f>F173*E173</f>
        <v>1435578.064712029</v>
      </c>
      <c r="O173" s="162">
        <f t="shared" si="155"/>
        <v>0</v>
      </c>
      <c r="P173" s="162">
        <f t="shared" si="156"/>
        <v>2500015.0564415548</v>
      </c>
      <c r="Q173" s="162">
        <f t="shared" si="157"/>
        <v>0</v>
      </c>
      <c r="R173" s="162">
        <f t="shared" si="158"/>
        <v>59033.896817303757</v>
      </c>
      <c r="S173" s="163">
        <f>SUM(N173:R173)</f>
        <v>3994627.0179708875</v>
      </c>
      <c r="T173" s="164"/>
      <c r="U173" s="165">
        <f>+ROUNDUP(M173*$T$5,0)</f>
        <v>5418581</v>
      </c>
      <c r="V173" s="165">
        <f>+U173*E173</f>
        <v>5418581</v>
      </c>
      <c r="X173" s="144"/>
      <c r="AB173" s="97"/>
    </row>
    <row r="174" spans="1:35" ht="26" outlineLevel="2" x14ac:dyDescent="0.3">
      <c r="A174" s="156">
        <v>19.09</v>
      </c>
      <c r="B174" s="173" t="s">
        <v>42</v>
      </c>
      <c r="C174" s="311" t="s">
        <v>258</v>
      </c>
      <c r="D174" s="166" t="s">
        <v>69</v>
      </c>
      <c r="E174" s="167">
        <v>1</v>
      </c>
      <c r="F174" s="180">
        <f>+'[9]AF Y AC'!G294</f>
        <v>609036.01399088616</v>
      </c>
      <c r="G174" s="167"/>
      <c r="H174" s="161">
        <f t="shared" si="160"/>
        <v>609036.01399088616</v>
      </c>
      <c r="I174" s="180">
        <f>+'[9]AF Y AC'!P294</f>
        <v>1199577.1540755767</v>
      </c>
      <c r="J174" s="167"/>
      <c r="K174" s="161">
        <f t="shared" si="154"/>
        <v>1199577.1540755767</v>
      </c>
      <c r="L174" s="160">
        <f t="shared" si="161"/>
        <v>27129.197520996942</v>
      </c>
      <c r="M174" s="161">
        <f>H174+K174+L174</f>
        <v>1835742.3655874599</v>
      </c>
      <c r="N174" s="162">
        <f>F174*E174</f>
        <v>609036.01399088616</v>
      </c>
      <c r="O174" s="162">
        <f t="shared" si="155"/>
        <v>0</v>
      </c>
      <c r="P174" s="162">
        <f t="shared" si="156"/>
        <v>1199577.1540755767</v>
      </c>
      <c r="Q174" s="162">
        <f t="shared" si="157"/>
        <v>0</v>
      </c>
      <c r="R174" s="162">
        <f t="shared" si="158"/>
        <v>27129.197520996942</v>
      </c>
      <c r="S174" s="163">
        <f>SUM(N174:R174)</f>
        <v>1835742.3655874599</v>
      </c>
      <c r="T174" s="164"/>
      <c r="U174" s="165">
        <f>+ROUNDUP(M174*$T$5,0)</f>
        <v>2490125</v>
      </c>
      <c r="V174" s="165">
        <f>+U174*E174</f>
        <v>2490125</v>
      </c>
      <c r="X174" s="144"/>
      <c r="AB174" s="97"/>
    </row>
    <row r="175" spans="1:35" ht="13" outlineLevel="2" x14ac:dyDescent="0.3">
      <c r="A175" s="156">
        <v>19.100000000000001</v>
      </c>
      <c r="B175" s="173" t="s">
        <v>42</v>
      </c>
      <c r="C175" s="196" t="s">
        <v>259</v>
      </c>
      <c r="D175" s="166" t="s">
        <v>69</v>
      </c>
      <c r="E175" s="167">
        <v>1</v>
      </c>
      <c r="F175" s="180">
        <f>+'[9]AF Y AC'!G99</f>
        <v>2840582.8064988283</v>
      </c>
      <c r="G175" s="167"/>
      <c r="H175" s="161">
        <f t="shared" si="160"/>
        <v>2840582.8064988283</v>
      </c>
      <c r="I175" s="180">
        <f>+'[9]AF Y AC'!P99</f>
        <v>9188039.2000978701</v>
      </c>
      <c r="J175" s="156"/>
      <c r="K175" s="161">
        <f t="shared" si="154"/>
        <v>9188039.2000978701</v>
      </c>
      <c r="L175" s="160">
        <f t="shared" si="161"/>
        <v>180429.33009895048</v>
      </c>
      <c r="M175" s="161">
        <f>H175+K175+L175</f>
        <v>12209051.336695651</v>
      </c>
      <c r="N175" s="162">
        <f>F175*E175</f>
        <v>2840582.8064988283</v>
      </c>
      <c r="O175" s="162">
        <f t="shared" si="155"/>
        <v>0</v>
      </c>
      <c r="P175" s="162">
        <f t="shared" si="156"/>
        <v>9188039.2000978701</v>
      </c>
      <c r="Q175" s="162">
        <f t="shared" si="157"/>
        <v>0</v>
      </c>
      <c r="R175" s="162">
        <f t="shared" si="158"/>
        <v>180429.33009895048</v>
      </c>
      <c r="S175" s="163">
        <f>SUM(N175:R175)</f>
        <v>12209051.336695651</v>
      </c>
      <c r="T175" s="164"/>
      <c r="U175" s="165">
        <f>+ROUNDUP(M175*$T$5,0)</f>
        <v>16561177</v>
      </c>
      <c r="V175" s="165">
        <f>+U175*E175</f>
        <v>16561177</v>
      </c>
      <c r="X175" s="144"/>
      <c r="AB175" s="97"/>
    </row>
    <row r="176" spans="1:35" ht="26" outlineLevel="2" x14ac:dyDescent="0.3">
      <c r="A176" s="156">
        <v>19.11</v>
      </c>
      <c r="B176" s="173" t="s">
        <v>42</v>
      </c>
      <c r="C176" s="311" t="s">
        <v>260</v>
      </c>
      <c r="D176" s="166" t="s">
        <v>69</v>
      </c>
      <c r="E176" s="167">
        <v>0</v>
      </c>
      <c r="F176" s="180"/>
      <c r="G176" s="167"/>
      <c r="H176" s="161">
        <f t="shared" si="160"/>
        <v>0</v>
      </c>
      <c r="I176" s="180"/>
      <c r="J176" s="156"/>
      <c r="K176" s="161">
        <f t="shared" si="154"/>
        <v>0</v>
      </c>
      <c r="L176" s="160">
        <f t="shared" si="161"/>
        <v>0</v>
      </c>
      <c r="M176" s="161">
        <f>H176+K176+L176</f>
        <v>0</v>
      </c>
      <c r="N176" s="162">
        <f>F176*E176</f>
        <v>0</v>
      </c>
      <c r="O176" s="162">
        <f t="shared" si="155"/>
        <v>0</v>
      </c>
      <c r="P176" s="162">
        <f t="shared" si="156"/>
        <v>0</v>
      </c>
      <c r="Q176" s="162">
        <f t="shared" si="157"/>
        <v>0</v>
      </c>
      <c r="R176" s="162">
        <f t="shared" si="158"/>
        <v>0</v>
      </c>
      <c r="S176" s="163">
        <f>SUM(N176:R176)</f>
        <v>0</v>
      </c>
      <c r="T176" s="164"/>
      <c r="U176" s="165">
        <f>+ROUNDUP(M176*$T$5,0)</f>
        <v>0</v>
      </c>
      <c r="V176" s="165">
        <f>+U176*E176</f>
        <v>0</v>
      </c>
      <c r="X176" s="144"/>
      <c r="AB176" s="97"/>
    </row>
    <row r="177" spans="1:30" ht="26" outlineLevel="2" x14ac:dyDescent="0.3">
      <c r="A177" s="156">
        <v>19.12</v>
      </c>
      <c r="B177" s="173" t="s">
        <v>42</v>
      </c>
      <c r="C177" s="191" t="s">
        <v>261</v>
      </c>
      <c r="D177" s="166" t="s">
        <v>69</v>
      </c>
      <c r="E177" s="167">
        <v>1</v>
      </c>
      <c r="F177" s="180">
        <f>+'[9]AF Y AC'!G114</f>
        <v>2501139.9349345583</v>
      </c>
      <c r="G177" s="167"/>
      <c r="H177" s="161">
        <f t="shared" si="160"/>
        <v>2501139.9349345583</v>
      </c>
      <c r="I177" s="180">
        <f>+'[9]AF Y AC'!P114</f>
        <v>5079485.0755870221</v>
      </c>
      <c r="J177" s="167"/>
      <c r="K177" s="161">
        <f>I177+J177</f>
        <v>5079485.0755870221</v>
      </c>
      <c r="L177" s="160">
        <f t="shared" si="161"/>
        <v>113709.3751578237</v>
      </c>
      <c r="M177" s="161">
        <f t="shared" si="162"/>
        <v>7694334.3856794043</v>
      </c>
      <c r="N177" s="162">
        <f t="shared" si="163"/>
        <v>2501139.9349345583</v>
      </c>
      <c r="O177" s="162">
        <f t="shared" si="155"/>
        <v>0</v>
      </c>
      <c r="P177" s="162">
        <f t="shared" si="156"/>
        <v>5079485.0755870221</v>
      </c>
      <c r="Q177" s="162">
        <f t="shared" si="157"/>
        <v>0</v>
      </c>
      <c r="R177" s="162">
        <f t="shared" si="158"/>
        <v>113709.3751578237</v>
      </c>
      <c r="S177" s="163">
        <f t="shared" si="164"/>
        <v>7694334.3856794043</v>
      </c>
      <c r="T177" s="164"/>
      <c r="U177" s="165">
        <f t="shared" si="165"/>
        <v>10437112</v>
      </c>
      <c r="V177" s="165">
        <f t="shared" si="166"/>
        <v>10437112</v>
      </c>
      <c r="X177" s="144"/>
      <c r="Y177" s="170"/>
      <c r="AB177" s="97"/>
    </row>
    <row r="178" spans="1:30" ht="13" outlineLevel="2" x14ac:dyDescent="0.3">
      <c r="A178" s="312">
        <v>19.13</v>
      </c>
      <c r="B178" s="203" t="s">
        <v>46</v>
      </c>
      <c r="C178" s="304" t="s">
        <v>262</v>
      </c>
      <c r="D178" s="305" t="s">
        <v>69</v>
      </c>
      <c r="E178" s="259">
        <v>1</v>
      </c>
      <c r="F178" s="313">
        <f>+F173/4</f>
        <v>358894.51617800724</v>
      </c>
      <c r="G178" s="259"/>
      <c r="H178" s="208">
        <f t="shared" si="160"/>
        <v>358894.51617800724</v>
      </c>
      <c r="I178" s="313">
        <f>+I173/4</f>
        <v>625003.7641103887</v>
      </c>
      <c r="J178" s="259"/>
      <c r="K178" s="208">
        <f>I178+J178</f>
        <v>625003.7641103887</v>
      </c>
      <c r="L178" s="160">
        <f t="shared" si="161"/>
        <v>14758.474204325939</v>
      </c>
      <c r="M178" s="208">
        <f t="shared" si="162"/>
        <v>998656.75449272187</v>
      </c>
      <c r="N178" s="209">
        <f t="shared" si="163"/>
        <v>358894.51617800724</v>
      </c>
      <c r="O178" s="209">
        <f t="shared" si="155"/>
        <v>0</v>
      </c>
      <c r="P178" s="209">
        <f t="shared" si="156"/>
        <v>625003.7641103887</v>
      </c>
      <c r="Q178" s="209">
        <f t="shared" si="157"/>
        <v>0</v>
      </c>
      <c r="R178" s="209">
        <f t="shared" si="158"/>
        <v>14758.474204325939</v>
      </c>
      <c r="S178" s="210">
        <f t="shared" si="164"/>
        <v>998656.75449272187</v>
      </c>
      <c r="T178" s="164"/>
      <c r="U178" s="260">
        <f t="shared" si="165"/>
        <v>1354646</v>
      </c>
      <c r="V178" s="260">
        <f t="shared" si="166"/>
        <v>1354646</v>
      </c>
      <c r="X178" s="144"/>
      <c r="Y178" s="170"/>
      <c r="AB178" s="97"/>
    </row>
    <row r="179" spans="1:30" ht="13" outlineLevel="1" x14ac:dyDescent="0.3">
      <c r="A179" s="136"/>
      <c r="B179" s="137"/>
      <c r="C179" s="138" t="s">
        <v>263</v>
      </c>
      <c r="D179" s="139"/>
      <c r="E179" s="140"/>
      <c r="F179" s="140"/>
      <c r="G179" s="140"/>
      <c r="H179" s="140"/>
      <c r="I179" s="140"/>
      <c r="J179" s="140"/>
      <c r="K179" s="140"/>
      <c r="L179" s="140"/>
      <c r="M179" s="141"/>
      <c r="N179" s="140"/>
      <c r="O179" s="140"/>
      <c r="P179" s="140"/>
      <c r="Q179" s="140"/>
      <c r="R179" s="140"/>
      <c r="S179" s="140"/>
      <c r="T179" s="142">
        <f>SUM(S180)</f>
        <v>2420116.1778130946</v>
      </c>
      <c r="U179" s="140"/>
      <c r="V179" s="140"/>
      <c r="W179" s="143">
        <f>SUM(V180)</f>
        <v>3282809</v>
      </c>
      <c r="X179" s="144">
        <f>+W179/$W$213</f>
        <v>2.1308321318561853E-3</v>
      </c>
      <c r="AB179" s="97"/>
    </row>
    <row r="180" spans="1:30" ht="13" outlineLevel="2" x14ac:dyDescent="0.3">
      <c r="A180" s="155">
        <v>19.14</v>
      </c>
      <c r="B180" s="173" t="s">
        <v>42</v>
      </c>
      <c r="C180" s="191" t="s">
        <v>264</v>
      </c>
      <c r="D180" s="166" t="s">
        <v>69</v>
      </c>
      <c r="E180" s="167">
        <v>1</v>
      </c>
      <c r="F180" s="180">
        <f>+[9]AA.CC!G41</f>
        <v>638103.51348571631</v>
      </c>
      <c r="G180" s="167"/>
      <c r="H180" s="161">
        <f>F180+G180</f>
        <v>638103.51348571631</v>
      </c>
      <c r="I180" s="296">
        <f>+[9]AA.CC!P38</f>
        <v>1746247.4006158544</v>
      </c>
      <c r="J180" s="167"/>
      <c r="K180" s="161">
        <f t="shared" si="154"/>
        <v>1746247.4006158544</v>
      </c>
      <c r="L180" s="189">
        <f>(H180+K180)*0.015</f>
        <v>35765.263711523563</v>
      </c>
      <c r="M180" s="161">
        <f>H180+K180+L180</f>
        <v>2420116.1778130946</v>
      </c>
      <c r="N180" s="162">
        <f>F180*E180</f>
        <v>638103.51348571631</v>
      </c>
      <c r="O180" s="162">
        <f>G180*E180</f>
        <v>0</v>
      </c>
      <c r="P180" s="162">
        <f>I180*E180</f>
        <v>1746247.4006158544</v>
      </c>
      <c r="Q180" s="162">
        <f>J180*E180</f>
        <v>0</v>
      </c>
      <c r="R180" s="162">
        <f>+L180*E180</f>
        <v>35765.263711523563</v>
      </c>
      <c r="S180" s="163">
        <f>SUM(N180:R180)</f>
        <v>2420116.1778130946</v>
      </c>
      <c r="T180" s="164"/>
      <c r="U180" s="165">
        <f>+ROUNDUP(M180*$T$5,0)</f>
        <v>3282809</v>
      </c>
      <c r="V180" s="165">
        <f>+U180*E180</f>
        <v>3282809</v>
      </c>
      <c r="X180" s="144"/>
      <c r="AB180" s="97"/>
      <c r="AD180" s="170"/>
    </row>
    <row r="181" spans="1:30" ht="13" x14ac:dyDescent="0.3">
      <c r="A181" s="136"/>
      <c r="B181" s="137"/>
      <c r="C181" s="138" t="s">
        <v>265</v>
      </c>
      <c r="D181" s="139"/>
      <c r="E181" s="140"/>
      <c r="F181" s="140"/>
      <c r="G181" s="140"/>
      <c r="H181" s="140"/>
      <c r="I181" s="140"/>
      <c r="J181" s="140"/>
      <c r="K181" s="140"/>
      <c r="L181" s="140"/>
      <c r="M181" s="314"/>
      <c r="N181" s="140"/>
      <c r="O181" s="140"/>
      <c r="P181" s="140"/>
      <c r="Q181" s="140"/>
      <c r="R181" s="140"/>
      <c r="S181" s="140"/>
      <c r="T181" s="142">
        <f>SUM(S182:S182)</f>
        <v>7300756.3111137971</v>
      </c>
      <c r="U181" s="140"/>
      <c r="V181" s="140"/>
      <c r="W181" s="143">
        <f>SUM(V182:V182)</f>
        <v>9903236</v>
      </c>
      <c r="X181" s="144">
        <f>+W181/$W$213</f>
        <v>6.4280722631608845E-3</v>
      </c>
      <c r="AB181" s="97"/>
    </row>
    <row r="182" spans="1:30" ht="28.9" customHeight="1" outlineLevel="1" x14ac:dyDescent="0.3">
      <c r="A182" s="145">
        <v>19.149999999999999</v>
      </c>
      <c r="B182" s="211" t="s">
        <v>42</v>
      </c>
      <c r="C182" s="275" t="s">
        <v>266</v>
      </c>
      <c r="D182" s="188" t="s">
        <v>69</v>
      </c>
      <c r="E182" s="149">
        <v>1</v>
      </c>
      <c r="F182" s="224">
        <f>+[9]INCEND!G4</f>
        <v>3702330.1060249032</v>
      </c>
      <c r="G182" s="278"/>
      <c r="H182" s="150">
        <f>F182+G182</f>
        <v>3702330.1060249032</v>
      </c>
      <c r="I182" s="224">
        <f>+[9]INCEND!O9</f>
        <v>3490533.2546783453</v>
      </c>
      <c r="J182" s="224"/>
      <c r="K182" s="150">
        <f>I182+J182</f>
        <v>3490533.2546783453</v>
      </c>
      <c r="L182" s="189">
        <f>(H182+K182)*0.015</f>
        <v>107892.95041054873</v>
      </c>
      <c r="M182" s="150">
        <f>H182+K182+L182</f>
        <v>7300756.3111137971</v>
      </c>
      <c r="N182" s="151">
        <f>F182*E182</f>
        <v>3702330.1060249032</v>
      </c>
      <c r="O182" s="151">
        <f>G182*E182</f>
        <v>0</v>
      </c>
      <c r="P182" s="151">
        <f>I182*E182</f>
        <v>3490533.2546783453</v>
      </c>
      <c r="Q182" s="151">
        <f>J182*E182</f>
        <v>0</v>
      </c>
      <c r="R182" s="151">
        <f>+L182*E182</f>
        <v>107892.95041054873</v>
      </c>
      <c r="S182" s="152">
        <f>SUM(N182:R182)</f>
        <v>7300756.3111137971</v>
      </c>
      <c r="T182" s="164"/>
      <c r="U182" s="165">
        <f>+ROUNDUP(M182*$T$5,0)</f>
        <v>9903236</v>
      </c>
      <c r="V182" s="165">
        <f>+U182*E182</f>
        <v>9903236</v>
      </c>
      <c r="X182" s="144"/>
      <c r="AB182" s="97"/>
    </row>
    <row r="183" spans="1:30" ht="13" x14ac:dyDescent="0.3">
      <c r="A183" s="136"/>
      <c r="B183" s="137"/>
      <c r="C183" s="138" t="s">
        <v>267</v>
      </c>
      <c r="D183" s="139"/>
      <c r="E183" s="140"/>
      <c r="F183" s="140"/>
      <c r="G183" s="301"/>
      <c r="H183" s="140"/>
      <c r="I183" s="140"/>
      <c r="J183" s="140"/>
      <c r="K183" s="140"/>
      <c r="L183" s="140"/>
      <c r="M183" s="141"/>
      <c r="N183" s="140"/>
      <c r="O183" s="140"/>
      <c r="P183" s="140"/>
      <c r="Q183" s="140"/>
      <c r="R183" s="140"/>
      <c r="S183" s="140"/>
      <c r="T183" s="142">
        <f>SUM(S184:S187)</f>
        <v>9958904.3766105995</v>
      </c>
      <c r="U183" s="140"/>
      <c r="V183" s="140"/>
      <c r="W183" s="143">
        <f>SUM(V184:V187)</f>
        <v>13508928</v>
      </c>
      <c r="X183" s="144">
        <f>+W183/$W$213</f>
        <v>8.7684838957526046E-3</v>
      </c>
      <c r="AB183" s="97"/>
    </row>
    <row r="184" spans="1:30" ht="13" outlineLevel="1" x14ac:dyDescent="0.3">
      <c r="A184" s="315">
        <v>19.16</v>
      </c>
      <c r="B184" s="211" t="s">
        <v>42</v>
      </c>
      <c r="C184" s="316" t="s">
        <v>268</v>
      </c>
      <c r="D184" s="188" t="s">
        <v>69</v>
      </c>
      <c r="E184" s="149">
        <v>1</v>
      </c>
      <c r="F184" s="224">
        <f>+[9]GAS!G6</f>
        <v>1540056.2655049204</v>
      </c>
      <c r="G184" s="224"/>
      <c r="H184" s="150">
        <f>F184+G184</f>
        <v>1540056.2655049204</v>
      </c>
      <c r="I184" s="224">
        <f>+[9]GAS!O13</f>
        <v>4970416.6359473262</v>
      </c>
      <c r="J184" s="224"/>
      <c r="K184" s="150">
        <f>I184+J184</f>
        <v>4970416.6359473262</v>
      </c>
      <c r="L184" s="189">
        <f>(H184+K184)*0.015</f>
        <v>97657.093521783696</v>
      </c>
      <c r="M184" s="150">
        <f>H184+K184+L184</f>
        <v>6608129.9949740311</v>
      </c>
      <c r="N184" s="151">
        <f>F184*E184</f>
        <v>1540056.2655049204</v>
      </c>
      <c r="O184" s="151">
        <f>G184*E184</f>
        <v>0</v>
      </c>
      <c r="P184" s="151">
        <f>I184*E184</f>
        <v>4970416.6359473262</v>
      </c>
      <c r="Q184" s="151">
        <f>J184*E184</f>
        <v>0</v>
      </c>
      <c r="R184" s="151">
        <f>+L184*E184</f>
        <v>97657.093521783696</v>
      </c>
      <c r="S184" s="152">
        <f>SUM(N184:R184)</f>
        <v>6608129.9949740311</v>
      </c>
      <c r="T184" s="164"/>
      <c r="U184" s="165">
        <f>+ROUNDUP(M184*$T$5,0)</f>
        <v>8963712</v>
      </c>
      <c r="V184" s="165">
        <f>+U184*E184</f>
        <v>8963712</v>
      </c>
      <c r="X184" s="144"/>
      <c r="AB184" s="97"/>
    </row>
    <row r="185" spans="1:30" ht="13" outlineLevel="1" x14ac:dyDescent="0.3">
      <c r="A185" s="317">
        <v>19.170000000000002</v>
      </c>
      <c r="B185" s="173" t="s">
        <v>42</v>
      </c>
      <c r="C185" s="196" t="s">
        <v>269</v>
      </c>
      <c r="D185" s="166" t="s">
        <v>69</v>
      </c>
      <c r="E185" s="167">
        <v>1</v>
      </c>
      <c r="F185" s="180">
        <f>+[9]GAS!G44</f>
        <v>43707.030007852358</v>
      </c>
      <c r="G185" s="180"/>
      <c r="H185" s="161">
        <f>F185+G185</f>
        <v>43707.030007852358</v>
      </c>
      <c r="I185" s="180">
        <f>+[9]GAS!O19</f>
        <v>498927.82874738693</v>
      </c>
      <c r="J185" s="180"/>
      <c r="K185" s="161">
        <f>I185+J185</f>
        <v>498927.82874738693</v>
      </c>
      <c r="L185" s="160">
        <f>(H185+K185)*0.015</f>
        <v>8139.5228813285894</v>
      </c>
      <c r="M185" s="161">
        <f>H185+K185+L185</f>
        <v>550774.38163656788</v>
      </c>
      <c r="N185" s="162">
        <f>F185*E185</f>
        <v>43707.030007852358</v>
      </c>
      <c r="O185" s="162">
        <f>G185*E185</f>
        <v>0</v>
      </c>
      <c r="P185" s="162">
        <f>I185*E185</f>
        <v>498927.82874738693</v>
      </c>
      <c r="Q185" s="162">
        <f>J185*E185</f>
        <v>0</v>
      </c>
      <c r="R185" s="162">
        <f>+L185*E185</f>
        <v>8139.5228813285894</v>
      </c>
      <c r="S185" s="163">
        <f>SUM(N185:R185)</f>
        <v>550774.38163656788</v>
      </c>
      <c r="T185" s="164"/>
      <c r="U185" s="165">
        <f>+ROUNDUP(M185*$T$5,0)</f>
        <v>747108</v>
      </c>
      <c r="V185" s="165">
        <f>+U185*E185</f>
        <v>747108</v>
      </c>
      <c r="X185" s="144"/>
      <c r="AB185" s="97"/>
    </row>
    <row r="186" spans="1:30" ht="13" outlineLevel="1" x14ac:dyDescent="0.3">
      <c r="A186" s="318">
        <v>19.18</v>
      </c>
      <c r="B186" s="173" t="s">
        <v>42</v>
      </c>
      <c r="C186" s="196" t="s">
        <v>270</v>
      </c>
      <c r="D186" s="166" t="s">
        <v>69</v>
      </c>
      <c r="E186" s="167">
        <v>1</v>
      </c>
      <c r="F186" s="167"/>
      <c r="G186" s="167"/>
      <c r="H186" s="161">
        <f>F186+G186</f>
        <v>0</v>
      </c>
      <c r="I186" s="222">
        <f>+SUM([9]SUBCONTRATOS!D85:D87)</f>
        <v>1400000</v>
      </c>
      <c r="J186" s="167"/>
      <c r="K186" s="161">
        <f>I186+J186</f>
        <v>1400000</v>
      </c>
      <c r="L186" s="182"/>
      <c r="M186" s="161">
        <f>H186+K186+L186</f>
        <v>1400000</v>
      </c>
      <c r="N186" s="162">
        <f>F186*E186</f>
        <v>0</v>
      </c>
      <c r="O186" s="162">
        <f>G186*E186</f>
        <v>0</v>
      </c>
      <c r="P186" s="162">
        <f>I186*E186</f>
        <v>1400000</v>
      </c>
      <c r="Q186" s="162">
        <f>J186*E186</f>
        <v>0</v>
      </c>
      <c r="R186" s="162">
        <f>+L186*E186</f>
        <v>0</v>
      </c>
      <c r="S186" s="163">
        <f>SUM(N186:R186)</f>
        <v>1400000</v>
      </c>
      <c r="T186" s="164"/>
      <c r="U186" s="165">
        <f>+ROUNDUP(M186*$T$5,0)</f>
        <v>1899054</v>
      </c>
      <c r="V186" s="165">
        <f>+U186*E186</f>
        <v>1899054</v>
      </c>
      <c r="X186" s="144"/>
      <c r="AB186" s="97"/>
    </row>
    <row r="187" spans="1:30" ht="13" outlineLevel="1" x14ac:dyDescent="0.3">
      <c r="A187" s="319">
        <v>19.190000000000001</v>
      </c>
      <c r="B187" s="203" t="s">
        <v>46</v>
      </c>
      <c r="C187" s="320" t="s">
        <v>271</v>
      </c>
      <c r="D187" s="305" t="s">
        <v>69</v>
      </c>
      <c r="E187" s="259">
        <v>1</v>
      </c>
      <c r="F187" s="259"/>
      <c r="G187" s="259"/>
      <c r="H187" s="161">
        <f>F187+G187</f>
        <v>0</v>
      </c>
      <c r="I187" s="321">
        <f>+I186</f>
        <v>1400000</v>
      </c>
      <c r="J187" s="259"/>
      <c r="K187" s="208">
        <f>I187+J187</f>
        <v>1400000</v>
      </c>
      <c r="L187" s="322"/>
      <c r="M187" s="208">
        <f>H187+K187+L187</f>
        <v>1400000</v>
      </c>
      <c r="N187" s="209">
        <f>F187*E187</f>
        <v>0</v>
      </c>
      <c r="O187" s="209">
        <f>G187*E187</f>
        <v>0</v>
      </c>
      <c r="P187" s="209">
        <f>I187*E187</f>
        <v>1400000</v>
      </c>
      <c r="Q187" s="209">
        <f>J187*E187</f>
        <v>0</v>
      </c>
      <c r="R187" s="209">
        <f>+L187*E187</f>
        <v>0</v>
      </c>
      <c r="S187" s="210">
        <f>SUM(N187:R187)</f>
        <v>1400000</v>
      </c>
      <c r="T187" s="90"/>
      <c r="U187" s="165">
        <f>+ROUNDUP(M187*$T$5,0)</f>
        <v>1899054</v>
      </c>
      <c r="V187" s="165">
        <f>+U187*E187</f>
        <v>1899054</v>
      </c>
      <c r="X187" s="144"/>
      <c r="AB187" s="97"/>
    </row>
    <row r="188" spans="1:30" ht="13" x14ac:dyDescent="0.3">
      <c r="A188" s="136">
        <v>20</v>
      </c>
      <c r="B188" s="137"/>
      <c r="C188" s="138" t="s">
        <v>272</v>
      </c>
      <c r="D188" s="139"/>
      <c r="E188" s="140"/>
      <c r="F188" s="140"/>
      <c r="G188" s="140"/>
      <c r="H188" s="140"/>
      <c r="I188" s="140"/>
      <c r="J188" s="140"/>
      <c r="K188" s="140"/>
      <c r="L188" s="140"/>
      <c r="M188" s="141"/>
      <c r="N188" s="140"/>
      <c r="O188" s="140"/>
      <c r="P188" s="140"/>
      <c r="Q188" s="140"/>
      <c r="R188" s="140"/>
      <c r="S188" s="140"/>
      <c r="T188" s="142">
        <f>SUM(S189:S190)</f>
        <v>19100000</v>
      </c>
      <c r="U188" s="140"/>
      <c r="V188" s="140"/>
      <c r="W188" s="143">
        <f>SUM(V189:V190)</f>
        <v>25908560</v>
      </c>
      <c r="X188" s="144">
        <f>+W188/$W$213</f>
        <v>1.6816937000636918E-2</v>
      </c>
      <c r="AB188" s="97"/>
    </row>
    <row r="189" spans="1:30" ht="13" outlineLevel="1" x14ac:dyDescent="0.3">
      <c r="A189" s="226">
        <v>20.010000000000002</v>
      </c>
      <c r="B189" s="323" t="s">
        <v>42</v>
      </c>
      <c r="C189" s="228" t="s">
        <v>273</v>
      </c>
      <c r="D189" s="324" t="s">
        <v>114</v>
      </c>
      <c r="E189" s="325">
        <f>+[9]SUBCONTRATOS!G40</f>
        <v>40</v>
      </c>
      <c r="F189" s="232">
        <f>+[9]SUBCONTRATOS!D41</f>
        <v>247500</v>
      </c>
      <c r="G189" s="232"/>
      <c r="H189" s="326">
        <f>F189+G189</f>
        <v>247500</v>
      </c>
      <c r="I189" s="232">
        <f>+[9]SUBCONTRATOS!D42</f>
        <v>230000</v>
      </c>
      <c r="J189" s="232"/>
      <c r="K189" s="326">
        <f>I189+J189</f>
        <v>230000</v>
      </c>
      <c r="L189" s="327"/>
      <c r="M189" s="326">
        <f>H189+K189+L189</f>
        <v>477500</v>
      </c>
      <c r="N189" s="328">
        <f>F189*E189</f>
        <v>9900000</v>
      </c>
      <c r="O189" s="328">
        <f>G189*E189</f>
        <v>0</v>
      </c>
      <c r="P189" s="328">
        <f>I189*E189</f>
        <v>9200000</v>
      </c>
      <c r="Q189" s="328">
        <f>J189*E189</f>
        <v>0</v>
      </c>
      <c r="R189" s="328">
        <f>+L189*E189</f>
        <v>0</v>
      </c>
      <c r="S189" s="329">
        <f>SUM(N189:R189)</f>
        <v>19100000</v>
      </c>
      <c r="T189" s="164"/>
      <c r="U189" s="220">
        <f>+ROUNDUP(M189*$T$5,0)</f>
        <v>647714</v>
      </c>
      <c r="V189" s="220">
        <f>+U189*E189</f>
        <v>25908560</v>
      </c>
      <c r="X189" s="144"/>
    </row>
    <row r="190" spans="1:30" ht="13" outlineLevel="1" x14ac:dyDescent="0.3">
      <c r="A190" s="155">
        <v>20.02</v>
      </c>
      <c r="B190" s="156" t="s">
        <v>42</v>
      </c>
      <c r="C190" s="255" t="s">
        <v>274</v>
      </c>
      <c r="D190" s="197" t="s">
        <v>114</v>
      </c>
      <c r="E190" s="325">
        <v>0</v>
      </c>
      <c r="F190" s="180"/>
      <c r="G190" s="180"/>
      <c r="H190" s="161">
        <f>F190+G190</f>
        <v>0</v>
      </c>
      <c r="I190" s="180">
        <f>+[9]SUBCONTRATOS!D43</f>
        <v>0</v>
      </c>
      <c r="J190" s="180"/>
      <c r="K190" s="161">
        <f>I190+J190</f>
        <v>0</v>
      </c>
      <c r="L190" s="182"/>
      <c r="M190" s="161">
        <f>H190+K190+L190</f>
        <v>0</v>
      </c>
      <c r="N190" s="162">
        <f>F190*E190</f>
        <v>0</v>
      </c>
      <c r="O190" s="162">
        <f>G190*E190</f>
        <v>0</v>
      </c>
      <c r="P190" s="162">
        <f>I190*E190</f>
        <v>0</v>
      </c>
      <c r="Q190" s="162">
        <f>J190*E190</f>
        <v>0</v>
      </c>
      <c r="R190" s="162">
        <f>+L190*E190</f>
        <v>0</v>
      </c>
      <c r="S190" s="163">
        <f>SUM(N190:R190)</f>
        <v>0</v>
      </c>
      <c r="T190" s="164"/>
      <c r="U190" s="165">
        <f>+ROUNDUP(M190*$T$5,0)</f>
        <v>0</v>
      </c>
      <c r="V190" s="165">
        <f>+U190*E190</f>
        <v>0</v>
      </c>
      <c r="X190" s="144"/>
    </row>
    <row r="191" spans="1:30" ht="13" x14ac:dyDescent="0.3">
      <c r="A191" s="136">
        <v>21</v>
      </c>
      <c r="B191" s="137"/>
      <c r="C191" s="138" t="s">
        <v>275</v>
      </c>
      <c r="D191" s="139"/>
      <c r="E191" s="140"/>
      <c r="F191" s="140"/>
      <c r="G191" s="140"/>
      <c r="H191" s="140"/>
      <c r="I191" s="140"/>
      <c r="J191" s="140"/>
      <c r="K191" s="140"/>
      <c r="L191" s="140"/>
      <c r="M191" s="141"/>
      <c r="N191" s="140"/>
      <c r="O191" s="140"/>
      <c r="P191" s="140"/>
      <c r="Q191" s="140"/>
      <c r="R191" s="140"/>
      <c r="S191" s="140"/>
      <c r="T191" s="142">
        <f>SUM(S192)</f>
        <v>0</v>
      </c>
      <c r="U191" s="140"/>
      <c r="V191" s="140"/>
      <c r="W191" s="143">
        <f>SUM(V192)</f>
        <v>0</v>
      </c>
      <c r="X191" s="144">
        <f>+W191/$W$213</f>
        <v>0</v>
      </c>
      <c r="AB191" s="97"/>
    </row>
    <row r="192" spans="1:30" s="174" customFormat="1" ht="13" outlineLevel="1" x14ac:dyDescent="0.3">
      <c r="A192" s="330">
        <v>21.01</v>
      </c>
      <c r="B192" s="330" t="s">
        <v>42</v>
      </c>
      <c r="C192" s="331" t="s">
        <v>276</v>
      </c>
      <c r="D192" s="332" t="s">
        <v>69</v>
      </c>
      <c r="E192" s="333">
        <v>0</v>
      </c>
      <c r="F192" s="334"/>
      <c r="G192" s="334"/>
      <c r="H192" s="335">
        <f>F192+G192</f>
        <v>0</v>
      </c>
      <c r="I192" s="334"/>
      <c r="J192" s="334"/>
      <c r="K192" s="335">
        <f>I192+J192</f>
        <v>0</v>
      </c>
      <c r="L192" s="334"/>
      <c r="M192" s="335">
        <f>H192+K192+L192</f>
        <v>0</v>
      </c>
      <c r="N192" s="336">
        <f>F192*E192</f>
        <v>0</v>
      </c>
      <c r="O192" s="336">
        <f>G192*E192</f>
        <v>0</v>
      </c>
      <c r="P192" s="336">
        <f>I192*E192</f>
        <v>0</v>
      </c>
      <c r="Q192" s="336">
        <f>J192*E192</f>
        <v>0</v>
      </c>
      <c r="R192" s="336">
        <f>+L192*E192</f>
        <v>0</v>
      </c>
      <c r="S192" s="337">
        <f>SUM(N192:R192)</f>
        <v>0</v>
      </c>
      <c r="T192" s="164"/>
      <c r="U192" s="225">
        <f>+ROUNDUP(M192*$T$5,0)</f>
        <v>0</v>
      </c>
      <c r="V192" s="165">
        <f>+U192*E192</f>
        <v>0</v>
      </c>
      <c r="W192" s="216"/>
      <c r="X192" s="144"/>
    </row>
    <row r="193" spans="1:28" s="174" customFormat="1" ht="13" x14ac:dyDescent="0.3">
      <c r="A193" s="136">
        <v>22</v>
      </c>
      <c r="B193" s="137"/>
      <c r="C193" s="138" t="s">
        <v>277</v>
      </c>
      <c r="D193" s="139"/>
      <c r="E193" s="140"/>
      <c r="F193" s="140"/>
      <c r="G193" s="140"/>
      <c r="H193" s="140"/>
      <c r="I193" s="140"/>
      <c r="J193" s="140"/>
      <c r="K193" s="140"/>
      <c r="L193" s="140"/>
      <c r="M193" s="141"/>
      <c r="N193" s="140"/>
      <c r="O193" s="140"/>
      <c r="P193" s="140"/>
      <c r="Q193" s="140"/>
      <c r="R193" s="140"/>
      <c r="S193" s="140"/>
      <c r="T193" s="142">
        <f>SUM(S194:S195)</f>
        <v>2977500</v>
      </c>
      <c r="U193" s="140"/>
      <c r="V193" s="140"/>
      <c r="W193" s="143">
        <f>SUM(V194:V195)</f>
        <v>4038900</v>
      </c>
      <c r="X193" s="144">
        <f>+W193/$W$213</f>
        <v>2.6216017737717748E-3</v>
      </c>
      <c r="AB193" s="97"/>
    </row>
    <row r="194" spans="1:28" ht="26" outlineLevel="1" x14ac:dyDescent="0.3">
      <c r="A194" s="211">
        <v>22.01</v>
      </c>
      <c r="B194" s="211" t="s">
        <v>42</v>
      </c>
      <c r="C194" s="275" t="s">
        <v>278</v>
      </c>
      <c r="D194" s="276" t="s">
        <v>114</v>
      </c>
      <c r="E194" s="167">
        <f>+[9]Locales!CO100</f>
        <v>50</v>
      </c>
      <c r="F194" s="180"/>
      <c r="G194" s="338"/>
      <c r="H194" s="161">
        <f>F194+G194</f>
        <v>0</v>
      </c>
      <c r="I194" s="180">
        <f>+[9]SUBCONTRATOS!D51</f>
        <v>59550</v>
      </c>
      <c r="J194" s="338"/>
      <c r="K194" s="161">
        <f>I194+J194</f>
        <v>59550</v>
      </c>
      <c r="L194" s="339"/>
      <c r="M194" s="150">
        <f>H194+K194+L194</f>
        <v>59550</v>
      </c>
      <c r="N194" s="162">
        <f>F194*E194</f>
        <v>0</v>
      </c>
      <c r="O194" s="162">
        <f>G194*E194</f>
        <v>0</v>
      </c>
      <c r="P194" s="162">
        <f>I194*E194</f>
        <v>2977500</v>
      </c>
      <c r="Q194" s="162">
        <f>J194*E194</f>
        <v>0</v>
      </c>
      <c r="R194" s="162">
        <f>+L194*E194</f>
        <v>0</v>
      </c>
      <c r="S194" s="163">
        <f>SUM(N194:R194)</f>
        <v>2977500</v>
      </c>
      <c r="T194" s="164"/>
      <c r="U194" s="225">
        <f>+ROUNDUP(M194*$T$5,0)</f>
        <v>80778</v>
      </c>
      <c r="V194" s="220">
        <f>+U194*E194</f>
        <v>4038900</v>
      </c>
      <c r="X194" s="144"/>
      <c r="AB194" s="97"/>
    </row>
    <row r="195" spans="1:28" ht="13" outlineLevel="1" x14ac:dyDescent="0.3">
      <c r="A195" s="173">
        <v>22.02</v>
      </c>
      <c r="B195" s="173" t="s">
        <v>42</v>
      </c>
      <c r="C195" s="280" t="s">
        <v>279</v>
      </c>
      <c r="D195" s="281" t="s">
        <v>114</v>
      </c>
      <c r="E195" s="177">
        <v>0</v>
      </c>
      <c r="F195" s="199"/>
      <c r="G195" s="199"/>
      <c r="H195" s="161">
        <f>F195+G195</f>
        <v>0</v>
      </c>
      <c r="I195" s="180"/>
      <c r="J195" s="199"/>
      <c r="K195" s="161">
        <f>I195+J195</f>
        <v>0</v>
      </c>
      <c r="L195" s="218"/>
      <c r="M195" s="161">
        <f>H195+K195+L195</f>
        <v>0</v>
      </c>
      <c r="N195" s="162">
        <f>F195*E195</f>
        <v>0</v>
      </c>
      <c r="O195" s="162">
        <f>G195*E195</f>
        <v>0</v>
      </c>
      <c r="P195" s="162">
        <f>I195*E195</f>
        <v>0</v>
      </c>
      <c r="Q195" s="162">
        <f>J195*E195</f>
        <v>0</v>
      </c>
      <c r="R195" s="162">
        <f>+L195*E195</f>
        <v>0</v>
      </c>
      <c r="S195" s="163">
        <f>SUM(N195:R195)</f>
        <v>0</v>
      </c>
      <c r="T195" s="164"/>
      <c r="U195" s="225">
        <f>+ROUNDUP(M195*$T$5,0)</f>
        <v>0</v>
      </c>
      <c r="V195" s="220">
        <f>+U195*E195</f>
        <v>0</v>
      </c>
      <c r="X195" s="144"/>
      <c r="AB195" s="97"/>
    </row>
    <row r="196" spans="1:28" ht="13" x14ac:dyDescent="0.3">
      <c r="A196" s="136">
        <v>23</v>
      </c>
      <c r="B196" s="137"/>
      <c r="C196" s="138" t="s">
        <v>280</v>
      </c>
      <c r="D196" s="139"/>
      <c r="E196" s="140"/>
      <c r="F196" s="140"/>
      <c r="G196" s="140"/>
      <c r="H196" s="140"/>
      <c r="I196" s="140"/>
      <c r="J196" s="140"/>
      <c r="K196" s="140"/>
      <c r="L196" s="140"/>
      <c r="M196" s="141"/>
      <c r="N196" s="140"/>
      <c r="O196" s="140"/>
      <c r="P196" s="140"/>
      <c r="Q196" s="140"/>
      <c r="R196" s="140"/>
      <c r="S196" s="140"/>
      <c r="T196" s="142">
        <f>+SUM(S197:S199)</f>
        <v>4433632.7291684877</v>
      </c>
      <c r="U196" s="140"/>
      <c r="V196" s="140"/>
      <c r="W196" s="143">
        <f>SUM(V197:V199)</f>
        <v>6014085</v>
      </c>
      <c r="X196" s="144">
        <f>+W196/$W$213</f>
        <v>3.9036707775914788E-3</v>
      </c>
      <c r="AB196" s="97"/>
    </row>
    <row r="197" spans="1:28" ht="26" outlineLevel="1" x14ac:dyDescent="0.3">
      <c r="A197" s="156">
        <v>23.01</v>
      </c>
      <c r="B197" s="173" t="s">
        <v>42</v>
      </c>
      <c r="C197" s="157" t="s">
        <v>281</v>
      </c>
      <c r="D197" s="176" t="s">
        <v>114</v>
      </c>
      <c r="E197" s="177">
        <v>8</v>
      </c>
      <c r="F197" s="289">
        <f>+[9]Tareas!H226</f>
        <v>25000</v>
      </c>
      <c r="G197" s="289">
        <f>+[9]Tareas!I226</f>
        <v>0</v>
      </c>
      <c r="H197" s="161">
        <f>F197+G197</f>
        <v>25000</v>
      </c>
      <c r="I197" s="160">
        <f>+[9]Tareas!Q226</f>
        <v>20000</v>
      </c>
      <c r="J197" s="160">
        <f>+[9]Tareas!R226</f>
        <v>150902.36265989585</v>
      </c>
      <c r="K197" s="161">
        <f>I197+J197</f>
        <v>170902.36265989585</v>
      </c>
      <c r="L197" s="160">
        <f>(H197+K197)*0.015</f>
        <v>2938.5354398984377</v>
      </c>
      <c r="M197" s="161">
        <f>H197+K197+L197</f>
        <v>198840.89809979429</v>
      </c>
      <c r="N197" s="162">
        <f>F197*E197</f>
        <v>200000</v>
      </c>
      <c r="O197" s="162">
        <f>G197*E197</f>
        <v>0</v>
      </c>
      <c r="P197" s="162">
        <f>I197*E197</f>
        <v>160000</v>
      </c>
      <c r="Q197" s="162">
        <f>J197*E197</f>
        <v>1207218.9012791668</v>
      </c>
      <c r="R197" s="162">
        <f>+L197*E197</f>
        <v>23508.283519187502</v>
      </c>
      <c r="S197" s="163">
        <f>SUM(N197:R197)</f>
        <v>1590727.1847983543</v>
      </c>
      <c r="T197" s="90"/>
      <c r="U197" s="165">
        <f>+ROUNDUP(M197*$T$5,0)</f>
        <v>269722</v>
      </c>
      <c r="V197" s="165">
        <f>+U197*E197</f>
        <v>2157776</v>
      </c>
      <c r="X197" s="144"/>
      <c r="AB197" s="97"/>
    </row>
    <row r="198" spans="1:28" ht="13" outlineLevel="1" x14ac:dyDescent="0.3">
      <c r="A198" s="340">
        <v>23.02</v>
      </c>
      <c r="B198" s="341" t="s">
        <v>46</v>
      </c>
      <c r="C198" s="342" t="s">
        <v>282</v>
      </c>
      <c r="D198" s="343" t="s">
        <v>69</v>
      </c>
      <c r="E198" s="344">
        <v>1</v>
      </c>
      <c r="F198" s="289">
        <f>+[9]Tareas!H233</f>
        <v>60000</v>
      </c>
      <c r="G198" s="289">
        <f>+[9]Tareas!I233</f>
        <v>0</v>
      </c>
      <c r="H198" s="161">
        <f>F198+G198</f>
        <v>60000</v>
      </c>
      <c r="I198" s="160">
        <f>+[9]Tareas!Q233</f>
        <v>0</v>
      </c>
      <c r="J198" s="160">
        <f>+[9]Tareas!R233</f>
        <v>383392.16194101796</v>
      </c>
      <c r="K198" s="161">
        <f>I198+J198</f>
        <v>383392.16194101796</v>
      </c>
      <c r="L198" s="160">
        <f>(H198+K198)*0.015</f>
        <v>6650.8824291152687</v>
      </c>
      <c r="M198" s="161">
        <f>H198+K198+L198</f>
        <v>450043.0443701332</v>
      </c>
      <c r="N198" s="162">
        <f>F198*E198</f>
        <v>60000</v>
      </c>
      <c r="O198" s="162">
        <f>G198*E198</f>
        <v>0</v>
      </c>
      <c r="P198" s="162">
        <f>I198*E198</f>
        <v>0</v>
      </c>
      <c r="Q198" s="162">
        <f>J198*E198</f>
        <v>383392.16194101796</v>
      </c>
      <c r="R198" s="162">
        <f>+L198*E198</f>
        <v>6650.8824291152687</v>
      </c>
      <c r="S198" s="163">
        <f>SUM(N198:R198)</f>
        <v>450043.0443701332</v>
      </c>
      <c r="T198" s="90"/>
      <c r="U198" s="165">
        <f>+ROUNDUP(M198*$T$5,0)</f>
        <v>610469</v>
      </c>
      <c r="V198" s="165">
        <f>+U198*E198</f>
        <v>610469</v>
      </c>
      <c r="X198" s="144"/>
      <c r="AB198" s="97"/>
    </row>
    <row r="199" spans="1:28" ht="26" outlineLevel="1" x14ac:dyDescent="0.3">
      <c r="A199" s="340">
        <v>23.03</v>
      </c>
      <c r="B199" s="341" t="s">
        <v>46</v>
      </c>
      <c r="C199" s="342" t="s">
        <v>283</v>
      </c>
      <c r="D199" s="343" t="s">
        <v>69</v>
      </c>
      <c r="E199" s="344">
        <v>1</v>
      </c>
      <c r="F199" s="289">
        <f>+[9]Tareas!H235</f>
        <v>0</v>
      </c>
      <c r="G199" s="289">
        <f>+[9]Tareas!I235</f>
        <v>0</v>
      </c>
      <c r="H199" s="161">
        <f>F199+G199</f>
        <v>0</v>
      </c>
      <c r="I199" s="160">
        <f>+[9]Tareas!Q235</f>
        <v>2357500</v>
      </c>
      <c r="J199" s="160">
        <f>+[9]Tareas!R235</f>
        <v>0</v>
      </c>
      <c r="K199" s="161">
        <f>I199+J199</f>
        <v>2357500</v>
      </c>
      <c r="L199" s="160">
        <f>(H199+K199)*0.015</f>
        <v>35362.5</v>
      </c>
      <c r="M199" s="161">
        <f>H199+K199+L199</f>
        <v>2392862.5</v>
      </c>
      <c r="N199" s="162">
        <f>F199*E199</f>
        <v>0</v>
      </c>
      <c r="O199" s="162">
        <f>G199*E199</f>
        <v>0</v>
      </c>
      <c r="P199" s="162">
        <f>I199*E199</f>
        <v>2357500</v>
      </c>
      <c r="Q199" s="162">
        <f>J199*E199</f>
        <v>0</v>
      </c>
      <c r="R199" s="162">
        <f>+L199*E199</f>
        <v>35362.5</v>
      </c>
      <c r="S199" s="163">
        <f>SUM(N199:R199)</f>
        <v>2392862.5</v>
      </c>
      <c r="T199" s="90"/>
      <c r="U199" s="165">
        <f>+ROUNDUP(M199*$T$5,0)</f>
        <v>3245840</v>
      </c>
      <c r="V199" s="165">
        <f>+U199*E199</f>
        <v>3245840</v>
      </c>
      <c r="X199" s="144"/>
      <c r="AB199" s="97"/>
    </row>
    <row r="200" spans="1:28" ht="13" x14ac:dyDescent="0.3">
      <c r="A200" s="136">
        <v>24</v>
      </c>
      <c r="B200" s="137"/>
      <c r="C200" s="138" t="s">
        <v>284</v>
      </c>
      <c r="D200" s="139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2">
        <f>SUM(S201:S209)</f>
        <v>73947208.483023033</v>
      </c>
      <c r="U200" s="140"/>
      <c r="V200" s="140"/>
      <c r="W200" s="143">
        <f>SUM(V201:V209)</f>
        <v>100307033</v>
      </c>
      <c r="X200" s="345">
        <f>+W200/$W$213</f>
        <v>6.5108097658913053E-2</v>
      </c>
      <c r="AB200" s="97"/>
    </row>
    <row r="201" spans="1:28" ht="13" outlineLevel="1" x14ac:dyDescent="0.3">
      <c r="A201" s="145">
        <v>24.01</v>
      </c>
      <c r="B201" s="250" t="s">
        <v>42</v>
      </c>
      <c r="C201" s="346" t="s">
        <v>285</v>
      </c>
      <c r="D201" s="147" t="s">
        <v>77</v>
      </c>
      <c r="E201" s="159">
        <f>+[9]GGBB!$F$4</f>
        <v>19</v>
      </c>
      <c r="F201" s="149"/>
      <c r="G201" s="338"/>
      <c r="H201" s="161">
        <f t="shared" ref="H201:H209" si="167">F201+G201</f>
        <v>0</v>
      </c>
      <c r="I201" s="224">
        <f>+[9]GGBB!J30</f>
        <v>806885.98632321146</v>
      </c>
      <c r="J201" s="149"/>
      <c r="K201" s="161">
        <f t="shared" ref="K201:K209" si="168">I201+J201</f>
        <v>806885.98632321146</v>
      </c>
      <c r="L201" s="167"/>
      <c r="M201" s="161">
        <f t="shared" ref="M201:M209" si="169">H201+K201+L201</f>
        <v>806885.98632321146</v>
      </c>
      <c r="N201" s="162">
        <f>F201*E201</f>
        <v>0</v>
      </c>
      <c r="O201" s="162">
        <f>G201*E201</f>
        <v>0</v>
      </c>
      <c r="P201" s="162">
        <f>I201*E201</f>
        <v>15330833.740141017</v>
      </c>
      <c r="Q201" s="162">
        <f>J201*E201</f>
        <v>0</v>
      </c>
      <c r="R201" s="162">
        <f>+L201*E201</f>
        <v>0</v>
      </c>
      <c r="S201" s="163">
        <f t="shared" ref="S201:S209" si="170">SUM(N201:R201)</f>
        <v>15330833.740141017</v>
      </c>
      <c r="T201" s="164"/>
      <c r="U201" s="165">
        <f>+ROUNDUP(M201*$T$5,0)</f>
        <v>1094515</v>
      </c>
      <c r="V201" s="165">
        <f>+U201*E201</f>
        <v>20795785</v>
      </c>
    </row>
    <row r="202" spans="1:28" ht="13" outlineLevel="1" x14ac:dyDescent="0.3">
      <c r="A202" s="226">
        <v>24.02</v>
      </c>
      <c r="B202" s="323" t="s">
        <v>42</v>
      </c>
      <c r="C202" s="347" t="s">
        <v>286</v>
      </c>
      <c r="D202" s="348" t="s">
        <v>77</v>
      </c>
      <c r="E202" s="325">
        <f>+[9]GGBB!Q5</f>
        <v>1</v>
      </c>
      <c r="F202" s="349"/>
      <c r="G202" s="350"/>
      <c r="H202" s="161">
        <f t="shared" si="167"/>
        <v>0</v>
      </c>
      <c r="I202" s="232">
        <f>+[9]GGBB!J12</f>
        <v>1623254.4601415317</v>
      </c>
      <c r="J202" s="349"/>
      <c r="K202" s="161">
        <f t="shared" si="168"/>
        <v>1623254.4601415317</v>
      </c>
      <c r="L202" s="167"/>
      <c r="M202" s="161">
        <f t="shared" si="169"/>
        <v>1623254.4601415317</v>
      </c>
      <c r="N202" s="162">
        <f>F202*E202</f>
        <v>0</v>
      </c>
      <c r="O202" s="162">
        <f>G202*E202</f>
        <v>0</v>
      </c>
      <c r="P202" s="162">
        <f>I202*E202</f>
        <v>1623254.4601415317</v>
      </c>
      <c r="Q202" s="162">
        <f>J202*E202</f>
        <v>0</v>
      </c>
      <c r="R202" s="162">
        <f>+L202*E202</f>
        <v>0</v>
      </c>
      <c r="S202" s="163">
        <f t="shared" si="170"/>
        <v>1623254.4601415317</v>
      </c>
      <c r="T202" s="164"/>
      <c r="U202" s="165">
        <f>+ROUNDUP(M202*$T$5,0)</f>
        <v>2201892</v>
      </c>
      <c r="V202" s="165">
        <f>+U202*E202</f>
        <v>2201892</v>
      </c>
    </row>
    <row r="203" spans="1:28" ht="13" outlineLevel="1" x14ac:dyDescent="0.3">
      <c r="A203" s="155">
        <v>24.03</v>
      </c>
      <c r="B203" s="156" t="s">
        <v>42</v>
      </c>
      <c r="C203" s="286" t="s">
        <v>287</v>
      </c>
      <c r="D203" s="158" t="s">
        <v>77</v>
      </c>
      <c r="E203" s="159">
        <f>+[9]GGBB!$F$4</f>
        <v>19</v>
      </c>
      <c r="F203" s="167"/>
      <c r="G203" s="199"/>
      <c r="H203" s="161">
        <f t="shared" si="167"/>
        <v>0</v>
      </c>
      <c r="I203" s="351">
        <f>+[9]GGBB!J13</f>
        <v>300000</v>
      </c>
      <c r="J203" s="167"/>
      <c r="K203" s="161">
        <f t="shared" si="168"/>
        <v>300000</v>
      </c>
      <c r="L203" s="167"/>
      <c r="M203" s="161">
        <f t="shared" si="169"/>
        <v>300000</v>
      </c>
      <c r="N203" s="162">
        <f t="shared" ref="N203:N209" si="171">F203*E203</f>
        <v>0</v>
      </c>
      <c r="O203" s="162">
        <f t="shared" ref="O203:O209" si="172">G203*E203</f>
        <v>0</v>
      </c>
      <c r="P203" s="162">
        <f t="shared" ref="P203:P209" si="173">I203*E203</f>
        <v>5700000</v>
      </c>
      <c r="Q203" s="162">
        <f t="shared" ref="Q203:Q209" si="174">J203*E203</f>
        <v>0</v>
      </c>
      <c r="R203" s="162">
        <f t="shared" ref="R203:R209" si="175">+L203*E203</f>
        <v>0</v>
      </c>
      <c r="S203" s="163">
        <f t="shared" si="170"/>
        <v>5700000</v>
      </c>
      <c r="T203" s="164"/>
      <c r="U203" s="165">
        <f t="shared" ref="U203:U209" si="176">+ROUNDUP(M203*$T$5,0)</f>
        <v>406941</v>
      </c>
      <c r="V203" s="165">
        <f t="shared" ref="V203:V209" si="177">+U203*E203</f>
        <v>7731879</v>
      </c>
    </row>
    <row r="204" spans="1:28" ht="13" outlineLevel="1" x14ac:dyDescent="0.3">
      <c r="A204" s="226">
        <v>24.04</v>
      </c>
      <c r="B204" s="156" t="s">
        <v>42</v>
      </c>
      <c r="C204" s="286" t="s">
        <v>288</v>
      </c>
      <c r="D204" s="158" t="s">
        <v>69</v>
      </c>
      <c r="E204" s="159">
        <v>1</v>
      </c>
      <c r="F204" s="160">
        <f>+[9]Tareas!H240</f>
        <v>4076935.9416666673</v>
      </c>
      <c r="G204" s="160">
        <f>+[9]Tareas!I240</f>
        <v>0</v>
      </c>
      <c r="H204" s="161">
        <f t="shared" si="167"/>
        <v>4076935.9416666673</v>
      </c>
      <c r="I204" s="160">
        <f>+[9]Tareas!Q240</f>
        <v>600000</v>
      </c>
      <c r="J204" s="160">
        <f>+[9]Tareas!R240</f>
        <v>4999453.4722428042</v>
      </c>
      <c r="K204" s="161">
        <f t="shared" si="168"/>
        <v>5599453.4722428042</v>
      </c>
      <c r="L204" s="160">
        <f>(H204+K204)*0.015</f>
        <v>145145.84120864209</v>
      </c>
      <c r="M204" s="161">
        <f t="shared" si="169"/>
        <v>9821535.2551181149</v>
      </c>
      <c r="N204" s="162">
        <f>F204*E204</f>
        <v>4076935.9416666673</v>
      </c>
      <c r="O204" s="162">
        <f>G204*E204</f>
        <v>0</v>
      </c>
      <c r="P204" s="162">
        <f>I204*E204</f>
        <v>600000</v>
      </c>
      <c r="Q204" s="162">
        <f>J204*E204</f>
        <v>4999453.4722428042</v>
      </c>
      <c r="R204" s="162">
        <f>+L204*E204</f>
        <v>145145.84120864209</v>
      </c>
      <c r="S204" s="163">
        <f t="shared" si="170"/>
        <v>9821535.2551181149</v>
      </c>
      <c r="T204" s="164"/>
      <c r="U204" s="165">
        <f t="shared" si="176"/>
        <v>13322590</v>
      </c>
      <c r="V204" s="165">
        <f t="shared" si="177"/>
        <v>13322590</v>
      </c>
      <c r="Y204" s="200" t="s">
        <v>83</v>
      </c>
      <c r="Z204" s="185" t="s">
        <v>289</v>
      </c>
      <c r="AA204" s="82" t="s">
        <v>290</v>
      </c>
    </row>
    <row r="205" spans="1:28" s="235" customFormat="1" ht="13" outlineLevel="1" x14ac:dyDescent="0.3">
      <c r="A205" s="155">
        <v>24.05</v>
      </c>
      <c r="B205" s="156" t="s">
        <v>42</v>
      </c>
      <c r="C205" s="286" t="s">
        <v>291</v>
      </c>
      <c r="D205" s="352" t="s">
        <v>77</v>
      </c>
      <c r="E205" s="159">
        <f>+[9]GGBB!$F$4</f>
        <v>19</v>
      </c>
      <c r="F205" s="169">
        <f>+[9]Tareas!H248</f>
        <v>0</v>
      </c>
      <c r="G205" s="169">
        <f>+[9]Tareas!I248</f>
        <v>50000</v>
      </c>
      <c r="H205" s="161">
        <f t="shared" si="167"/>
        <v>50000</v>
      </c>
      <c r="I205" s="160">
        <f>+[9]Tareas!Q248</f>
        <v>0</v>
      </c>
      <c r="J205" s="160">
        <f>+[9]Tareas!R248</f>
        <v>657280.53129030496</v>
      </c>
      <c r="K205" s="161">
        <f t="shared" si="168"/>
        <v>657280.53129030496</v>
      </c>
      <c r="L205" s="160">
        <f>(H205+K205)*0.015</f>
        <v>10609.207969354575</v>
      </c>
      <c r="M205" s="161">
        <f t="shared" si="169"/>
        <v>717889.73925965955</v>
      </c>
      <c r="N205" s="162">
        <f>F205*E205</f>
        <v>0</v>
      </c>
      <c r="O205" s="162">
        <f>G205*E205</f>
        <v>950000</v>
      </c>
      <c r="P205" s="162">
        <f>I205*E205</f>
        <v>0</v>
      </c>
      <c r="Q205" s="162">
        <f>J205*E205</f>
        <v>12488330.094515795</v>
      </c>
      <c r="R205" s="162">
        <f>+L205*E205</f>
        <v>201574.95141773691</v>
      </c>
      <c r="S205" s="163">
        <f t="shared" si="170"/>
        <v>13639905.045933532</v>
      </c>
      <c r="T205" s="164"/>
      <c r="U205" s="165">
        <f t="shared" si="176"/>
        <v>973794</v>
      </c>
      <c r="V205" s="165">
        <f t="shared" si="177"/>
        <v>18502086</v>
      </c>
      <c r="W205" s="353"/>
      <c r="X205" s="345"/>
      <c r="Y205" s="354">
        <f>+E215</f>
        <v>1452</v>
      </c>
      <c r="Z205" s="171">
        <f>+V205/Y205</f>
        <v>12742.48347107438</v>
      </c>
      <c r="AA205" s="171">
        <v>26019</v>
      </c>
      <c r="AB205" s="355">
        <f>+Z205/AA205</f>
        <v>0.48973763292495409</v>
      </c>
    </row>
    <row r="206" spans="1:28" s="235" customFormat="1" ht="13" outlineLevel="1" x14ac:dyDescent="0.3">
      <c r="A206" s="226">
        <v>24.06</v>
      </c>
      <c r="B206" s="156" t="s">
        <v>42</v>
      </c>
      <c r="C206" s="286" t="s">
        <v>292</v>
      </c>
      <c r="D206" s="352" t="s">
        <v>77</v>
      </c>
      <c r="E206" s="159">
        <f>+[9]GGBB!$F$4</f>
        <v>19</v>
      </c>
      <c r="F206" s="169">
        <f>+[9]Tareas!H252</f>
        <v>0</v>
      </c>
      <c r="G206" s="169">
        <f>+[9]Tareas!I252</f>
        <v>50000</v>
      </c>
      <c r="H206" s="161">
        <f t="shared" si="167"/>
        <v>50000</v>
      </c>
      <c r="I206" s="160">
        <f>+[9]Tareas!Q252</f>
        <v>0</v>
      </c>
      <c r="J206" s="160">
        <f>+[9]Tareas!R252</f>
        <v>591716.38997035509</v>
      </c>
      <c r="K206" s="161">
        <f t="shared" si="168"/>
        <v>591716.38997035509</v>
      </c>
      <c r="L206" s="160">
        <f>(H206+K206)*0.015</f>
        <v>9625.7458495553255</v>
      </c>
      <c r="M206" s="161">
        <f t="shared" si="169"/>
        <v>651342.13581991044</v>
      </c>
      <c r="N206" s="162">
        <f t="shared" si="171"/>
        <v>0</v>
      </c>
      <c r="O206" s="162">
        <f t="shared" si="172"/>
        <v>950000</v>
      </c>
      <c r="P206" s="162">
        <f t="shared" si="173"/>
        <v>0</v>
      </c>
      <c r="Q206" s="162">
        <f t="shared" si="174"/>
        <v>11242611.409436747</v>
      </c>
      <c r="R206" s="162">
        <f t="shared" si="175"/>
        <v>182889.1711415512</v>
      </c>
      <c r="S206" s="163">
        <f t="shared" si="170"/>
        <v>12375500.580578299</v>
      </c>
      <c r="T206" s="164"/>
      <c r="U206" s="165">
        <f t="shared" si="176"/>
        <v>883525</v>
      </c>
      <c r="V206" s="165">
        <f t="shared" si="177"/>
        <v>16786975</v>
      </c>
      <c r="W206" s="353"/>
      <c r="X206" s="345"/>
      <c r="Y206" s="354"/>
      <c r="Z206" s="171"/>
      <c r="AA206" s="171">
        <v>1065501</v>
      </c>
      <c r="AB206" s="355">
        <f>+U206/AA206</f>
        <v>0.82921085949238904</v>
      </c>
    </row>
    <row r="207" spans="1:28" s="235" customFormat="1" ht="13" outlineLevel="1" x14ac:dyDescent="0.3">
      <c r="A207" s="155">
        <v>24.07</v>
      </c>
      <c r="B207" s="156" t="s">
        <v>42</v>
      </c>
      <c r="C207" s="286" t="s">
        <v>293</v>
      </c>
      <c r="D207" s="352" t="s">
        <v>69</v>
      </c>
      <c r="E207" s="159">
        <v>1</v>
      </c>
      <c r="F207" s="169">
        <f>+[9]Tareas!H255</f>
        <v>500000</v>
      </c>
      <c r="G207" s="169">
        <f>+[9]Tareas!I255</f>
        <v>0</v>
      </c>
      <c r="H207" s="161">
        <f t="shared" si="167"/>
        <v>500000</v>
      </c>
      <c r="I207" s="160">
        <f>+[9]Tareas!Q255</f>
        <v>0</v>
      </c>
      <c r="J207" s="160">
        <f>+[9]Tareas!R255</f>
        <v>4034429.9316160567</v>
      </c>
      <c r="K207" s="161">
        <f t="shared" si="168"/>
        <v>4034429.9316160567</v>
      </c>
      <c r="L207" s="160">
        <f>(H207+K207)*0.015</f>
        <v>68016.448974240848</v>
      </c>
      <c r="M207" s="161">
        <f t="shared" si="169"/>
        <v>4602446.3805902973</v>
      </c>
      <c r="N207" s="162">
        <f>F207*E207</f>
        <v>500000</v>
      </c>
      <c r="O207" s="162">
        <f>G207*E207</f>
        <v>0</v>
      </c>
      <c r="P207" s="162">
        <f>I207*E207</f>
        <v>0</v>
      </c>
      <c r="Q207" s="162">
        <f>J207*E207</f>
        <v>4034429.9316160567</v>
      </c>
      <c r="R207" s="162">
        <f>+L207*E207</f>
        <v>68016.448974240848</v>
      </c>
      <c r="S207" s="163">
        <f t="shared" si="170"/>
        <v>4602446.3805902973</v>
      </c>
      <c r="T207" s="164"/>
      <c r="U207" s="165">
        <f t="shared" si="176"/>
        <v>6243068</v>
      </c>
      <c r="V207" s="165">
        <f t="shared" si="177"/>
        <v>6243068</v>
      </c>
      <c r="W207" s="353"/>
      <c r="X207" s="345"/>
      <c r="Y207" s="354">
        <f>+E215</f>
        <v>1452</v>
      </c>
      <c r="Z207" s="171">
        <f>+V207/Y207</f>
        <v>4299.6336088154267</v>
      </c>
      <c r="AA207" s="171">
        <v>4462</v>
      </c>
      <c r="AB207" s="355">
        <f>+Z207/AA207</f>
        <v>0.96361129735890338</v>
      </c>
    </row>
    <row r="208" spans="1:28" s="235" customFormat="1" ht="13" outlineLevel="1" x14ac:dyDescent="0.3">
      <c r="A208" s="226">
        <v>24.08</v>
      </c>
      <c r="B208" s="156" t="s">
        <v>42</v>
      </c>
      <c r="C208" s="286" t="s">
        <v>294</v>
      </c>
      <c r="D208" s="352" t="s">
        <v>77</v>
      </c>
      <c r="E208" s="159">
        <f>+[9]GGBB!$F$4</f>
        <v>19</v>
      </c>
      <c r="F208" s="167"/>
      <c r="G208" s="167"/>
      <c r="H208" s="161">
        <f t="shared" si="167"/>
        <v>0</v>
      </c>
      <c r="I208" s="356">
        <v>300000</v>
      </c>
      <c r="J208" s="167"/>
      <c r="K208" s="161">
        <f t="shared" si="168"/>
        <v>300000</v>
      </c>
      <c r="L208" s="182"/>
      <c r="M208" s="161">
        <f t="shared" si="169"/>
        <v>300000</v>
      </c>
      <c r="N208" s="162">
        <f>F208*E208</f>
        <v>0</v>
      </c>
      <c r="O208" s="162">
        <f>G208*E208</f>
        <v>0</v>
      </c>
      <c r="P208" s="162">
        <f>I208*E208</f>
        <v>5700000</v>
      </c>
      <c r="Q208" s="162">
        <f>J208*E208</f>
        <v>0</v>
      </c>
      <c r="R208" s="162">
        <f>+L208*E208</f>
        <v>0</v>
      </c>
      <c r="S208" s="163">
        <f t="shared" si="170"/>
        <v>5700000</v>
      </c>
      <c r="T208" s="164"/>
      <c r="U208" s="165">
        <f t="shared" si="176"/>
        <v>406941</v>
      </c>
      <c r="V208" s="165">
        <f t="shared" si="177"/>
        <v>7731879</v>
      </c>
      <c r="W208" s="353"/>
      <c r="X208" s="345"/>
    </row>
    <row r="209" spans="1:28" s="359" customFormat="1" ht="13" outlineLevel="1" x14ac:dyDescent="0.3">
      <c r="A209" s="155">
        <v>24.09</v>
      </c>
      <c r="B209" s="312" t="s">
        <v>42</v>
      </c>
      <c r="C209" s="357" t="s">
        <v>295</v>
      </c>
      <c r="D209" s="358" t="s">
        <v>77</v>
      </c>
      <c r="E209" s="159">
        <f>+[9]GGBB!$F$4</f>
        <v>19</v>
      </c>
      <c r="F209" s="169">
        <f>+[9]Tareas!H258</f>
        <v>200000</v>
      </c>
      <c r="G209" s="169">
        <f>+[9]Tareas!I258</f>
        <v>0</v>
      </c>
      <c r="H209" s="208">
        <f t="shared" si="167"/>
        <v>200000</v>
      </c>
      <c r="I209" s="207">
        <f>+[9]Tareas!Q258</f>
        <v>0</v>
      </c>
      <c r="J209" s="207">
        <f>+[9]Tareas!R258</f>
        <v>67240.498860267617</v>
      </c>
      <c r="K209" s="208">
        <f t="shared" si="168"/>
        <v>67240.498860267617</v>
      </c>
      <c r="L209" s="160">
        <f>(H209+K209)*0.015</f>
        <v>4008.6074829040144</v>
      </c>
      <c r="M209" s="208">
        <f t="shared" si="169"/>
        <v>271249.10634317162</v>
      </c>
      <c r="N209" s="209">
        <f t="shared" si="171"/>
        <v>3800000</v>
      </c>
      <c r="O209" s="209">
        <f t="shared" si="172"/>
        <v>0</v>
      </c>
      <c r="P209" s="209">
        <f t="shared" si="173"/>
        <v>0</v>
      </c>
      <c r="Q209" s="209">
        <f t="shared" si="174"/>
        <v>1277569.4783450847</v>
      </c>
      <c r="R209" s="209">
        <f t="shared" si="175"/>
        <v>76163.542175176277</v>
      </c>
      <c r="S209" s="163">
        <f t="shared" si="170"/>
        <v>5153733.0205202615</v>
      </c>
      <c r="T209" s="164"/>
      <c r="U209" s="260">
        <f t="shared" si="176"/>
        <v>367941</v>
      </c>
      <c r="V209" s="260">
        <f t="shared" si="177"/>
        <v>6990879</v>
      </c>
      <c r="W209" s="353"/>
      <c r="X209" s="345"/>
    </row>
    <row r="210" spans="1:28" ht="13" x14ac:dyDescent="0.3">
      <c r="A210" s="136">
        <v>25</v>
      </c>
      <c r="B210" s="137"/>
      <c r="C210" s="138" t="s">
        <v>296</v>
      </c>
      <c r="D210" s="139"/>
      <c r="E210" s="140"/>
      <c r="F210" s="140"/>
      <c r="G210" s="140"/>
      <c r="H210" s="140"/>
      <c r="I210" s="140"/>
      <c r="J210" s="140"/>
      <c r="K210" s="140"/>
      <c r="L210" s="140"/>
      <c r="M210" s="141"/>
      <c r="N210" s="140"/>
      <c r="O210" s="140"/>
      <c r="P210" s="140"/>
      <c r="Q210" s="140"/>
      <c r="R210" s="140"/>
      <c r="S210" s="140"/>
      <c r="T210" s="142">
        <f>SUM(S211:S212)</f>
        <v>71183669.485378206</v>
      </c>
      <c r="U210" s="140"/>
      <c r="V210" s="140"/>
      <c r="W210" s="143">
        <f>SUM(V211:V212)</f>
        <v>96558323</v>
      </c>
      <c r="X210" s="345">
        <f>+W210/$W$213</f>
        <v>6.2674854749864561E-2</v>
      </c>
      <c r="AB210" s="97"/>
    </row>
    <row r="211" spans="1:28" s="174" customFormat="1" ht="13" outlineLevel="1" x14ac:dyDescent="0.3">
      <c r="A211" s="145">
        <v>25.01</v>
      </c>
      <c r="B211" s="211" t="s">
        <v>42</v>
      </c>
      <c r="C211" s="146" t="s">
        <v>297</v>
      </c>
      <c r="D211" s="212" t="s">
        <v>77</v>
      </c>
      <c r="E211" s="159">
        <f>+[9]GGBB!$F$4</f>
        <v>19</v>
      </c>
      <c r="F211" s="214"/>
      <c r="G211" s="214"/>
      <c r="H211" s="150">
        <f>F211+G211</f>
        <v>0</v>
      </c>
      <c r="I211" s="224">
        <f>+[9]GGBB!J23</f>
        <v>3246508.9202830633</v>
      </c>
      <c r="J211" s="214"/>
      <c r="K211" s="150">
        <f>I211+J211</f>
        <v>3246508.9202830633</v>
      </c>
      <c r="L211" s="214"/>
      <c r="M211" s="150">
        <f>H211+K211+L211</f>
        <v>3246508.9202830633</v>
      </c>
      <c r="N211" s="151">
        <f>F211*E211</f>
        <v>0</v>
      </c>
      <c r="O211" s="151">
        <f>G211*E211</f>
        <v>0</v>
      </c>
      <c r="P211" s="151">
        <f>I211*E211</f>
        <v>61683669.485378206</v>
      </c>
      <c r="Q211" s="151">
        <f>J211*E211</f>
        <v>0</v>
      </c>
      <c r="R211" s="151">
        <f>+L211*E211</f>
        <v>0</v>
      </c>
      <c r="S211" s="152">
        <f>SUM(N211:R211)</f>
        <v>61683669.485378206</v>
      </c>
      <c r="T211" s="164"/>
      <c r="U211" s="225">
        <f>+ROUNDUP(M211*$T$5,0)</f>
        <v>4403783</v>
      </c>
      <c r="V211" s="220">
        <f>+U211*E211</f>
        <v>83671877</v>
      </c>
      <c r="W211" s="240"/>
    </row>
    <row r="212" spans="1:28" s="174" customFormat="1" ht="13" outlineLevel="1" x14ac:dyDescent="0.3">
      <c r="A212" s="253">
        <v>25.02</v>
      </c>
      <c r="B212" s="203" t="s">
        <v>42</v>
      </c>
      <c r="C212" s="204" t="s">
        <v>298</v>
      </c>
      <c r="D212" s="244" t="s">
        <v>77</v>
      </c>
      <c r="E212" s="159">
        <f>+[9]GGBB!$F$4</f>
        <v>19</v>
      </c>
      <c r="F212" s="271"/>
      <c r="G212" s="271"/>
      <c r="H212" s="208">
        <f>F212+G212</f>
        <v>0</v>
      </c>
      <c r="I212" s="296">
        <f>[9]GGBB!J28</f>
        <v>500000</v>
      </c>
      <c r="J212" s="271"/>
      <c r="K212" s="208">
        <f>I212+J212</f>
        <v>500000</v>
      </c>
      <c r="L212" s="271"/>
      <c r="M212" s="208">
        <f>H212+K212+L212</f>
        <v>500000</v>
      </c>
      <c r="N212" s="209">
        <f>F212*E212</f>
        <v>0</v>
      </c>
      <c r="O212" s="209">
        <f>G212*E212</f>
        <v>0</v>
      </c>
      <c r="P212" s="209">
        <f>I212*E212</f>
        <v>9500000</v>
      </c>
      <c r="Q212" s="209">
        <f>J212*E212</f>
        <v>0</v>
      </c>
      <c r="R212" s="209">
        <f>+L212*E212</f>
        <v>0</v>
      </c>
      <c r="S212" s="210">
        <f>SUM(N212:R212)</f>
        <v>9500000</v>
      </c>
      <c r="T212" s="164"/>
      <c r="U212" s="225">
        <f>+ROUNDUP(M212*$T$5,0)</f>
        <v>678234</v>
      </c>
      <c r="V212" s="165">
        <f>+U212*E212</f>
        <v>12886446</v>
      </c>
      <c r="W212" s="234"/>
    </row>
    <row r="213" spans="1:28" s="235" customFormat="1" ht="13" x14ac:dyDescent="0.3">
      <c r="A213" s="136"/>
      <c r="B213" s="137"/>
      <c r="C213" s="138" t="s">
        <v>299</v>
      </c>
      <c r="D213" s="139"/>
      <c r="E213" s="140"/>
      <c r="F213" s="140"/>
      <c r="G213" s="140"/>
      <c r="H213" s="140"/>
      <c r="I213" s="140"/>
      <c r="J213" s="140"/>
      <c r="K213" s="140"/>
      <c r="L213" s="140"/>
      <c r="M213" s="141"/>
      <c r="N213" s="142">
        <f t="shared" ref="N213:T213" si="178">SUM(N8:N212)</f>
        <v>288798727.90028393</v>
      </c>
      <c r="O213" s="142">
        <f t="shared" si="178"/>
        <v>92831284.446023241</v>
      </c>
      <c r="P213" s="142">
        <f t="shared" si="178"/>
        <v>508757512.39327759</v>
      </c>
      <c r="Q213" s="142">
        <f t="shared" si="178"/>
        <v>219547445.33957821</v>
      </c>
      <c r="R213" s="142">
        <f t="shared" si="178"/>
        <v>25816868.586182464</v>
      </c>
      <c r="S213" s="142">
        <f t="shared" si="178"/>
        <v>1135751838.665345</v>
      </c>
      <c r="T213" s="142">
        <f t="shared" si="178"/>
        <v>1135751838.6653452</v>
      </c>
      <c r="U213" s="140"/>
      <c r="V213" s="142">
        <f>SUM(V8:V212)</f>
        <v>1540623004</v>
      </c>
      <c r="W213" s="143">
        <f>SUM(W8:W212)</f>
        <v>1540623004</v>
      </c>
      <c r="X213" s="144">
        <f>+W213/$W$213</f>
        <v>1</v>
      </c>
      <c r="Z213" s="360"/>
    </row>
    <row r="214" spans="1:28" s="235" customFormat="1" ht="13" x14ac:dyDescent="0.3">
      <c r="A214" s="361"/>
      <c r="B214" s="361"/>
      <c r="C214" s="362"/>
      <c r="D214" s="363"/>
      <c r="E214" s="364"/>
      <c r="F214" s="364"/>
      <c r="G214" s="364"/>
      <c r="H214" s="364"/>
      <c r="I214" s="364"/>
      <c r="J214" s="364"/>
      <c r="K214" s="364"/>
      <c r="L214" s="365"/>
      <c r="M214" s="365"/>
      <c r="N214" s="365"/>
      <c r="O214" s="365"/>
      <c r="P214" s="365"/>
      <c r="Q214" s="365"/>
      <c r="R214" s="365"/>
      <c r="S214" s="365"/>
      <c r="T214" s="366"/>
      <c r="U214" s="367"/>
      <c r="V214" s="367"/>
      <c r="W214" s="366"/>
      <c r="X214" s="144"/>
    </row>
    <row r="215" spans="1:28" ht="12.75" customHeight="1" x14ac:dyDescent="0.3">
      <c r="A215" s="125"/>
      <c r="B215" s="126"/>
      <c r="C215" s="368" t="s">
        <v>300</v>
      </c>
      <c r="D215" s="369" t="s">
        <v>83</v>
      </c>
      <c r="E215" s="370">
        <f>+[9]INFO.!C6</f>
        <v>1452</v>
      </c>
      <c r="F215" s="298"/>
      <c r="G215" s="298"/>
      <c r="H215" s="298"/>
      <c r="I215" s="371"/>
      <c r="J215" s="371"/>
      <c r="K215" s="298"/>
      <c r="L215" s="372"/>
      <c r="M215" s="298"/>
      <c r="N215" s="298"/>
      <c r="O215" s="298"/>
      <c r="P215" s="298"/>
      <c r="Q215" s="298"/>
      <c r="R215" s="373" t="s">
        <v>301</v>
      </c>
      <c r="S215" s="374">
        <f>+T215/E215</f>
        <v>613.00802193998175</v>
      </c>
      <c r="T215" s="375">
        <f>+T213/[9]GGBB!H4</f>
        <v>890087.64785685355</v>
      </c>
      <c r="U215" s="373" t="s">
        <v>301</v>
      </c>
      <c r="V215" s="376">
        <f>+W215/E215</f>
        <v>831.53223097316845</v>
      </c>
      <c r="W215" s="377">
        <f>W213/W2</f>
        <v>1207384.7993730407</v>
      </c>
      <c r="X215" s="144"/>
    </row>
    <row r="216" spans="1:28" ht="12.75" customHeight="1" x14ac:dyDescent="0.3">
      <c r="A216" s="361"/>
      <c r="B216" s="378"/>
      <c r="C216" s="379"/>
      <c r="E216" s="380"/>
      <c r="F216" s="381"/>
      <c r="G216" s="381"/>
      <c r="H216" s="381"/>
      <c r="I216" s="382"/>
      <c r="J216" s="382"/>
      <c r="K216" s="381"/>
      <c r="L216" s="383"/>
      <c r="M216" s="381"/>
      <c r="N216" s="381"/>
      <c r="O216" s="381"/>
      <c r="P216" s="381"/>
      <c r="Q216" s="381"/>
      <c r="R216" s="384"/>
      <c r="S216" s="385"/>
      <c r="T216" s="386"/>
      <c r="U216" s="384"/>
      <c r="V216" s="387"/>
      <c r="W216" s="388"/>
      <c r="X216" s="144"/>
    </row>
    <row r="217" spans="1:28" ht="18.5" x14ac:dyDescent="0.3">
      <c r="A217" s="389"/>
      <c r="B217" s="389"/>
      <c r="C217" s="390" t="s">
        <v>302</v>
      </c>
      <c r="E217" s="391"/>
      <c r="F217" s="101"/>
      <c r="G217" s="392"/>
      <c r="H217" s="101"/>
      <c r="I217" s="101"/>
      <c r="J217" s="101"/>
      <c r="K217" s="101"/>
      <c r="L217" s="104"/>
      <c r="M217" s="101"/>
      <c r="N217" s="101"/>
      <c r="O217" s="101"/>
      <c r="P217" s="101"/>
      <c r="Q217" s="101"/>
      <c r="R217" s="393"/>
      <c r="S217" s="394"/>
      <c r="T217" s="395"/>
      <c r="U217" s="101"/>
      <c r="V217" s="101"/>
      <c r="W217" s="396"/>
    </row>
    <row r="218" spans="1:28" ht="18.5" x14ac:dyDescent="0.3">
      <c r="A218" s="389"/>
      <c r="B218" s="389"/>
      <c r="C218" s="397"/>
      <c r="E218" s="391"/>
      <c r="F218" s="101"/>
      <c r="G218" s="101"/>
      <c r="H218" s="101"/>
      <c r="I218" s="101"/>
      <c r="J218" s="101"/>
      <c r="K218" s="101"/>
      <c r="L218" s="104"/>
      <c r="M218" s="101"/>
      <c r="N218" s="101"/>
      <c r="O218" s="101"/>
      <c r="P218" s="101"/>
      <c r="Q218" s="101"/>
      <c r="R218" s="393"/>
      <c r="S218" s="394"/>
      <c r="T218" s="395"/>
      <c r="U218" s="101"/>
      <c r="V218" s="101"/>
      <c r="W218" s="396"/>
    </row>
    <row r="219" spans="1:28" ht="12.75" customHeight="1" x14ac:dyDescent="0.3">
      <c r="A219" s="136">
        <v>26</v>
      </c>
      <c r="B219" s="137"/>
      <c r="C219" s="138" t="s">
        <v>303</v>
      </c>
      <c r="D219" s="139"/>
      <c r="E219" s="140"/>
      <c r="F219" s="140"/>
      <c r="G219" s="140"/>
      <c r="H219" s="140"/>
      <c r="I219" s="140"/>
      <c r="J219" s="140"/>
      <c r="K219" s="140"/>
      <c r="L219" s="140"/>
      <c r="M219" s="141"/>
      <c r="N219" s="140"/>
      <c r="O219" s="140"/>
      <c r="P219" s="140"/>
      <c r="Q219" s="140"/>
      <c r="R219" s="140"/>
      <c r="S219" s="140"/>
      <c r="T219" s="142">
        <f>SUM(S220:S221)</f>
        <v>1728642</v>
      </c>
      <c r="U219" s="140"/>
      <c r="V219" s="140"/>
      <c r="W219" s="377">
        <f>SUM(V220:V221)</f>
        <v>1901507</v>
      </c>
      <c r="X219" s="144" t="e">
        <f>+W219/$W$255</f>
        <v>#REF!</v>
      </c>
    </row>
    <row r="220" spans="1:28" ht="12.75" customHeight="1" outlineLevel="1" x14ac:dyDescent="0.3">
      <c r="A220" s="173">
        <v>26.03</v>
      </c>
      <c r="B220" s="173" t="s">
        <v>46</v>
      </c>
      <c r="C220" s="196" t="s">
        <v>304</v>
      </c>
      <c r="D220" s="166" t="s">
        <v>114</v>
      </c>
      <c r="E220" s="159">
        <v>5</v>
      </c>
      <c r="F220" s="194">
        <f>75000*4</f>
        <v>300000</v>
      </c>
      <c r="G220" s="167"/>
      <c r="H220" s="161">
        <f t="shared" ref="H220:H221" si="179">F220+G220</f>
        <v>300000</v>
      </c>
      <c r="I220" s="199"/>
      <c r="J220" s="199"/>
      <c r="K220" s="161">
        <f t="shared" ref="K220:K221" si="180">I220+J220</f>
        <v>0</v>
      </c>
      <c r="L220" s="182"/>
      <c r="M220" s="161">
        <f t="shared" ref="M220:M221" si="181">H220+K220+L220</f>
        <v>300000</v>
      </c>
      <c r="N220" s="162">
        <f t="shared" ref="N220:N221" si="182">F220*E220</f>
        <v>1500000</v>
      </c>
      <c r="O220" s="162">
        <f t="shared" ref="O220:O221" si="183">G220*E220</f>
        <v>0</v>
      </c>
      <c r="P220" s="162">
        <f t="shared" ref="P220:P221" si="184">I220*E220</f>
        <v>0</v>
      </c>
      <c r="Q220" s="162">
        <f t="shared" ref="Q220:Q221" si="185">J220*E220</f>
        <v>0</v>
      </c>
      <c r="R220" s="162">
        <f t="shared" ref="R220:R221" si="186">+L220*E220</f>
        <v>0</v>
      </c>
      <c r="S220" s="163">
        <f t="shared" ref="S220:S221" si="187">SUM(N220:R220)</f>
        <v>1500000</v>
      </c>
      <c r="T220" s="90"/>
      <c r="U220" s="167">
        <f t="shared" ref="U220:U221" si="188">+ROUNDUP(M220*$T$6,0)</f>
        <v>330000</v>
      </c>
      <c r="V220" s="167">
        <f t="shared" ref="V220:V221" si="189">+U220*E220</f>
        <v>1650000</v>
      </c>
      <c r="X220" s="144"/>
    </row>
    <row r="221" spans="1:28" ht="12.75" customHeight="1" outlineLevel="1" x14ac:dyDescent="0.3">
      <c r="A221" s="173">
        <v>26.05</v>
      </c>
      <c r="B221" s="173" t="s">
        <v>42</v>
      </c>
      <c r="C221" s="196" t="s">
        <v>305</v>
      </c>
      <c r="D221" s="166" t="s">
        <v>114</v>
      </c>
      <c r="E221" s="159">
        <v>1</v>
      </c>
      <c r="F221" s="288">
        <f>+SUM([9]Cotizaciones!D78:D79)</f>
        <v>228642</v>
      </c>
      <c r="G221" s="167"/>
      <c r="H221" s="161">
        <f t="shared" si="179"/>
        <v>228642</v>
      </c>
      <c r="I221" s="199"/>
      <c r="J221" s="199"/>
      <c r="K221" s="161">
        <f t="shared" si="180"/>
        <v>0</v>
      </c>
      <c r="L221" s="182"/>
      <c r="M221" s="161">
        <f t="shared" si="181"/>
        <v>228642</v>
      </c>
      <c r="N221" s="162">
        <f t="shared" si="182"/>
        <v>228642</v>
      </c>
      <c r="O221" s="162">
        <f t="shared" si="183"/>
        <v>0</v>
      </c>
      <c r="P221" s="162">
        <f t="shared" si="184"/>
        <v>0</v>
      </c>
      <c r="Q221" s="162">
        <f t="shared" si="185"/>
        <v>0</v>
      </c>
      <c r="R221" s="162">
        <f t="shared" si="186"/>
        <v>0</v>
      </c>
      <c r="S221" s="163">
        <f t="shared" si="187"/>
        <v>228642</v>
      </c>
      <c r="T221" s="90"/>
      <c r="U221" s="167">
        <f t="shared" si="188"/>
        <v>251507</v>
      </c>
      <c r="V221" s="167">
        <f t="shared" si="189"/>
        <v>251507</v>
      </c>
      <c r="X221" s="144"/>
    </row>
    <row r="222" spans="1:28" ht="12.75" customHeight="1" x14ac:dyDescent="0.3">
      <c r="A222" s="136">
        <v>27</v>
      </c>
      <c r="B222" s="137"/>
      <c r="C222" s="138" t="s">
        <v>306</v>
      </c>
      <c r="D222" s="139"/>
      <c r="E222" s="140"/>
      <c r="F222" s="140"/>
      <c r="G222" s="140"/>
      <c r="H222" s="140"/>
      <c r="I222" s="140"/>
      <c r="J222" s="140"/>
      <c r="K222" s="140"/>
      <c r="L222" s="140"/>
      <c r="M222" s="141"/>
      <c r="N222" s="140"/>
      <c r="O222" s="140"/>
      <c r="P222" s="140"/>
      <c r="Q222" s="140"/>
      <c r="R222" s="140"/>
      <c r="S222" s="140"/>
      <c r="T222" s="398">
        <f>SUM(S223:S229)</f>
        <v>4215000</v>
      </c>
      <c r="U222" s="140"/>
      <c r="V222" s="140"/>
      <c r="W222" s="377">
        <f>SUM(V223:V229)</f>
        <v>4636500</v>
      </c>
      <c r="X222" s="144" t="e">
        <f>+W222/$W$255</f>
        <v>#REF!</v>
      </c>
    </row>
    <row r="223" spans="1:28" ht="12.75" customHeight="1" outlineLevel="1" x14ac:dyDescent="0.3">
      <c r="A223" s="211">
        <v>27.01</v>
      </c>
      <c r="B223" s="211" t="s">
        <v>42</v>
      </c>
      <c r="C223" s="399" t="s">
        <v>307</v>
      </c>
      <c r="D223" s="188" t="s">
        <v>114</v>
      </c>
      <c r="E223" s="149">
        <v>2</v>
      </c>
      <c r="F223" s="400">
        <v>550000</v>
      </c>
      <c r="G223" s="149"/>
      <c r="H223" s="150">
        <f t="shared" ref="H223:H229" si="190">F223+G223</f>
        <v>550000</v>
      </c>
      <c r="I223" s="338"/>
      <c r="J223" s="338"/>
      <c r="K223" s="150">
        <f t="shared" ref="K223:K229" si="191">I223+J223</f>
        <v>0</v>
      </c>
      <c r="L223" s="339"/>
      <c r="M223" s="150">
        <f t="shared" ref="M223:M229" si="192">H223+K223+L223</f>
        <v>550000</v>
      </c>
      <c r="N223" s="151">
        <f t="shared" ref="N223:N229" si="193">F223*E223</f>
        <v>1100000</v>
      </c>
      <c r="O223" s="151">
        <f t="shared" ref="O223:O229" si="194">G223*E223</f>
        <v>0</v>
      </c>
      <c r="P223" s="151">
        <f t="shared" ref="P223:P229" si="195">I223*E223</f>
        <v>0</v>
      </c>
      <c r="Q223" s="151">
        <f t="shared" ref="Q223:Q229" si="196">J223*E223</f>
        <v>0</v>
      </c>
      <c r="R223" s="151">
        <f t="shared" ref="R223:R229" si="197">+L223*E223</f>
        <v>0</v>
      </c>
      <c r="S223" s="152">
        <f t="shared" ref="S223:S229" si="198">SUM(N223:R223)</f>
        <v>1100000</v>
      </c>
      <c r="U223" s="165">
        <f t="shared" ref="U223:U229" si="199">+ROUNDUP(M223*$T$6,0)</f>
        <v>605000</v>
      </c>
      <c r="V223" s="165">
        <f t="shared" ref="V223:V229" si="200">+U223*E223</f>
        <v>1210000</v>
      </c>
      <c r="W223" s="401"/>
    </row>
    <row r="224" spans="1:28" ht="12.75" customHeight="1" outlineLevel="1" x14ac:dyDescent="0.3">
      <c r="A224" s="173">
        <v>27.02</v>
      </c>
      <c r="B224" s="173" t="s">
        <v>42</v>
      </c>
      <c r="C224" s="217" t="s">
        <v>308</v>
      </c>
      <c r="D224" s="166" t="s">
        <v>114</v>
      </c>
      <c r="E224" s="167">
        <v>2</v>
      </c>
      <c r="F224" s="288">
        <v>550000</v>
      </c>
      <c r="G224" s="167"/>
      <c r="H224" s="161">
        <f t="shared" si="190"/>
        <v>550000</v>
      </c>
      <c r="I224" s="199"/>
      <c r="J224" s="199"/>
      <c r="K224" s="161">
        <f t="shared" si="191"/>
        <v>0</v>
      </c>
      <c r="L224" s="182"/>
      <c r="M224" s="161">
        <f t="shared" si="192"/>
        <v>550000</v>
      </c>
      <c r="N224" s="162">
        <f t="shared" si="193"/>
        <v>1100000</v>
      </c>
      <c r="O224" s="162">
        <f t="shared" si="194"/>
        <v>0</v>
      </c>
      <c r="P224" s="162">
        <f t="shared" si="195"/>
        <v>0</v>
      </c>
      <c r="Q224" s="162">
        <f t="shared" si="196"/>
        <v>0</v>
      </c>
      <c r="R224" s="162">
        <f t="shared" si="197"/>
        <v>0</v>
      </c>
      <c r="S224" s="163">
        <f t="shared" si="198"/>
        <v>1100000</v>
      </c>
      <c r="U224" s="165">
        <f t="shared" si="199"/>
        <v>605000</v>
      </c>
      <c r="V224" s="165">
        <f t="shared" si="200"/>
        <v>1210000</v>
      </c>
      <c r="W224" s="401"/>
    </row>
    <row r="225" spans="1:24" ht="12.75" customHeight="1" outlineLevel="1" x14ac:dyDescent="0.3">
      <c r="A225" s="173">
        <v>27.03</v>
      </c>
      <c r="B225" s="173" t="s">
        <v>42</v>
      </c>
      <c r="C225" s="217" t="s">
        <v>309</v>
      </c>
      <c r="D225" s="166" t="s">
        <v>114</v>
      </c>
      <c r="E225" s="167">
        <v>2</v>
      </c>
      <c r="F225" s="288">
        <v>125000</v>
      </c>
      <c r="G225" s="167"/>
      <c r="H225" s="161">
        <f t="shared" si="190"/>
        <v>125000</v>
      </c>
      <c r="I225" s="199"/>
      <c r="J225" s="199"/>
      <c r="K225" s="161">
        <f t="shared" si="191"/>
        <v>0</v>
      </c>
      <c r="L225" s="182"/>
      <c r="M225" s="161">
        <f t="shared" si="192"/>
        <v>125000</v>
      </c>
      <c r="N225" s="162">
        <f t="shared" si="193"/>
        <v>250000</v>
      </c>
      <c r="O225" s="162">
        <f t="shared" si="194"/>
        <v>0</v>
      </c>
      <c r="P225" s="162">
        <f t="shared" si="195"/>
        <v>0</v>
      </c>
      <c r="Q225" s="162">
        <f t="shared" si="196"/>
        <v>0</v>
      </c>
      <c r="R225" s="162">
        <f t="shared" si="197"/>
        <v>0</v>
      </c>
      <c r="S225" s="163">
        <f t="shared" si="198"/>
        <v>250000</v>
      </c>
      <c r="U225" s="165">
        <f t="shared" si="199"/>
        <v>137500</v>
      </c>
      <c r="V225" s="165">
        <f t="shared" si="200"/>
        <v>275000</v>
      </c>
      <c r="W225" s="401"/>
    </row>
    <row r="226" spans="1:24" ht="26" outlineLevel="1" x14ac:dyDescent="0.3">
      <c r="A226" s="173">
        <v>27.04</v>
      </c>
      <c r="B226" s="173" t="s">
        <v>42</v>
      </c>
      <c r="C226" s="217" t="s">
        <v>310</v>
      </c>
      <c r="D226" s="166" t="s">
        <v>114</v>
      </c>
      <c r="E226" s="167">
        <v>2</v>
      </c>
      <c r="F226" s="288">
        <v>135000</v>
      </c>
      <c r="G226" s="167"/>
      <c r="H226" s="161">
        <f t="shared" si="190"/>
        <v>135000</v>
      </c>
      <c r="I226" s="199"/>
      <c r="J226" s="199"/>
      <c r="K226" s="161">
        <f t="shared" si="191"/>
        <v>0</v>
      </c>
      <c r="L226" s="182"/>
      <c r="M226" s="161">
        <f t="shared" si="192"/>
        <v>135000</v>
      </c>
      <c r="N226" s="162">
        <f t="shared" si="193"/>
        <v>270000</v>
      </c>
      <c r="O226" s="162">
        <f t="shared" si="194"/>
        <v>0</v>
      </c>
      <c r="P226" s="162">
        <f t="shared" si="195"/>
        <v>0</v>
      </c>
      <c r="Q226" s="162">
        <f t="shared" si="196"/>
        <v>0</v>
      </c>
      <c r="R226" s="162">
        <f t="shared" si="197"/>
        <v>0</v>
      </c>
      <c r="S226" s="163">
        <f t="shared" si="198"/>
        <v>270000</v>
      </c>
      <c r="U226" s="165">
        <f t="shared" si="199"/>
        <v>148500</v>
      </c>
      <c r="V226" s="165">
        <f t="shared" si="200"/>
        <v>297000</v>
      </c>
      <c r="W226" s="401"/>
    </row>
    <row r="227" spans="1:24" ht="12.75" customHeight="1" outlineLevel="1" x14ac:dyDescent="0.3">
      <c r="A227" s="173">
        <v>27.05</v>
      </c>
      <c r="B227" s="155" t="s">
        <v>42</v>
      </c>
      <c r="C227" s="196" t="s">
        <v>311</v>
      </c>
      <c r="D227" s="197" t="s">
        <v>114</v>
      </c>
      <c r="E227" s="282">
        <v>2</v>
      </c>
      <c r="F227" s="288">
        <v>300000</v>
      </c>
      <c r="G227" s="198"/>
      <c r="H227" s="161">
        <f t="shared" si="190"/>
        <v>300000</v>
      </c>
      <c r="I227" s="199"/>
      <c r="J227" s="199"/>
      <c r="K227" s="161">
        <f t="shared" si="191"/>
        <v>0</v>
      </c>
      <c r="L227" s="182"/>
      <c r="M227" s="161">
        <f t="shared" si="192"/>
        <v>300000</v>
      </c>
      <c r="N227" s="162">
        <f t="shared" si="193"/>
        <v>600000</v>
      </c>
      <c r="O227" s="162">
        <f t="shared" si="194"/>
        <v>0</v>
      </c>
      <c r="P227" s="162">
        <f t="shared" si="195"/>
        <v>0</v>
      </c>
      <c r="Q227" s="162">
        <f t="shared" si="196"/>
        <v>0</v>
      </c>
      <c r="R227" s="162">
        <f t="shared" si="197"/>
        <v>0</v>
      </c>
      <c r="S227" s="163">
        <f t="shared" si="198"/>
        <v>600000</v>
      </c>
      <c r="U227" s="165">
        <f t="shared" si="199"/>
        <v>330000</v>
      </c>
      <c r="V227" s="165">
        <f t="shared" si="200"/>
        <v>660000</v>
      </c>
    </row>
    <row r="228" spans="1:24" ht="12.75" customHeight="1" outlineLevel="1" x14ac:dyDescent="0.3">
      <c r="A228" s="173">
        <v>27.06</v>
      </c>
      <c r="B228" s="155" t="s">
        <v>42</v>
      </c>
      <c r="C228" s="196" t="s">
        <v>312</v>
      </c>
      <c r="D228" s="197" t="s">
        <v>114</v>
      </c>
      <c r="E228" s="282">
        <v>1</v>
      </c>
      <c r="F228" s="288">
        <v>700000</v>
      </c>
      <c r="G228" s="198"/>
      <c r="H228" s="161">
        <f t="shared" si="190"/>
        <v>700000</v>
      </c>
      <c r="I228" s="199"/>
      <c r="J228" s="199"/>
      <c r="K228" s="161">
        <f t="shared" si="191"/>
        <v>0</v>
      </c>
      <c r="L228" s="182"/>
      <c r="M228" s="161">
        <f t="shared" si="192"/>
        <v>700000</v>
      </c>
      <c r="N228" s="162">
        <f t="shared" si="193"/>
        <v>700000</v>
      </c>
      <c r="O228" s="162">
        <f t="shared" si="194"/>
        <v>0</v>
      </c>
      <c r="P228" s="162">
        <f t="shared" si="195"/>
        <v>0</v>
      </c>
      <c r="Q228" s="162">
        <f t="shared" si="196"/>
        <v>0</v>
      </c>
      <c r="R228" s="162">
        <f t="shared" si="197"/>
        <v>0</v>
      </c>
      <c r="S228" s="163">
        <f t="shared" si="198"/>
        <v>700000</v>
      </c>
      <c r="U228" s="165">
        <f t="shared" si="199"/>
        <v>770000</v>
      </c>
      <c r="V228" s="165">
        <f t="shared" si="200"/>
        <v>770000</v>
      </c>
    </row>
    <row r="229" spans="1:24" ht="12.75" customHeight="1" outlineLevel="1" x14ac:dyDescent="0.3">
      <c r="A229" s="173">
        <v>27.07</v>
      </c>
      <c r="B229" s="253" t="s">
        <v>42</v>
      </c>
      <c r="C229" s="320" t="s">
        <v>313</v>
      </c>
      <c r="D229" s="258" t="s">
        <v>74</v>
      </c>
      <c r="E229" s="293">
        <v>3</v>
      </c>
      <c r="F229" s="402">
        <v>65000</v>
      </c>
      <c r="G229" s="403"/>
      <c r="H229" s="208">
        <f t="shared" si="190"/>
        <v>65000</v>
      </c>
      <c r="I229" s="404"/>
      <c r="J229" s="404"/>
      <c r="K229" s="208">
        <f t="shared" si="191"/>
        <v>0</v>
      </c>
      <c r="L229" s="322"/>
      <c r="M229" s="208">
        <f t="shared" si="192"/>
        <v>65000</v>
      </c>
      <c r="N229" s="209">
        <f t="shared" si="193"/>
        <v>195000</v>
      </c>
      <c r="O229" s="209">
        <f t="shared" si="194"/>
        <v>0</v>
      </c>
      <c r="P229" s="209">
        <f t="shared" si="195"/>
        <v>0</v>
      </c>
      <c r="Q229" s="209">
        <f t="shared" si="196"/>
        <v>0</v>
      </c>
      <c r="R229" s="209">
        <f t="shared" si="197"/>
        <v>0</v>
      </c>
      <c r="S229" s="210">
        <f t="shared" si="198"/>
        <v>195000</v>
      </c>
      <c r="U229" s="165">
        <f t="shared" si="199"/>
        <v>71500</v>
      </c>
      <c r="V229" s="165">
        <f t="shared" si="200"/>
        <v>214500</v>
      </c>
    </row>
    <row r="230" spans="1:24" ht="12.75" customHeight="1" x14ac:dyDescent="0.3">
      <c r="A230" s="405">
        <v>28</v>
      </c>
      <c r="B230" s="137"/>
      <c r="C230" s="138" t="s">
        <v>265</v>
      </c>
      <c r="D230" s="139"/>
      <c r="E230" s="140"/>
      <c r="F230" s="140"/>
      <c r="G230" s="140"/>
      <c r="H230" s="140"/>
      <c r="I230" s="140"/>
      <c r="J230" s="140"/>
      <c r="K230" s="140"/>
      <c r="L230" s="140"/>
      <c r="M230" s="141"/>
      <c r="N230" s="140"/>
      <c r="O230" s="140"/>
      <c r="P230" s="140"/>
      <c r="Q230" s="140"/>
      <c r="R230" s="140"/>
      <c r="S230" s="140"/>
      <c r="T230" s="142">
        <f>SUM(S231:S238)</f>
        <v>3263367.0680649416</v>
      </c>
      <c r="U230" s="140"/>
      <c r="V230" s="140"/>
      <c r="W230" s="377">
        <f>SUM(V231:V238)</f>
        <v>3589715</v>
      </c>
      <c r="X230" s="144" t="e">
        <f>+W230/$W$255</f>
        <v>#REF!</v>
      </c>
    </row>
    <row r="231" spans="1:24" ht="12.75" hidden="1" customHeight="1" outlineLevel="1" x14ac:dyDescent="0.3">
      <c r="A231" s="145">
        <v>28.01</v>
      </c>
      <c r="B231" s="145" t="s">
        <v>42</v>
      </c>
      <c r="C231" s="265" t="s">
        <v>314</v>
      </c>
      <c r="D231" s="251" t="s">
        <v>114</v>
      </c>
      <c r="E231" s="277">
        <v>4</v>
      </c>
      <c r="F231" s="400">
        <f>VLOOKUP(C231,[9]Cotizaciones!B:D,3,0)</f>
        <v>51214.71480285687</v>
      </c>
      <c r="G231" s="406"/>
      <c r="H231" s="150">
        <f>F231+G231</f>
        <v>51214.71480285687</v>
      </c>
      <c r="I231" s="338"/>
      <c r="J231" s="338"/>
      <c r="K231" s="150">
        <f t="shared" ref="K231:K238" si="201">I231+J231</f>
        <v>0</v>
      </c>
      <c r="L231" s="339"/>
      <c r="M231" s="150">
        <f t="shared" ref="M231:M238" si="202">H231+K231+L231</f>
        <v>51214.71480285687</v>
      </c>
      <c r="N231" s="151">
        <f t="shared" ref="N231:N238" si="203">F231*E231</f>
        <v>204858.85921142748</v>
      </c>
      <c r="O231" s="151">
        <f t="shared" ref="O231:O238" si="204">G231*E231</f>
        <v>0</v>
      </c>
      <c r="P231" s="151">
        <f t="shared" ref="P231:P238" si="205">I231*E231</f>
        <v>0</v>
      </c>
      <c r="Q231" s="151">
        <f t="shared" ref="Q231:Q238" si="206">J231*E231</f>
        <v>0</v>
      </c>
      <c r="R231" s="151">
        <f t="shared" ref="R231:R238" si="207">+L231*E231</f>
        <v>0</v>
      </c>
      <c r="S231" s="152">
        <f t="shared" ref="S231:S238" si="208">SUM(N231:R231)</f>
        <v>204858.85921142748</v>
      </c>
      <c r="T231" s="153"/>
      <c r="U231" s="154">
        <f t="shared" ref="U231:U238" si="209">+ROUNDUP(M231*$T$6,0)</f>
        <v>56337</v>
      </c>
      <c r="V231" s="154">
        <f t="shared" ref="V231:V238" si="210">+U231*E231</f>
        <v>225348</v>
      </c>
    </row>
    <row r="232" spans="1:24" ht="13" hidden="1" outlineLevel="1" x14ac:dyDescent="0.3">
      <c r="A232" s="155">
        <v>28.02</v>
      </c>
      <c r="B232" s="155" t="s">
        <v>42</v>
      </c>
      <c r="C232" s="407" t="s">
        <v>315</v>
      </c>
      <c r="D232" s="197" t="s">
        <v>114</v>
      </c>
      <c r="E232" s="282">
        <v>4</v>
      </c>
      <c r="F232" s="288">
        <f>VLOOKUP(C232,[9]Cotizaciones!B:D,3,0)</f>
        <v>56938.71233964675</v>
      </c>
      <c r="G232" s="198"/>
      <c r="H232" s="161">
        <f t="shared" ref="H232:H238" si="211">F232+G232</f>
        <v>56938.71233964675</v>
      </c>
      <c r="I232" s="199"/>
      <c r="J232" s="199"/>
      <c r="K232" s="161">
        <f t="shared" si="201"/>
        <v>0</v>
      </c>
      <c r="L232" s="182"/>
      <c r="M232" s="161">
        <f t="shared" si="202"/>
        <v>56938.71233964675</v>
      </c>
      <c r="N232" s="162">
        <f t="shared" si="203"/>
        <v>227754.849358587</v>
      </c>
      <c r="O232" s="162">
        <f t="shared" si="204"/>
        <v>0</v>
      </c>
      <c r="P232" s="162">
        <f t="shared" si="205"/>
        <v>0</v>
      </c>
      <c r="Q232" s="162">
        <f t="shared" si="206"/>
        <v>0</v>
      </c>
      <c r="R232" s="162">
        <f t="shared" si="207"/>
        <v>0</v>
      </c>
      <c r="S232" s="163">
        <f t="shared" si="208"/>
        <v>227754.849358587</v>
      </c>
      <c r="T232" s="164"/>
      <c r="U232" s="165">
        <f t="shared" si="209"/>
        <v>62633</v>
      </c>
      <c r="V232" s="165">
        <f t="shared" si="210"/>
        <v>250532</v>
      </c>
    </row>
    <row r="233" spans="1:24" ht="12.75" hidden="1" customHeight="1" outlineLevel="1" x14ac:dyDescent="0.3">
      <c r="A233" s="155">
        <v>28.03</v>
      </c>
      <c r="B233" s="155" t="s">
        <v>42</v>
      </c>
      <c r="C233" s="196" t="s">
        <v>316</v>
      </c>
      <c r="D233" s="197" t="s">
        <v>114</v>
      </c>
      <c r="E233" s="282">
        <v>4</v>
      </c>
      <c r="F233" s="288">
        <f>VLOOKUP(C233,[9]Cotizaciones!B:D,3,0)</f>
        <v>286985.31259172293</v>
      </c>
      <c r="G233" s="198"/>
      <c r="H233" s="161">
        <f t="shared" si="211"/>
        <v>286985.31259172293</v>
      </c>
      <c r="I233" s="199"/>
      <c r="J233" s="199"/>
      <c r="K233" s="161">
        <f t="shared" si="201"/>
        <v>0</v>
      </c>
      <c r="L233" s="182"/>
      <c r="M233" s="161">
        <f t="shared" si="202"/>
        <v>286985.31259172293</v>
      </c>
      <c r="N233" s="162">
        <f t="shared" si="203"/>
        <v>1147941.2503668917</v>
      </c>
      <c r="O233" s="162">
        <f t="shared" si="204"/>
        <v>0</v>
      </c>
      <c r="P233" s="162">
        <f t="shared" si="205"/>
        <v>0</v>
      </c>
      <c r="Q233" s="162">
        <f t="shared" si="206"/>
        <v>0</v>
      </c>
      <c r="R233" s="162">
        <f t="shared" si="207"/>
        <v>0</v>
      </c>
      <c r="S233" s="163">
        <f t="shared" si="208"/>
        <v>1147941.2503668917</v>
      </c>
      <c r="T233" s="164"/>
      <c r="U233" s="165">
        <f t="shared" si="209"/>
        <v>315684</v>
      </c>
      <c r="V233" s="165">
        <f t="shared" si="210"/>
        <v>1262736</v>
      </c>
      <c r="X233" s="170"/>
    </row>
    <row r="234" spans="1:24" ht="12.75" hidden="1" customHeight="1" outlineLevel="1" x14ac:dyDescent="0.3">
      <c r="A234" s="155">
        <v>28.04</v>
      </c>
      <c r="B234" s="155" t="s">
        <v>42</v>
      </c>
      <c r="C234" s="196" t="s">
        <v>317</v>
      </c>
      <c r="D234" s="197" t="s">
        <v>114</v>
      </c>
      <c r="E234" s="282">
        <v>4</v>
      </c>
      <c r="F234" s="288">
        <f>VLOOKUP(C234,[9]Cotizaciones!B:D,3,0)</f>
        <v>47125.768554935923</v>
      </c>
      <c r="G234" s="198"/>
      <c r="H234" s="161">
        <f t="shared" si="211"/>
        <v>47125.768554935923</v>
      </c>
      <c r="I234" s="199"/>
      <c r="J234" s="199"/>
      <c r="K234" s="161">
        <f t="shared" si="201"/>
        <v>0</v>
      </c>
      <c r="L234" s="182"/>
      <c r="M234" s="161">
        <f t="shared" si="202"/>
        <v>47125.768554935923</v>
      </c>
      <c r="N234" s="162">
        <f t="shared" si="203"/>
        <v>188503.07421974369</v>
      </c>
      <c r="O234" s="162">
        <f t="shared" si="204"/>
        <v>0</v>
      </c>
      <c r="P234" s="162">
        <f t="shared" si="205"/>
        <v>0</v>
      </c>
      <c r="Q234" s="162">
        <f t="shared" si="206"/>
        <v>0</v>
      </c>
      <c r="R234" s="162">
        <f t="shared" si="207"/>
        <v>0</v>
      </c>
      <c r="S234" s="163">
        <f t="shared" si="208"/>
        <v>188503.07421974369</v>
      </c>
      <c r="T234" s="164"/>
      <c r="U234" s="165">
        <f t="shared" si="209"/>
        <v>51839</v>
      </c>
      <c r="V234" s="165">
        <f t="shared" si="210"/>
        <v>207356</v>
      </c>
    </row>
    <row r="235" spans="1:24" ht="12.75" hidden="1" customHeight="1" outlineLevel="1" x14ac:dyDescent="0.3">
      <c r="A235" s="155">
        <v>28.05</v>
      </c>
      <c r="B235" s="155" t="s">
        <v>42</v>
      </c>
      <c r="C235" s="196" t="s">
        <v>318</v>
      </c>
      <c r="D235" s="197" t="s">
        <v>114</v>
      </c>
      <c r="E235" s="282">
        <v>1</v>
      </c>
      <c r="F235" s="288">
        <f>VLOOKUP(C235,[9]Cotizaciones!B:D,3,0)</f>
        <v>137686.18800508758</v>
      </c>
      <c r="G235" s="198"/>
      <c r="H235" s="161">
        <f t="shared" si="211"/>
        <v>137686.18800508758</v>
      </c>
      <c r="I235" s="199"/>
      <c r="J235" s="199"/>
      <c r="K235" s="161">
        <f t="shared" si="201"/>
        <v>0</v>
      </c>
      <c r="L235" s="182"/>
      <c r="M235" s="161">
        <f t="shared" si="202"/>
        <v>137686.18800508758</v>
      </c>
      <c r="N235" s="162">
        <f t="shared" si="203"/>
        <v>137686.18800508758</v>
      </c>
      <c r="O235" s="162">
        <f t="shared" si="204"/>
        <v>0</v>
      </c>
      <c r="P235" s="162">
        <f t="shared" si="205"/>
        <v>0</v>
      </c>
      <c r="Q235" s="162">
        <f t="shared" si="206"/>
        <v>0</v>
      </c>
      <c r="R235" s="162">
        <f t="shared" si="207"/>
        <v>0</v>
      </c>
      <c r="S235" s="163">
        <f t="shared" si="208"/>
        <v>137686.18800508758</v>
      </c>
      <c r="T235" s="164"/>
      <c r="U235" s="165">
        <f t="shared" si="209"/>
        <v>151455</v>
      </c>
      <c r="V235" s="165">
        <f t="shared" si="210"/>
        <v>151455</v>
      </c>
    </row>
    <row r="236" spans="1:24" ht="13.9" hidden="1" customHeight="1" outlineLevel="1" x14ac:dyDescent="0.3">
      <c r="A236" s="155">
        <v>28.06</v>
      </c>
      <c r="B236" s="155" t="s">
        <v>42</v>
      </c>
      <c r="C236" s="196" t="s">
        <v>319</v>
      </c>
      <c r="D236" s="197" t="s">
        <v>114</v>
      </c>
      <c r="E236" s="282">
        <v>1</v>
      </c>
      <c r="F236" s="288">
        <f>VLOOKUP(C236,[9]Cotizaciones!B:D,3,0)</f>
        <v>48000.991448977598</v>
      </c>
      <c r="G236" s="198"/>
      <c r="H236" s="161">
        <f t="shared" si="211"/>
        <v>48000.991448977598</v>
      </c>
      <c r="I236" s="199"/>
      <c r="J236" s="199"/>
      <c r="K236" s="161">
        <f t="shared" si="201"/>
        <v>0</v>
      </c>
      <c r="L236" s="182"/>
      <c r="M236" s="161">
        <f t="shared" si="202"/>
        <v>48000.991448977598</v>
      </c>
      <c r="N236" s="162">
        <f t="shared" si="203"/>
        <v>48000.991448977598</v>
      </c>
      <c r="O236" s="162">
        <f t="shared" si="204"/>
        <v>0</v>
      </c>
      <c r="P236" s="162">
        <f t="shared" si="205"/>
        <v>0</v>
      </c>
      <c r="Q236" s="162">
        <f t="shared" si="206"/>
        <v>0</v>
      </c>
      <c r="R236" s="162">
        <f t="shared" si="207"/>
        <v>0</v>
      </c>
      <c r="S236" s="163">
        <f t="shared" si="208"/>
        <v>48000.991448977598</v>
      </c>
      <c r="T236" s="164"/>
      <c r="U236" s="165">
        <f t="shared" si="209"/>
        <v>52802</v>
      </c>
      <c r="V236" s="165">
        <f t="shared" si="210"/>
        <v>52802</v>
      </c>
    </row>
    <row r="237" spans="1:24" ht="13.9" hidden="1" customHeight="1" outlineLevel="1" x14ac:dyDescent="0.3">
      <c r="A237" s="155">
        <v>28.07</v>
      </c>
      <c r="B237" s="155" t="s">
        <v>42</v>
      </c>
      <c r="C237" s="196" t="s">
        <v>320</v>
      </c>
      <c r="D237" s="197" t="s">
        <v>114</v>
      </c>
      <c r="E237" s="282">
        <v>7</v>
      </c>
      <c r="F237" s="288">
        <f>VLOOKUP(C237,[9]Cotizaciones!B:D,3,0)</f>
        <v>63187.068936503281</v>
      </c>
      <c r="G237" s="198"/>
      <c r="H237" s="161">
        <f t="shared" si="211"/>
        <v>63187.068936503281</v>
      </c>
      <c r="I237" s="199"/>
      <c r="J237" s="199"/>
      <c r="K237" s="161">
        <f t="shared" si="201"/>
        <v>0</v>
      </c>
      <c r="L237" s="182"/>
      <c r="M237" s="161">
        <f t="shared" si="202"/>
        <v>63187.068936503281</v>
      </c>
      <c r="N237" s="162">
        <f t="shared" si="203"/>
        <v>442309.48255552299</v>
      </c>
      <c r="O237" s="162">
        <f t="shared" si="204"/>
        <v>0</v>
      </c>
      <c r="P237" s="162">
        <f t="shared" si="205"/>
        <v>0</v>
      </c>
      <c r="Q237" s="162">
        <f t="shared" si="206"/>
        <v>0</v>
      </c>
      <c r="R237" s="162">
        <f t="shared" si="207"/>
        <v>0</v>
      </c>
      <c r="S237" s="163">
        <f t="shared" si="208"/>
        <v>442309.48255552299</v>
      </c>
      <c r="T237" s="164"/>
      <c r="U237" s="165">
        <f t="shared" si="209"/>
        <v>69506</v>
      </c>
      <c r="V237" s="165">
        <f t="shared" si="210"/>
        <v>486542</v>
      </c>
    </row>
    <row r="238" spans="1:24" ht="26" hidden="1" outlineLevel="1" x14ac:dyDescent="0.3">
      <c r="A238" s="155">
        <v>28.08</v>
      </c>
      <c r="B238" s="253" t="s">
        <v>42</v>
      </c>
      <c r="C238" s="408" t="s">
        <v>321</v>
      </c>
      <c r="D238" s="258" t="s">
        <v>114</v>
      </c>
      <c r="E238" s="293">
        <v>3</v>
      </c>
      <c r="F238" s="288">
        <f>VLOOKUP(C238,[9]Cotizaciones!B:D,3,0)</f>
        <v>288770.79096623452</v>
      </c>
      <c r="G238" s="403"/>
      <c r="H238" s="208">
        <f t="shared" si="211"/>
        <v>288770.79096623452</v>
      </c>
      <c r="I238" s="404"/>
      <c r="J238" s="404"/>
      <c r="K238" s="208">
        <f t="shared" si="201"/>
        <v>0</v>
      </c>
      <c r="L238" s="322"/>
      <c r="M238" s="208">
        <f t="shared" si="202"/>
        <v>288770.79096623452</v>
      </c>
      <c r="N238" s="209">
        <f t="shared" si="203"/>
        <v>866312.37289870356</v>
      </c>
      <c r="O238" s="209">
        <f t="shared" si="204"/>
        <v>0</v>
      </c>
      <c r="P238" s="209">
        <f t="shared" si="205"/>
        <v>0</v>
      </c>
      <c r="Q238" s="209">
        <f t="shared" si="206"/>
        <v>0</v>
      </c>
      <c r="R238" s="209">
        <f t="shared" si="207"/>
        <v>0</v>
      </c>
      <c r="S238" s="210">
        <f t="shared" si="208"/>
        <v>866312.37289870356</v>
      </c>
      <c r="T238" s="297"/>
      <c r="U238" s="260">
        <f t="shared" si="209"/>
        <v>317648</v>
      </c>
      <c r="V238" s="260">
        <f t="shared" si="210"/>
        <v>952944</v>
      </c>
    </row>
    <row r="239" spans="1:24" ht="12.75" customHeight="1" collapsed="1" x14ac:dyDescent="0.3">
      <c r="A239" s="405">
        <v>29</v>
      </c>
      <c r="B239" s="137"/>
      <c r="C239" s="138" t="s">
        <v>322</v>
      </c>
      <c r="D239" s="139"/>
      <c r="E239" s="140"/>
      <c r="F239" s="140"/>
      <c r="G239" s="140"/>
      <c r="H239" s="140"/>
      <c r="I239" s="140"/>
      <c r="J239" s="140"/>
      <c r="K239" s="140"/>
      <c r="L239" s="140"/>
      <c r="M239" s="141"/>
      <c r="N239" s="140"/>
      <c r="O239" s="140"/>
      <c r="P239" s="140"/>
      <c r="Q239" s="140"/>
      <c r="R239" s="140"/>
      <c r="S239" s="140"/>
      <c r="T239" s="142">
        <f>SUM(S240:S246)</f>
        <v>10641154.67966505</v>
      </c>
      <c r="U239" s="140"/>
      <c r="V239" s="140"/>
      <c r="W239" s="377">
        <f>SUM(V240:V246)</f>
        <v>11705273</v>
      </c>
      <c r="X239" s="144" t="e">
        <f>+W239/$W$255</f>
        <v>#REF!</v>
      </c>
    </row>
    <row r="240" spans="1:24" ht="12.75" hidden="1" customHeight="1" outlineLevel="1" x14ac:dyDescent="0.3">
      <c r="A240" s="145">
        <v>29.01</v>
      </c>
      <c r="B240" s="145" t="s">
        <v>42</v>
      </c>
      <c r="C240" s="265" t="s">
        <v>323</v>
      </c>
      <c r="D240" s="251" t="s">
        <v>114</v>
      </c>
      <c r="E240" s="277">
        <f>+[9]CALEFA!D20</f>
        <v>1</v>
      </c>
      <c r="F240" s="400">
        <f>VLOOKUP(C240,[9]Cotizaciones!B:D,3,0)</f>
        <v>285491.67201643682</v>
      </c>
      <c r="G240" s="406"/>
      <c r="H240" s="150">
        <f>F240+G240</f>
        <v>285491.67201643682</v>
      </c>
      <c r="I240" s="338"/>
      <c r="J240" s="338"/>
      <c r="K240" s="150">
        <f t="shared" ref="K240:K246" si="212">I240+J240</f>
        <v>0</v>
      </c>
      <c r="L240" s="339"/>
      <c r="M240" s="150">
        <f t="shared" ref="M240:M245" si="213">H240+K240+L240</f>
        <v>285491.67201643682</v>
      </c>
      <c r="N240" s="151">
        <f t="shared" ref="N240:N245" si="214">F240*E240</f>
        <v>285491.67201643682</v>
      </c>
      <c r="O240" s="151">
        <f t="shared" ref="O240:O245" si="215">G240*E240</f>
        <v>0</v>
      </c>
      <c r="P240" s="151">
        <f t="shared" ref="P240:P245" si="216">I240*E240</f>
        <v>0</v>
      </c>
      <c r="Q240" s="151">
        <f t="shared" ref="Q240:Q245" si="217">J240*E240</f>
        <v>0</v>
      </c>
      <c r="R240" s="151">
        <f t="shared" ref="R240:R245" si="218">+L240*E240</f>
        <v>0</v>
      </c>
      <c r="S240" s="152">
        <f t="shared" ref="S240:S245" si="219">SUM(N240:R240)</f>
        <v>285491.67201643682</v>
      </c>
      <c r="T240" s="153"/>
      <c r="U240" s="154">
        <f t="shared" ref="U240:U246" si="220">+ROUNDUP(M240*$T$6,0)</f>
        <v>314041</v>
      </c>
      <c r="V240" s="154">
        <f t="shared" ref="V240:V245" si="221">+U240*E240</f>
        <v>314041</v>
      </c>
    </row>
    <row r="241" spans="1:24" ht="13" hidden="1" outlineLevel="1" x14ac:dyDescent="0.3">
      <c r="A241" s="155">
        <v>29.02</v>
      </c>
      <c r="B241" s="155" t="s">
        <v>42</v>
      </c>
      <c r="C241" s="268" t="s">
        <v>324</v>
      </c>
      <c r="D241" s="197" t="s">
        <v>114</v>
      </c>
      <c r="E241" s="282">
        <f>+[9]CALEFA!D21</f>
        <v>3</v>
      </c>
      <c r="F241" s="288">
        <f>VLOOKUP(C241,[9]Cotizaciones!B:D,3,0)</f>
        <v>326160.39477108838</v>
      </c>
      <c r="G241" s="198"/>
      <c r="H241" s="161">
        <f t="shared" ref="H241:H246" si="222">F241+G241</f>
        <v>326160.39477108838</v>
      </c>
      <c r="I241" s="199"/>
      <c r="J241" s="199"/>
      <c r="K241" s="161">
        <f t="shared" si="212"/>
        <v>0</v>
      </c>
      <c r="L241" s="182"/>
      <c r="M241" s="161">
        <f t="shared" si="213"/>
        <v>326160.39477108838</v>
      </c>
      <c r="N241" s="162">
        <f t="shared" si="214"/>
        <v>978481.18431326514</v>
      </c>
      <c r="O241" s="162">
        <f t="shared" si="215"/>
        <v>0</v>
      </c>
      <c r="P241" s="162">
        <f t="shared" si="216"/>
        <v>0</v>
      </c>
      <c r="Q241" s="162">
        <f t="shared" si="217"/>
        <v>0</v>
      </c>
      <c r="R241" s="162">
        <f t="shared" si="218"/>
        <v>0</v>
      </c>
      <c r="S241" s="163">
        <f t="shared" si="219"/>
        <v>978481.18431326514</v>
      </c>
      <c r="T241" s="164"/>
      <c r="U241" s="165">
        <f t="shared" si="220"/>
        <v>358777</v>
      </c>
      <c r="V241" s="165">
        <f t="shared" si="221"/>
        <v>1076331</v>
      </c>
    </row>
    <row r="242" spans="1:24" ht="12.75" hidden="1" customHeight="1" outlineLevel="1" x14ac:dyDescent="0.3">
      <c r="A242" s="155">
        <v>29.03</v>
      </c>
      <c r="B242" s="155" t="s">
        <v>42</v>
      </c>
      <c r="C242" s="196" t="s">
        <v>325</v>
      </c>
      <c r="D242" s="197" t="s">
        <v>114</v>
      </c>
      <c r="E242" s="282">
        <f>+[9]CALEFA!D22</f>
        <v>1</v>
      </c>
      <c r="F242" s="288">
        <f>VLOOKUP(C242,[9]Cotizaciones!B:D,3,0)</f>
        <v>78983.161018664003</v>
      </c>
      <c r="G242" s="198"/>
      <c r="H242" s="161">
        <f t="shared" si="222"/>
        <v>78983.161018664003</v>
      </c>
      <c r="I242" s="199"/>
      <c r="J242" s="199"/>
      <c r="K242" s="161">
        <f t="shared" si="212"/>
        <v>0</v>
      </c>
      <c r="L242" s="182"/>
      <c r="M242" s="161">
        <f t="shared" si="213"/>
        <v>78983.161018664003</v>
      </c>
      <c r="N242" s="162">
        <f t="shared" si="214"/>
        <v>78983.161018664003</v>
      </c>
      <c r="O242" s="162">
        <f t="shared" si="215"/>
        <v>0</v>
      </c>
      <c r="P242" s="162">
        <f t="shared" si="216"/>
        <v>0</v>
      </c>
      <c r="Q242" s="162">
        <f t="shared" si="217"/>
        <v>0</v>
      </c>
      <c r="R242" s="162">
        <f t="shared" si="218"/>
        <v>0</v>
      </c>
      <c r="S242" s="163">
        <f t="shared" si="219"/>
        <v>78983.161018664003</v>
      </c>
      <c r="T242" s="164"/>
      <c r="U242" s="165">
        <f t="shared" si="220"/>
        <v>86882</v>
      </c>
      <c r="V242" s="165">
        <f t="shared" si="221"/>
        <v>86882</v>
      </c>
      <c r="X242" s="170"/>
    </row>
    <row r="243" spans="1:24" ht="12.75" hidden="1" customHeight="1" outlineLevel="1" x14ac:dyDescent="0.3">
      <c r="A243" s="155">
        <v>29.04</v>
      </c>
      <c r="B243" s="155" t="s">
        <v>42</v>
      </c>
      <c r="C243" s="196" t="s">
        <v>326</v>
      </c>
      <c r="D243" s="197" t="s">
        <v>114</v>
      </c>
      <c r="E243" s="282">
        <f>+[9]CALEFA!D23</f>
        <v>3</v>
      </c>
      <c r="F243" s="288">
        <f>VLOOKUP(C243,[9]Cotizaciones!B:D,3,0)</f>
        <v>100197.17816030435</v>
      </c>
      <c r="G243" s="198"/>
      <c r="H243" s="161">
        <f t="shared" si="222"/>
        <v>100197.17816030435</v>
      </c>
      <c r="I243" s="199"/>
      <c r="J243" s="199"/>
      <c r="K243" s="161">
        <f t="shared" si="212"/>
        <v>0</v>
      </c>
      <c r="L243" s="182"/>
      <c r="M243" s="161">
        <f t="shared" si="213"/>
        <v>100197.17816030435</v>
      </c>
      <c r="N243" s="162">
        <f t="shared" si="214"/>
        <v>300591.53448091308</v>
      </c>
      <c r="O243" s="162">
        <f t="shared" si="215"/>
        <v>0</v>
      </c>
      <c r="P243" s="162">
        <f t="shared" si="216"/>
        <v>0</v>
      </c>
      <c r="Q243" s="162">
        <f t="shared" si="217"/>
        <v>0</v>
      </c>
      <c r="R243" s="162">
        <f t="shared" si="218"/>
        <v>0</v>
      </c>
      <c r="S243" s="163">
        <f t="shared" si="219"/>
        <v>300591.53448091308</v>
      </c>
      <c r="T243" s="164"/>
      <c r="U243" s="165">
        <f t="shared" si="220"/>
        <v>110217</v>
      </c>
      <c r="V243" s="165">
        <f t="shared" si="221"/>
        <v>330651</v>
      </c>
    </row>
    <row r="244" spans="1:24" ht="12.75" hidden="1" customHeight="1" outlineLevel="1" x14ac:dyDescent="0.3">
      <c r="A244" s="155">
        <v>29.05</v>
      </c>
      <c r="B244" s="155" t="s">
        <v>42</v>
      </c>
      <c r="C244" s="196" t="s">
        <v>327</v>
      </c>
      <c r="D244" s="197" t="s">
        <v>114</v>
      </c>
      <c r="E244" s="282">
        <v>4</v>
      </c>
      <c r="F244" s="288">
        <f>VLOOKUP(C244,[9]Cotizaciones!B:D,3,0)</f>
        <v>30601.781958942662</v>
      </c>
      <c r="G244" s="198"/>
      <c r="H244" s="161">
        <f t="shared" si="222"/>
        <v>30601.781958942662</v>
      </c>
      <c r="I244" s="199"/>
      <c r="J244" s="199"/>
      <c r="K244" s="161">
        <f t="shared" si="212"/>
        <v>0</v>
      </c>
      <c r="L244" s="182"/>
      <c r="M244" s="161">
        <f t="shared" si="213"/>
        <v>30601.781958942662</v>
      </c>
      <c r="N244" s="162">
        <f t="shared" si="214"/>
        <v>122407.12783577065</v>
      </c>
      <c r="O244" s="162">
        <f t="shared" si="215"/>
        <v>0</v>
      </c>
      <c r="P244" s="162">
        <f t="shared" si="216"/>
        <v>0</v>
      </c>
      <c r="Q244" s="162">
        <f t="shared" si="217"/>
        <v>0</v>
      </c>
      <c r="R244" s="162">
        <f t="shared" si="218"/>
        <v>0</v>
      </c>
      <c r="S244" s="163">
        <f t="shared" si="219"/>
        <v>122407.12783577065</v>
      </c>
      <c r="T244" s="164"/>
      <c r="U244" s="165">
        <f t="shared" si="220"/>
        <v>33662</v>
      </c>
      <c r="V244" s="165">
        <f t="shared" si="221"/>
        <v>134648</v>
      </c>
    </row>
    <row r="245" spans="1:24" ht="13.9" hidden="1" customHeight="1" outlineLevel="1" x14ac:dyDescent="0.3">
      <c r="A245" s="155">
        <v>29.06</v>
      </c>
      <c r="B245" s="155" t="s">
        <v>42</v>
      </c>
      <c r="C245" s="196" t="s">
        <v>328</v>
      </c>
      <c r="D245" s="197" t="s">
        <v>114</v>
      </c>
      <c r="E245" s="282">
        <v>4</v>
      </c>
      <c r="F245" s="288">
        <f>VLOOKUP(C245,[9]Cotizaciones!B:D,3,0)</f>
        <v>2020800</v>
      </c>
      <c r="G245" s="198"/>
      <c r="H245" s="161">
        <f t="shared" si="222"/>
        <v>2020800</v>
      </c>
      <c r="I245" s="199"/>
      <c r="J245" s="199"/>
      <c r="K245" s="161">
        <f t="shared" si="212"/>
        <v>0</v>
      </c>
      <c r="L245" s="182"/>
      <c r="M245" s="161">
        <f t="shared" si="213"/>
        <v>2020800</v>
      </c>
      <c r="N245" s="162">
        <f t="shared" si="214"/>
        <v>8083200</v>
      </c>
      <c r="O245" s="162">
        <f t="shared" si="215"/>
        <v>0</v>
      </c>
      <c r="P245" s="162">
        <f t="shared" si="216"/>
        <v>0</v>
      </c>
      <c r="Q245" s="162">
        <f t="shared" si="217"/>
        <v>0</v>
      </c>
      <c r="R245" s="162">
        <f t="shared" si="218"/>
        <v>0</v>
      </c>
      <c r="S245" s="163">
        <f t="shared" si="219"/>
        <v>8083200</v>
      </c>
      <c r="T245" s="164"/>
      <c r="U245" s="165">
        <f t="shared" si="220"/>
        <v>2222880</v>
      </c>
      <c r="V245" s="165">
        <f t="shared" si="221"/>
        <v>8891520</v>
      </c>
    </row>
    <row r="246" spans="1:24" ht="13.9" hidden="1" customHeight="1" outlineLevel="1" x14ac:dyDescent="0.3">
      <c r="A246" s="155">
        <v>29.07</v>
      </c>
      <c r="B246" s="409" t="s">
        <v>42</v>
      </c>
      <c r="C246" s="410" t="s">
        <v>329</v>
      </c>
      <c r="D246" s="258" t="s">
        <v>114</v>
      </c>
      <c r="E246" s="293">
        <v>12</v>
      </c>
      <c r="F246" s="402">
        <f>VLOOKUP(C246,[9]Cotizaciones!B:D,3,0)</f>
        <v>66000</v>
      </c>
      <c r="G246" s="403"/>
      <c r="H246" s="208">
        <f t="shared" si="222"/>
        <v>66000</v>
      </c>
      <c r="I246" s="404"/>
      <c r="J246" s="404"/>
      <c r="K246" s="208">
        <f t="shared" si="212"/>
        <v>0</v>
      </c>
      <c r="L246" s="322"/>
      <c r="M246" s="208">
        <f>H246+K246+L246</f>
        <v>66000</v>
      </c>
      <c r="N246" s="209">
        <f>F246*E246</f>
        <v>792000</v>
      </c>
      <c r="O246" s="209">
        <f>G246*E246</f>
        <v>0</v>
      </c>
      <c r="P246" s="209">
        <f>I246*E246</f>
        <v>0</v>
      </c>
      <c r="Q246" s="209">
        <f>J246*E246</f>
        <v>0</v>
      </c>
      <c r="R246" s="209">
        <f>+L246*E246</f>
        <v>0</v>
      </c>
      <c r="S246" s="210">
        <f>SUM(N246:R246)</f>
        <v>792000</v>
      </c>
      <c r="T246" s="297"/>
      <c r="U246" s="260">
        <f t="shared" si="220"/>
        <v>72600</v>
      </c>
      <c r="V246" s="260">
        <f>+U246*E246</f>
        <v>871200</v>
      </c>
    </row>
    <row r="247" spans="1:24" ht="13.9" customHeight="1" collapsed="1" x14ac:dyDescent="0.3">
      <c r="A247" s="136">
        <v>30</v>
      </c>
      <c r="B247" s="137"/>
      <c r="C247" s="138" t="s">
        <v>330</v>
      </c>
      <c r="D247" s="139"/>
      <c r="E247" s="140"/>
      <c r="F247" s="411"/>
      <c r="G247" s="412"/>
      <c r="H247" s="140"/>
      <c r="I247" s="413"/>
      <c r="J247" s="413"/>
      <c r="K247" s="140"/>
      <c r="L247" s="414"/>
      <c r="M247" s="140"/>
      <c r="N247" s="140"/>
      <c r="O247" s="140"/>
      <c r="P247" s="140"/>
      <c r="Q247" s="140"/>
      <c r="R247" s="140"/>
      <c r="S247" s="140"/>
      <c r="T247" s="142" t="e">
        <f>SUM(S248:S254)</f>
        <v>#REF!</v>
      </c>
      <c r="U247" s="415"/>
      <c r="V247" s="415"/>
      <c r="W247" s="377" t="e">
        <f>SUM(V248:V254)</f>
        <v>#REF!</v>
      </c>
      <c r="X247" s="144" t="e">
        <f>+W247/$W$255</f>
        <v>#REF!</v>
      </c>
    </row>
    <row r="248" spans="1:24" ht="13.9" hidden="1" customHeight="1" outlineLevel="1" x14ac:dyDescent="0.3">
      <c r="A248" s="211">
        <v>30.01</v>
      </c>
      <c r="B248" s="211" t="s">
        <v>42</v>
      </c>
      <c r="C248" s="399" t="s">
        <v>331</v>
      </c>
      <c r="D248" s="188" t="s">
        <v>114</v>
      </c>
      <c r="E248" s="149" t="e">
        <f>+#REF!</f>
        <v>#REF!</v>
      </c>
      <c r="F248" s="400">
        <f>+[9]ELECT!H138</f>
        <v>5892.0807877668249</v>
      </c>
      <c r="G248" s="416"/>
      <c r="H248" s="150">
        <f t="shared" ref="H248:H254" si="223">F248+G248</f>
        <v>5892.0807877668249</v>
      </c>
      <c r="I248" s="417"/>
      <c r="J248" s="417"/>
      <c r="K248" s="150">
        <f t="shared" ref="K248:K254" si="224">I248+J248</f>
        <v>0</v>
      </c>
      <c r="L248" s="339"/>
      <c r="M248" s="150">
        <f t="shared" ref="M248:M254" si="225">H248+K248+L248</f>
        <v>5892.0807877668249</v>
      </c>
      <c r="N248" s="151" t="e">
        <f t="shared" ref="N248:N254" si="226">F248*E248</f>
        <v>#REF!</v>
      </c>
      <c r="O248" s="151" t="e">
        <f t="shared" ref="O248:O254" si="227">G248*E248</f>
        <v>#REF!</v>
      </c>
      <c r="P248" s="151" t="e">
        <f t="shared" ref="P248:P254" si="228">I248*E248</f>
        <v>#REF!</v>
      </c>
      <c r="Q248" s="151" t="e">
        <f t="shared" ref="Q248:Q254" si="229">J248*E248</f>
        <v>#REF!</v>
      </c>
      <c r="R248" s="151" t="e">
        <f t="shared" ref="R248:R254" si="230">+L248*E248</f>
        <v>#REF!</v>
      </c>
      <c r="S248" s="152" t="e">
        <f t="shared" ref="S248:S254" si="231">SUM(N248:R248)</f>
        <v>#REF!</v>
      </c>
      <c r="T248" s="153"/>
      <c r="U248" s="154">
        <f t="shared" ref="U248:U254" si="232">+ROUNDUP(M248*$T$6,0)</f>
        <v>6482</v>
      </c>
      <c r="V248" s="154" t="e">
        <f t="shared" ref="V248:V254" si="233">+U248*E248</f>
        <v>#REF!</v>
      </c>
      <c r="W248" s="90"/>
    </row>
    <row r="249" spans="1:24" ht="13.9" hidden="1" customHeight="1" outlineLevel="1" x14ac:dyDescent="0.3">
      <c r="A249" s="173">
        <v>30.02</v>
      </c>
      <c r="B249" s="173" t="s">
        <v>42</v>
      </c>
      <c r="C249" s="217" t="s">
        <v>332</v>
      </c>
      <c r="D249" s="166" t="s">
        <v>114</v>
      </c>
      <c r="E249" s="167" t="e">
        <f>+#REF!</f>
        <v>#REF!</v>
      </c>
      <c r="F249" s="288">
        <f>+[9]ELECT!H143</f>
        <v>1885.5105394124798</v>
      </c>
      <c r="G249" s="418"/>
      <c r="H249" s="161">
        <f>F249+G249</f>
        <v>1885.5105394124798</v>
      </c>
      <c r="I249" s="287"/>
      <c r="J249" s="287"/>
      <c r="K249" s="161">
        <f>I249+J249</f>
        <v>0</v>
      </c>
      <c r="L249" s="182"/>
      <c r="M249" s="161">
        <f>H249+K249+L249</f>
        <v>1885.5105394124798</v>
      </c>
      <c r="N249" s="162" t="e">
        <f>F249*E249</f>
        <v>#REF!</v>
      </c>
      <c r="O249" s="162" t="e">
        <f>G249*E249</f>
        <v>#REF!</v>
      </c>
      <c r="P249" s="162" t="e">
        <f>I249*E249</f>
        <v>#REF!</v>
      </c>
      <c r="Q249" s="162" t="e">
        <f>J249*E249</f>
        <v>#REF!</v>
      </c>
      <c r="R249" s="162" t="e">
        <f>+L249*E249</f>
        <v>#REF!</v>
      </c>
      <c r="S249" s="163" t="e">
        <f>SUM(N249:R249)</f>
        <v>#REF!</v>
      </c>
      <c r="T249" s="164"/>
      <c r="U249" s="165">
        <f>+ROUNDUP(M249*$T$6,0)</f>
        <v>2075</v>
      </c>
      <c r="V249" s="165" t="e">
        <f>+U249*E249</f>
        <v>#REF!</v>
      </c>
      <c r="W249" s="90"/>
    </row>
    <row r="250" spans="1:24" ht="13" hidden="1" outlineLevel="1" x14ac:dyDescent="0.3">
      <c r="A250" s="173">
        <v>30.03</v>
      </c>
      <c r="B250" s="173" t="s">
        <v>42</v>
      </c>
      <c r="C250" s="217" t="s">
        <v>333</v>
      </c>
      <c r="D250" s="166" t="s">
        <v>114</v>
      </c>
      <c r="E250" s="167" t="e">
        <f>+#REF!</f>
        <v>#REF!</v>
      </c>
      <c r="F250" s="288">
        <f>+[9]ELECT!H148</f>
        <v>3839.5345202802223</v>
      </c>
      <c r="G250" s="418"/>
      <c r="H250" s="161">
        <f t="shared" si="223"/>
        <v>3839.5345202802223</v>
      </c>
      <c r="I250" s="287"/>
      <c r="J250" s="287"/>
      <c r="K250" s="161">
        <f t="shared" si="224"/>
        <v>0</v>
      </c>
      <c r="L250" s="182"/>
      <c r="M250" s="161">
        <f t="shared" si="225"/>
        <v>3839.5345202802223</v>
      </c>
      <c r="N250" s="162" t="e">
        <f t="shared" si="226"/>
        <v>#REF!</v>
      </c>
      <c r="O250" s="162" t="e">
        <f t="shared" si="227"/>
        <v>#REF!</v>
      </c>
      <c r="P250" s="162" t="e">
        <f t="shared" si="228"/>
        <v>#REF!</v>
      </c>
      <c r="Q250" s="162" t="e">
        <f t="shared" si="229"/>
        <v>#REF!</v>
      </c>
      <c r="R250" s="162" t="e">
        <f t="shared" si="230"/>
        <v>#REF!</v>
      </c>
      <c r="S250" s="163" t="e">
        <f t="shared" si="231"/>
        <v>#REF!</v>
      </c>
      <c r="T250" s="164"/>
      <c r="U250" s="165">
        <f t="shared" si="232"/>
        <v>4224</v>
      </c>
      <c r="V250" s="165" t="e">
        <f t="shared" si="233"/>
        <v>#REF!</v>
      </c>
      <c r="W250" s="90"/>
    </row>
    <row r="251" spans="1:24" ht="13" hidden="1" outlineLevel="1" x14ac:dyDescent="0.3">
      <c r="A251" s="173">
        <v>30.04</v>
      </c>
      <c r="B251" s="173" t="s">
        <v>42</v>
      </c>
      <c r="C251" s="217" t="s">
        <v>334</v>
      </c>
      <c r="D251" s="166" t="s">
        <v>114</v>
      </c>
      <c r="E251" s="167" t="e">
        <f>+#REF!</f>
        <v>#REF!</v>
      </c>
      <c r="F251" s="288">
        <f>+[9]ELECT!H153</f>
        <v>6314.6459338307413</v>
      </c>
      <c r="G251" s="418"/>
      <c r="H251" s="161">
        <f t="shared" si="223"/>
        <v>6314.6459338307413</v>
      </c>
      <c r="I251" s="287"/>
      <c r="J251" s="287"/>
      <c r="K251" s="161">
        <f t="shared" si="224"/>
        <v>0</v>
      </c>
      <c r="L251" s="182"/>
      <c r="M251" s="161">
        <f t="shared" si="225"/>
        <v>6314.6459338307413</v>
      </c>
      <c r="N251" s="162" t="e">
        <f t="shared" si="226"/>
        <v>#REF!</v>
      </c>
      <c r="O251" s="162" t="e">
        <f t="shared" si="227"/>
        <v>#REF!</v>
      </c>
      <c r="P251" s="162" t="e">
        <f t="shared" si="228"/>
        <v>#REF!</v>
      </c>
      <c r="Q251" s="162" t="e">
        <f t="shared" si="229"/>
        <v>#REF!</v>
      </c>
      <c r="R251" s="162" t="e">
        <f t="shared" si="230"/>
        <v>#REF!</v>
      </c>
      <c r="S251" s="163" t="e">
        <f t="shared" si="231"/>
        <v>#REF!</v>
      </c>
      <c r="T251" s="164"/>
      <c r="U251" s="165">
        <f t="shared" si="232"/>
        <v>6947</v>
      </c>
      <c r="V251" s="165" t="e">
        <f t="shared" si="233"/>
        <v>#REF!</v>
      </c>
      <c r="W251" s="90"/>
    </row>
    <row r="252" spans="1:24" ht="13" hidden="1" outlineLevel="1" x14ac:dyDescent="0.3">
      <c r="A252" s="173">
        <v>30.05</v>
      </c>
      <c r="B252" s="341" t="s">
        <v>42</v>
      </c>
      <c r="C252" s="217" t="s">
        <v>335</v>
      </c>
      <c r="D252" s="419" t="s">
        <v>114</v>
      </c>
      <c r="E252" s="420" t="e">
        <f>+#REF!</f>
        <v>#REF!</v>
      </c>
      <c r="F252" s="421">
        <f>+[9]ELECT!H159</f>
        <v>4996.5593136686521</v>
      </c>
      <c r="G252" s="422"/>
      <c r="H252" s="161">
        <f>F252+G252</f>
        <v>4996.5593136686521</v>
      </c>
      <c r="I252" s="287"/>
      <c r="J252" s="287"/>
      <c r="K252" s="161">
        <f>I252+J252</f>
        <v>0</v>
      </c>
      <c r="L252" s="182"/>
      <c r="M252" s="161">
        <f>H252+K252+L252</f>
        <v>4996.5593136686521</v>
      </c>
      <c r="N252" s="162" t="e">
        <f>F252*E252</f>
        <v>#REF!</v>
      </c>
      <c r="O252" s="162" t="e">
        <f>G252*E252</f>
        <v>#REF!</v>
      </c>
      <c r="P252" s="162" t="e">
        <f>I252*E252</f>
        <v>#REF!</v>
      </c>
      <c r="Q252" s="162" t="e">
        <f>J252*E252</f>
        <v>#REF!</v>
      </c>
      <c r="R252" s="162" t="e">
        <f>+L252*E252</f>
        <v>#REF!</v>
      </c>
      <c r="S252" s="163" t="e">
        <f>SUM(N252:R252)</f>
        <v>#REF!</v>
      </c>
      <c r="T252" s="164"/>
      <c r="U252" s="165">
        <f>+ROUNDUP(M252*$T$6,0)</f>
        <v>5497</v>
      </c>
      <c r="V252" s="165" t="e">
        <f>+U252*E252</f>
        <v>#REF!</v>
      </c>
      <c r="W252" s="90"/>
    </row>
    <row r="253" spans="1:24" ht="26" hidden="1" outlineLevel="1" x14ac:dyDescent="0.3">
      <c r="A253" s="173">
        <v>30.06</v>
      </c>
      <c r="B253" s="341" t="s">
        <v>42</v>
      </c>
      <c r="C253" s="217" t="s">
        <v>336</v>
      </c>
      <c r="D253" s="419" t="s">
        <v>114</v>
      </c>
      <c r="E253" s="420" t="e">
        <f>+#REF!</f>
        <v>#REF!</v>
      </c>
      <c r="F253" s="421">
        <f>+[9]ELECT!H153</f>
        <v>6314.6459338307413</v>
      </c>
      <c r="G253" s="423">
        <f>+F253</f>
        <v>6314.6459338307413</v>
      </c>
      <c r="H253" s="161">
        <f>F253+G253</f>
        <v>12629.291867661483</v>
      </c>
      <c r="I253" s="287"/>
      <c r="J253" s="287"/>
      <c r="K253" s="161">
        <f>I253+J253</f>
        <v>0</v>
      </c>
      <c r="L253" s="182"/>
      <c r="M253" s="161">
        <f>H253+K253+L253</f>
        <v>12629.291867661483</v>
      </c>
      <c r="N253" s="162" t="e">
        <f>F253*E253</f>
        <v>#REF!</v>
      </c>
      <c r="O253" s="162" t="e">
        <f>G253*E253</f>
        <v>#REF!</v>
      </c>
      <c r="P253" s="162" t="e">
        <f>I253*E253</f>
        <v>#REF!</v>
      </c>
      <c r="Q253" s="162" t="e">
        <f>J253*E253</f>
        <v>#REF!</v>
      </c>
      <c r="R253" s="162" t="e">
        <f>+L253*E253</f>
        <v>#REF!</v>
      </c>
      <c r="S253" s="163" t="e">
        <f>SUM(N253:R253)</f>
        <v>#REF!</v>
      </c>
      <c r="T253" s="164"/>
      <c r="U253" s="165">
        <f>+ROUNDUP(M253*$T$6,0)</f>
        <v>13893</v>
      </c>
      <c r="V253" s="165" t="e">
        <f>+U253*E253</f>
        <v>#REF!</v>
      </c>
      <c r="W253" s="90"/>
    </row>
    <row r="254" spans="1:24" ht="26" hidden="1" outlineLevel="1" x14ac:dyDescent="0.3">
      <c r="A254" s="173">
        <v>30.07</v>
      </c>
      <c r="B254" s="203" t="s">
        <v>42</v>
      </c>
      <c r="C254" s="263" t="s">
        <v>337</v>
      </c>
      <c r="D254" s="305" t="s">
        <v>114</v>
      </c>
      <c r="E254" s="259" t="e">
        <f>+#REF!</f>
        <v>#REF!</v>
      </c>
      <c r="F254" s="402">
        <f>+[9]ELECT!H165</f>
        <v>2203.1708839165858</v>
      </c>
      <c r="G254" s="424"/>
      <c r="H254" s="208">
        <f t="shared" si="223"/>
        <v>2203.1708839165858</v>
      </c>
      <c r="I254" s="294"/>
      <c r="J254" s="294"/>
      <c r="K254" s="208">
        <f t="shared" si="224"/>
        <v>0</v>
      </c>
      <c r="L254" s="322"/>
      <c r="M254" s="208">
        <f t="shared" si="225"/>
        <v>2203.1708839165858</v>
      </c>
      <c r="N254" s="209" t="e">
        <f t="shared" si="226"/>
        <v>#REF!</v>
      </c>
      <c r="O254" s="209" t="e">
        <f t="shared" si="227"/>
        <v>#REF!</v>
      </c>
      <c r="P254" s="209" t="e">
        <f t="shared" si="228"/>
        <v>#REF!</v>
      </c>
      <c r="Q254" s="209" t="e">
        <f t="shared" si="229"/>
        <v>#REF!</v>
      </c>
      <c r="R254" s="209" t="e">
        <f t="shared" si="230"/>
        <v>#REF!</v>
      </c>
      <c r="S254" s="210" t="e">
        <f t="shared" si="231"/>
        <v>#REF!</v>
      </c>
      <c r="T254" s="164"/>
      <c r="U254" s="165">
        <f t="shared" si="232"/>
        <v>2424</v>
      </c>
      <c r="V254" s="165" t="e">
        <f t="shared" si="233"/>
        <v>#REF!</v>
      </c>
      <c r="W254" s="90"/>
    </row>
    <row r="255" spans="1:24" ht="13" collapsed="1" x14ac:dyDescent="0.3">
      <c r="A255" s="136"/>
      <c r="B255" s="137"/>
      <c r="C255" s="138" t="s">
        <v>338</v>
      </c>
      <c r="D255" s="139"/>
      <c r="E255" s="140"/>
      <c r="F255" s="140"/>
      <c r="G255" s="140"/>
      <c r="H255" s="140"/>
      <c r="I255" s="140"/>
      <c r="J255" s="140"/>
      <c r="K255" s="140"/>
      <c r="L255" s="140"/>
      <c r="M255" s="141"/>
      <c r="N255" s="142" t="e">
        <f t="shared" ref="N255:T255" si="234">SUM(N219:N254)</f>
        <v>#REF!</v>
      </c>
      <c r="O255" s="142" t="e">
        <f t="shared" si="234"/>
        <v>#REF!</v>
      </c>
      <c r="P255" s="142" t="e">
        <f t="shared" si="234"/>
        <v>#REF!</v>
      </c>
      <c r="Q255" s="142" t="e">
        <f t="shared" si="234"/>
        <v>#REF!</v>
      </c>
      <c r="R255" s="142" t="e">
        <f t="shared" si="234"/>
        <v>#REF!</v>
      </c>
      <c r="S255" s="142" t="e">
        <f t="shared" si="234"/>
        <v>#REF!</v>
      </c>
      <c r="T255" s="142" t="e">
        <f t="shared" si="234"/>
        <v>#REF!</v>
      </c>
      <c r="U255" s="140"/>
      <c r="V255" s="142" t="e">
        <f>SUM(V219:V254)</f>
        <v>#REF!</v>
      </c>
      <c r="W255" s="377" t="e">
        <f>SUM(W219:W254)</f>
        <v>#REF!</v>
      </c>
      <c r="X255" s="144" t="e">
        <f>+W255/$W$255</f>
        <v>#REF!</v>
      </c>
    </row>
    <row r="258" spans="1:26" ht="12.75" customHeight="1" x14ac:dyDescent="0.3">
      <c r="A258" s="125"/>
      <c r="B258" s="126"/>
      <c r="C258" s="368" t="s">
        <v>300</v>
      </c>
      <c r="D258" s="369" t="s">
        <v>83</v>
      </c>
      <c r="E258" s="370">
        <f>+[9]INFO.!C6</f>
        <v>1452</v>
      </c>
      <c r="F258" s="298"/>
      <c r="G258" s="298"/>
      <c r="H258" s="298"/>
      <c r="I258" s="371"/>
      <c r="J258" s="371"/>
      <c r="K258" s="298"/>
      <c r="L258" s="372"/>
      <c r="M258" s="298"/>
      <c r="N258" s="298"/>
      <c r="O258" s="298"/>
      <c r="P258" s="298"/>
      <c r="Q258" s="298"/>
      <c r="R258" s="373" t="s">
        <v>301</v>
      </c>
      <c r="S258" s="425" t="e">
        <f>+T258/E258</f>
        <v>#REF!</v>
      </c>
      <c r="T258" s="375" t="e">
        <f>+T255/[9]GGBB!H4</f>
        <v>#REF!</v>
      </c>
      <c r="U258" s="373" t="s">
        <v>301</v>
      </c>
      <c r="V258" s="376" t="e">
        <f>+W258/E258</f>
        <v>#REF!</v>
      </c>
      <c r="W258" s="377" t="e">
        <f>W255/W2</f>
        <v>#REF!</v>
      </c>
    </row>
    <row r="259" spans="1:26" ht="12.75" customHeight="1" x14ac:dyDescent="0.3">
      <c r="A259" s="378"/>
      <c r="B259" s="378"/>
      <c r="C259" s="426"/>
      <c r="E259" s="427"/>
      <c r="F259" s="428"/>
      <c r="G259" s="428"/>
      <c r="H259" s="428"/>
      <c r="I259" s="429"/>
      <c r="J259" s="429"/>
      <c r="K259" s="428"/>
      <c r="L259" s="383"/>
      <c r="M259" s="428"/>
      <c r="N259" s="428"/>
      <c r="O259" s="428"/>
      <c r="P259" s="428"/>
      <c r="Q259" s="428"/>
      <c r="R259" s="393"/>
      <c r="S259" s="394"/>
      <c r="T259" s="395"/>
      <c r="U259" s="393"/>
      <c r="V259" s="430"/>
      <c r="W259" s="396"/>
    </row>
    <row r="261" spans="1:26" ht="12.75" customHeight="1" x14ac:dyDescent="0.3">
      <c r="A261" s="431"/>
      <c r="B261" s="432"/>
      <c r="C261" s="368" t="s">
        <v>339</v>
      </c>
      <c r="D261" s="369"/>
      <c r="E261" s="433"/>
      <c r="F261" s="298"/>
      <c r="G261" s="298"/>
      <c r="H261" s="298"/>
      <c r="I261" s="371"/>
      <c r="J261" s="371"/>
      <c r="K261" s="298"/>
      <c r="L261" s="434"/>
      <c r="M261" s="298"/>
      <c r="N261" s="298"/>
      <c r="O261" s="298"/>
      <c r="P261" s="298"/>
      <c r="Q261" s="298"/>
      <c r="R261" s="298"/>
      <c r="S261" s="298"/>
      <c r="T261" s="375"/>
      <c r="U261" s="299"/>
      <c r="V261" s="299"/>
      <c r="W261" s="377">
        <f>+W213</f>
        <v>1540623004</v>
      </c>
    </row>
    <row r="262" spans="1:26" ht="12.75" customHeight="1" x14ac:dyDescent="0.3">
      <c r="A262" s="431"/>
      <c r="B262" s="432"/>
      <c r="C262" s="368" t="s">
        <v>340</v>
      </c>
      <c r="D262" s="369"/>
      <c r="E262" s="433"/>
      <c r="F262" s="298"/>
      <c r="G262" s="298"/>
      <c r="H262" s="298"/>
      <c r="I262" s="371"/>
      <c r="J262" s="371"/>
      <c r="K262" s="298"/>
      <c r="L262" s="434"/>
      <c r="M262" s="298"/>
      <c r="N262" s="298"/>
      <c r="O262" s="298"/>
      <c r="P262" s="298"/>
      <c r="Q262" s="298"/>
      <c r="R262" s="298"/>
      <c r="S262" s="298"/>
      <c r="T262" s="375"/>
      <c r="U262" s="299"/>
      <c r="V262" s="299"/>
      <c r="W262" s="377" t="e">
        <f>+W255</f>
        <v>#REF!</v>
      </c>
    </row>
    <row r="263" spans="1:26" ht="12.75" customHeight="1" x14ac:dyDescent="0.3">
      <c r="A263" s="431"/>
      <c r="B263" s="432"/>
      <c r="C263" s="368" t="s">
        <v>341</v>
      </c>
      <c r="D263" s="435"/>
      <c r="E263" s="299"/>
      <c r="F263" s="435"/>
      <c r="G263" s="435"/>
      <c r="H263" s="435"/>
      <c r="I263" s="435"/>
      <c r="J263" s="435"/>
      <c r="K263" s="435"/>
      <c r="L263" s="435"/>
      <c r="M263" s="435"/>
      <c r="N263" s="435"/>
      <c r="O263" s="435"/>
      <c r="P263" s="435"/>
      <c r="Q263" s="435"/>
      <c r="R263" s="435"/>
      <c r="S263" s="435"/>
      <c r="T263" s="435"/>
      <c r="U263" s="298"/>
      <c r="V263" s="298"/>
      <c r="W263" s="377" t="e">
        <f>+W261+W262</f>
        <v>#REF!</v>
      </c>
      <c r="Z263" s="436"/>
    </row>
    <row r="264" spans="1:26" ht="12.75" customHeight="1" x14ac:dyDescent="0.3">
      <c r="A264" s="437"/>
      <c r="B264" s="437"/>
      <c r="E264" s="427"/>
      <c r="F264" s="428"/>
      <c r="G264" s="428"/>
      <c r="H264" s="428"/>
      <c r="I264" s="429"/>
      <c r="J264" s="429"/>
      <c r="K264" s="428"/>
      <c r="L264" s="383"/>
      <c r="M264" s="428"/>
      <c r="N264" s="428"/>
      <c r="O264" s="428"/>
      <c r="P264" s="428"/>
      <c r="Q264" s="428"/>
      <c r="R264" s="393"/>
      <c r="S264" s="394"/>
      <c r="T264" s="395"/>
      <c r="U264" s="393"/>
      <c r="V264" s="430"/>
      <c r="W264" s="401"/>
      <c r="Z264" s="360"/>
    </row>
    <row r="265" spans="1:26" ht="12.75" customHeight="1" x14ac:dyDescent="0.3">
      <c r="A265" s="431"/>
      <c r="B265" s="432"/>
      <c r="C265" s="368" t="s">
        <v>300</v>
      </c>
      <c r="D265" s="369" t="s">
        <v>83</v>
      </c>
      <c r="E265" s="370">
        <f>+[9]INFO.!C6</f>
        <v>1452</v>
      </c>
      <c r="F265" s="412"/>
      <c r="G265" s="412"/>
      <c r="H265" s="412"/>
      <c r="I265" s="413"/>
      <c r="J265" s="413"/>
      <c r="K265" s="412"/>
      <c r="L265" s="372"/>
      <c r="M265" s="412"/>
      <c r="N265" s="412"/>
      <c r="O265" s="412"/>
      <c r="P265" s="412"/>
      <c r="Q265" s="412"/>
      <c r="R265" s="438"/>
      <c r="S265" s="439"/>
      <c r="T265" s="440"/>
      <c r="U265" s="373" t="s">
        <v>301</v>
      </c>
      <c r="V265" s="376" t="e">
        <f>+W265/E265</f>
        <v>#REF!</v>
      </c>
      <c r="W265" s="377" t="e">
        <f>+W263/W2</f>
        <v>#REF!</v>
      </c>
    </row>
    <row r="267" spans="1:26" ht="12.75" customHeight="1" x14ac:dyDescent="0.3">
      <c r="C267" s="81" t="s">
        <v>342</v>
      </c>
    </row>
    <row r="268" spans="1:26" ht="12.75" customHeight="1" x14ac:dyDescent="0.3">
      <c r="C268" s="81" t="s">
        <v>343</v>
      </c>
    </row>
    <row r="270" spans="1:26" ht="12.75" customHeight="1" x14ac:dyDescent="0.3">
      <c r="G270" s="94"/>
    </row>
    <row r="271" spans="1:26" ht="12.75" customHeight="1" x14ac:dyDescent="0.3">
      <c r="G271" s="94"/>
    </row>
    <row r="275" spans="6:6" ht="12.75" customHeight="1" x14ac:dyDescent="0.3">
      <c r="F275" s="97"/>
    </row>
    <row r="276" spans="6:6" ht="12.75" customHeight="1" x14ac:dyDescent="0.3">
      <c r="F276" s="97"/>
    </row>
    <row r="277" spans="6:6" ht="12.75" customHeight="1" x14ac:dyDescent="0.3">
      <c r="F277" s="97"/>
    </row>
  </sheetData>
  <mergeCells count="4">
    <mergeCell ref="F5:H5"/>
    <mergeCell ref="I5:K5"/>
    <mergeCell ref="N5:O5"/>
    <mergeCell ref="P5:Q5"/>
  </mergeCells>
  <conditionalFormatting sqref="B1:B1048576">
    <cfRule type="cellIs" dxfId="27" priority="19" operator="equal">
      <formula>"C"</formula>
    </cfRule>
    <cfRule type="cellIs" dxfId="26" priority="20" operator="equal">
      <formula>"R"</formula>
    </cfRule>
    <cfRule type="cellIs" dxfId="25" priority="21" operator="equal">
      <formula>"IN"</formula>
    </cfRule>
    <cfRule type="cellIs" dxfId="24" priority="22" operator="equal">
      <formula>"OK"</formula>
    </cfRule>
    <cfRule type="cellIs" dxfId="23" priority="23" operator="equal">
      <formula>"SR"</formula>
    </cfRule>
  </conditionalFormatting>
  <conditionalFormatting sqref="D3:D11 D18:D32 D59:D69 D80:D85 D88:D93 D96:D101 D162:D191 D193 D200:D210 D219:D226 D247:D255">
    <cfRule type="cellIs" dxfId="22" priority="3" operator="equal">
      <formula>"x"</formula>
    </cfRule>
  </conditionalFormatting>
  <conditionalFormatting sqref="D46">
    <cfRule type="cellIs" dxfId="21" priority="4" operator="equal">
      <formula>"x"</formula>
    </cfRule>
  </conditionalFormatting>
  <conditionalFormatting sqref="D53">
    <cfRule type="cellIs" dxfId="20" priority="5" operator="equal">
      <formula>"x"</formula>
    </cfRule>
  </conditionalFormatting>
  <conditionalFormatting sqref="D71:D72">
    <cfRule type="cellIs" dxfId="19" priority="6" operator="equal">
      <formula>"x"</formula>
    </cfRule>
  </conditionalFormatting>
  <conditionalFormatting sqref="D105">
    <cfRule type="cellIs" dxfId="18" priority="7" operator="equal">
      <formula>"x"</formula>
    </cfRule>
  </conditionalFormatting>
  <conditionalFormatting sqref="D114">
    <cfRule type="cellIs" dxfId="17" priority="8" operator="equal">
      <formula>"x"</formula>
    </cfRule>
  </conditionalFormatting>
  <conditionalFormatting sqref="D127">
    <cfRule type="cellIs" dxfId="16" priority="9" operator="equal">
      <formula>"x"</formula>
    </cfRule>
  </conditionalFormatting>
  <conditionalFormatting sqref="D129">
    <cfRule type="cellIs" dxfId="15" priority="10" operator="equal">
      <formula>"x"</formula>
    </cfRule>
  </conditionalFormatting>
  <conditionalFormatting sqref="D134">
    <cfRule type="cellIs" dxfId="14" priority="11" operator="equal">
      <formula>"x"</formula>
    </cfRule>
  </conditionalFormatting>
  <conditionalFormatting sqref="D196">
    <cfRule type="cellIs" dxfId="13" priority="13" operator="equal">
      <formula>"x"</formula>
    </cfRule>
  </conditionalFormatting>
  <conditionalFormatting sqref="D213:D214">
    <cfRule type="cellIs" dxfId="12" priority="12" operator="equal">
      <formula>"x"</formula>
    </cfRule>
  </conditionalFormatting>
  <conditionalFormatting sqref="D230">
    <cfRule type="cellIs" dxfId="11" priority="2" operator="equal">
      <formula>"x"</formula>
    </cfRule>
  </conditionalFormatting>
  <conditionalFormatting sqref="D239">
    <cfRule type="cellIs" dxfId="10" priority="1" operator="equal">
      <formula>"x"</formula>
    </cfRule>
  </conditionalFormatting>
  <conditionalFormatting sqref="F1:F4">
    <cfRule type="cellIs" dxfId="9" priority="15" operator="equal">
      <formula>"R"</formula>
    </cfRule>
    <cfRule type="cellIs" dxfId="8" priority="16" operator="equal">
      <formula>"IN"</formula>
    </cfRule>
    <cfRule type="cellIs" dxfId="7" priority="17" operator="equal">
      <formula>"OK"</formula>
    </cfRule>
    <cfRule type="cellIs" dxfId="6" priority="18" operator="equal">
      <formula>"SR"</formula>
    </cfRule>
  </conditionalFormatting>
  <conditionalFormatting sqref="F2:F4">
    <cfRule type="cellIs" dxfId="5" priority="14" operator="equal">
      <formula>"C"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rowBreaks count="2" manualBreakCount="2">
    <brk id="45" max="22" man="1"/>
    <brk id="133" max="22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20B0-8ED1-466B-9DC6-452BA1B4B08B}">
  <dimension ref="A1:AH21"/>
  <sheetViews>
    <sheetView zoomScaleNormal="100" workbookViewId="0">
      <selection activeCell="A15" sqref="A15"/>
    </sheetView>
  </sheetViews>
  <sheetFormatPr defaultColWidth="11.54296875" defaultRowHeight="12.75" customHeight="1" outlineLevelRow="1" x14ac:dyDescent="0.35"/>
  <cols>
    <col min="1" max="1" width="6.54296875" style="1119" bestFit="1" customWidth="1"/>
    <col min="2" max="2" width="25.7265625" style="1120" bestFit="1" customWidth="1"/>
    <col min="3" max="3" width="5.26953125" style="1121" bestFit="1" customWidth="1"/>
    <col min="4" max="4" width="6.54296875" style="1122" bestFit="1" customWidth="1"/>
    <col min="5" max="5" width="16.7265625" style="1123" customWidth="1"/>
    <col min="6" max="6" width="15.81640625" style="1123" customWidth="1"/>
    <col min="7" max="7" width="16.453125" style="1150" bestFit="1" customWidth="1"/>
    <col min="8" max="8" width="5.26953125" style="1125" bestFit="1" customWidth="1"/>
    <col min="9" max="9" width="13.453125" style="1125" bestFit="1" customWidth="1"/>
    <col min="10" max="10" width="11.54296875" style="1125"/>
    <col min="11" max="11" width="10.7265625" style="1200" customWidth="1"/>
    <col min="12" max="13" width="11" style="1200" bestFit="1" customWidth="1"/>
    <col min="14" max="21" width="10.7265625" style="1200" bestFit="1" customWidth="1"/>
    <col min="22" max="24" width="11.7265625" style="1200" bestFit="1" customWidth="1"/>
    <col min="25" max="27" width="12" style="1200" bestFit="1" customWidth="1"/>
    <col min="28" max="31" width="11.7265625" style="1200" customWidth="1"/>
    <col min="32" max="32" width="14.453125" style="1201" customWidth="1"/>
    <col min="33" max="33" width="15.81640625" style="1125" bestFit="1" customWidth="1"/>
    <col min="34" max="34" width="15.81640625" style="1128" bestFit="1" customWidth="1"/>
    <col min="35" max="16384" width="11.54296875" style="1125"/>
  </cols>
  <sheetData>
    <row r="1" spans="1:34" ht="12.75" customHeight="1" x14ac:dyDescent="0.3">
      <c r="F1" s="1124" t="s">
        <v>44</v>
      </c>
      <c r="G1" s="1124" t="s">
        <v>45</v>
      </c>
      <c r="K1" s="1126"/>
      <c r="L1" s="1126"/>
      <c r="M1" s="1126"/>
      <c r="N1" s="1126"/>
      <c r="O1" s="1126"/>
      <c r="P1" s="1126"/>
      <c r="Q1" s="1126"/>
      <c r="R1" s="1126"/>
      <c r="S1" s="1126"/>
      <c r="T1" s="1126"/>
      <c r="U1" s="1126"/>
      <c r="V1" s="1126"/>
      <c r="W1" s="1126"/>
      <c r="X1" s="1126"/>
      <c r="Y1" s="1126"/>
      <c r="Z1" s="1126"/>
      <c r="AA1" s="1126"/>
      <c r="AB1" s="1126"/>
      <c r="AC1" s="1126"/>
      <c r="AD1" s="1126"/>
      <c r="AE1" s="1126"/>
      <c r="AF1" s="1127"/>
    </row>
    <row r="2" spans="1:34" ht="13" x14ac:dyDescent="0.3">
      <c r="F2" s="1129">
        <v>1066.5</v>
      </c>
      <c r="G2" s="1129">
        <v>1170</v>
      </c>
      <c r="K2" s="1126"/>
      <c r="L2" s="1126"/>
      <c r="M2" s="1126"/>
      <c r="N2" s="1126"/>
      <c r="O2" s="1126"/>
      <c r="P2" s="1126"/>
      <c r="Q2" s="1126"/>
      <c r="R2" s="1126"/>
      <c r="S2" s="1126"/>
      <c r="T2" s="1126"/>
      <c r="U2" s="1126"/>
      <c r="V2" s="1126"/>
      <c r="W2" s="1126"/>
      <c r="X2" s="1126"/>
      <c r="Y2" s="1126"/>
      <c r="Z2" s="1126"/>
      <c r="AA2" s="1126"/>
      <c r="AB2" s="1126"/>
      <c r="AC2" s="1126"/>
      <c r="AD2" s="1126"/>
      <c r="AE2" s="1126"/>
      <c r="AF2" s="1127"/>
    </row>
    <row r="3" spans="1:34" s="108" customFormat="1" ht="13" x14ac:dyDescent="0.3">
      <c r="A3" s="1130"/>
      <c r="B3" s="1131"/>
      <c r="C3" s="100"/>
      <c r="D3" s="1132"/>
      <c r="E3" s="1133"/>
      <c r="F3" s="1133"/>
      <c r="G3" s="1134"/>
      <c r="K3" s="1126"/>
      <c r="L3" s="1126"/>
      <c r="M3" s="1126"/>
      <c r="N3" s="1126"/>
      <c r="O3" s="1126"/>
      <c r="P3" s="1126"/>
      <c r="Q3" s="1126"/>
      <c r="R3" s="1126"/>
      <c r="S3" s="1126"/>
      <c r="T3" s="1126"/>
      <c r="U3" s="1126"/>
      <c r="V3" s="1126"/>
      <c r="W3" s="1126"/>
      <c r="X3" s="1126"/>
      <c r="Y3" s="1126"/>
      <c r="Z3" s="1126"/>
      <c r="AA3" s="1126"/>
      <c r="AB3" s="1126"/>
      <c r="AC3" s="1126"/>
      <c r="AD3" s="1126"/>
      <c r="AE3" s="1126"/>
      <c r="AF3" s="1127"/>
      <c r="AH3" s="1135"/>
    </row>
    <row r="4" spans="1:34" s="108" customFormat="1" ht="13" x14ac:dyDescent="0.3">
      <c r="A4" s="1130"/>
      <c r="B4" s="1131"/>
      <c r="C4" s="100"/>
      <c r="D4" s="1132"/>
      <c r="E4" s="1133"/>
      <c r="F4" s="1136">
        <v>46063</v>
      </c>
      <c r="G4" s="1134"/>
      <c r="K4" s="1137" t="s">
        <v>637</v>
      </c>
      <c r="M4" s="1126"/>
      <c r="N4" s="1126"/>
      <c r="O4" s="1126"/>
      <c r="P4" s="1126"/>
      <c r="Q4" s="1126"/>
      <c r="R4" s="1126"/>
      <c r="S4" s="1126"/>
      <c r="T4" s="1126"/>
      <c r="U4" s="1126"/>
      <c r="V4" s="1126"/>
      <c r="W4" s="1126"/>
      <c r="X4" s="1126"/>
      <c r="Y4" s="1126"/>
      <c r="Z4" s="1126"/>
      <c r="AA4" s="1126"/>
      <c r="AB4" s="1126"/>
      <c r="AC4" s="1126"/>
      <c r="AD4" s="1126"/>
      <c r="AE4" s="1126"/>
      <c r="AF4" s="1127"/>
      <c r="AH4" s="1135"/>
    </row>
    <row r="5" spans="1:34" s="108" customFormat="1" ht="13" x14ac:dyDescent="0.35">
      <c r="A5" s="1130"/>
      <c r="B5" s="1138" t="s">
        <v>638</v>
      </c>
      <c r="C5" s="100"/>
      <c r="D5" s="1132"/>
      <c r="E5" s="1139"/>
      <c r="F5" s="1139"/>
      <c r="G5" s="1134"/>
      <c r="L5" s="1140">
        <v>46082</v>
      </c>
      <c r="M5" s="1140">
        <v>46113</v>
      </c>
      <c r="N5" s="1140">
        <v>46143</v>
      </c>
      <c r="O5" s="1140">
        <v>46174</v>
      </c>
      <c r="P5" s="1140">
        <v>46204</v>
      </c>
      <c r="Q5" s="1140">
        <v>46235</v>
      </c>
      <c r="R5" s="1140">
        <v>46266</v>
      </c>
      <c r="S5" s="1140">
        <v>46296</v>
      </c>
      <c r="T5" s="1140">
        <v>46327</v>
      </c>
      <c r="U5" s="1140">
        <v>46357</v>
      </c>
      <c r="V5" s="1140">
        <v>46388</v>
      </c>
      <c r="W5" s="1140">
        <v>46419</v>
      </c>
      <c r="X5" s="1140">
        <v>46447</v>
      </c>
      <c r="Y5" s="1140">
        <v>46478</v>
      </c>
      <c r="Z5" s="1140">
        <v>46508</v>
      </c>
      <c r="AA5" s="1140">
        <v>46539</v>
      </c>
      <c r="AB5" s="1140">
        <v>46569</v>
      </c>
      <c r="AC5" s="1140">
        <v>46600</v>
      </c>
      <c r="AD5" s="1140">
        <v>46631</v>
      </c>
      <c r="AE5" s="1140">
        <v>46661</v>
      </c>
      <c r="AF5" s="1141"/>
      <c r="AH5" s="1135"/>
    </row>
    <row r="6" spans="1:34" s="108" customFormat="1" ht="13" x14ac:dyDescent="0.35">
      <c r="A6" s="1130"/>
      <c r="B6" s="1138" t="s">
        <v>639</v>
      </c>
      <c r="C6" s="122"/>
      <c r="D6" s="1142"/>
      <c r="E6" s="1143"/>
      <c r="F6" s="1143"/>
      <c r="G6" s="1134"/>
      <c r="K6" s="1144" t="s">
        <v>640</v>
      </c>
      <c r="L6" s="1144" t="s">
        <v>641</v>
      </c>
      <c r="M6" s="1144" t="s">
        <v>642</v>
      </c>
      <c r="N6" s="1144" t="s">
        <v>643</v>
      </c>
      <c r="O6" s="1144" t="s">
        <v>644</v>
      </c>
      <c r="P6" s="1144" t="s">
        <v>645</v>
      </c>
      <c r="Q6" s="1144" t="s">
        <v>646</v>
      </c>
      <c r="R6" s="1144" t="s">
        <v>647</v>
      </c>
      <c r="S6" s="1144" t="s">
        <v>648</v>
      </c>
      <c r="T6" s="1144" t="s">
        <v>649</v>
      </c>
      <c r="U6" s="1144" t="s">
        <v>650</v>
      </c>
      <c r="V6" s="1144" t="s">
        <v>651</v>
      </c>
      <c r="W6" s="1144" t="s">
        <v>652</v>
      </c>
      <c r="X6" s="1144" t="s">
        <v>653</v>
      </c>
      <c r="Y6" s="1144" t="s">
        <v>654</v>
      </c>
      <c r="Z6" s="1144" t="s">
        <v>655</v>
      </c>
      <c r="AA6" s="1144" t="s">
        <v>656</v>
      </c>
      <c r="AB6" s="1144" t="s">
        <v>657</v>
      </c>
      <c r="AC6" s="1144" t="s">
        <v>658</v>
      </c>
      <c r="AD6" s="1144" t="s">
        <v>659</v>
      </c>
      <c r="AE6" s="1144" t="s">
        <v>660</v>
      </c>
      <c r="AF6" s="1145"/>
      <c r="AH6" s="1135"/>
    </row>
    <row r="7" spans="1:34" ht="13" x14ac:dyDescent="0.3">
      <c r="A7" s="1146" t="s">
        <v>56</v>
      </c>
      <c r="B7" s="1147" t="s">
        <v>58</v>
      </c>
      <c r="C7" s="128" t="s">
        <v>59</v>
      </c>
      <c r="D7" s="1148" t="s">
        <v>60</v>
      </c>
      <c r="E7" s="1149" t="s">
        <v>66</v>
      </c>
      <c r="F7" s="1149" t="s">
        <v>25</v>
      </c>
      <c r="K7" s="1151"/>
      <c r="L7" s="1151"/>
      <c r="M7" s="1151"/>
      <c r="N7" s="1151"/>
      <c r="O7" s="1151"/>
      <c r="P7" s="1152"/>
      <c r="Q7" s="1152"/>
      <c r="R7" s="1152"/>
      <c r="S7" s="1152"/>
      <c r="T7" s="1152"/>
      <c r="U7" s="1152"/>
      <c r="V7" s="1152"/>
      <c r="W7" s="1152"/>
      <c r="X7" s="1152"/>
      <c r="Y7" s="1152"/>
      <c r="Z7" s="1152"/>
      <c r="AA7" s="1152"/>
      <c r="AB7" s="1152"/>
      <c r="AC7" s="1152"/>
      <c r="AD7" s="1152"/>
      <c r="AE7" s="1152"/>
      <c r="AF7" s="1153"/>
    </row>
    <row r="8" spans="1:34" s="1159" customFormat="1" ht="13" x14ac:dyDescent="0.3">
      <c r="A8" s="1146">
        <v>1</v>
      </c>
      <c r="B8" s="1154" t="str">
        <f>'[10]Estructura De Costos'!B20</f>
        <v>Descripcion</v>
      </c>
      <c r="C8" s="139"/>
      <c r="D8" s="1155"/>
      <c r="E8" s="1156"/>
      <c r="F8" s="1156"/>
      <c r="G8" s="1157">
        <f>SUM(F9:F17)</f>
        <v>307445.50086926325</v>
      </c>
      <c r="H8" s="1158">
        <f>+G8/$G$18</f>
        <v>1</v>
      </c>
      <c r="K8" s="1160"/>
      <c r="L8" s="1160"/>
      <c r="M8" s="1160"/>
      <c r="N8" s="1160"/>
      <c r="O8" s="1160"/>
      <c r="P8" s="1160"/>
      <c r="Q8" s="1160"/>
      <c r="R8" s="1160"/>
      <c r="S8" s="1160"/>
      <c r="T8" s="1160"/>
      <c r="U8" s="1160"/>
      <c r="V8" s="1160"/>
      <c r="W8" s="1160"/>
      <c r="X8" s="1160"/>
      <c r="Y8" s="1160"/>
      <c r="Z8" s="1160"/>
      <c r="AA8" s="1160"/>
      <c r="AB8" s="1160"/>
      <c r="AC8" s="1160"/>
      <c r="AD8" s="1161"/>
      <c r="AE8" s="1161"/>
      <c r="AF8" s="1162"/>
      <c r="AH8" s="1163"/>
    </row>
    <row r="9" spans="1:34" ht="13" outlineLevel="1" x14ac:dyDescent="0.3">
      <c r="A9" s="1164">
        <v>1.01</v>
      </c>
      <c r="B9" s="1165" t="str">
        <f>'[10]Estructura De Costos'!B21</f>
        <v>Proyecto</v>
      </c>
      <c r="C9" s="1166" t="s">
        <v>69</v>
      </c>
      <c r="D9" s="186">
        <v>1</v>
      </c>
      <c r="E9" s="1167">
        <f>'[10]Estructura De Costos'!D21</f>
        <v>22496.01225872658</v>
      </c>
      <c r="F9" s="1167">
        <f t="shared" ref="F9:F17" si="0">+E9*D9</f>
        <v>22496.01225872658</v>
      </c>
      <c r="G9" s="1168"/>
      <c r="H9" s="1169"/>
      <c r="K9" s="1170"/>
      <c r="L9" s="1171">
        <v>2.5000000000000001E-2</v>
      </c>
      <c r="M9" s="1171">
        <v>2.5000000000000001E-2</v>
      </c>
      <c r="N9" s="1171">
        <v>2.5000000000000001E-2</v>
      </c>
      <c r="O9" s="1171">
        <v>2.5000000000000001E-2</v>
      </c>
      <c r="P9" s="1171">
        <v>2.5000000000000001E-2</v>
      </c>
      <c r="Q9" s="1171">
        <v>2.5000000000000001E-2</v>
      </c>
      <c r="R9" s="1171">
        <v>2.5000000000000001E-2</v>
      </c>
      <c r="S9" s="1171">
        <v>2.5000000000000001E-2</v>
      </c>
      <c r="T9" s="1171">
        <v>2.5000000000000001E-2</v>
      </c>
      <c r="U9" s="1171">
        <v>2.5000000000000001E-2</v>
      </c>
      <c r="V9" s="1171">
        <v>2.5000000000000001E-2</v>
      </c>
      <c r="W9" s="1171">
        <v>2.5000000000000001E-2</v>
      </c>
      <c r="X9" s="1171">
        <v>2.5000000000000001E-2</v>
      </c>
      <c r="Y9" s="1171">
        <v>2.5000000000000001E-2</v>
      </c>
      <c r="Z9" s="1171">
        <v>2.5000000000000001E-2</v>
      </c>
      <c r="AA9" s="1171">
        <v>2.5000000000000001E-2</v>
      </c>
      <c r="AB9" s="1171">
        <v>2.5000000000000001E-2</v>
      </c>
      <c r="AC9" s="1171">
        <v>2.5000000000000001E-2</v>
      </c>
      <c r="AD9" s="1171">
        <v>2.5000000000000001E-2</v>
      </c>
      <c r="AE9" s="1171">
        <v>2.5000000000000001E-2</v>
      </c>
      <c r="AF9" s="1170">
        <f>SUM(L9:AE9)</f>
        <v>0.50000000000000011</v>
      </c>
    </row>
    <row r="10" spans="1:34" ht="13" outlineLevel="1" x14ac:dyDescent="0.3">
      <c r="A10" s="1172">
        <v>1.02</v>
      </c>
      <c r="B10" s="1165" t="str">
        <f>'[10]Estructura De Costos'!B22</f>
        <v>Direccion</v>
      </c>
      <c r="C10" s="1173" t="s">
        <v>69</v>
      </c>
      <c r="D10" s="168">
        <v>1</v>
      </c>
      <c r="E10" s="1174">
        <f>'[10]Estructura De Costos'!D22</f>
        <v>44992.024517453159</v>
      </c>
      <c r="F10" s="1174">
        <f t="shared" si="0"/>
        <v>44992.024517453159</v>
      </c>
      <c r="G10" s="1168"/>
      <c r="H10" s="1169"/>
      <c r="K10" s="1170"/>
      <c r="L10" s="1170">
        <v>0.05</v>
      </c>
      <c r="M10" s="1170">
        <f>$L$10</f>
        <v>0.05</v>
      </c>
      <c r="N10" s="1170">
        <f t="shared" ref="N10:AE11" si="1">$L$10</f>
        <v>0.05</v>
      </c>
      <c r="O10" s="1170">
        <f t="shared" si="1"/>
        <v>0.05</v>
      </c>
      <c r="P10" s="1170">
        <f t="shared" si="1"/>
        <v>0.05</v>
      </c>
      <c r="Q10" s="1170">
        <f t="shared" si="1"/>
        <v>0.05</v>
      </c>
      <c r="R10" s="1170">
        <f t="shared" si="1"/>
        <v>0.05</v>
      </c>
      <c r="S10" s="1170">
        <f t="shared" si="1"/>
        <v>0.05</v>
      </c>
      <c r="T10" s="1170">
        <f t="shared" si="1"/>
        <v>0.05</v>
      </c>
      <c r="U10" s="1170">
        <f t="shared" si="1"/>
        <v>0.05</v>
      </c>
      <c r="V10" s="1170">
        <f t="shared" si="1"/>
        <v>0.05</v>
      </c>
      <c r="W10" s="1170">
        <f t="shared" si="1"/>
        <v>0.05</v>
      </c>
      <c r="X10" s="1170">
        <f t="shared" si="1"/>
        <v>0.05</v>
      </c>
      <c r="Y10" s="1170">
        <f t="shared" si="1"/>
        <v>0.05</v>
      </c>
      <c r="Z10" s="1170">
        <f t="shared" si="1"/>
        <v>0.05</v>
      </c>
      <c r="AA10" s="1170">
        <f t="shared" si="1"/>
        <v>0.05</v>
      </c>
      <c r="AB10" s="1170">
        <f t="shared" si="1"/>
        <v>0.05</v>
      </c>
      <c r="AC10" s="1170">
        <f t="shared" si="1"/>
        <v>0.05</v>
      </c>
      <c r="AD10" s="1170">
        <f t="shared" si="1"/>
        <v>0.05</v>
      </c>
      <c r="AE10" s="1170">
        <f t="shared" si="1"/>
        <v>0.05</v>
      </c>
      <c r="AF10" s="1170">
        <f t="shared" ref="AF10:AF12" si="2">SUM(L10:AE10)</f>
        <v>1.0000000000000002</v>
      </c>
      <c r="AG10" s="1128"/>
    </row>
    <row r="11" spans="1:34" ht="13" outlineLevel="1" x14ac:dyDescent="0.3">
      <c r="A11" s="1172">
        <v>1.03</v>
      </c>
      <c r="B11" s="1165" t="str">
        <f>'[10]Estructura De Costos'!B23</f>
        <v>Honorarios Desarrollo</v>
      </c>
      <c r="C11" s="166" t="s">
        <v>69</v>
      </c>
      <c r="D11" s="1175">
        <v>1</v>
      </c>
      <c r="E11" s="1174">
        <f>'[10]Estructura De Costos'!D23</f>
        <v>14997.34150581772</v>
      </c>
      <c r="F11" s="1174">
        <f t="shared" si="0"/>
        <v>14997.34150581772</v>
      </c>
      <c r="G11" s="1168"/>
      <c r="H11" s="1169"/>
      <c r="K11" s="1170"/>
      <c r="L11" s="1170">
        <v>0.05</v>
      </c>
      <c r="M11" s="1170">
        <f>$L$10</f>
        <v>0.05</v>
      </c>
      <c r="N11" s="1170">
        <f t="shared" si="1"/>
        <v>0.05</v>
      </c>
      <c r="O11" s="1170">
        <f t="shared" si="1"/>
        <v>0.05</v>
      </c>
      <c r="P11" s="1170">
        <f t="shared" si="1"/>
        <v>0.05</v>
      </c>
      <c r="Q11" s="1170">
        <f t="shared" si="1"/>
        <v>0.05</v>
      </c>
      <c r="R11" s="1170">
        <f t="shared" si="1"/>
        <v>0.05</v>
      </c>
      <c r="S11" s="1170">
        <f t="shared" si="1"/>
        <v>0.05</v>
      </c>
      <c r="T11" s="1170">
        <f t="shared" si="1"/>
        <v>0.05</v>
      </c>
      <c r="U11" s="1170">
        <f t="shared" si="1"/>
        <v>0.05</v>
      </c>
      <c r="V11" s="1170">
        <f t="shared" si="1"/>
        <v>0.05</v>
      </c>
      <c r="W11" s="1170">
        <f t="shared" si="1"/>
        <v>0.05</v>
      </c>
      <c r="X11" s="1170">
        <f t="shared" si="1"/>
        <v>0.05</v>
      </c>
      <c r="Y11" s="1170">
        <f t="shared" si="1"/>
        <v>0.05</v>
      </c>
      <c r="Z11" s="1170">
        <f t="shared" si="1"/>
        <v>0.05</v>
      </c>
      <c r="AA11" s="1170">
        <f t="shared" si="1"/>
        <v>0.05</v>
      </c>
      <c r="AB11" s="1170">
        <f t="shared" si="1"/>
        <v>0.05</v>
      </c>
      <c r="AC11" s="1170">
        <f t="shared" si="1"/>
        <v>0.05</v>
      </c>
      <c r="AD11" s="1170">
        <f t="shared" si="1"/>
        <v>0.05</v>
      </c>
      <c r="AE11" s="1170">
        <f t="shared" si="1"/>
        <v>0.05</v>
      </c>
      <c r="AF11" s="1170">
        <f t="shared" si="2"/>
        <v>1.0000000000000002</v>
      </c>
      <c r="AG11" s="1128"/>
    </row>
    <row r="12" spans="1:34" ht="13" outlineLevel="1" x14ac:dyDescent="0.3">
      <c r="A12" s="1172">
        <v>1.04</v>
      </c>
      <c r="B12" s="1165" t="str">
        <f>'[10]Estructura De Costos'!B24</f>
        <v>Gastos Admin. Fideicomiso</v>
      </c>
      <c r="C12" s="166" t="s">
        <v>69</v>
      </c>
      <c r="D12" s="1175">
        <v>1</v>
      </c>
      <c r="E12" s="1174">
        <f>'[10]Estructura De Costos'!D24</f>
        <v>67488.036776179739</v>
      </c>
      <c r="F12" s="1174">
        <f t="shared" si="0"/>
        <v>67488.036776179739</v>
      </c>
      <c r="G12" s="1168"/>
      <c r="H12" s="1169"/>
      <c r="J12" s="1128"/>
      <c r="K12" s="1170"/>
      <c r="L12" s="1171">
        <v>2.5000000000000001E-2</v>
      </c>
      <c r="M12" s="1171">
        <v>2.5000000000000001E-2</v>
      </c>
      <c r="N12" s="1171">
        <v>2.5000000000000001E-2</v>
      </c>
      <c r="O12" s="1171">
        <v>2.5000000000000001E-2</v>
      </c>
      <c r="P12" s="1171">
        <v>2.5000000000000001E-2</v>
      </c>
      <c r="Q12" s="1171">
        <v>2.5000000000000001E-2</v>
      </c>
      <c r="R12" s="1171">
        <v>2.5000000000000001E-2</v>
      </c>
      <c r="S12" s="1171">
        <v>2.5000000000000001E-2</v>
      </c>
      <c r="T12" s="1171">
        <v>2.5000000000000001E-2</v>
      </c>
      <c r="U12" s="1171">
        <v>2.5000000000000001E-2</v>
      </c>
      <c r="V12" s="1171">
        <v>2.5000000000000001E-2</v>
      </c>
      <c r="W12" s="1171">
        <v>2.5000000000000001E-2</v>
      </c>
      <c r="X12" s="1171">
        <v>2.5000000000000001E-2</v>
      </c>
      <c r="Y12" s="1171">
        <v>2.5000000000000001E-2</v>
      </c>
      <c r="Z12" s="1171">
        <v>2.5000000000000001E-2</v>
      </c>
      <c r="AA12" s="1171">
        <v>2.5000000000000001E-2</v>
      </c>
      <c r="AB12" s="1171">
        <v>2.5000000000000001E-2</v>
      </c>
      <c r="AC12" s="1171">
        <v>2.5000000000000001E-2</v>
      </c>
      <c r="AD12" s="1171">
        <v>2.5000000000000001E-2</v>
      </c>
      <c r="AE12" s="1171">
        <v>2.5000000000000001E-2</v>
      </c>
      <c r="AF12" s="1170">
        <f t="shared" si="2"/>
        <v>0.50000000000000011</v>
      </c>
      <c r="AG12" s="1128"/>
    </row>
    <row r="13" spans="1:34" ht="13" outlineLevel="1" x14ac:dyDescent="0.3">
      <c r="A13" s="1172">
        <v>1.05</v>
      </c>
      <c r="B13" s="1165" t="str">
        <f>'[10]Estructura De Costos'!B25</f>
        <v>Derecho Construccion</v>
      </c>
      <c r="C13" s="166" t="s">
        <v>69</v>
      </c>
      <c r="D13" s="1175">
        <v>1</v>
      </c>
      <c r="E13" s="1174">
        <f>'[10]Estructura De Costos'!D25</f>
        <v>22496.01225872658</v>
      </c>
      <c r="F13" s="1174">
        <f t="shared" si="0"/>
        <v>22496.01225872658</v>
      </c>
      <c r="G13" s="1168"/>
      <c r="H13" s="1169"/>
      <c r="J13" s="1128"/>
      <c r="K13" s="1170"/>
      <c r="L13" s="1171"/>
      <c r="M13" s="1171"/>
      <c r="N13" s="1171"/>
      <c r="O13" s="1171"/>
      <c r="P13" s="1171"/>
      <c r="Q13" s="1171"/>
      <c r="R13" s="1171"/>
      <c r="S13" s="1171"/>
      <c r="T13" s="1171"/>
      <c r="U13" s="1171"/>
      <c r="V13" s="1171"/>
      <c r="W13" s="1171"/>
      <c r="X13" s="1171"/>
      <c r="Y13" s="1171"/>
      <c r="Z13" s="1171"/>
      <c r="AA13" s="1171"/>
      <c r="AB13" s="1171"/>
      <c r="AC13" s="1171"/>
      <c r="AD13" s="1171"/>
      <c r="AE13" s="1171"/>
      <c r="AF13" s="1170"/>
      <c r="AG13" s="1128"/>
    </row>
    <row r="14" spans="1:34" ht="13" outlineLevel="1" x14ac:dyDescent="0.3">
      <c r="A14" s="1172">
        <v>1.06</v>
      </c>
      <c r="B14" s="1165" t="str">
        <f>'[10]Estructura De Costos'!B26</f>
        <v>Gestion Municipal</v>
      </c>
      <c r="C14" s="166" t="s">
        <v>69</v>
      </c>
      <c r="D14" s="1175">
        <v>1</v>
      </c>
      <c r="E14" s="1174">
        <f>'[10]Estructura De Costos'!D26</f>
        <v>14997.34150581772</v>
      </c>
      <c r="F14" s="1174">
        <f t="shared" si="0"/>
        <v>14997.34150581772</v>
      </c>
      <c r="G14" s="1168"/>
      <c r="H14" s="1169"/>
      <c r="J14" s="1128"/>
      <c r="K14" s="1170"/>
      <c r="L14" s="1171"/>
      <c r="M14" s="1171"/>
      <c r="N14" s="1171"/>
      <c r="O14" s="1171"/>
      <c r="P14" s="1171"/>
      <c r="Q14" s="1171"/>
      <c r="R14" s="1171"/>
      <c r="S14" s="1171"/>
      <c r="T14" s="1171"/>
      <c r="U14" s="1171"/>
      <c r="V14" s="1171"/>
      <c r="W14" s="1171"/>
      <c r="X14" s="1171"/>
      <c r="Y14" s="1171"/>
      <c r="Z14" s="1171"/>
      <c r="AA14" s="1171"/>
      <c r="AB14" s="1171"/>
      <c r="AC14" s="1171"/>
      <c r="AD14" s="1171"/>
      <c r="AE14" s="1171"/>
      <c r="AF14" s="1170"/>
      <c r="AG14" s="1128"/>
    </row>
    <row r="15" spans="1:34" ht="13" outlineLevel="1" x14ac:dyDescent="0.3">
      <c r="A15" s="1172">
        <v>1.07</v>
      </c>
      <c r="B15" s="1165" t="str">
        <f>'[10]Estructura De Costos'!B27</f>
        <v>Fee Ventas</v>
      </c>
      <c r="C15" s="166" t="s">
        <v>69</v>
      </c>
      <c r="D15" s="1175">
        <v>1</v>
      </c>
      <c r="E15" s="1174">
        <f>'[10]Estructura De Costos'!D27</f>
        <v>44992.024517453159</v>
      </c>
      <c r="F15" s="1174">
        <f t="shared" si="0"/>
        <v>44992.024517453159</v>
      </c>
      <c r="G15" s="1168"/>
      <c r="H15" s="1169"/>
      <c r="J15" s="1128"/>
      <c r="K15" s="1170"/>
      <c r="L15" s="1171"/>
      <c r="M15" s="1171"/>
      <c r="N15" s="1171"/>
      <c r="O15" s="1171"/>
      <c r="P15" s="1171"/>
      <c r="Q15" s="1171"/>
      <c r="R15" s="1171"/>
      <c r="S15" s="1171"/>
      <c r="T15" s="1171"/>
      <c r="U15" s="1171"/>
      <c r="V15" s="1171"/>
      <c r="W15" s="1171"/>
      <c r="X15" s="1171"/>
      <c r="Y15" s="1171"/>
      <c r="Z15" s="1171"/>
      <c r="AA15" s="1171"/>
      <c r="AB15" s="1171"/>
      <c r="AC15" s="1171"/>
      <c r="AD15" s="1171"/>
      <c r="AE15" s="1171"/>
      <c r="AF15" s="1170"/>
      <c r="AG15" s="1128"/>
    </row>
    <row r="16" spans="1:34" ht="13" outlineLevel="1" x14ac:dyDescent="0.3">
      <c r="A16" s="1172">
        <v>1.08</v>
      </c>
      <c r="B16" s="1165" t="str">
        <f>'[10]Estructura De Costos'!B28</f>
        <v>Marketing</v>
      </c>
      <c r="C16" s="166" t="s">
        <v>69</v>
      </c>
      <c r="D16" s="1175">
        <v>1</v>
      </c>
      <c r="E16" s="1174">
        <f>'[10]Estructura De Costos'!D28</f>
        <v>0</v>
      </c>
      <c r="F16" s="1174">
        <f t="shared" si="0"/>
        <v>0</v>
      </c>
      <c r="G16" s="1168"/>
      <c r="H16" s="1169"/>
      <c r="J16" s="1128"/>
      <c r="K16" s="1170"/>
      <c r="L16" s="1171"/>
      <c r="M16" s="1171"/>
      <c r="N16" s="1171"/>
      <c r="O16" s="1171"/>
      <c r="P16" s="1171"/>
      <c r="Q16" s="1171"/>
      <c r="R16" s="1171"/>
      <c r="S16" s="1171"/>
      <c r="T16" s="1171"/>
      <c r="U16" s="1171"/>
      <c r="V16" s="1171"/>
      <c r="W16" s="1171"/>
      <c r="X16" s="1171"/>
      <c r="Y16" s="1171"/>
      <c r="Z16" s="1171"/>
      <c r="AA16" s="1171"/>
      <c r="AB16" s="1171"/>
      <c r="AC16" s="1171"/>
      <c r="AD16" s="1171"/>
      <c r="AE16" s="1171"/>
      <c r="AF16" s="1170"/>
      <c r="AG16" s="1128"/>
    </row>
    <row r="17" spans="1:34" ht="13" outlineLevel="1" x14ac:dyDescent="0.3">
      <c r="A17" s="1172">
        <v>1.0900000000000001</v>
      </c>
      <c r="B17" s="1165" t="str">
        <f>'[10]Estructura De Costos'!B29</f>
        <v>Imprevistos</v>
      </c>
      <c r="C17" s="166" t="s">
        <v>69</v>
      </c>
      <c r="D17" s="1175">
        <v>1</v>
      </c>
      <c r="E17" s="1174">
        <f>'[10]Estructura De Costos'!D29</f>
        <v>74986.707529088599</v>
      </c>
      <c r="F17" s="1174">
        <f t="shared" si="0"/>
        <v>74986.707529088599</v>
      </c>
      <c r="G17" s="1168"/>
      <c r="H17" s="1169"/>
      <c r="K17" s="1170"/>
      <c r="L17" s="1170"/>
      <c r="M17" s="1170"/>
      <c r="N17" s="1170"/>
      <c r="O17" s="1170"/>
      <c r="P17" s="1170"/>
      <c r="Q17" s="1170"/>
      <c r="R17" s="1170"/>
      <c r="S17" s="1170"/>
      <c r="T17" s="1170"/>
      <c r="U17" s="1170"/>
      <c r="V17" s="1170"/>
      <c r="W17" s="1176"/>
      <c r="X17" s="1170"/>
      <c r="Y17" s="1170"/>
      <c r="Z17" s="1170"/>
      <c r="AA17" s="1170"/>
      <c r="AB17" s="1177"/>
      <c r="AC17" s="1177"/>
      <c r="AD17" s="1177"/>
      <c r="AE17" s="1177"/>
      <c r="AF17" s="1170">
        <f>SUM(L17:AE17)</f>
        <v>0</v>
      </c>
      <c r="AG17" s="1128"/>
    </row>
    <row r="18" spans="1:34" s="1181" customFormat="1" ht="13" x14ac:dyDescent="0.3">
      <c r="A18" s="1146"/>
      <c r="B18" s="1178" t="s">
        <v>661</v>
      </c>
      <c r="C18" s="139"/>
      <c r="D18" s="1155"/>
      <c r="E18" s="1156"/>
      <c r="F18" s="1179">
        <f>SUM(F8:F17)</f>
        <v>307445.50086926325</v>
      </c>
      <c r="G18" s="1180">
        <f>SUM(G8:G17)</f>
        <v>307445.50086926325</v>
      </c>
      <c r="H18" s="1169">
        <f>+G18/$G$18</f>
        <v>1</v>
      </c>
      <c r="K18" s="1170"/>
      <c r="L18" s="1170"/>
      <c r="M18" s="1170"/>
      <c r="N18" s="1170"/>
      <c r="O18" s="1170"/>
      <c r="P18" s="1170"/>
      <c r="Q18" s="1170"/>
      <c r="R18" s="1170"/>
      <c r="S18" s="1170"/>
      <c r="T18" s="1170"/>
      <c r="U18" s="1170"/>
      <c r="V18" s="1170"/>
      <c r="W18" s="1170"/>
      <c r="X18" s="1170"/>
      <c r="Y18" s="1170"/>
      <c r="Z18" s="1170"/>
      <c r="AA18" s="1170"/>
      <c r="AB18" s="1177"/>
      <c r="AC18" s="1177"/>
      <c r="AD18" s="1177"/>
      <c r="AE18" s="1177"/>
      <c r="AF18" s="1182"/>
      <c r="AH18" s="1183"/>
    </row>
    <row r="19" spans="1:34" s="1181" customFormat="1" ht="13" x14ac:dyDescent="0.3">
      <c r="A19" s="1184"/>
      <c r="B19" s="1185"/>
      <c r="C19" s="1186"/>
      <c r="D19" s="1187"/>
      <c r="E19" s="1188"/>
      <c r="F19" s="1188"/>
      <c r="G19" s="1189"/>
      <c r="H19" s="1169"/>
      <c r="K19" s="609" t="s">
        <v>662</v>
      </c>
      <c r="L19" s="609">
        <f>+SUMPRODUCT($F$9:$F$17,L9:L17)</f>
        <v>5249.069527036203</v>
      </c>
      <c r="M19" s="609">
        <f t="shared" ref="M19:AE19" si="3">+SUMPRODUCT($F$9:$F$17,M9:M17)</f>
        <v>5249.069527036203</v>
      </c>
      <c r="N19" s="609">
        <f t="shared" si="3"/>
        <v>5249.069527036203</v>
      </c>
      <c r="O19" s="609">
        <f t="shared" si="3"/>
        <v>5249.069527036203</v>
      </c>
      <c r="P19" s="609">
        <f t="shared" si="3"/>
        <v>5249.069527036203</v>
      </c>
      <c r="Q19" s="609">
        <f t="shared" si="3"/>
        <v>5249.069527036203</v>
      </c>
      <c r="R19" s="609">
        <f t="shared" si="3"/>
        <v>5249.069527036203</v>
      </c>
      <c r="S19" s="609">
        <f t="shared" si="3"/>
        <v>5249.069527036203</v>
      </c>
      <c r="T19" s="609">
        <f t="shared" si="3"/>
        <v>5249.069527036203</v>
      </c>
      <c r="U19" s="609">
        <f t="shared" si="3"/>
        <v>5249.069527036203</v>
      </c>
      <c r="V19" s="609">
        <f t="shared" si="3"/>
        <v>5249.069527036203</v>
      </c>
      <c r="W19" s="609">
        <f t="shared" si="3"/>
        <v>5249.069527036203</v>
      </c>
      <c r="X19" s="609">
        <f t="shared" si="3"/>
        <v>5249.069527036203</v>
      </c>
      <c r="Y19" s="609">
        <f t="shared" si="3"/>
        <v>5249.069527036203</v>
      </c>
      <c r="Z19" s="609">
        <f t="shared" si="3"/>
        <v>5249.069527036203</v>
      </c>
      <c r="AA19" s="609">
        <f t="shared" si="3"/>
        <v>5249.069527036203</v>
      </c>
      <c r="AB19" s="609">
        <f t="shared" si="3"/>
        <v>5249.069527036203</v>
      </c>
      <c r="AC19" s="609">
        <f t="shared" si="3"/>
        <v>5249.069527036203</v>
      </c>
      <c r="AD19" s="609">
        <f t="shared" si="3"/>
        <v>5249.069527036203</v>
      </c>
      <c r="AE19" s="609">
        <f t="shared" si="3"/>
        <v>5249.069527036203</v>
      </c>
      <c r="AF19" s="1190">
        <f>SUM(L19:AE19)</f>
        <v>104981.39054072408</v>
      </c>
      <c r="AH19" s="1183"/>
    </row>
    <row r="20" spans="1:34" ht="12.75" customHeight="1" x14ac:dyDescent="0.3">
      <c r="A20" s="1191"/>
      <c r="B20" s="1192" t="s">
        <v>663</v>
      </c>
      <c r="C20" s="1193"/>
      <c r="D20" s="1194">
        <v>0.05</v>
      </c>
      <c r="E20" s="1195">
        <f>'[10]Estructura De Costos'!D16</f>
        <v>380016.00000000006</v>
      </c>
      <c r="F20" s="1195">
        <f>+E20*D20</f>
        <v>19000.800000000003</v>
      </c>
      <c r="G20" s="1196"/>
      <c r="K20" s="609" t="s">
        <v>429</v>
      </c>
      <c r="L20" s="609">
        <f>+L19</f>
        <v>5249.069527036203</v>
      </c>
      <c r="M20" s="609">
        <f>+L20+M19</f>
        <v>10498.139054072406</v>
      </c>
      <c r="N20" s="609">
        <f t="shared" ref="N20:AE20" si="4">+M20+N19</f>
        <v>15747.208581108609</v>
      </c>
      <c r="O20" s="609">
        <f t="shared" si="4"/>
        <v>20996.278108144812</v>
      </c>
      <c r="P20" s="609">
        <f t="shared" si="4"/>
        <v>26245.347635181017</v>
      </c>
      <c r="Q20" s="609">
        <f t="shared" si="4"/>
        <v>31494.417162217222</v>
      </c>
      <c r="R20" s="609">
        <f t="shared" si="4"/>
        <v>36743.486689253426</v>
      </c>
      <c r="S20" s="609">
        <f t="shared" si="4"/>
        <v>41992.556216289631</v>
      </c>
      <c r="T20" s="609">
        <f t="shared" si="4"/>
        <v>47241.625743325836</v>
      </c>
      <c r="U20" s="609">
        <f t="shared" si="4"/>
        <v>52490.695270362041</v>
      </c>
      <c r="V20" s="609">
        <f t="shared" si="4"/>
        <v>57739.764797398246</v>
      </c>
      <c r="W20" s="609">
        <f t="shared" si="4"/>
        <v>62988.834324434451</v>
      </c>
      <c r="X20" s="609">
        <f t="shared" si="4"/>
        <v>68237.903851470648</v>
      </c>
      <c r="Y20" s="609">
        <f t="shared" si="4"/>
        <v>73486.973378506853</v>
      </c>
      <c r="Z20" s="609">
        <f t="shared" si="4"/>
        <v>78736.042905543058</v>
      </c>
      <c r="AA20" s="609">
        <f t="shared" si="4"/>
        <v>83985.112432579263</v>
      </c>
      <c r="AB20" s="609">
        <f t="shared" si="4"/>
        <v>89234.181959615467</v>
      </c>
      <c r="AC20" s="609">
        <f t="shared" si="4"/>
        <v>94483.251486651672</v>
      </c>
      <c r="AD20" s="609">
        <f t="shared" si="4"/>
        <v>99732.321013687877</v>
      </c>
      <c r="AE20" s="609">
        <f t="shared" si="4"/>
        <v>104981.39054072408</v>
      </c>
      <c r="AF20" s="1197"/>
    </row>
    <row r="21" spans="1:34" ht="12.75" customHeight="1" x14ac:dyDescent="0.3">
      <c r="H21" s="1169"/>
      <c r="J21" s="1198"/>
      <c r="K21" s="1199"/>
      <c r="L21" s="1182">
        <f t="shared" ref="L21:AE21" si="5">L20/$G$18</f>
        <v>1.7073170731707322E-2</v>
      </c>
      <c r="M21" s="1182">
        <f t="shared" si="5"/>
        <v>3.4146341463414644E-2</v>
      </c>
      <c r="N21" s="1182">
        <f t="shared" si="5"/>
        <v>5.1219512195121962E-2</v>
      </c>
      <c r="O21" s="1182">
        <f t="shared" si="5"/>
        <v>6.8292682926829287E-2</v>
      </c>
      <c r="P21" s="1182">
        <f t="shared" si="5"/>
        <v>8.5365853658536606E-2</v>
      </c>
      <c r="Q21" s="1182">
        <f t="shared" si="5"/>
        <v>0.10243902439024394</v>
      </c>
      <c r="R21" s="1182">
        <f t="shared" si="5"/>
        <v>0.11951219512195126</v>
      </c>
      <c r="S21" s="1182">
        <f t="shared" si="5"/>
        <v>0.1365853658536586</v>
      </c>
      <c r="T21" s="1182">
        <f t="shared" si="5"/>
        <v>0.15365853658536591</v>
      </c>
      <c r="U21" s="1182">
        <f t="shared" si="5"/>
        <v>0.17073170731707324</v>
      </c>
      <c r="V21" s="1182">
        <f t="shared" si="5"/>
        <v>0.18780487804878057</v>
      </c>
      <c r="W21" s="1182">
        <f t="shared" si="5"/>
        <v>0.2048780487804879</v>
      </c>
      <c r="X21" s="1182">
        <f t="shared" si="5"/>
        <v>0.22195121951219521</v>
      </c>
      <c r="Y21" s="1182">
        <f t="shared" si="5"/>
        <v>0.23902439024390251</v>
      </c>
      <c r="Z21" s="1182">
        <f t="shared" si="5"/>
        <v>0.25609756097560987</v>
      </c>
      <c r="AA21" s="1182">
        <f t="shared" si="5"/>
        <v>0.2731707317073172</v>
      </c>
      <c r="AB21" s="1182">
        <f t="shared" si="5"/>
        <v>0.29024390243902448</v>
      </c>
      <c r="AC21" s="1182">
        <f t="shared" si="5"/>
        <v>0.30731707317073181</v>
      </c>
      <c r="AD21" s="1182">
        <f t="shared" si="5"/>
        <v>0.32439024390243915</v>
      </c>
      <c r="AE21" s="1182">
        <f t="shared" si="5"/>
        <v>0.34146341463414648</v>
      </c>
      <c r="AF21" s="1125"/>
    </row>
  </sheetData>
  <conditionalFormatting sqref="C3:C19">
    <cfRule type="cellIs" dxfId="4" priority="1" operator="equal">
      <formula>"x"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D5C5-BFB3-4935-9CF2-2613F5870D31}">
  <sheetPr>
    <tabColor rgb="FF66FFFF"/>
  </sheetPr>
  <dimension ref="B4:E33"/>
  <sheetViews>
    <sheetView workbookViewId="0">
      <selection activeCell="A5" sqref="A5"/>
    </sheetView>
  </sheetViews>
  <sheetFormatPr defaultColWidth="11.453125" defaultRowHeight="14.5" x14ac:dyDescent="0.35"/>
  <cols>
    <col min="1" max="1" width="2.1796875" customWidth="1"/>
  </cols>
  <sheetData>
    <row r="4" spans="2:5" x14ac:dyDescent="0.35">
      <c r="B4" s="822" t="s">
        <v>551</v>
      </c>
    </row>
    <row r="5" spans="2:5" x14ac:dyDescent="0.35">
      <c r="B5" s="823" t="s">
        <v>552</v>
      </c>
      <c r="C5" s="823" t="s">
        <v>553</v>
      </c>
      <c r="D5" s="823" t="s">
        <v>554</v>
      </c>
      <c r="E5" s="823" t="s">
        <v>555</v>
      </c>
    </row>
    <row r="6" spans="2:5" x14ac:dyDescent="0.35">
      <c r="B6" s="824">
        <v>45778</v>
      </c>
      <c r="C6" s="825">
        <v>16521.3</v>
      </c>
      <c r="D6" s="825"/>
      <c r="E6" s="826">
        <f t="shared" ref="E6:E19" si="0">$C$6/C6</f>
        <v>1</v>
      </c>
    </row>
    <row r="7" spans="2:5" x14ac:dyDescent="0.35">
      <c r="B7" s="828">
        <v>45809</v>
      </c>
      <c r="C7" s="829">
        <v>16643.400000000001</v>
      </c>
      <c r="D7" s="829"/>
      <c r="E7" s="827">
        <f t="shared" si="0"/>
        <v>0.99266375860701528</v>
      </c>
    </row>
    <row r="8" spans="2:5" x14ac:dyDescent="0.35">
      <c r="B8" s="828">
        <v>45839</v>
      </c>
      <c r="C8" s="829">
        <v>16939.5</v>
      </c>
      <c r="D8" s="829"/>
      <c r="E8" s="827">
        <f t="shared" si="0"/>
        <v>0.97531214026388025</v>
      </c>
    </row>
    <row r="9" spans="2:5" x14ac:dyDescent="0.35">
      <c r="B9" s="828">
        <v>45870</v>
      </c>
      <c r="C9" s="829">
        <v>17187.599999999999</v>
      </c>
      <c r="D9" s="829"/>
      <c r="E9" s="827">
        <f t="shared" si="0"/>
        <v>0.96123368009495225</v>
      </c>
    </row>
    <row r="10" spans="2:5" x14ac:dyDescent="0.35">
      <c r="B10" s="828">
        <v>45901</v>
      </c>
      <c r="C10" s="829">
        <v>17762.3</v>
      </c>
      <c r="D10" s="829"/>
      <c r="E10" s="827">
        <f t="shared" si="0"/>
        <v>0.9301329219751947</v>
      </c>
    </row>
    <row r="11" spans="2:5" x14ac:dyDescent="0.35">
      <c r="B11" s="828">
        <v>45931</v>
      </c>
      <c r="C11" s="829">
        <v>18172.8</v>
      </c>
      <c r="D11" s="829"/>
      <c r="E11" s="827">
        <f t="shared" si="0"/>
        <v>0.90912242472266247</v>
      </c>
    </row>
    <row r="12" spans="2:5" x14ac:dyDescent="0.35">
      <c r="B12" s="828">
        <v>45962</v>
      </c>
      <c r="C12" s="829">
        <v>18534.900000000001</v>
      </c>
      <c r="D12" s="829"/>
      <c r="E12" s="827">
        <f t="shared" si="0"/>
        <v>0.89136170143890703</v>
      </c>
    </row>
    <row r="13" spans="2:5" x14ac:dyDescent="0.35">
      <c r="B13" s="828">
        <v>45992</v>
      </c>
      <c r="C13" s="829">
        <v>18776.5</v>
      </c>
      <c r="D13" s="829"/>
      <c r="E13" s="827">
        <f t="shared" si="0"/>
        <v>0.87989241871488288</v>
      </c>
    </row>
    <row r="14" spans="2:5" x14ac:dyDescent="0.35">
      <c r="B14" s="828">
        <v>46023</v>
      </c>
      <c r="C14" s="829">
        <v>19209.400000000001</v>
      </c>
      <c r="D14" s="829"/>
      <c r="E14" s="827">
        <f t="shared" si="0"/>
        <v>0.86006330234156181</v>
      </c>
    </row>
    <row r="15" spans="2:5" x14ac:dyDescent="0.35">
      <c r="B15" s="828">
        <v>46054</v>
      </c>
      <c r="C15" s="829">
        <v>19453</v>
      </c>
      <c r="D15" s="829"/>
      <c r="E15" s="827">
        <f t="shared" si="0"/>
        <v>0.84929316814887157</v>
      </c>
    </row>
    <row r="16" spans="2:5" x14ac:dyDescent="0.35">
      <c r="B16" s="828">
        <v>46082</v>
      </c>
      <c r="C16" s="829">
        <v>19771.2</v>
      </c>
      <c r="D16" s="829">
        <v>19771.2</v>
      </c>
      <c r="E16" s="1204">
        <f t="shared" si="0"/>
        <v>0.83562454479242532</v>
      </c>
    </row>
    <row r="17" spans="2:5" x14ac:dyDescent="0.35">
      <c r="B17" s="831">
        <v>46113</v>
      </c>
      <c r="C17" s="830">
        <v>20138.793405782737</v>
      </c>
      <c r="D17" s="830">
        <v>20138.793405782737</v>
      </c>
      <c r="E17" s="827">
        <f t="shared" si="0"/>
        <v>0.82037188957189489</v>
      </c>
    </row>
    <row r="18" spans="2:5" x14ac:dyDescent="0.35">
      <c r="B18" s="831">
        <v>46143</v>
      </c>
      <c r="C18" s="830">
        <v>20471.346217654242</v>
      </c>
      <c r="D18" s="830">
        <v>20471.346217654242</v>
      </c>
      <c r="E18" s="827">
        <f t="shared" si="0"/>
        <v>0.80704511683517077</v>
      </c>
    </row>
    <row r="19" spans="2:5" x14ac:dyDescent="0.35">
      <c r="B19" s="831">
        <v>46174</v>
      </c>
      <c r="C19" s="830">
        <v>20471.346217654242</v>
      </c>
      <c r="D19" s="830">
        <v>20471.346217654242</v>
      </c>
      <c r="E19" s="827">
        <f t="shared" si="0"/>
        <v>0.80704511683517077</v>
      </c>
    </row>
    <row r="20" spans="2:5" x14ac:dyDescent="0.35">
      <c r="B20" s="828"/>
      <c r="C20" s="829"/>
      <c r="D20" s="829"/>
      <c r="E20" s="827"/>
    </row>
    <row r="21" spans="2:5" x14ac:dyDescent="0.35">
      <c r="B21" s="828"/>
      <c r="C21" s="829"/>
      <c r="D21" s="829"/>
      <c r="E21" s="827"/>
    </row>
    <row r="22" spans="2:5" x14ac:dyDescent="0.35">
      <c r="B22" s="828"/>
      <c r="C22" s="829"/>
      <c r="D22" s="829"/>
      <c r="E22" s="827"/>
    </row>
    <row r="23" spans="2:5" x14ac:dyDescent="0.35">
      <c r="B23" s="828"/>
      <c r="C23" s="829"/>
      <c r="D23" s="829"/>
      <c r="E23" s="827"/>
    </row>
    <row r="24" spans="2:5" x14ac:dyDescent="0.35">
      <c r="B24" s="828"/>
      <c r="C24" s="829"/>
      <c r="D24" s="829"/>
      <c r="E24" s="827"/>
    </row>
    <row r="25" spans="2:5" x14ac:dyDescent="0.35">
      <c r="B25" s="828"/>
      <c r="C25" s="829"/>
      <c r="D25" s="829"/>
      <c r="E25" s="827"/>
    </row>
    <row r="33" ht="14.25" customHeight="1" x14ac:dyDescent="0.35"/>
  </sheetData>
  <pageMargins left="0.7" right="0.7" top="0.75" bottom="0.75" header="0.3" footer="0.3"/>
  <ignoredErrors>
    <ignoredError sqref="D16:D19" calculatedColumn="1"/>
  </ignoredErrors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6903-E7B1-4025-A102-AE777BD16B3D}">
  <sheetPr>
    <tabColor rgb="FFC6EFCE"/>
  </sheetPr>
  <dimension ref="B1:K39"/>
  <sheetViews>
    <sheetView showGridLines="0" workbookViewId="0">
      <selection activeCell="F8" sqref="F8"/>
    </sheetView>
  </sheetViews>
  <sheetFormatPr defaultColWidth="11.453125" defaultRowHeight="14.5" x14ac:dyDescent="0.35"/>
  <cols>
    <col min="1" max="1" width="4.453125" style="787" customWidth="1"/>
    <col min="2" max="2" width="24.81640625" style="801" customWidth="1"/>
    <col min="3" max="3" width="11" style="787" bestFit="1" customWidth="1"/>
    <col min="4" max="4" width="11" style="787" customWidth="1"/>
    <col min="5" max="16384" width="11.453125" style="787"/>
  </cols>
  <sheetData>
    <row r="1" spans="2:11" ht="15" thickBot="1" x14ac:dyDescent="0.4">
      <c r="B1" s="786" t="s">
        <v>506</v>
      </c>
      <c r="J1" s="718" t="s">
        <v>477</v>
      </c>
      <c r="K1" s="788">
        <v>46174</v>
      </c>
    </row>
    <row r="2" spans="2:11" x14ac:dyDescent="0.35">
      <c r="B2" s="789" t="s">
        <v>509</v>
      </c>
    </row>
    <row r="4" spans="2:11" s="792" customFormat="1" x14ac:dyDescent="0.35">
      <c r="B4" s="790" t="s">
        <v>510</v>
      </c>
      <c r="C4" s="791">
        <v>45962</v>
      </c>
      <c r="D4" s="791">
        <v>45992</v>
      </c>
      <c r="E4" s="791">
        <v>46023</v>
      </c>
      <c r="F4" s="791">
        <v>46054</v>
      </c>
      <c r="G4" s="791">
        <v>46082</v>
      </c>
      <c r="H4" s="791">
        <v>46113</v>
      </c>
      <c r="I4" s="791">
        <v>46143</v>
      </c>
    </row>
    <row r="5" spans="2:11" s="792" customFormat="1" x14ac:dyDescent="0.35">
      <c r="B5" s="793" t="s">
        <v>467</v>
      </c>
      <c r="C5" s="794"/>
      <c r="D5" s="794"/>
      <c r="E5" s="794"/>
      <c r="F5" s="794">
        <v>517195</v>
      </c>
      <c r="G5" s="794">
        <v>826285.90999999992</v>
      </c>
      <c r="H5" s="794">
        <v>517195</v>
      </c>
      <c r="I5" s="794">
        <v>1195790</v>
      </c>
    </row>
    <row r="6" spans="2:11" s="792" customFormat="1" x14ac:dyDescent="0.35">
      <c r="B6" s="793" t="s">
        <v>470</v>
      </c>
      <c r="C6" s="794"/>
      <c r="D6" s="794"/>
      <c r="E6" s="794"/>
      <c r="F6" s="794"/>
      <c r="G6" s="794">
        <v>2800000</v>
      </c>
      <c r="H6" s="794">
        <v>2867000</v>
      </c>
      <c r="I6" s="794">
        <v>2850000</v>
      </c>
    </row>
    <row r="7" spans="2:11" s="792" customFormat="1" x14ac:dyDescent="0.35">
      <c r="B7" s="793" t="s">
        <v>463</v>
      </c>
      <c r="C7" s="794"/>
      <c r="D7" s="794"/>
      <c r="E7" s="794"/>
      <c r="F7" s="794"/>
      <c r="G7" s="794">
        <f>SUM(Contratistas!C15:C16)</f>
        <v>730000</v>
      </c>
      <c r="H7" s="794"/>
      <c r="I7" s="794"/>
    </row>
    <row r="8" spans="2:11" s="792" customFormat="1" x14ac:dyDescent="0.35">
      <c r="B8" s="793" t="s">
        <v>462</v>
      </c>
      <c r="C8" s="796"/>
      <c r="D8" s="795"/>
      <c r="E8" s="795">
        <v>939182.1</v>
      </c>
      <c r="F8" s="795">
        <f>1019988.94+Contratistas!C7</f>
        <v>1539988.94</v>
      </c>
      <c r="G8" s="795">
        <v>3125044.33</v>
      </c>
      <c r="H8" s="795">
        <f>214909.88+Contratistas!C8</f>
        <v>734909.88</v>
      </c>
      <c r="I8" s="795"/>
    </row>
    <row r="9" spans="2:11" s="792" customFormat="1" x14ac:dyDescent="0.35">
      <c r="B9" s="793" t="s">
        <v>469</v>
      </c>
      <c r="C9" s="796"/>
      <c r="D9" s="795"/>
      <c r="E9" s="795"/>
      <c r="F9" s="795"/>
      <c r="G9" s="795">
        <v>639742.64</v>
      </c>
      <c r="H9" s="795">
        <v>716525.59000000008</v>
      </c>
      <c r="I9" s="795">
        <v>38016.53</v>
      </c>
    </row>
    <row r="10" spans="2:11" s="792" customFormat="1" x14ac:dyDescent="0.35">
      <c r="B10" s="797" t="s">
        <v>465</v>
      </c>
      <c r="C10" s="798"/>
      <c r="D10" s="798"/>
      <c r="E10" s="798"/>
      <c r="F10" s="798"/>
      <c r="G10" s="798"/>
      <c r="H10" s="798">
        <f>Contratistas!C34</f>
        <v>1310000</v>
      </c>
      <c r="I10" s="798"/>
    </row>
    <row r="11" spans="2:11" s="792" customFormat="1" x14ac:dyDescent="0.35">
      <c r="B11" s="793" t="s">
        <v>511</v>
      </c>
      <c r="C11" s="794"/>
      <c r="D11" s="794"/>
      <c r="E11" s="794"/>
      <c r="F11" s="794"/>
      <c r="G11" s="794">
        <f>16836280+(Contratistas!C23*Contratistas!G20)</f>
        <v>20721535.848283812</v>
      </c>
      <c r="H11" s="794">
        <f>475908.53+(SUM(Contratistas!C24:D25)*Contratistas!G20)</f>
        <v>4488122.5672478229</v>
      </c>
      <c r="I11" s="794" cm="1">
        <f t="array" ref="I11">12023059.99+SUM(Contratistas!C27:C28*Contratistas!G20)</f>
        <v>13222352.312243165</v>
      </c>
    </row>
    <row r="12" spans="2:11" s="792" customFormat="1" x14ac:dyDescent="0.35">
      <c r="B12" s="793" t="s">
        <v>512</v>
      </c>
      <c r="C12" s="794"/>
      <c r="D12" s="794"/>
      <c r="E12" s="794"/>
      <c r="F12" s="794"/>
      <c r="G12" s="794">
        <f>SUM(Contratistas!C23*Contratistas!H20)+SUM('Horm M.O.'!M13:M14)</f>
        <v>19211836.143142872</v>
      </c>
      <c r="H12" s="794">
        <f>SUM(Contratistas!C24:D25)*Contratistas!H20+SUM('Horm M.O.'!M15:M16)</f>
        <v>19661613.146096487</v>
      </c>
      <c r="I12" s="794" cm="1">
        <f t="array" ref="I12">13672616.05+SUM(Contratistas!C27:C28*Contratistas!H20)+SUM('Horm M.O.'!M17:M18)</f>
        <v>30526435.960802212</v>
      </c>
    </row>
    <row r="13" spans="2:11" s="792" customFormat="1" x14ac:dyDescent="0.35">
      <c r="B13" s="793" t="s">
        <v>532</v>
      </c>
      <c r="C13" s="794"/>
      <c r="D13" s="794"/>
      <c r="E13" s="794"/>
      <c r="F13" s="794">
        <v>48248.1</v>
      </c>
      <c r="G13" s="794">
        <v>95942.03</v>
      </c>
      <c r="H13" s="794">
        <v>371787.39999999997</v>
      </c>
      <c r="I13" s="794">
        <v>171269.97</v>
      </c>
    </row>
    <row r="14" spans="2:11" s="792" customFormat="1" x14ac:dyDescent="0.35">
      <c r="B14" s="793" t="s">
        <v>533</v>
      </c>
      <c r="C14" s="794"/>
      <c r="D14" s="794"/>
      <c r="E14" s="794"/>
      <c r="F14" s="794"/>
      <c r="G14" s="794"/>
      <c r="H14" s="794">
        <f>250000+SUM('Alba M.O. '!M11:M12)</f>
        <v>2330315.6988138175</v>
      </c>
      <c r="I14" s="794"/>
    </row>
    <row r="15" spans="2:11" s="792" customFormat="1" x14ac:dyDescent="0.35">
      <c r="B15" s="797" t="s">
        <v>464</v>
      </c>
      <c r="C15" s="795"/>
      <c r="D15" s="795"/>
      <c r="E15" s="795"/>
      <c r="F15" s="795">
        <v>247000</v>
      </c>
      <c r="G15" s="795">
        <v>227000</v>
      </c>
      <c r="H15" s="795">
        <v>1101000</v>
      </c>
      <c r="I15" s="795">
        <v>1520000</v>
      </c>
    </row>
    <row r="16" spans="2:11" s="792" customFormat="1" x14ac:dyDescent="0.35">
      <c r="B16" s="797" t="s">
        <v>495</v>
      </c>
      <c r="C16" s="795"/>
      <c r="D16" s="795"/>
      <c r="E16" s="795"/>
      <c r="F16" s="795"/>
      <c r="G16" s="795"/>
      <c r="H16" s="795"/>
      <c r="I16" s="795">
        <v>702737.42243214278</v>
      </c>
    </row>
    <row r="17" spans="2:9" s="792" customFormat="1" x14ac:dyDescent="0.35">
      <c r="B17" s="799" t="s">
        <v>24</v>
      </c>
      <c r="C17" s="800">
        <f>SUM(C5:C16)</f>
        <v>0</v>
      </c>
      <c r="D17" s="800">
        <f t="shared" ref="D17:I17" si="0">SUM(D5:D16)</f>
        <v>0</v>
      </c>
      <c r="E17" s="800">
        <f t="shared" si="0"/>
        <v>939182.1</v>
      </c>
      <c r="F17" s="800">
        <f t="shared" si="0"/>
        <v>2352432.04</v>
      </c>
      <c r="G17" s="800">
        <f t="shared" si="0"/>
        <v>48377386.901426688</v>
      </c>
      <c r="H17" s="800">
        <f t="shared" si="0"/>
        <v>34098469.282158121</v>
      </c>
      <c r="I17" s="800">
        <f t="shared" si="0"/>
        <v>50226602.195477515</v>
      </c>
    </row>
    <row r="19" spans="2:9" x14ac:dyDescent="0.35">
      <c r="B19" s="802" t="s">
        <v>513</v>
      </c>
      <c r="C19" s="791">
        <v>45962</v>
      </c>
      <c r="D19" s="791">
        <v>45992</v>
      </c>
      <c r="E19" s="791">
        <v>46023</v>
      </c>
      <c r="F19" s="791">
        <v>46054</v>
      </c>
      <c r="G19" s="791">
        <v>46082</v>
      </c>
      <c r="H19" s="791">
        <v>46113</v>
      </c>
      <c r="I19" s="791">
        <v>46143</v>
      </c>
    </row>
    <row r="20" spans="2:9" x14ac:dyDescent="0.35">
      <c r="B20" s="803" t="s">
        <v>514</v>
      </c>
      <c r="C20" s="804"/>
      <c r="D20" s="804"/>
      <c r="E20" s="804"/>
      <c r="F20" s="804"/>
      <c r="G20" s="804"/>
      <c r="H20" s="804"/>
      <c r="I20" s="804"/>
    </row>
    <row r="21" spans="2:9" x14ac:dyDescent="0.35">
      <c r="B21" s="803" t="s">
        <v>515</v>
      </c>
      <c r="C21" s="804"/>
      <c r="D21" s="804"/>
      <c r="E21" s="804"/>
      <c r="F21" s="804"/>
      <c r="G21" s="804"/>
      <c r="H21" s="804"/>
      <c r="I21" s="804"/>
    </row>
    <row r="22" spans="2:9" x14ac:dyDescent="0.35">
      <c r="B22" s="803" t="s">
        <v>516</v>
      </c>
      <c r="C22" s="804"/>
      <c r="D22" s="804"/>
      <c r="E22" s="804"/>
      <c r="F22" s="804"/>
      <c r="G22" s="804"/>
      <c r="H22" s="804"/>
      <c r="I22" s="804"/>
    </row>
    <row r="23" spans="2:9" x14ac:dyDescent="0.35">
      <c r="B23" s="803" t="s">
        <v>517</v>
      </c>
      <c r="C23" s="805"/>
      <c r="D23" s="805"/>
      <c r="E23" s="805"/>
      <c r="F23" s="805"/>
      <c r="G23" s="805"/>
      <c r="H23" s="805"/>
      <c r="I23" s="805"/>
    </row>
    <row r="24" spans="2:9" x14ac:dyDescent="0.35">
      <c r="B24" s="803" t="s">
        <v>518</v>
      </c>
      <c r="C24" s="805"/>
      <c r="D24" s="805"/>
      <c r="E24" s="805"/>
      <c r="F24" s="805"/>
      <c r="G24" s="805"/>
      <c r="H24" s="805"/>
      <c r="I24" s="805"/>
    </row>
    <row r="25" spans="2:9" x14ac:dyDescent="0.35">
      <c r="B25" s="803" t="s">
        <v>519</v>
      </c>
      <c r="C25" s="805"/>
      <c r="D25" s="805"/>
      <c r="E25" s="805"/>
      <c r="F25" s="805"/>
      <c r="G25" s="805"/>
      <c r="H25" s="805"/>
      <c r="I25" s="805"/>
    </row>
    <row r="26" spans="2:9" x14ac:dyDescent="0.35">
      <c r="B26" s="806" t="s">
        <v>520</v>
      </c>
      <c r="C26" s="805"/>
      <c r="D26" s="805"/>
      <c r="E26" s="805"/>
      <c r="F26" s="805"/>
      <c r="G26" s="805"/>
      <c r="H26" s="805"/>
      <c r="I26" s="805"/>
    </row>
    <row r="27" spans="2:9" x14ac:dyDescent="0.35">
      <c r="B27" s="803" t="s">
        <v>521</v>
      </c>
      <c r="C27" s="805"/>
      <c r="D27" s="805"/>
      <c r="E27" s="805"/>
      <c r="F27" s="805"/>
      <c r="G27" s="805">
        <v>1259725.2774484754</v>
      </c>
      <c r="H27" s="805">
        <v>1330801.9738381784</v>
      </c>
      <c r="I27" s="805">
        <v>994750.56568802462</v>
      </c>
    </row>
    <row r="28" spans="2:9" x14ac:dyDescent="0.35">
      <c r="B28" s="803" t="s">
        <v>522</v>
      </c>
      <c r="C28" s="805"/>
      <c r="D28" s="805"/>
      <c r="E28" s="805"/>
      <c r="F28" s="805"/>
      <c r="G28" s="805">
        <v>261562.80000000002</v>
      </c>
      <c r="H28" s="805">
        <v>266794</v>
      </c>
      <c r="I28" s="805">
        <v>271596.2</v>
      </c>
    </row>
    <row r="29" spans="2:9" x14ac:dyDescent="0.35">
      <c r="B29" s="803" t="s">
        <v>523</v>
      </c>
      <c r="C29" s="805"/>
      <c r="D29" s="805"/>
      <c r="E29" s="805"/>
      <c r="F29" s="805"/>
      <c r="G29" s="805"/>
      <c r="H29" s="805"/>
      <c r="I29" s="805"/>
    </row>
    <row r="30" spans="2:9" x14ac:dyDescent="0.35">
      <c r="B30" s="803" t="s">
        <v>524</v>
      </c>
      <c r="C30" s="805"/>
      <c r="D30" s="805"/>
      <c r="E30" s="805"/>
      <c r="F30" s="805"/>
      <c r="G30" s="805"/>
      <c r="H30" s="805"/>
      <c r="I30" s="805"/>
    </row>
    <row r="31" spans="2:9" x14ac:dyDescent="0.35">
      <c r="B31" s="803" t="s">
        <v>525</v>
      </c>
      <c r="C31" s="805"/>
      <c r="D31" s="805"/>
      <c r="E31" s="805"/>
      <c r="F31" s="805"/>
      <c r="G31" s="805"/>
      <c r="H31" s="805"/>
      <c r="I31" s="805"/>
    </row>
    <row r="32" spans="2:9" x14ac:dyDescent="0.35">
      <c r="B32" s="803" t="s">
        <v>526</v>
      </c>
      <c r="C32" s="805"/>
      <c r="D32" s="805"/>
      <c r="E32" s="805"/>
      <c r="F32" s="805"/>
      <c r="G32" s="805"/>
      <c r="H32" s="805"/>
      <c r="I32" s="805">
        <v>469667.88554734678</v>
      </c>
    </row>
    <row r="33" spans="2:9" x14ac:dyDescent="0.35">
      <c r="B33" s="807" t="s">
        <v>498</v>
      </c>
      <c r="C33" s="808">
        <f t="shared" ref="C33:H33" si="1">SUM(C20:C32)</f>
        <v>0</v>
      </c>
      <c r="D33" s="808">
        <f t="shared" si="1"/>
        <v>0</v>
      </c>
      <c r="E33" s="808">
        <f t="shared" si="1"/>
        <v>0</v>
      </c>
      <c r="F33" s="808">
        <f t="shared" si="1"/>
        <v>0</v>
      </c>
      <c r="G33" s="808">
        <f t="shared" si="1"/>
        <v>1521288.0774484754</v>
      </c>
      <c r="H33" s="808">
        <f t="shared" si="1"/>
        <v>1597595.9738381784</v>
      </c>
      <c r="I33" s="808">
        <f t="shared" ref="I33" si="2">SUM(I20:I32)</f>
        <v>1736014.6512353714</v>
      </c>
    </row>
    <row r="34" spans="2:9" x14ac:dyDescent="0.35">
      <c r="B34" s="809"/>
      <c r="C34"/>
      <c r="D34"/>
      <c r="E34"/>
      <c r="F34"/>
      <c r="G34"/>
      <c r="H34"/>
      <c r="I34"/>
    </row>
    <row r="35" spans="2:9" x14ac:dyDescent="0.35">
      <c r="B35" s="802" t="s">
        <v>527</v>
      </c>
      <c r="C35" s="791">
        <v>45962</v>
      </c>
      <c r="D35" s="791">
        <v>45992</v>
      </c>
      <c r="E35" s="791">
        <v>46023</v>
      </c>
      <c r="F35" s="791">
        <v>46054</v>
      </c>
      <c r="G35" s="791">
        <v>46082</v>
      </c>
      <c r="H35" s="791">
        <v>46113</v>
      </c>
      <c r="I35" s="791">
        <v>46143</v>
      </c>
    </row>
    <row r="36" spans="2:9" x14ac:dyDescent="0.35">
      <c r="B36" s="803" t="s">
        <v>528</v>
      </c>
      <c r="C36" s="810"/>
      <c r="D36" s="810"/>
      <c r="E36" s="810"/>
      <c r="F36" s="810"/>
      <c r="G36" s="810">
        <v>625000.05000000005</v>
      </c>
      <c r="H36" s="810">
        <v>625000.05000000005</v>
      </c>
      <c r="I36" s="810">
        <v>625000</v>
      </c>
    </row>
    <row r="37" spans="2:9" x14ac:dyDescent="0.35">
      <c r="B37" s="803" t="s">
        <v>529</v>
      </c>
      <c r="C37" s="811"/>
      <c r="D37" s="811"/>
      <c r="E37" s="811"/>
      <c r="F37" s="811"/>
      <c r="G37" s="811"/>
      <c r="H37" s="811"/>
      <c r="I37" s="811"/>
    </row>
    <row r="38" spans="2:9" x14ac:dyDescent="0.35">
      <c r="B38" s="803" t="s">
        <v>530</v>
      </c>
      <c r="C38" s="804"/>
      <c r="D38" s="804"/>
      <c r="E38" s="804"/>
      <c r="F38" s="804"/>
      <c r="G38" s="804">
        <v>1109248.1436634737</v>
      </c>
      <c r="H38" s="804">
        <v>1261946.3497616951</v>
      </c>
      <c r="I38" s="804">
        <v>1208735.9101816267</v>
      </c>
    </row>
    <row r="39" spans="2:9" x14ac:dyDescent="0.35">
      <c r="B39" s="807" t="s">
        <v>499</v>
      </c>
      <c r="C39" s="808">
        <f t="shared" ref="C39:H39" si="3">SUM(C36:C38)</f>
        <v>0</v>
      </c>
      <c r="D39" s="808">
        <f t="shared" si="3"/>
        <v>0</v>
      </c>
      <c r="E39" s="808">
        <f t="shared" si="3"/>
        <v>0</v>
      </c>
      <c r="F39" s="808">
        <f t="shared" si="3"/>
        <v>0</v>
      </c>
      <c r="G39" s="808">
        <f t="shared" si="3"/>
        <v>1734248.1936634737</v>
      </c>
      <c r="H39" s="808">
        <f t="shared" si="3"/>
        <v>1886946.3997616952</v>
      </c>
      <c r="I39" s="808">
        <f t="shared" ref="I39" si="4">SUM(I36:I38)</f>
        <v>1833735.9101816267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AE75-02CD-4340-AD6B-5FF9D563AFE1}">
  <sheetPr>
    <tabColor rgb="FFC6EFCE"/>
  </sheetPr>
  <dimension ref="B1:K46"/>
  <sheetViews>
    <sheetView showGridLines="0" topLeftCell="A12" workbookViewId="0">
      <selection activeCell="M23" sqref="M23"/>
    </sheetView>
  </sheetViews>
  <sheetFormatPr defaultColWidth="11.453125" defaultRowHeight="14.5" x14ac:dyDescent="0.35"/>
  <cols>
    <col min="1" max="1" width="4.453125" style="787" customWidth="1"/>
    <col min="2" max="2" width="27.1796875" style="801" customWidth="1"/>
    <col min="3" max="3" width="11" style="787" bestFit="1" customWidth="1"/>
    <col min="4" max="16384" width="11.453125" style="787"/>
  </cols>
  <sheetData>
    <row r="1" spans="2:11" ht="15" thickBot="1" x14ac:dyDescent="0.4">
      <c r="B1" s="786" t="s">
        <v>506</v>
      </c>
      <c r="J1" s="718" t="s">
        <v>477</v>
      </c>
      <c r="K1" s="788">
        <v>46133</v>
      </c>
    </row>
    <row r="2" spans="2:11" x14ac:dyDescent="0.35">
      <c r="B2" s="812" t="s">
        <v>531</v>
      </c>
    </row>
    <row r="4" spans="2:11" s="792" customFormat="1" x14ac:dyDescent="0.35">
      <c r="B4" s="790" t="s">
        <v>510</v>
      </c>
      <c r="C4" s="791">
        <v>45962</v>
      </c>
      <c r="D4" s="791">
        <v>45992</v>
      </c>
      <c r="E4" s="791">
        <v>46023</v>
      </c>
      <c r="F4" s="791">
        <v>46054</v>
      </c>
      <c r="G4" s="791">
        <v>46082</v>
      </c>
      <c r="H4" s="791">
        <v>46113</v>
      </c>
      <c r="I4" s="791">
        <v>46143</v>
      </c>
    </row>
    <row r="5" spans="2:11" s="792" customFormat="1" x14ac:dyDescent="0.35">
      <c r="B5" s="793" t="s">
        <v>470</v>
      </c>
      <c r="C5" s="794"/>
      <c r="D5" s="794"/>
      <c r="E5" s="794"/>
      <c r="F5" s="794"/>
      <c r="G5" s="794"/>
      <c r="H5" s="794"/>
      <c r="I5" s="794"/>
    </row>
    <row r="6" spans="2:11" s="792" customFormat="1" x14ac:dyDescent="0.35">
      <c r="B6" s="793" t="s">
        <v>467</v>
      </c>
      <c r="C6" s="794"/>
      <c r="D6" s="794"/>
      <c r="E6" s="794"/>
      <c r="F6" s="794"/>
      <c r="G6" s="794"/>
      <c r="H6" s="794"/>
      <c r="I6" s="794"/>
    </row>
    <row r="7" spans="2:11" s="792" customFormat="1" x14ac:dyDescent="0.35">
      <c r="B7" s="797" t="s">
        <v>469</v>
      </c>
      <c r="C7" s="794"/>
      <c r="D7" s="794"/>
      <c r="E7" s="794"/>
      <c r="F7" s="794"/>
      <c r="G7" s="794"/>
      <c r="H7" s="794"/>
      <c r="I7" s="794"/>
    </row>
    <row r="8" spans="2:11" s="792" customFormat="1" x14ac:dyDescent="0.35">
      <c r="B8" s="793" t="s">
        <v>532</v>
      </c>
      <c r="C8" s="794"/>
      <c r="D8" s="794"/>
      <c r="E8" s="794"/>
      <c r="F8" s="794"/>
      <c r="G8" s="794"/>
      <c r="H8" s="794"/>
      <c r="I8" s="794"/>
    </row>
    <row r="9" spans="2:11" s="792" customFormat="1" x14ac:dyDescent="0.35">
      <c r="B9" s="793" t="s">
        <v>533</v>
      </c>
      <c r="C9" s="794"/>
      <c r="D9" s="794"/>
      <c r="E9" s="794"/>
      <c r="F9" s="794"/>
      <c r="G9" s="794"/>
      <c r="H9" s="794"/>
      <c r="I9" s="794"/>
    </row>
    <row r="10" spans="2:11" s="792" customFormat="1" x14ac:dyDescent="0.35">
      <c r="B10" s="813" t="s">
        <v>534</v>
      </c>
      <c r="C10" s="794"/>
      <c r="D10" s="794"/>
      <c r="E10" s="794"/>
      <c r="F10" s="794"/>
      <c r="G10" s="794"/>
      <c r="H10" s="794"/>
      <c r="I10" s="794"/>
    </row>
    <row r="11" spans="2:11" s="792" customFormat="1" x14ac:dyDescent="0.35">
      <c r="B11" s="797" t="s">
        <v>535</v>
      </c>
      <c r="C11" s="794"/>
      <c r="D11" s="794"/>
      <c r="E11" s="794"/>
      <c r="F11" s="794"/>
      <c r="G11" s="794"/>
      <c r="H11" s="794"/>
      <c r="I11" s="794"/>
    </row>
    <row r="12" spans="2:11" s="792" customFormat="1" x14ac:dyDescent="0.35">
      <c r="B12" s="797" t="s">
        <v>536</v>
      </c>
      <c r="C12" s="795"/>
      <c r="D12" s="795"/>
      <c r="E12" s="795"/>
      <c r="F12" s="795"/>
      <c r="G12" s="795"/>
      <c r="H12" s="795"/>
      <c r="I12" s="795"/>
    </row>
    <row r="13" spans="2:11" s="792" customFormat="1" x14ac:dyDescent="0.35">
      <c r="B13" s="797" t="s">
        <v>537</v>
      </c>
      <c r="C13" s="795"/>
      <c r="D13" s="795"/>
      <c r="E13" s="795"/>
      <c r="F13" s="795"/>
      <c r="G13" s="795"/>
      <c r="H13" s="795"/>
      <c r="I13" s="795"/>
    </row>
    <row r="14" spans="2:11" s="792" customFormat="1" x14ac:dyDescent="0.35">
      <c r="B14" s="797" t="s">
        <v>538</v>
      </c>
      <c r="C14" s="795"/>
      <c r="D14" s="795"/>
      <c r="E14" s="795"/>
      <c r="F14" s="795"/>
      <c r="G14" s="795"/>
      <c r="H14" s="795"/>
      <c r="I14" s="795"/>
    </row>
    <row r="15" spans="2:11" s="792" customFormat="1" x14ac:dyDescent="0.35">
      <c r="B15" s="797" t="s">
        <v>539</v>
      </c>
      <c r="C15" s="795"/>
      <c r="D15" s="795"/>
      <c r="E15" s="795"/>
      <c r="F15" s="795"/>
      <c r="G15" s="795"/>
      <c r="H15" s="795"/>
      <c r="I15" s="795"/>
    </row>
    <row r="16" spans="2:11" s="792" customFormat="1" x14ac:dyDescent="0.35">
      <c r="B16" s="797" t="s">
        <v>540</v>
      </c>
      <c r="C16" s="795"/>
      <c r="D16" s="795"/>
      <c r="E16" s="795"/>
      <c r="F16" s="795"/>
      <c r="G16" s="795"/>
      <c r="H16" s="795"/>
      <c r="I16" s="795"/>
    </row>
    <row r="17" spans="2:9" s="792" customFormat="1" x14ac:dyDescent="0.35">
      <c r="B17" s="797" t="s">
        <v>541</v>
      </c>
      <c r="C17" s="795"/>
      <c r="D17" s="795"/>
      <c r="E17" s="795"/>
      <c r="F17" s="795"/>
      <c r="G17" s="795"/>
      <c r="H17" s="795"/>
      <c r="I17" s="795"/>
    </row>
    <row r="18" spans="2:9" s="792" customFormat="1" x14ac:dyDescent="0.35">
      <c r="B18" s="797" t="s">
        <v>542</v>
      </c>
      <c r="C18" s="795"/>
      <c r="D18" s="795"/>
      <c r="E18" s="795"/>
      <c r="F18" s="795"/>
      <c r="G18" s="795"/>
      <c r="H18" s="795"/>
      <c r="I18" s="795"/>
    </row>
    <row r="19" spans="2:9" s="792" customFormat="1" x14ac:dyDescent="0.35">
      <c r="B19" s="797" t="s">
        <v>543</v>
      </c>
      <c r="C19" s="795"/>
      <c r="D19" s="795"/>
      <c r="E19" s="795"/>
      <c r="F19" s="795"/>
      <c r="G19" s="795"/>
      <c r="H19" s="795"/>
      <c r="I19" s="795"/>
    </row>
    <row r="20" spans="2:9" s="792" customFormat="1" x14ac:dyDescent="0.35">
      <c r="B20" s="797" t="s">
        <v>544</v>
      </c>
      <c r="C20" s="795"/>
      <c r="D20" s="795"/>
      <c r="E20" s="795"/>
      <c r="F20" s="795"/>
      <c r="G20" s="795"/>
      <c r="H20" s="795"/>
      <c r="I20" s="795"/>
    </row>
    <row r="21" spans="2:9" s="792" customFormat="1" x14ac:dyDescent="0.35">
      <c r="B21" s="797" t="s">
        <v>545</v>
      </c>
      <c r="C21" s="795"/>
      <c r="D21" s="795"/>
      <c r="E21" s="795"/>
      <c r="F21" s="795"/>
      <c r="G21" s="795"/>
      <c r="H21" s="795"/>
      <c r="I21" s="795"/>
    </row>
    <row r="22" spans="2:9" s="792" customFormat="1" x14ac:dyDescent="0.35">
      <c r="B22" s="797" t="s">
        <v>495</v>
      </c>
      <c r="C22" s="795"/>
      <c r="D22" s="795"/>
      <c r="E22" s="795"/>
      <c r="F22" s="795"/>
      <c r="G22" s="795"/>
      <c r="H22" s="795"/>
      <c r="I22" s="795"/>
    </row>
    <row r="23" spans="2:9" s="792" customFormat="1" x14ac:dyDescent="0.35">
      <c r="B23" s="799" t="s">
        <v>24</v>
      </c>
      <c r="C23" s="800">
        <f t="shared" ref="C23:H23" si="0">SUM(C5:C22)</f>
        <v>0</v>
      </c>
      <c r="D23" s="800">
        <f t="shared" si="0"/>
        <v>0</v>
      </c>
      <c r="E23" s="800">
        <f t="shared" si="0"/>
        <v>0</v>
      </c>
      <c r="F23" s="800">
        <f t="shared" si="0"/>
        <v>0</v>
      </c>
      <c r="G23" s="800">
        <f t="shared" si="0"/>
        <v>0</v>
      </c>
      <c r="H23" s="800">
        <f t="shared" si="0"/>
        <v>0</v>
      </c>
      <c r="I23" s="800">
        <f t="shared" ref="I23" si="1">SUM(I5:I22)</f>
        <v>0</v>
      </c>
    </row>
    <row r="26" spans="2:9" x14ac:dyDescent="0.35">
      <c r="B26" s="802" t="s">
        <v>513</v>
      </c>
      <c r="C26" s="791">
        <v>45962</v>
      </c>
      <c r="D26" s="791">
        <v>45992</v>
      </c>
      <c r="E26" s="791">
        <v>46023</v>
      </c>
      <c r="F26" s="791">
        <v>46054</v>
      </c>
      <c r="G26" s="791">
        <v>46082</v>
      </c>
      <c r="H26" s="791">
        <v>46113</v>
      </c>
      <c r="I26" s="791">
        <v>46143</v>
      </c>
    </row>
    <row r="27" spans="2:9" x14ac:dyDescent="0.35">
      <c r="B27" s="803" t="s">
        <v>514</v>
      </c>
      <c r="C27" s="804"/>
      <c r="D27" s="804"/>
      <c r="E27" s="804"/>
      <c r="F27" s="804"/>
      <c r="G27" s="804"/>
      <c r="H27" s="804"/>
      <c r="I27" s="804"/>
    </row>
    <row r="28" spans="2:9" x14ac:dyDescent="0.35">
      <c r="B28" s="803" t="s">
        <v>515</v>
      </c>
      <c r="C28" s="804"/>
      <c r="D28" s="804"/>
      <c r="E28" s="804"/>
      <c r="F28" s="804"/>
      <c r="G28" s="804"/>
      <c r="H28" s="804"/>
      <c r="I28" s="804"/>
    </row>
    <row r="29" spans="2:9" x14ac:dyDescent="0.35">
      <c r="B29" s="803" t="s">
        <v>516</v>
      </c>
      <c r="C29" s="804"/>
      <c r="D29" s="804"/>
      <c r="E29" s="804"/>
      <c r="F29" s="804"/>
      <c r="G29" s="804"/>
      <c r="H29" s="804"/>
      <c r="I29" s="804"/>
    </row>
    <row r="30" spans="2:9" x14ac:dyDescent="0.35">
      <c r="B30" s="803" t="s">
        <v>517</v>
      </c>
      <c r="C30" s="805"/>
      <c r="D30" s="805"/>
      <c r="E30" s="805"/>
      <c r="F30" s="805"/>
      <c r="G30" s="805"/>
      <c r="H30" s="805"/>
      <c r="I30" s="805"/>
    </row>
    <row r="31" spans="2:9" x14ac:dyDescent="0.35">
      <c r="B31" s="803" t="s">
        <v>518</v>
      </c>
      <c r="C31" s="805"/>
      <c r="D31" s="805"/>
      <c r="E31" s="805"/>
      <c r="F31" s="805"/>
      <c r="G31" s="805"/>
      <c r="H31" s="805"/>
      <c r="I31" s="805"/>
    </row>
    <row r="32" spans="2:9" x14ac:dyDescent="0.35">
      <c r="B32" s="803" t="s">
        <v>519</v>
      </c>
      <c r="C32" s="805"/>
      <c r="D32" s="805"/>
      <c r="E32" s="805"/>
      <c r="F32" s="805"/>
      <c r="G32" s="805"/>
      <c r="H32" s="805"/>
      <c r="I32" s="805"/>
    </row>
    <row r="33" spans="2:9" x14ac:dyDescent="0.35">
      <c r="B33" s="803" t="s">
        <v>520</v>
      </c>
      <c r="C33" s="805"/>
      <c r="D33" s="805"/>
      <c r="E33" s="805"/>
      <c r="F33" s="805"/>
      <c r="G33" s="805"/>
      <c r="H33" s="805"/>
      <c r="I33" s="805"/>
    </row>
    <row r="34" spans="2:9" x14ac:dyDescent="0.35">
      <c r="B34" s="803" t="s">
        <v>521</v>
      </c>
      <c r="C34" s="805"/>
      <c r="D34" s="805"/>
      <c r="E34" s="805"/>
      <c r="F34" s="805"/>
      <c r="G34" s="805"/>
      <c r="H34" s="805"/>
      <c r="I34" s="805"/>
    </row>
    <row r="35" spans="2:9" x14ac:dyDescent="0.35">
      <c r="B35" s="803" t="s">
        <v>522</v>
      </c>
      <c r="C35" s="805"/>
      <c r="D35" s="805"/>
      <c r="E35" s="805"/>
      <c r="F35" s="805"/>
      <c r="G35" s="805"/>
      <c r="H35" s="805"/>
      <c r="I35" s="805"/>
    </row>
    <row r="36" spans="2:9" x14ac:dyDescent="0.35">
      <c r="B36" s="803" t="s">
        <v>523</v>
      </c>
      <c r="C36" s="805"/>
      <c r="D36" s="805"/>
      <c r="E36" s="805"/>
      <c r="F36" s="805"/>
      <c r="G36" s="805"/>
      <c r="H36" s="805"/>
      <c r="I36" s="805"/>
    </row>
    <row r="37" spans="2:9" x14ac:dyDescent="0.35">
      <c r="B37" s="803" t="s">
        <v>524</v>
      </c>
      <c r="C37" s="805"/>
      <c r="D37" s="805"/>
      <c r="E37" s="805"/>
      <c r="F37" s="805"/>
      <c r="G37" s="805"/>
      <c r="H37" s="805"/>
      <c r="I37" s="805"/>
    </row>
    <row r="38" spans="2:9" x14ac:dyDescent="0.35">
      <c r="B38" s="803" t="s">
        <v>525</v>
      </c>
      <c r="C38" s="805"/>
      <c r="D38" s="805"/>
      <c r="E38" s="805"/>
      <c r="F38" s="805"/>
      <c r="G38" s="805"/>
      <c r="H38" s="805"/>
      <c r="I38" s="805"/>
    </row>
    <row r="39" spans="2:9" x14ac:dyDescent="0.35">
      <c r="B39" s="803" t="s">
        <v>526</v>
      </c>
      <c r="C39" s="805"/>
      <c r="D39" s="805"/>
      <c r="E39" s="805"/>
      <c r="F39" s="805"/>
      <c r="G39" s="805"/>
      <c r="H39" s="805"/>
      <c r="I39" s="805"/>
    </row>
    <row r="40" spans="2:9" x14ac:dyDescent="0.35">
      <c r="B40" s="807" t="s">
        <v>498</v>
      </c>
      <c r="C40" s="808">
        <f t="shared" ref="C40:H40" si="2">SUM(C27:C39)</f>
        <v>0</v>
      </c>
      <c r="D40" s="808">
        <f t="shared" si="2"/>
        <v>0</v>
      </c>
      <c r="E40" s="808">
        <f t="shared" si="2"/>
        <v>0</v>
      </c>
      <c r="F40" s="808">
        <f t="shared" si="2"/>
        <v>0</v>
      </c>
      <c r="G40" s="808">
        <f t="shared" si="2"/>
        <v>0</v>
      </c>
      <c r="H40" s="808">
        <f t="shared" si="2"/>
        <v>0</v>
      </c>
      <c r="I40" s="808">
        <f t="shared" ref="I40" si="3">SUM(I27:I39)</f>
        <v>0</v>
      </c>
    </row>
    <row r="41" spans="2:9" x14ac:dyDescent="0.35">
      <c r="B41" s="809"/>
      <c r="C41"/>
      <c r="D41"/>
      <c r="E41"/>
      <c r="F41"/>
      <c r="G41"/>
      <c r="H41"/>
      <c r="I41"/>
    </row>
    <row r="42" spans="2:9" x14ac:dyDescent="0.35">
      <c r="B42" s="802" t="s">
        <v>527</v>
      </c>
      <c r="C42" s="791">
        <v>45962</v>
      </c>
      <c r="D42" s="791">
        <v>45992</v>
      </c>
      <c r="E42" s="791">
        <v>46023</v>
      </c>
      <c r="F42" s="791">
        <v>46054</v>
      </c>
      <c r="G42" s="791">
        <v>46082</v>
      </c>
      <c r="H42" s="791">
        <v>46113</v>
      </c>
      <c r="I42" s="791">
        <v>46143</v>
      </c>
    </row>
    <row r="43" spans="2:9" x14ac:dyDescent="0.35">
      <c r="B43" s="803" t="s">
        <v>528</v>
      </c>
      <c r="C43" s="811"/>
      <c r="D43" s="811"/>
      <c r="E43" s="811"/>
      <c r="F43" s="811"/>
      <c r="G43" s="811"/>
      <c r="H43" s="811"/>
      <c r="I43" s="811"/>
    </row>
    <row r="44" spans="2:9" x14ac:dyDescent="0.35">
      <c r="B44" s="803" t="s">
        <v>529</v>
      </c>
      <c r="C44" s="805"/>
      <c r="D44" s="805"/>
      <c r="E44" s="805"/>
      <c r="F44" s="805"/>
      <c r="G44" s="805"/>
      <c r="H44" s="805"/>
      <c r="I44" s="805"/>
    </row>
    <row r="45" spans="2:9" x14ac:dyDescent="0.35">
      <c r="B45" s="803" t="s">
        <v>530</v>
      </c>
      <c r="C45" s="804"/>
      <c r="D45" s="804"/>
      <c r="E45" s="804"/>
      <c r="F45" s="804"/>
      <c r="G45" s="804"/>
      <c r="H45" s="804"/>
      <c r="I45" s="804"/>
    </row>
    <row r="46" spans="2:9" x14ac:dyDescent="0.35">
      <c r="B46" s="807" t="s">
        <v>499</v>
      </c>
      <c r="C46" s="808">
        <f t="shared" ref="C46:H46" si="4">SUM(C43:C45)</f>
        <v>0</v>
      </c>
      <c r="D46" s="808">
        <f t="shared" si="4"/>
        <v>0</v>
      </c>
      <c r="E46" s="808">
        <f t="shared" si="4"/>
        <v>0</v>
      </c>
      <c r="F46" s="808">
        <f t="shared" si="4"/>
        <v>0</v>
      </c>
      <c r="G46" s="808">
        <f t="shared" si="4"/>
        <v>0</v>
      </c>
      <c r="H46" s="808">
        <f t="shared" si="4"/>
        <v>0</v>
      </c>
      <c r="I46" s="808">
        <f t="shared" ref="I46" si="5">SUM(I43:I45)</f>
        <v>0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AE6F-CEA3-42C9-889F-E11B8FA2160C}">
  <dimension ref="A1:BK100"/>
  <sheetViews>
    <sheetView zoomScaleNormal="100" workbookViewId="0"/>
  </sheetViews>
  <sheetFormatPr defaultColWidth="11.54296875" defaultRowHeight="13" outlineLevelRow="1" x14ac:dyDescent="0.3"/>
  <cols>
    <col min="1" max="1" width="6.54296875" style="442" bestFit="1" customWidth="1"/>
    <col min="2" max="2" width="69.453125" style="443" customWidth="1"/>
    <col min="3" max="3" width="5.26953125" style="444" bestFit="1" customWidth="1"/>
    <col min="4" max="4" width="6.54296875" style="445" bestFit="1" customWidth="1"/>
    <col min="5" max="5" width="11" style="446" bestFit="1" customWidth="1"/>
    <col min="6" max="6" width="12" style="446" bestFit="1" customWidth="1"/>
    <col min="7" max="7" width="14" style="471" bestFit="1" customWidth="1"/>
    <col min="8" max="8" width="5.26953125" style="448" bestFit="1" customWidth="1"/>
    <col min="9" max="9" width="3.7265625" style="448" customWidth="1"/>
    <col min="10" max="11" width="12.26953125" style="449" customWidth="1"/>
    <col min="12" max="12" width="12.26953125" style="450" customWidth="1"/>
    <col min="13" max="15" width="12.26953125" style="449" customWidth="1"/>
    <col min="16" max="16384" width="11.54296875" style="448"/>
  </cols>
  <sheetData>
    <row r="1" spans="1:15" ht="14.5" customHeight="1" x14ac:dyDescent="0.3">
      <c r="F1" s="447" t="s">
        <v>44</v>
      </c>
      <c r="G1" s="447" t="s">
        <v>45</v>
      </c>
    </row>
    <row r="2" spans="1:15" ht="14.5" customHeight="1" x14ac:dyDescent="0.3">
      <c r="F2" s="451">
        <f>+[8]GGBB!G4</f>
        <v>1280</v>
      </c>
      <c r="G2" s="451">
        <f>+[8]GGBB!H4</f>
        <v>1276</v>
      </c>
    </row>
    <row r="3" spans="1:15" s="457" customFormat="1" ht="14.5" customHeight="1" x14ac:dyDescent="0.35">
      <c r="A3" s="452"/>
      <c r="B3" s="453"/>
      <c r="C3" s="454"/>
      <c r="D3" s="455"/>
      <c r="E3" s="455"/>
      <c r="F3" s="455"/>
      <c r="G3" s="456"/>
      <c r="L3" s="458"/>
    </row>
    <row r="4" spans="1:15" s="457" customFormat="1" ht="14.5" customHeight="1" x14ac:dyDescent="0.3">
      <c r="A4" s="452"/>
      <c r="B4" s="453"/>
      <c r="C4" s="454"/>
      <c r="D4" s="455"/>
      <c r="E4" s="455"/>
      <c r="F4" s="459">
        <v>45817</v>
      </c>
      <c r="G4" s="456"/>
      <c r="J4" s="985" t="s">
        <v>616</v>
      </c>
      <c r="K4" s="986">
        <v>2</v>
      </c>
      <c r="L4" s="987"/>
      <c r="M4" s="988"/>
      <c r="N4" s="989"/>
      <c r="O4" s="990">
        <v>46175</v>
      </c>
    </row>
    <row r="5" spans="1:15" s="457" customFormat="1" ht="14.5" customHeight="1" x14ac:dyDescent="0.35">
      <c r="A5" s="452"/>
      <c r="B5" s="461" t="s">
        <v>52</v>
      </c>
      <c r="C5" s="454"/>
      <c r="D5" s="455"/>
      <c r="E5" s="462"/>
      <c r="F5" s="462"/>
      <c r="G5" s="456"/>
      <c r="J5" s="991"/>
      <c r="K5" s="992"/>
      <c r="L5" s="991"/>
      <c r="M5" s="993"/>
      <c r="N5" s="993"/>
      <c r="O5" s="993"/>
    </row>
    <row r="6" spans="1:15" s="457" customFormat="1" ht="14.5" customHeight="1" x14ac:dyDescent="0.35">
      <c r="A6" s="452"/>
      <c r="B6" s="461" t="s">
        <v>55</v>
      </c>
      <c r="C6" s="463"/>
      <c r="D6" s="464"/>
      <c r="E6" s="465"/>
      <c r="F6" s="465"/>
      <c r="G6" s="456"/>
      <c r="J6" s="1234" t="s">
        <v>617</v>
      </c>
      <c r="K6" s="1234"/>
      <c r="L6" s="1234"/>
      <c r="M6" s="1235" t="s">
        <v>430</v>
      </c>
      <c r="N6" s="1235"/>
      <c r="O6" s="1235"/>
    </row>
    <row r="7" spans="1:15" ht="14.5" customHeight="1" x14ac:dyDescent="0.3">
      <c r="A7" s="466" t="s">
        <v>56</v>
      </c>
      <c r="B7" s="467" t="s">
        <v>58</v>
      </c>
      <c r="C7" s="468" t="s">
        <v>59</v>
      </c>
      <c r="D7" s="469" t="s">
        <v>60</v>
      </c>
      <c r="E7" s="470" t="s">
        <v>66</v>
      </c>
      <c r="F7" s="470" t="s">
        <v>25</v>
      </c>
      <c r="J7" s="994" t="s">
        <v>618</v>
      </c>
      <c r="K7" s="994" t="s">
        <v>619</v>
      </c>
      <c r="L7" s="994" t="s">
        <v>620</v>
      </c>
      <c r="M7" s="995" t="s">
        <v>618</v>
      </c>
      <c r="N7" s="995" t="s">
        <v>619</v>
      </c>
      <c r="O7" s="995" t="s">
        <v>620</v>
      </c>
    </row>
    <row r="8" spans="1:15" ht="14.5" customHeight="1" x14ac:dyDescent="0.3">
      <c r="A8" s="472">
        <v>1</v>
      </c>
      <c r="B8" s="473" t="s">
        <v>67</v>
      </c>
      <c r="C8" s="474"/>
      <c r="D8" s="475"/>
      <c r="E8" s="475"/>
      <c r="F8" s="475"/>
      <c r="G8" s="476">
        <f>SUM(F9:F17)</f>
        <v>23341584</v>
      </c>
      <c r="H8" s="505">
        <f t="shared" ref="H8:H46" si="0">+G8/$G$59</f>
        <v>3.8871662200600787E-2</v>
      </c>
      <c r="J8" s="996"/>
      <c r="K8" s="997"/>
      <c r="L8" s="998"/>
      <c r="M8" s="998"/>
      <c r="N8" s="998"/>
      <c r="O8" s="999"/>
    </row>
    <row r="9" spans="1:15" ht="14.5" customHeight="1" outlineLevel="1" x14ac:dyDescent="0.3">
      <c r="A9" s="480">
        <v>1.01</v>
      </c>
      <c r="B9" s="481" t="s">
        <v>344</v>
      </c>
      <c r="C9" s="482" t="s">
        <v>69</v>
      </c>
      <c r="D9" s="483">
        <v>0</v>
      </c>
      <c r="E9" s="484">
        <v>0</v>
      </c>
      <c r="F9" s="484">
        <f t="shared" ref="F9:F17" si="1">+E9*D9</f>
        <v>0</v>
      </c>
      <c r="H9" s="505"/>
      <c r="J9" s="1000">
        <v>0</v>
      </c>
      <c r="K9" s="1001"/>
      <c r="L9" s="1002">
        <f t="shared" ref="L9:L45" si="2">+J9+K9</f>
        <v>0</v>
      </c>
      <c r="M9" s="1003">
        <f>+F9*J9</f>
        <v>0</v>
      </c>
      <c r="N9" s="1003">
        <f>+F9*K9</f>
        <v>0</v>
      </c>
      <c r="O9" s="1003">
        <f>+F9*L9</f>
        <v>0</v>
      </c>
    </row>
    <row r="10" spans="1:15" ht="14.5" customHeight="1" outlineLevel="1" x14ac:dyDescent="0.3">
      <c r="A10" s="485">
        <v>1.02</v>
      </c>
      <c r="B10" s="486" t="s">
        <v>70</v>
      </c>
      <c r="C10" s="487" t="s">
        <v>71</v>
      </c>
      <c r="D10" s="488">
        <v>4</v>
      </c>
      <c r="E10" s="489">
        <v>422179</v>
      </c>
      <c r="F10" s="489">
        <f t="shared" si="1"/>
        <v>1688716</v>
      </c>
      <c r="H10" s="505"/>
      <c r="J10" s="1004">
        <v>0.5</v>
      </c>
      <c r="K10" s="1005"/>
      <c r="L10" s="1006">
        <f t="shared" si="2"/>
        <v>0.5</v>
      </c>
      <c r="M10" s="1007">
        <f t="shared" ref="M10:M17" si="3">+F10*J10</f>
        <v>844358</v>
      </c>
      <c r="N10" s="1007">
        <f t="shared" ref="N10:N17" si="4">+F10*K10</f>
        <v>0</v>
      </c>
      <c r="O10" s="1007">
        <f t="shared" ref="O10:O17" si="5">+F10*L10</f>
        <v>844358</v>
      </c>
    </row>
    <row r="11" spans="1:15" ht="14.5" customHeight="1" outlineLevel="1" x14ac:dyDescent="0.3">
      <c r="A11" s="485">
        <v>1.03</v>
      </c>
      <c r="B11" s="486" t="s">
        <v>345</v>
      </c>
      <c r="C11" s="490" t="s">
        <v>69</v>
      </c>
      <c r="D11" s="491">
        <v>1</v>
      </c>
      <c r="E11" s="489">
        <v>0</v>
      </c>
      <c r="F11" s="489">
        <f t="shared" si="1"/>
        <v>0</v>
      </c>
      <c r="H11" s="505"/>
      <c r="J11" s="1004">
        <v>0</v>
      </c>
      <c r="K11" s="1005"/>
      <c r="L11" s="1006">
        <f t="shared" si="2"/>
        <v>0</v>
      </c>
      <c r="M11" s="1007">
        <f t="shared" si="3"/>
        <v>0</v>
      </c>
      <c r="N11" s="1007">
        <f t="shared" si="4"/>
        <v>0</v>
      </c>
      <c r="O11" s="1007">
        <f t="shared" si="5"/>
        <v>0</v>
      </c>
    </row>
    <row r="12" spans="1:15" ht="14.5" customHeight="1" outlineLevel="1" x14ac:dyDescent="0.3">
      <c r="A12" s="485">
        <v>1.04</v>
      </c>
      <c r="B12" s="486" t="s">
        <v>346</v>
      </c>
      <c r="C12" s="487" t="s">
        <v>74</v>
      </c>
      <c r="D12" s="488">
        <v>10</v>
      </c>
      <c r="E12" s="489">
        <v>290244</v>
      </c>
      <c r="F12" s="489">
        <f t="shared" si="1"/>
        <v>2902440</v>
      </c>
      <c r="H12" s="505"/>
      <c r="J12" s="1004">
        <v>1</v>
      </c>
      <c r="K12" s="1005"/>
      <c r="L12" s="1006">
        <f t="shared" si="2"/>
        <v>1</v>
      </c>
      <c r="M12" s="1007">
        <f t="shared" si="3"/>
        <v>2902440</v>
      </c>
      <c r="N12" s="1007">
        <f t="shared" si="4"/>
        <v>0</v>
      </c>
      <c r="O12" s="1007">
        <f t="shared" si="5"/>
        <v>2902440</v>
      </c>
    </row>
    <row r="13" spans="1:15" ht="14.5" customHeight="1" outlineLevel="1" x14ac:dyDescent="0.3">
      <c r="A13" s="485">
        <v>1.05</v>
      </c>
      <c r="B13" s="486" t="s">
        <v>75</v>
      </c>
      <c r="C13" s="487" t="s">
        <v>69</v>
      </c>
      <c r="D13" s="488">
        <v>1</v>
      </c>
      <c r="E13" s="489">
        <v>11833114</v>
      </c>
      <c r="F13" s="489">
        <f t="shared" si="1"/>
        <v>11833114</v>
      </c>
      <c r="H13" s="505"/>
      <c r="J13" s="1004">
        <v>0.75</v>
      </c>
      <c r="K13" s="1008"/>
      <c r="L13" s="1006">
        <f t="shared" si="2"/>
        <v>0.75</v>
      </c>
      <c r="M13" s="1007">
        <f t="shared" si="3"/>
        <v>8874835.5</v>
      </c>
      <c r="N13" s="1007">
        <f t="shared" si="4"/>
        <v>0</v>
      </c>
      <c r="O13" s="1007">
        <f t="shared" si="5"/>
        <v>8874835.5</v>
      </c>
    </row>
    <row r="14" spans="1:15" ht="14.5" customHeight="1" outlineLevel="1" x14ac:dyDescent="0.3">
      <c r="A14" s="485">
        <v>1.06</v>
      </c>
      <c r="B14" s="486" t="s">
        <v>76</v>
      </c>
      <c r="C14" s="487" t="s">
        <v>77</v>
      </c>
      <c r="D14" s="488">
        <v>4</v>
      </c>
      <c r="E14" s="489">
        <v>352682</v>
      </c>
      <c r="F14" s="489">
        <f t="shared" si="1"/>
        <v>1410728</v>
      </c>
      <c r="H14" s="505"/>
      <c r="J14" s="1004">
        <v>0.25</v>
      </c>
      <c r="K14" s="1008"/>
      <c r="L14" s="1006">
        <f t="shared" si="2"/>
        <v>0.25</v>
      </c>
      <c r="M14" s="1007">
        <f t="shared" si="3"/>
        <v>352682</v>
      </c>
      <c r="N14" s="1007">
        <f t="shared" si="4"/>
        <v>0</v>
      </c>
      <c r="O14" s="1007">
        <f t="shared" si="5"/>
        <v>352682</v>
      </c>
    </row>
    <row r="15" spans="1:15" ht="14.5" customHeight="1" outlineLevel="1" x14ac:dyDescent="0.3">
      <c r="A15" s="485">
        <v>1.07</v>
      </c>
      <c r="B15" s="486" t="s">
        <v>78</v>
      </c>
      <c r="C15" s="487" t="s">
        <v>69</v>
      </c>
      <c r="D15" s="488">
        <v>1</v>
      </c>
      <c r="E15" s="489">
        <v>2824239</v>
      </c>
      <c r="F15" s="489">
        <f t="shared" si="1"/>
        <v>2824239</v>
      </c>
      <c r="H15" s="505"/>
      <c r="J15" s="1004">
        <v>1</v>
      </c>
      <c r="K15" s="1008"/>
      <c r="L15" s="1006">
        <f t="shared" si="2"/>
        <v>1</v>
      </c>
      <c r="M15" s="1007">
        <f t="shared" si="3"/>
        <v>2824239</v>
      </c>
      <c r="N15" s="1007">
        <f t="shared" si="4"/>
        <v>0</v>
      </c>
      <c r="O15" s="1007">
        <f t="shared" si="5"/>
        <v>2824239</v>
      </c>
    </row>
    <row r="16" spans="1:15" ht="14.5" customHeight="1" outlineLevel="1" x14ac:dyDescent="0.3">
      <c r="A16" s="485">
        <v>1.08</v>
      </c>
      <c r="B16" s="486" t="s">
        <v>79</v>
      </c>
      <c r="C16" s="487" t="s">
        <v>69</v>
      </c>
      <c r="D16" s="488">
        <v>1</v>
      </c>
      <c r="E16" s="489">
        <v>2027179</v>
      </c>
      <c r="F16" s="489">
        <f t="shared" si="1"/>
        <v>2027179</v>
      </c>
      <c r="H16" s="505"/>
      <c r="J16" s="1004">
        <v>0</v>
      </c>
      <c r="K16" s="1008"/>
      <c r="L16" s="1006">
        <f t="shared" si="2"/>
        <v>0</v>
      </c>
      <c r="M16" s="1007">
        <f t="shared" si="3"/>
        <v>0</v>
      </c>
      <c r="N16" s="1007">
        <f t="shared" si="4"/>
        <v>0</v>
      </c>
      <c r="O16" s="1007">
        <f t="shared" si="5"/>
        <v>0</v>
      </c>
    </row>
    <row r="17" spans="1:15" ht="14.5" customHeight="1" outlineLevel="1" x14ac:dyDescent="0.3">
      <c r="A17" s="485">
        <v>1.0900000000000001</v>
      </c>
      <c r="B17" s="486" t="s">
        <v>80</v>
      </c>
      <c r="C17" s="487" t="s">
        <v>69</v>
      </c>
      <c r="D17" s="488">
        <v>1</v>
      </c>
      <c r="E17" s="489">
        <v>655168</v>
      </c>
      <c r="F17" s="489">
        <f t="shared" si="1"/>
        <v>655168</v>
      </c>
      <c r="H17" s="505"/>
      <c r="J17" s="1009">
        <v>0.5</v>
      </c>
      <c r="K17" s="1010">
        <v>0.2</v>
      </c>
      <c r="L17" s="1011">
        <f t="shared" si="2"/>
        <v>0.7</v>
      </c>
      <c r="M17" s="1012">
        <f t="shared" si="3"/>
        <v>327584</v>
      </c>
      <c r="N17" s="1012">
        <f t="shared" si="4"/>
        <v>131033.60000000001</v>
      </c>
      <c r="O17" s="1012">
        <f t="shared" si="5"/>
        <v>458617.59999999998</v>
      </c>
    </row>
    <row r="18" spans="1:15" ht="14.5" customHeight="1" x14ac:dyDescent="0.3">
      <c r="A18" s="472">
        <v>2</v>
      </c>
      <c r="B18" s="473" t="s">
        <v>81</v>
      </c>
      <c r="C18" s="474"/>
      <c r="D18" s="475"/>
      <c r="E18" s="475"/>
      <c r="F18" s="475"/>
      <c r="G18" s="476">
        <f>SUM(F19:F22)</f>
        <v>16821282</v>
      </c>
      <c r="H18" s="505">
        <f t="shared" si="0"/>
        <v>2.8013145623923656E-2</v>
      </c>
      <c r="J18" s="996"/>
      <c r="K18" s="997"/>
      <c r="L18" s="998"/>
      <c r="M18" s="998"/>
      <c r="N18" s="998"/>
      <c r="O18" s="999"/>
    </row>
    <row r="19" spans="1:15" ht="26" outlineLevel="1" x14ac:dyDescent="0.3">
      <c r="A19" s="485">
        <v>2.0099999999999998</v>
      </c>
      <c r="B19" s="1013" t="s">
        <v>82</v>
      </c>
      <c r="C19" s="493" t="s">
        <v>83</v>
      </c>
      <c r="D19" s="494">
        <v>219</v>
      </c>
      <c r="E19" s="489">
        <v>39308</v>
      </c>
      <c r="F19" s="489">
        <f>+E19*D19</f>
        <v>8608452</v>
      </c>
      <c r="H19" s="505"/>
      <c r="J19" s="1004">
        <v>0.5</v>
      </c>
      <c r="K19" s="1008"/>
      <c r="L19" s="1006">
        <f t="shared" ref="L19" si="6">+J19+K19</f>
        <v>0.5</v>
      </c>
      <c r="M19" s="1007">
        <f t="shared" ref="M19:M45" si="7">+F19*J19</f>
        <v>4304226</v>
      </c>
      <c r="N19" s="1007">
        <f t="shared" ref="N19:N45" si="8">+F19*K19</f>
        <v>0</v>
      </c>
      <c r="O19" s="1007">
        <f t="shared" ref="O19:O45" si="9">+F19*L19</f>
        <v>4304226</v>
      </c>
    </row>
    <row r="20" spans="1:15" ht="14.5" customHeight="1" outlineLevel="1" x14ac:dyDescent="0.3">
      <c r="A20" s="485">
        <v>2.02</v>
      </c>
      <c r="B20" s="492" t="s">
        <v>84</v>
      </c>
      <c r="C20" s="493" t="s">
        <v>85</v>
      </c>
      <c r="D20" s="494">
        <v>100</v>
      </c>
      <c r="E20" s="489">
        <v>42908</v>
      </c>
      <c r="F20" s="489">
        <f>+E20*D20</f>
        <v>4290800</v>
      </c>
      <c r="H20" s="505"/>
      <c r="J20" s="1004">
        <v>0</v>
      </c>
      <c r="K20" s="1008"/>
      <c r="L20" s="1006">
        <f t="shared" si="2"/>
        <v>0</v>
      </c>
      <c r="M20" s="1007">
        <f t="shared" si="7"/>
        <v>0</v>
      </c>
      <c r="N20" s="1007">
        <f t="shared" si="8"/>
        <v>0</v>
      </c>
      <c r="O20" s="1007">
        <f t="shared" si="9"/>
        <v>0</v>
      </c>
    </row>
    <row r="21" spans="1:15" ht="14.5" customHeight="1" outlineLevel="1" x14ac:dyDescent="0.3">
      <c r="A21" s="485">
        <v>2.0299999999999998</v>
      </c>
      <c r="B21" s="492" t="s">
        <v>86</v>
      </c>
      <c r="C21" s="493" t="s">
        <v>85</v>
      </c>
      <c r="D21" s="494">
        <v>43</v>
      </c>
      <c r="E21" s="489">
        <v>91210</v>
      </c>
      <c r="F21" s="489">
        <f>+E21*D21</f>
        <v>3922030</v>
      </c>
      <c r="H21" s="505"/>
      <c r="J21" s="1004">
        <v>0</v>
      </c>
      <c r="K21" s="1008">
        <v>0.4</v>
      </c>
      <c r="L21" s="1006">
        <f t="shared" si="2"/>
        <v>0.4</v>
      </c>
      <c r="M21" s="1007">
        <f t="shared" si="7"/>
        <v>0</v>
      </c>
      <c r="N21" s="1007">
        <f t="shared" si="8"/>
        <v>1568812</v>
      </c>
      <c r="O21" s="1007">
        <f t="shared" si="9"/>
        <v>1568812</v>
      </c>
    </row>
    <row r="22" spans="1:15" ht="14.5" customHeight="1" outlineLevel="1" x14ac:dyDescent="0.3">
      <c r="A22" s="485">
        <v>2.04</v>
      </c>
      <c r="B22" s="495" t="s">
        <v>347</v>
      </c>
      <c r="C22" s="487" t="s">
        <v>69</v>
      </c>
      <c r="D22" s="496">
        <v>0</v>
      </c>
      <c r="E22" s="489">
        <v>0</v>
      </c>
      <c r="F22" s="489">
        <f>+E22*D22</f>
        <v>0</v>
      </c>
      <c r="H22" s="505"/>
      <c r="J22" s="1004">
        <v>0</v>
      </c>
      <c r="K22" s="1008"/>
      <c r="L22" s="1006">
        <f t="shared" si="2"/>
        <v>0</v>
      </c>
      <c r="M22" s="1007">
        <f t="shared" si="7"/>
        <v>0</v>
      </c>
      <c r="N22" s="1007">
        <f t="shared" si="8"/>
        <v>0</v>
      </c>
      <c r="O22" s="1007">
        <f t="shared" si="9"/>
        <v>0</v>
      </c>
    </row>
    <row r="23" spans="1:15" ht="14.5" customHeight="1" x14ac:dyDescent="0.3">
      <c r="A23" s="472">
        <v>3</v>
      </c>
      <c r="B23" s="473" t="s">
        <v>88</v>
      </c>
      <c r="C23" s="474"/>
      <c r="D23" s="475"/>
      <c r="E23" s="475"/>
      <c r="F23" s="475"/>
      <c r="G23" s="476">
        <f>SUM(F24:F45)</f>
        <v>452634067</v>
      </c>
      <c r="H23" s="505">
        <f t="shared" si="0"/>
        <v>0.75378939805062517</v>
      </c>
      <c r="J23" s="996"/>
      <c r="K23" s="997"/>
      <c r="L23" s="998"/>
      <c r="M23" s="998"/>
      <c r="N23" s="998"/>
      <c r="O23" s="999"/>
    </row>
    <row r="24" spans="1:15" ht="14.5" customHeight="1" outlineLevel="1" x14ac:dyDescent="0.3">
      <c r="A24" s="480">
        <v>3.01</v>
      </c>
      <c r="B24" s="497" t="s">
        <v>90</v>
      </c>
      <c r="C24" s="498" t="s">
        <v>85</v>
      </c>
      <c r="D24" s="499">
        <v>3</v>
      </c>
      <c r="E24" s="489">
        <v>379273</v>
      </c>
      <c r="F24" s="489">
        <f t="shared" ref="F24:F45" si="10">+E24*D24</f>
        <v>1137819</v>
      </c>
      <c r="H24" s="505"/>
      <c r="J24" s="1004">
        <v>0</v>
      </c>
      <c r="K24" s="1008"/>
      <c r="L24" s="1006">
        <f t="shared" ref="L24:L37" si="11">+J24+K24</f>
        <v>0</v>
      </c>
      <c r="M24" s="1007">
        <f t="shared" ref="M24:M37" si="12">+F24*J24</f>
        <v>0</v>
      </c>
      <c r="N24" s="1007">
        <f t="shared" ref="N24:N37" si="13">+F24*K24</f>
        <v>0</v>
      </c>
      <c r="O24" s="1007">
        <f t="shared" ref="O24:O37" si="14">+F24*L24</f>
        <v>0</v>
      </c>
    </row>
    <row r="25" spans="1:15" ht="14.5" customHeight="1" outlineLevel="1" x14ac:dyDescent="0.3">
      <c r="A25" s="485">
        <v>3.02</v>
      </c>
      <c r="B25" s="500" t="s">
        <v>92</v>
      </c>
      <c r="C25" s="490" t="s">
        <v>69</v>
      </c>
      <c r="D25" s="491">
        <v>1</v>
      </c>
      <c r="E25" s="489">
        <v>65949869</v>
      </c>
      <c r="F25" s="489">
        <f t="shared" si="10"/>
        <v>65949869</v>
      </c>
      <c r="H25" s="505"/>
      <c r="J25" s="1004">
        <v>0.47</v>
      </c>
      <c r="K25" s="1008">
        <v>0.53</v>
      </c>
      <c r="L25" s="1006">
        <f t="shared" si="11"/>
        <v>1</v>
      </c>
      <c r="M25" s="1007">
        <f t="shared" si="12"/>
        <v>30996438.43</v>
      </c>
      <c r="N25" s="1007">
        <f t="shared" si="13"/>
        <v>34953430.57</v>
      </c>
      <c r="O25" s="1007">
        <f t="shared" si="14"/>
        <v>65949869</v>
      </c>
    </row>
    <row r="26" spans="1:15" ht="14.5" customHeight="1" outlineLevel="1" x14ac:dyDescent="0.3">
      <c r="A26" s="485">
        <v>3.03</v>
      </c>
      <c r="B26" s="500" t="s">
        <v>94</v>
      </c>
      <c r="C26" s="490" t="s">
        <v>85</v>
      </c>
      <c r="D26" s="491">
        <v>7</v>
      </c>
      <c r="E26" s="489">
        <v>798655</v>
      </c>
      <c r="F26" s="489">
        <f t="shared" si="10"/>
        <v>5590585</v>
      </c>
      <c r="H26" s="505"/>
      <c r="J26" s="1004">
        <v>0</v>
      </c>
      <c r="K26" s="1008">
        <v>0.5</v>
      </c>
      <c r="L26" s="1006">
        <f t="shared" si="11"/>
        <v>0.5</v>
      </c>
      <c r="M26" s="1007">
        <f t="shared" si="12"/>
        <v>0</v>
      </c>
      <c r="N26" s="1007">
        <f t="shared" si="13"/>
        <v>2795292.5</v>
      </c>
      <c r="O26" s="1007">
        <f t="shared" si="14"/>
        <v>2795292.5</v>
      </c>
    </row>
    <row r="27" spans="1:15" ht="14.5" customHeight="1" outlineLevel="1" x14ac:dyDescent="0.3">
      <c r="A27" s="485">
        <v>3.04</v>
      </c>
      <c r="B27" s="500" t="s">
        <v>96</v>
      </c>
      <c r="C27" s="490" t="s">
        <v>85</v>
      </c>
      <c r="D27" s="491">
        <v>4</v>
      </c>
      <c r="E27" s="489">
        <v>1185296</v>
      </c>
      <c r="F27" s="489">
        <f t="shared" si="10"/>
        <v>4741184</v>
      </c>
      <c r="H27" s="505"/>
      <c r="J27" s="1004">
        <v>0</v>
      </c>
      <c r="K27" s="1008">
        <v>0.5</v>
      </c>
      <c r="L27" s="1006">
        <f t="shared" si="11"/>
        <v>0.5</v>
      </c>
      <c r="M27" s="1007">
        <f t="shared" si="12"/>
        <v>0</v>
      </c>
      <c r="N27" s="1007">
        <f t="shared" si="13"/>
        <v>2370592</v>
      </c>
      <c r="O27" s="1007">
        <f t="shared" si="14"/>
        <v>2370592</v>
      </c>
    </row>
    <row r="28" spans="1:15" ht="14.5" customHeight="1" outlineLevel="1" x14ac:dyDescent="0.3">
      <c r="A28" s="485">
        <v>3.05</v>
      </c>
      <c r="B28" s="500" t="s">
        <v>97</v>
      </c>
      <c r="C28" s="490" t="s">
        <v>85</v>
      </c>
      <c r="D28" s="491">
        <v>2</v>
      </c>
      <c r="E28" s="489">
        <v>798655</v>
      </c>
      <c r="F28" s="489">
        <f t="shared" si="10"/>
        <v>1597310</v>
      </c>
      <c r="H28" s="505"/>
      <c r="J28" s="1004">
        <v>0</v>
      </c>
      <c r="K28" s="1008">
        <v>0.5</v>
      </c>
      <c r="L28" s="1006">
        <f t="shared" si="11"/>
        <v>0.5</v>
      </c>
      <c r="M28" s="1007">
        <f t="shared" si="12"/>
        <v>0</v>
      </c>
      <c r="N28" s="1007">
        <f t="shared" si="13"/>
        <v>798655</v>
      </c>
      <c r="O28" s="1007">
        <f t="shared" si="14"/>
        <v>798655</v>
      </c>
    </row>
    <row r="29" spans="1:15" ht="14.5" customHeight="1" outlineLevel="1" x14ac:dyDescent="0.3">
      <c r="A29" s="485">
        <v>3.06</v>
      </c>
      <c r="B29" s="500" t="s">
        <v>98</v>
      </c>
      <c r="C29" s="490" t="s">
        <v>85</v>
      </c>
      <c r="D29" s="491">
        <v>11</v>
      </c>
      <c r="E29" s="489">
        <v>847449</v>
      </c>
      <c r="F29" s="489">
        <f t="shared" si="10"/>
        <v>9321939</v>
      </c>
      <c r="H29" s="505"/>
      <c r="J29" s="1004">
        <v>0.3</v>
      </c>
      <c r="K29" s="1008">
        <v>0.4</v>
      </c>
      <c r="L29" s="1006">
        <f t="shared" si="11"/>
        <v>0.7</v>
      </c>
      <c r="M29" s="1007">
        <f t="shared" si="12"/>
        <v>2796581.6999999997</v>
      </c>
      <c r="N29" s="1007">
        <f t="shared" si="13"/>
        <v>3728775.6</v>
      </c>
      <c r="O29" s="1007">
        <f t="shared" si="14"/>
        <v>6525357.2999999998</v>
      </c>
    </row>
    <row r="30" spans="1:15" ht="14.5" customHeight="1" outlineLevel="1" x14ac:dyDescent="0.3">
      <c r="A30" s="485">
        <v>3.07</v>
      </c>
      <c r="B30" s="500" t="s">
        <v>99</v>
      </c>
      <c r="C30" s="490" t="s">
        <v>85</v>
      </c>
      <c r="D30" s="491">
        <v>9</v>
      </c>
      <c r="E30" s="489">
        <v>1185296</v>
      </c>
      <c r="F30" s="489">
        <f t="shared" si="10"/>
        <v>10667664</v>
      </c>
      <c r="H30" s="505"/>
      <c r="J30" s="1004">
        <v>0.3</v>
      </c>
      <c r="K30" s="1008">
        <v>0.4</v>
      </c>
      <c r="L30" s="1006">
        <f t="shared" si="11"/>
        <v>0.7</v>
      </c>
      <c r="M30" s="1007">
        <f t="shared" si="12"/>
        <v>3200299.1999999997</v>
      </c>
      <c r="N30" s="1007">
        <f t="shared" si="13"/>
        <v>4267065.6000000006</v>
      </c>
      <c r="O30" s="1007">
        <f t="shared" si="14"/>
        <v>7467364.7999999998</v>
      </c>
    </row>
    <row r="31" spans="1:15" ht="14.5" customHeight="1" outlineLevel="1" x14ac:dyDescent="0.3">
      <c r="A31" s="485">
        <v>3.08</v>
      </c>
      <c r="B31" s="500" t="s">
        <v>100</v>
      </c>
      <c r="C31" s="490" t="s">
        <v>85</v>
      </c>
      <c r="D31" s="491">
        <v>9</v>
      </c>
      <c r="E31" s="489">
        <v>1083664</v>
      </c>
      <c r="F31" s="489">
        <f t="shared" si="10"/>
        <v>9752976</v>
      </c>
      <c r="H31" s="505"/>
      <c r="J31" s="1004">
        <v>0</v>
      </c>
      <c r="K31" s="1008">
        <v>0.5</v>
      </c>
      <c r="L31" s="1006">
        <f t="shared" si="11"/>
        <v>0.5</v>
      </c>
      <c r="M31" s="1007">
        <f t="shared" si="12"/>
        <v>0</v>
      </c>
      <c r="N31" s="1007">
        <f t="shared" si="13"/>
        <v>4876488</v>
      </c>
      <c r="O31" s="1007">
        <f t="shared" si="14"/>
        <v>4876488</v>
      </c>
    </row>
    <row r="32" spans="1:15" ht="14.5" customHeight="1" outlineLevel="1" x14ac:dyDescent="0.3">
      <c r="A32" s="485">
        <v>3.09</v>
      </c>
      <c r="B32" s="500" t="s">
        <v>102</v>
      </c>
      <c r="C32" s="490" t="s">
        <v>85</v>
      </c>
      <c r="D32" s="491">
        <v>1</v>
      </c>
      <c r="E32" s="489">
        <v>1244979</v>
      </c>
      <c r="F32" s="489">
        <f t="shared" si="10"/>
        <v>1244979</v>
      </c>
      <c r="H32" s="505"/>
      <c r="J32" s="1004">
        <v>0</v>
      </c>
      <c r="K32" s="1008">
        <v>0.5</v>
      </c>
      <c r="L32" s="1006">
        <f t="shared" si="11"/>
        <v>0.5</v>
      </c>
      <c r="M32" s="1007">
        <f t="shared" si="12"/>
        <v>0</v>
      </c>
      <c r="N32" s="1007">
        <f t="shared" si="13"/>
        <v>622489.5</v>
      </c>
      <c r="O32" s="1007">
        <f t="shared" si="14"/>
        <v>622489.5</v>
      </c>
    </row>
    <row r="33" spans="1:15" ht="14.5" customHeight="1" outlineLevel="1" x14ac:dyDescent="0.3">
      <c r="A33" s="485">
        <v>3.1</v>
      </c>
      <c r="B33" s="500" t="s">
        <v>103</v>
      </c>
      <c r="C33" s="490" t="s">
        <v>85</v>
      </c>
      <c r="D33" s="491">
        <v>32</v>
      </c>
      <c r="E33" s="489">
        <v>1391362</v>
      </c>
      <c r="F33" s="489">
        <f t="shared" si="10"/>
        <v>44523584</v>
      </c>
      <c r="H33" s="505"/>
      <c r="J33" s="1004">
        <v>0</v>
      </c>
      <c r="K33" s="1008"/>
      <c r="L33" s="1006">
        <f t="shared" si="11"/>
        <v>0</v>
      </c>
      <c r="M33" s="1007">
        <f t="shared" si="12"/>
        <v>0</v>
      </c>
      <c r="N33" s="1007">
        <f t="shared" si="13"/>
        <v>0</v>
      </c>
      <c r="O33" s="1007">
        <f t="shared" si="14"/>
        <v>0</v>
      </c>
    </row>
    <row r="34" spans="1:15" ht="14.5" customHeight="1" outlineLevel="1" x14ac:dyDescent="0.3">
      <c r="A34" s="485">
        <v>3.11</v>
      </c>
      <c r="B34" s="500" t="s">
        <v>104</v>
      </c>
      <c r="C34" s="490" t="s">
        <v>85</v>
      </c>
      <c r="D34" s="491">
        <v>30</v>
      </c>
      <c r="E34" s="489">
        <v>1156856</v>
      </c>
      <c r="F34" s="489">
        <f t="shared" si="10"/>
        <v>34705680</v>
      </c>
      <c r="H34" s="505"/>
      <c r="J34" s="1004">
        <v>0</v>
      </c>
      <c r="K34" s="1008"/>
      <c r="L34" s="1006">
        <f t="shared" si="11"/>
        <v>0</v>
      </c>
      <c r="M34" s="1007">
        <f t="shared" si="12"/>
        <v>0</v>
      </c>
      <c r="N34" s="1007">
        <f t="shared" si="13"/>
        <v>0</v>
      </c>
      <c r="O34" s="1007">
        <f t="shared" si="14"/>
        <v>0</v>
      </c>
    </row>
    <row r="35" spans="1:15" ht="14.5" customHeight="1" outlineLevel="1" x14ac:dyDescent="0.3">
      <c r="A35" s="485">
        <v>3.12</v>
      </c>
      <c r="B35" s="500" t="s">
        <v>105</v>
      </c>
      <c r="C35" s="490" t="s">
        <v>85</v>
      </c>
      <c r="D35" s="491">
        <v>7</v>
      </c>
      <c r="E35" s="489">
        <v>1725658</v>
      </c>
      <c r="F35" s="489">
        <f t="shared" si="10"/>
        <v>12079606</v>
      </c>
      <c r="H35" s="505"/>
      <c r="J35" s="1004">
        <v>0</v>
      </c>
      <c r="K35" s="1008"/>
      <c r="L35" s="1006">
        <f t="shared" si="11"/>
        <v>0</v>
      </c>
      <c r="M35" s="1007">
        <f t="shared" si="12"/>
        <v>0</v>
      </c>
      <c r="N35" s="1007">
        <f t="shared" si="13"/>
        <v>0</v>
      </c>
      <c r="O35" s="1007">
        <f t="shared" si="14"/>
        <v>0</v>
      </c>
    </row>
    <row r="36" spans="1:15" ht="14.5" customHeight="1" outlineLevel="1" x14ac:dyDescent="0.3">
      <c r="A36" s="485">
        <v>3.13</v>
      </c>
      <c r="B36" s="500" t="s">
        <v>106</v>
      </c>
      <c r="C36" s="490" t="s">
        <v>85</v>
      </c>
      <c r="D36" s="491">
        <v>12</v>
      </c>
      <c r="E36" s="489">
        <v>1879834</v>
      </c>
      <c r="F36" s="489">
        <f t="shared" si="10"/>
        <v>22558008</v>
      </c>
      <c r="H36" s="505"/>
      <c r="J36" s="1004">
        <v>0</v>
      </c>
      <c r="K36" s="1008">
        <v>0.2</v>
      </c>
      <c r="L36" s="1006">
        <f t="shared" si="11"/>
        <v>0.2</v>
      </c>
      <c r="M36" s="1007">
        <f t="shared" si="12"/>
        <v>0</v>
      </c>
      <c r="N36" s="1007">
        <f t="shared" si="13"/>
        <v>4511601.6000000006</v>
      </c>
      <c r="O36" s="1007">
        <f t="shared" si="14"/>
        <v>4511601.6000000006</v>
      </c>
    </row>
    <row r="37" spans="1:15" ht="14.5" customHeight="1" outlineLevel="1" x14ac:dyDescent="0.3">
      <c r="A37" s="485">
        <v>3.14</v>
      </c>
      <c r="B37" s="500" t="s">
        <v>107</v>
      </c>
      <c r="C37" s="490" t="s">
        <v>85</v>
      </c>
      <c r="D37" s="491">
        <v>41</v>
      </c>
      <c r="E37" s="489">
        <v>1516746</v>
      </c>
      <c r="F37" s="489">
        <f t="shared" si="10"/>
        <v>62186586</v>
      </c>
      <c r="H37" s="505"/>
      <c r="J37" s="1004">
        <v>0</v>
      </c>
      <c r="K37" s="1008"/>
      <c r="L37" s="1006">
        <f t="shared" si="11"/>
        <v>0</v>
      </c>
      <c r="M37" s="1007">
        <f t="shared" si="12"/>
        <v>0</v>
      </c>
      <c r="N37" s="1007">
        <f t="shared" si="13"/>
        <v>0</v>
      </c>
      <c r="O37" s="1007">
        <f t="shared" si="14"/>
        <v>0</v>
      </c>
    </row>
    <row r="38" spans="1:15" ht="14.5" customHeight="1" outlineLevel="1" x14ac:dyDescent="0.3">
      <c r="A38" s="485">
        <v>3.15</v>
      </c>
      <c r="B38" s="500" t="s">
        <v>108</v>
      </c>
      <c r="C38" s="490" t="s">
        <v>85</v>
      </c>
      <c r="D38" s="491">
        <v>135</v>
      </c>
      <c r="E38" s="489">
        <v>847011</v>
      </c>
      <c r="F38" s="489">
        <f t="shared" si="10"/>
        <v>114346485</v>
      </c>
      <c r="H38" s="505"/>
      <c r="J38" s="1004">
        <v>0</v>
      </c>
      <c r="K38" s="1008"/>
      <c r="L38" s="1006">
        <f t="shared" si="2"/>
        <v>0</v>
      </c>
      <c r="M38" s="1007">
        <f t="shared" si="7"/>
        <v>0</v>
      </c>
      <c r="N38" s="1007">
        <f t="shared" si="8"/>
        <v>0</v>
      </c>
      <c r="O38" s="1007">
        <f t="shared" si="9"/>
        <v>0</v>
      </c>
    </row>
    <row r="39" spans="1:15" ht="14.5" customHeight="1" outlineLevel="1" x14ac:dyDescent="0.3">
      <c r="A39" s="485">
        <v>3.16</v>
      </c>
      <c r="B39" s="486" t="s">
        <v>109</v>
      </c>
      <c r="C39" s="493" t="s">
        <v>85</v>
      </c>
      <c r="D39" s="491">
        <v>13</v>
      </c>
      <c r="E39" s="489">
        <v>943167</v>
      </c>
      <c r="F39" s="489">
        <f t="shared" si="10"/>
        <v>12261171</v>
      </c>
      <c r="H39" s="505"/>
      <c r="J39" s="1004">
        <v>0</v>
      </c>
      <c r="K39" s="1008"/>
      <c r="L39" s="1006">
        <f t="shared" si="2"/>
        <v>0</v>
      </c>
      <c r="M39" s="1007">
        <f t="shared" si="7"/>
        <v>0</v>
      </c>
      <c r="N39" s="1007">
        <f t="shared" si="8"/>
        <v>0</v>
      </c>
      <c r="O39" s="1007">
        <f t="shared" si="9"/>
        <v>0</v>
      </c>
    </row>
    <row r="40" spans="1:15" ht="14.5" customHeight="1" outlineLevel="1" x14ac:dyDescent="0.3">
      <c r="A40" s="485">
        <v>3.17</v>
      </c>
      <c r="B40" s="486" t="s">
        <v>110</v>
      </c>
      <c r="C40" s="493" t="s">
        <v>85</v>
      </c>
      <c r="D40" s="491">
        <v>14</v>
      </c>
      <c r="E40" s="489">
        <v>1067478</v>
      </c>
      <c r="F40" s="489">
        <f t="shared" si="10"/>
        <v>14944692</v>
      </c>
      <c r="H40" s="505"/>
      <c r="J40" s="1004">
        <v>0</v>
      </c>
      <c r="K40" s="1008"/>
      <c r="L40" s="1006">
        <f t="shared" si="2"/>
        <v>0</v>
      </c>
      <c r="M40" s="1007">
        <f t="shared" si="7"/>
        <v>0</v>
      </c>
      <c r="N40" s="1007">
        <f t="shared" si="8"/>
        <v>0</v>
      </c>
      <c r="O40" s="1007">
        <f t="shared" si="9"/>
        <v>0</v>
      </c>
    </row>
    <row r="41" spans="1:15" ht="14.5" customHeight="1" outlineLevel="1" x14ac:dyDescent="0.3">
      <c r="A41" s="485">
        <v>3.18</v>
      </c>
      <c r="B41" s="486" t="s">
        <v>111</v>
      </c>
      <c r="C41" s="493" t="s">
        <v>85</v>
      </c>
      <c r="D41" s="491">
        <v>2</v>
      </c>
      <c r="E41" s="489">
        <v>1725658</v>
      </c>
      <c r="F41" s="489">
        <f t="shared" si="10"/>
        <v>3451316</v>
      </c>
      <c r="H41" s="505"/>
      <c r="J41" s="1004">
        <v>0</v>
      </c>
      <c r="K41" s="1008"/>
      <c r="L41" s="1006">
        <f t="shared" si="2"/>
        <v>0</v>
      </c>
      <c r="M41" s="1007">
        <f t="shared" si="7"/>
        <v>0</v>
      </c>
      <c r="N41" s="1007">
        <f t="shared" si="8"/>
        <v>0</v>
      </c>
      <c r="O41" s="1007">
        <f t="shared" si="9"/>
        <v>0</v>
      </c>
    </row>
    <row r="42" spans="1:15" ht="14.5" customHeight="1" outlineLevel="1" x14ac:dyDescent="0.3">
      <c r="A42" s="485">
        <v>3.19</v>
      </c>
      <c r="B42" s="501" t="s">
        <v>112</v>
      </c>
      <c r="C42" s="493" t="s">
        <v>69</v>
      </c>
      <c r="D42" s="494">
        <v>1</v>
      </c>
      <c r="E42" s="489">
        <v>14358189</v>
      </c>
      <c r="F42" s="489">
        <f t="shared" si="10"/>
        <v>14358189</v>
      </c>
      <c r="H42" s="505"/>
      <c r="J42" s="1004">
        <v>0</v>
      </c>
      <c r="K42" s="1008"/>
      <c r="L42" s="1006">
        <f t="shared" si="2"/>
        <v>0</v>
      </c>
      <c r="M42" s="1007">
        <f t="shared" si="7"/>
        <v>0</v>
      </c>
      <c r="N42" s="1007">
        <f t="shared" si="8"/>
        <v>0</v>
      </c>
      <c r="O42" s="1007">
        <f t="shared" si="9"/>
        <v>0</v>
      </c>
    </row>
    <row r="43" spans="1:15" ht="14.5" customHeight="1" outlineLevel="1" x14ac:dyDescent="0.3">
      <c r="A43" s="485">
        <v>3.2</v>
      </c>
      <c r="B43" s="501" t="s">
        <v>113</v>
      </c>
      <c r="C43" s="493" t="s">
        <v>114</v>
      </c>
      <c r="D43" s="494">
        <v>13</v>
      </c>
      <c r="E43" s="489">
        <v>334969</v>
      </c>
      <c r="F43" s="489">
        <f t="shared" si="10"/>
        <v>4354597</v>
      </c>
      <c r="H43" s="505"/>
      <c r="J43" s="1004">
        <v>0</v>
      </c>
      <c r="K43" s="1008"/>
      <c r="L43" s="1006">
        <f t="shared" si="2"/>
        <v>0</v>
      </c>
      <c r="M43" s="1007">
        <f t="shared" si="7"/>
        <v>0</v>
      </c>
      <c r="N43" s="1007">
        <f t="shared" si="8"/>
        <v>0</v>
      </c>
      <c r="O43" s="1007">
        <f t="shared" si="9"/>
        <v>0</v>
      </c>
    </row>
    <row r="44" spans="1:15" ht="14.5" customHeight="1" outlineLevel="1" x14ac:dyDescent="0.3">
      <c r="A44" s="485">
        <v>3.21</v>
      </c>
      <c r="B44" s="501" t="s">
        <v>115</v>
      </c>
      <c r="C44" s="493" t="s">
        <v>69</v>
      </c>
      <c r="D44" s="494">
        <v>3</v>
      </c>
      <c r="E44" s="489">
        <v>74606</v>
      </c>
      <c r="F44" s="489">
        <f t="shared" si="10"/>
        <v>223818</v>
      </c>
      <c r="H44" s="505"/>
      <c r="J44" s="1004">
        <v>0</v>
      </c>
      <c r="K44" s="1008">
        <v>0.35</v>
      </c>
      <c r="L44" s="1006">
        <f t="shared" si="2"/>
        <v>0.35</v>
      </c>
      <c r="M44" s="1007">
        <f t="shared" si="7"/>
        <v>0</v>
      </c>
      <c r="N44" s="1007">
        <f t="shared" si="8"/>
        <v>78336.299999999988</v>
      </c>
      <c r="O44" s="1007">
        <f t="shared" si="9"/>
        <v>78336.299999999988</v>
      </c>
    </row>
    <row r="45" spans="1:15" ht="26" outlineLevel="1" x14ac:dyDescent="0.3">
      <c r="A45" s="485">
        <v>3.22</v>
      </c>
      <c r="B45" s="502" t="s">
        <v>348</v>
      </c>
      <c r="C45" s="503" t="s">
        <v>83</v>
      </c>
      <c r="D45" s="504">
        <v>65</v>
      </c>
      <c r="E45" s="489">
        <v>40554</v>
      </c>
      <c r="F45" s="489">
        <f t="shared" si="10"/>
        <v>2636010</v>
      </c>
      <c r="H45" s="505"/>
      <c r="J45" s="1004">
        <v>0</v>
      </c>
      <c r="K45" s="1008"/>
      <c r="L45" s="1006">
        <f t="shared" si="2"/>
        <v>0</v>
      </c>
      <c r="M45" s="1007">
        <f t="shared" si="7"/>
        <v>0</v>
      </c>
      <c r="N45" s="1007">
        <f t="shared" si="8"/>
        <v>0</v>
      </c>
      <c r="O45" s="1007">
        <f t="shared" si="9"/>
        <v>0</v>
      </c>
    </row>
    <row r="46" spans="1:15" ht="14.5" customHeight="1" x14ac:dyDescent="0.3">
      <c r="A46" s="472">
        <v>24</v>
      </c>
      <c r="B46" s="473" t="s">
        <v>284</v>
      </c>
      <c r="C46" s="474"/>
      <c r="D46" s="475"/>
      <c r="E46" s="475"/>
      <c r="F46" s="475"/>
      <c r="G46" s="476">
        <f>SUM(F47:F55)</f>
        <v>56861052</v>
      </c>
      <c r="H46" s="505">
        <f t="shared" si="0"/>
        <v>9.4692956815389889E-2</v>
      </c>
      <c r="J46" s="996"/>
      <c r="K46" s="997"/>
      <c r="L46" s="998"/>
      <c r="M46" s="998"/>
      <c r="N46" s="998"/>
      <c r="O46" s="999"/>
    </row>
    <row r="47" spans="1:15" ht="14.5" customHeight="1" outlineLevel="1" x14ac:dyDescent="0.3">
      <c r="A47" s="480">
        <v>24.01</v>
      </c>
      <c r="B47" s="506" t="s">
        <v>285</v>
      </c>
      <c r="C47" s="482" t="s">
        <v>77</v>
      </c>
      <c r="D47" s="488">
        <v>10</v>
      </c>
      <c r="E47" s="489">
        <v>1094515</v>
      </c>
      <c r="F47" s="489">
        <f t="shared" ref="F47:F55" si="15">+E47*D47</f>
        <v>10945150</v>
      </c>
      <c r="H47" s="505"/>
      <c r="J47" s="1004">
        <v>0.1</v>
      </c>
      <c r="K47" s="1008">
        <v>0.1</v>
      </c>
      <c r="L47" s="1006">
        <f t="shared" ref="L47:L55" si="16">+J47+K47</f>
        <v>0.2</v>
      </c>
      <c r="M47" s="1007">
        <f t="shared" ref="M47:M55" si="17">+F47*J47</f>
        <v>1094515</v>
      </c>
      <c r="N47" s="1007">
        <f t="shared" ref="N47:N55" si="18">+F47*K47</f>
        <v>1094515</v>
      </c>
      <c r="O47" s="1007">
        <f t="shared" ref="O47:O55" si="19">+F47*L47</f>
        <v>2189030</v>
      </c>
    </row>
    <row r="48" spans="1:15" ht="14.5" customHeight="1" outlineLevel="1" x14ac:dyDescent="0.3">
      <c r="A48" s="507">
        <v>24.02</v>
      </c>
      <c r="B48" s="508" t="s">
        <v>286</v>
      </c>
      <c r="C48" s="509" t="s">
        <v>77</v>
      </c>
      <c r="D48" s="510">
        <v>1</v>
      </c>
      <c r="E48" s="489">
        <v>2201892</v>
      </c>
      <c r="F48" s="489">
        <f t="shared" si="15"/>
        <v>2201892</v>
      </c>
      <c r="H48" s="505"/>
      <c r="J48" s="1004">
        <v>0</v>
      </c>
      <c r="K48" s="1008"/>
      <c r="L48" s="1006">
        <f t="shared" si="16"/>
        <v>0</v>
      </c>
      <c r="M48" s="1007">
        <f t="shared" si="17"/>
        <v>0</v>
      </c>
      <c r="N48" s="1007">
        <f t="shared" si="18"/>
        <v>0</v>
      </c>
      <c r="O48" s="1007">
        <f t="shared" si="19"/>
        <v>0</v>
      </c>
    </row>
    <row r="49" spans="1:17" ht="14.5" customHeight="1" outlineLevel="1" x14ac:dyDescent="0.3">
      <c r="A49" s="485">
        <v>24.03</v>
      </c>
      <c r="B49" s="511" t="s">
        <v>287</v>
      </c>
      <c r="C49" s="487" t="s">
        <v>77</v>
      </c>
      <c r="D49" s="488">
        <v>10</v>
      </c>
      <c r="E49" s="489">
        <v>406941</v>
      </c>
      <c r="F49" s="489">
        <f t="shared" si="15"/>
        <v>4069410</v>
      </c>
      <c r="H49" s="505"/>
      <c r="J49" s="1004">
        <v>0.1</v>
      </c>
      <c r="K49" s="1008">
        <v>0.1</v>
      </c>
      <c r="L49" s="1006">
        <f t="shared" si="16"/>
        <v>0.2</v>
      </c>
      <c r="M49" s="1007">
        <f t="shared" si="17"/>
        <v>406941</v>
      </c>
      <c r="N49" s="1007">
        <f t="shared" si="18"/>
        <v>406941</v>
      </c>
      <c r="O49" s="1007">
        <f t="shared" si="19"/>
        <v>813882</v>
      </c>
    </row>
    <row r="50" spans="1:17" ht="14.5" customHeight="1" outlineLevel="1" x14ac:dyDescent="0.3">
      <c r="A50" s="507">
        <v>24.04</v>
      </c>
      <c r="B50" s="511" t="s">
        <v>288</v>
      </c>
      <c r="C50" s="487" t="s">
        <v>69</v>
      </c>
      <c r="D50" s="488">
        <v>1</v>
      </c>
      <c r="E50" s="489">
        <v>13322590</v>
      </c>
      <c r="F50" s="489">
        <f t="shared" si="15"/>
        <v>13322590</v>
      </c>
      <c r="H50" s="505"/>
      <c r="J50" s="1004">
        <v>0</v>
      </c>
      <c r="K50" s="1008"/>
      <c r="L50" s="1006">
        <f t="shared" si="16"/>
        <v>0</v>
      </c>
      <c r="M50" s="1007">
        <f t="shared" si="17"/>
        <v>0</v>
      </c>
      <c r="N50" s="1007">
        <f t="shared" si="18"/>
        <v>0</v>
      </c>
      <c r="O50" s="1007">
        <f t="shared" si="19"/>
        <v>0</v>
      </c>
    </row>
    <row r="51" spans="1:17" s="514" customFormat="1" ht="14.5" customHeight="1" outlineLevel="1" x14ac:dyDescent="0.3">
      <c r="A51" s="485">
        <v>24.05</v>
      </c>
      <c r="B51" s="511" t="s">
        <v>291</v>
      </c>
      <c r="C51" s="512" t="s">
        <v>77</v>
      </c>
      <c r="D51" s="488">
        <v>10</v>
      </c>
      <c r="E51" s="489">
        <v>973794</v>
      </c>
      <c r="F51" s="489">
        <f t="shared" si="15"/>
        <v>9737940</v>
      </c>
      <c r="G51" s="513"/>
      <c r="H51" s="505"/>
      <c r="J51" s="1004">
        <v>0</v>
      </c>
      <c r="K51" s="1008"/>
      <c r="L51" s="1006">
        <f t="shared" si="16"/>
        <v>0</v>
      </c>
      <c r="M51" s="1007">
        <f t="shared" si="17"/>
        <v>0</v>
      </c>
      <c r="N51" s="1007">
        <f t="shared" si="18"/>
        <v>0</v>
      </c>
      <c r="O51" s="1007">
        <f t="shared" si="19"/>
        <v>0</v>
      </c>
    </row>
    <row r="52" spans="1:17" s="514" customFormat="1" ht="14.5" customHeight="1" outlineLevel="1" x14ac:dyDescent="0.3">
      <c r="A52" s="507">
        <v>24.06</v>
      </c>
      <c r="B52" s="511" t="s">
        <v>292</v>
      </c>
      <c r="C52" s="512" t="s">
        <v>77</v>
      </c>
      <c r="D52" s="488">
        <v>10</v>
      </c>
      <c r="E52" s="489">
        <v>883525</v>
      </c>
      <c r="F52" s="489">
        <f t="shared" si="15"/>
        <v>8835250</v>
      </c>
      <c r="G52" s="513"/>
      <c r="H52" s="505"/>
      <c r="J52" s="1004">
        <v>0</v>
      </c>
      <c r="K52" s="1008">
        <v>0.1</v>
      </c>
      <c r="L52" s="1006">
        <f t="shared" si="16"/>
        <v>0.1</v>
      </c>
      <c r="M52" s="1007">
        <f t="shared" si="17"/>
        <v>0</v>
      </c>
      <c r="N52" s="1007">
        <f t="shared" si="18"/>
        <v>883525</v>
      </c>
      <c r="O52" s="1007">
        <f t="shared" si="19"/>
        <v>883525</v>
      </c>
    </row>
    <row r="53" spans="1:17" s="514" customFormat="1" ht="14.5" customHeight="1" outlineLevel="1" x14ac:dyDescent="0.3">
      <c r="A53" s="485">
        <v>24.07</v>
      </c>
      <c r="B53" s="511" t="s">
        <v>293</v>
      </c>
      <c r="C53" s="512" t="s">
        <v>69</v>
      </c>
      <c r="D53" s="488">
        <v>0</v>
      </c>
      <c r="E53" s="489">
        <v>6243068</v>
      </c>
      <c r="F53" s="489">
        <f t="shared" si="15"/>
        <v>0</v>
      </c>
      <c r="G53" s="513"/>
      <c r="H53" s="505"/>
      <c r="J53" s="1004">
        <v>0</v>
      </c>
      <c r="K53" s="1008"/>
      <c r="L53" s="1006">
        <f t="shared" si="16"/>
        <v>0</v>
      </c>
      <c r="M53" s="1007">
        <f t="shared" si="17"/>
        <v>0</v>
      </c>
      <c r="N53" s="1007">
        <f t="shared" si="18"/>
        <v>0</v>
      </c>
      <c r="O53" s="1007">
        <f t="shared" si="19"/>
        <v>0</v>
      </c>
    </row>
    <row r="54" spans="1:17" s="514" customFormat="1" ht="14.5" customHeight="1" outlineLevel="1" x14ac:dyDescent="0.3">
      <c r="A54" s="507">
        <v>24.08</v>
      </c>
      <c r="B54" s="511" t="s">
        <v>294</v>
      </c>
      <c r="C54" s="512" t="s">
        <v>77</v>
      </c>
      <c r="D54" s="488">
        <v>10</v>
      </c>
      <c r="E54" s="489">
        <v>406941</v>
      </c>
      <c r="F54" s="489">
        <f t="shared" si="15"/>
        <v>4069410</v>
      </c>
      <c r="G54" s="513"/>
      <c r="H54" s="505"/>
      <c r="J54" s="1004">
        <v>0</v>
      </c>
      <c r="K54" s="1008"/>
      <c r="L54" s="1006">
        <f t="shared" si="16"/>
        <v>0</v>
      </c>
      <c r="M54" s="1007">
        <f t="shared" si="17"/>
        <v>0</v>
      </c>
      <c r="N54" s="1007">
        <f t="shared" si="18"/>
        <v>0</v>
      </c>
      <c r="O54" s="1007">
        <f t="shared" si="19"/>
        <v>0</v>
      </c>
    </row>
    <row r="55" spans="1:17" s="518" customFormat="1" ht="14.5" customHeight="1" outlineLevel="1" x14ac:dyDescent="0.3">
      <c r="A55" s="485">
        <v>24.09</v>
      </c>
      <c r="B55" s="515" t="s">
        <v>295</v>
      </c>
      <c r="C55" s="516" t="s">
        <v>77</v>
      </c>
      <c r="D55" s="488">
        <v>10</v>
      </c>
      <c r="E55" s="517">
        <v>367941</v>
      </c>
      <c r="F55" s="517">
        <f t="shared" si="15"/>
        <v>3679410</v>
      </c>
      <c r="G55" s="513"/>
      <c r="H55" s="505"/>
      <c r="J55" s="1004">
        <v>0</v>
      </c>
      <c r="K55" s="1008">
        <v>0.2</v>
      </c>
      <c r="L55" s="1006">
        <f t="shared" si="16"/>
        <v>0.2</v>
      </c>
      <c r="M55" s="1007">
        <f t="shared" si="17"/>
        <v>0</v>
      </c>
      <c r="N55" s="1007">
        <f t="shared" si="18"/>
        <v>735882</v>
      </c>
      <c r="O55" s="1007">
        <f t="shared" si="19"/>
        <v>735882</v>
      </c>
    </row>
    <row r="56" spans="1:17" ht="14.5" customHeight="1" x14ac:dyDescent="0.3">
      <c r="A56" s="472">
        <v>25</v>
      </c>
      <c r="B56" s="473" t="s">
        <v>296</v>
      </c>
      <c r="C56" s="474"/>
      <c r="D56" s="475"/>
      <c r="E56" s="475"/>
      <c r="F56" s="475"/>
      <c r="G56" s="476">
        <f>SUM(F57:F58)</f>
        <v>50820170</v>
      </c>
      <c r="H56" s="505">
        <f>+G56/$G$59</f>
        <v>8.4632837309460487E-2</v>
      </c>
      <c r="J56" s="996"/>
      <c r="K56" s="997"/>
      <c r="L56" s="998"/>
      <c r="M56" s="998"/>
      <c r="N56" s="998"/>
      <c r="O56" s="999"/>
    </row>
    <row r="57" spans="1:17" s="523" customFormat="1" ht="14.5" customHeight="1" outlineLevel="1" x14ac:dyDescent="0.3">
      <c r="A57" s="480">
        <v>25.01</v>
      </c>
      <c r="B57" s="481" t="s">
        <v>297</v>
      </c>
      <c r="C57" s="519" t="s">
        <v>77</v>
      </c>
      <c r="D57" s="488">
        <v>10</v>
      </c>
      <c r="E57" s="520">
        <v>4403783</v>
      </c>
      <c r="F57" s="521">
        <f>+E57*D57</f>
        <v>44037830</v>
      </c>
      <c r="G57" s="522"/>
      <c r="J57" s="1004">
        <v>0.1</v>
      </c>
      <c r="K57" s="1008">
        <v>0.1</v>
      </c>
      <c r="L57" s="1006">
        <f t="shared" ref="L57:L58" si="20">+J57+K57</f>
        <v>0.2</v>
      </c>
      <c r="M57" s="1007">
        <f t="shared" ref="M57:M58" si="21">+F57*J57</f>
        <v>4403783</v>
      </c>
      <c r="N57" s="1007">
        <f t="shared" ref="N57:N58" si="22">+F57*K57</f>
        <v>4403783</v>
      </c>
      <c r="O57" s="1007">
        <f t="shared" ref="O57:O58" si="23">+F57*L57</f>
        <v>8807566</v>
      </c>
    </row>
    <row r="58" spans="1:17" s="523" customFormat="1" ht="14.5" customHeight="1" outlineLevel="1" x14ac:dyDescent="0.3">
      <c r="A58" s="524">
        <v>25.02</v>
      </c>
      <c r="B58" s="502" t="s">
        <v>298</v>
      </c>
      <c r="C58" s="525" t="s">
        <v>77</v>
      </c>
      <c r="D58" s="488">
        <v>10</v>
      </c>
      <c r="E58" s="520">
        <v>678234</v>
      </c>
      <c r="F58" s="489">
        <f>+E58*D58</f>
        <v>6782340</v>
      </c>
      <c r="G58" s="526"/>
      <c r="J58" s="1004">
        <v>0.1</v>
      </c>
      <c r="K58" s="1008">
        <v>0.1</v>
      </c>
      <c r="L58" s="1006">
        <f t="shared" si="20"/>
        <v>0.2</v>
      </c>
      <c r="M58" s="1007">
        <f t="shared" si="21"/>
        <v>678234</v>
      </c>
      <c r="N58" s="1007">
        <f t="shared" si="22"/>
        <v>678234</v>
      </c>
      <c r="O58" s="1007">
        <f t="shared" si="23"/>
        <v>1356468</v>
      </c>
    </row>
    <row r="59" spans="1:17" ht="14.5" customHeight="1" x14ac:dyDescent="0.3">
      <c r="A59" s="472" t="s">
        <v>349</v>
      </c>
      <c r="B59" s="473" t="s">
        <v>350</v>
      </c>
      <c r="C59" s="474"/>
      <c r="D59" s="475"/>
      <c r="E59" s="475"/>
      <c r="F59" s="475">
        <f>SUM(F8:F58)</f>
        <v>600478155</v>
      </c>
      <c r="G59" s="476">
        <f>SUM(G8:G58)</f>
        <v>600478155</v>
      </c>
      <c r="H59" s="505">
        <f>+G59/$G$59</f>
        <v>1</v>
      </c>
      <c r="J59" s="1014"/>
      <c r="K59" s="1015"/>
      <c r="L59" s="1015"/>
      <c r="M59" s="1016">
        <f>+SUM(M8:M58)</f>
        <v>64007156.830000006</v>
      </c>
      <c r="N59" s="1016">
        <f>+SUM(N8:N58)</f>
        <v>68905452.270000011</v>
      </c>
      <c r="O59" s="1017">
        <f>+SUM(O8:O58)</f>
        <v>132912609.09999998</v>
      </c>
    </row>
    <row r="60" spans="1:17" ht="14.5" customHeight="1" x14ac:dyDescent="0.3">
      <c r="A60" s="1018"/>
      <c r="B60" s="1019"/>
      <c r="C60" s="454"/>
      <c r="D60" s="455"/>
      <c r="E60" s="455"/>
      <c r="F60" s="455"/>
      <c r="G60" s="534"/>
      <c r="H60" s="505"/>
      <c r="J60" s="1020"/>
      <c r="K60" s="1020"/>
      <c r="L60" s="1021"/>
      <c r="M60" s="1021"/>
      <c r="N60" s="1022">
        <f>+N59/G59</f>
        <v>0.11475097253121558</v>
      </c>
      <c r="O60" s="1023">
        <f>+O59/G59</f>
        <v>0.22134462010528921</v>
      </c>
    </row>
    <row r="61" spans="1:17" ht="14.5" customHeight="1" x14ac:dyDescent="0.3">
      <c r="A61" s="1018"/>
      <c r="B61" s="1019"/>
      <c r="C61" s="454"/>
      <c r="D61" s="455"/>
      <c r="E61" s="455"/>
      <c r="F61" s="455"/>
      <c r="G61" s="534"/>
      <c r="H61" s="505"/>
      <c r="J61" s="1020"/>
      <c r="K61" s="1020"/>
      <c r="L61" s="1021"/>
      <c r="M61" s="1021"/>
      <c r="N61" s="1022"/>
      <c r="O61" s="1023"/>
    </row>
    <row r="62" spans="1:17" s="1021" customFormat="1" ht="12.75" customHeight="1" x14ac:dyDescent="0.3">
      <c r="A62" s="1024"/>
      <c r="B62" s="1025" t="s">
        <v>621</v>
      </c>
      <c r="C62" s="1026"/>
      <c r="D62" s="1027"/>
      <c r="E62" s="1028"/>
      <c r="F62" s="1029"/>
      <c r="G62" s="1030"/>
      <c r="H62" s="1030"/>
      <c r="I62" s="1031"/>
      <c r="J62" s="1032"/>
      <c r="K62" s="1032"/>
      <c r="L62" s="1033" t="s">
        <v>622</v>
      </c>
      <c r="M62" s="1034">
        <f>+K4</f>
        <v>2</v>
      </c>
      <c r="N62" s="1035"/>
      <c r="O62" s="1036">
        <f>+O4</f>
        <v>46175</v>
      </c>
    </row>
    <row r="63" spans="1:17" s="1021" customFormat="1" ht="12.75" customHeight="1" x14ac:dyDescent="0.3">
      <c r="A63" s="1037"/>
      <c r="B63" s="1025" t="s">
        <v>58</v>
      </c>
      <c r="C63" s="1035"/>
      <c r="D63" s="1038"/>
      <c r="E63" s="1039"/>
      <c r="F63" s="1030"/>
      <c r="G63" s="1030"/>
      <c r="H63" s="1030"/>
      <c r="I63" s="1040"/>
      <c r="J63" s="1041"/>
      <c r="K63" s="1041"/>
      <c r="L63" s="1040"/>
      <c r="M63" s="1025"/>
      <c r="N63" s="1035" t="s">
        <v>240</v>
      </c>
      <c r="O63" s="1042" t="s">
        <v>623</v>
      </c>
    </row>
    <row r="64" spans="1:17" s="1021" customFormat="1" ht="12.75" customHeight="1" x14ac:dyDescent="0.3">
      <c r="A64" s="1043" t="s">
        <v>349</v>
      </c>
      <c r="B64" s="1044" t="s">
        <v>624</v>
      </c>
      <c r="C64" s="1045"/>
      <c r="D64" s="1046"/>
      <c r="E64" s="1047"/>
      <c r="F64" s="1048"/>
      <c r="G64" s="1049"/>
      <c r="H64" s="1049"/>
      <c r="I64" s="1050"/>
      <c r="J64" s="1051"/>
      <c r="K64" s="1051"/>
      <c r="L64" s="1050"/>
      <c r="M64" s="1052"/>
      <c r="N64" s="1052"/>
      <c r="O64" s="1053">
        <f>+G59</f>
        <v>600478155</v>
      </c>
      <c r="P64" s="1054"/>
      <c r="Q64" s="1055"/>
    </row>
    <row r="65" spans="1:63" s="1021" customFormat="1" ht="12.75" customHeight="1" x14ac:dyDescent="0.3">
      <c r="A65" s="1056" t="s">
        <v>420</v>
      </c>
      <c r="B65" s="1057" t="s">
        <v>427</v>
      </c>
      <c r="C65" s="1058"/>
      <c r="D65" s="1059"/>
      <c r="E65" s="1060"/>
      <c r="F65" s="1061"/>
      <c r="G65" s="1062"/>
      <c r="H65" s="1062"/>
      <c r="I65" s="1061"/>
      <c r="J65" s="1063"/>
      <c r="K65" s="1063"/>
      <c r="L65" s="1064"/>
      <c r="M65" s="1065"/>
      <c r="N65" s="1216">
        <v>0.2</v>
      </c>
      <c r="O65" s="1066">
        <f>+N65*O64</f>
        <v>120095631</v>
      </c>
      <c r="P65" s="1067"/>
      <c r="Q65" s="1055"/>
    </row>
    <row r="66" spans="1:63" s="1021" customFormat="1" ht="12.75" customHeight="1" x14ac:dyDescent="0.3">
      <c r="A66" s="1068" t="s">
        <v>48</v>
      </c>
      <c r="B66" s="1069" t="s">
        <v>625</v>
      </c>
      <c r="C66" s="1070"/>
      <c r="D66" s="1071"/>
      <c r="E66" s="1072"/>
      <c r="F66" s="1073"/>
      <c r="G66" s="1074"/>
      <c r="H66" s="1074"/>
      <c r="I66" s="1075"/>
      <c r="J66" s="1076"/>
      <c r="K66" s="1076"/>
      <c r="L66" s="1075"/>
      <c r="M66" s="1077"/>
      <c r="N66" s="1077"/>
      <c r="O66" s="1078">
        <f>+N59</f>
        <v>68905452.270000011</v>
      </c>
      <c r="P66" s="1054"/>
      <c r="Q66" s="1079"/>
    </row>
    <row r="67" spans="1:63" s="1021" customFormat="1" ht="12.75" customHeight="1" x14ac:dyDescent="0.3">
      <c r="A67" s="1080" t="s">
        <v>626</v>
      </c>
      <c r="B67" s="1081" t="s">
        <v>627</v>
      </c>
      <c r="C67" s="1082"/>
      <c r="D67" s="1083"/>
      <c r="E67" s="1084"/>
      <c r="F67" s="1085"/>
      <c r="G67" s="1086"/>
      <c r="H67" s="1086"/>
      <c r="I67" s="1087"/>
      <c r="J67" s="1088"/>
      <c r="K67" s="1088"/>
      <c r="L67" s="1087"/>
      <c r="M67" s="1089"/>
      <c r="N67" s="1090">
        <f>-N65</f>
        <v>-0.2</v>
      </c>
      <c r="O67" s="1091">
        <f>+N67*O66</f>
        <v>-13781090.454000004</v>
      </c>
      <c r="P67" s="1067"/>
      <c r="Q67" s="1092"/>
    </row>
    <row r="68" spans="1:63" s="1021" customFormat="1" ht="12.75" customHeight="1" x14ac:dyDescent="0.3">
      <c r="A68" s="1093" t="s">
        <v>628</v>
      </c>
      <c r="B68" s="1094" t="s">
        <v>629</v>
      </c>
      <c r="C68" s="1095"/>
      <c r="D68" s="1096"/>
      <c r="E68" s="1097"/>
      <c r="F68" s="1098"/>
      <c r="G68" s="1098"/>
      <c r="H68" s="1098"/>
      <c r="I68" s="1099"/>
      <c r="J68" s="1100"/>
      <c r="K68" s="1100"/>
      <c r="L68" s="1099"/>
      <c r="M68" s="1101"/>
      <c r="N68" s="1101"/>
      <c r="O68" s="1102">
        <f>+O66+O67</f>
        <v>55124361.816000007</v>
      </c>
      <c r="P68" s="1054"/>
      <c r="Q68" s="1103"/>
    </row>
    <row r="69" spans="1:63" ht="12.75" customHeight="1" x14ac:dyDescent="0.3">
      <c r="B69" s="443" t="s">
        <v>342</v>
      </c>
      <c r="J69" s="478"/>
      <c r="K69" s="538"/>
      <c r="L69" s="539"/>
      <c r="M69" s="538"/>
      <c r="N69" s="538"/>
      <c r="O69" s="1220"/>
    </row>
    <row r="70" spans="1:63" ht="12.75" customHeight="1" x14ac:dyDescent="0.3">
      <c r="B70" s="443" t="s">
        <v>343</v>
      </c>
      <c r="J70" s="478"/>
      <c r="O70" s="528"/>
    </row>
    <row r="71" spans="1:63" ht="12.75" customHeight="1" x14ac:dyDescent="0.3">
      <c r="J71" s="478"/>
    </row>
    <row r="72" spans="1:63" s="449" customFormat="1" x14ac:dyDescent="0.3">
      <c r="A72" s="442"/>
      <c r="B72" s="443"/>
      <c r="C72" s="444"/>
      <c r="D72" s="445"/>
      <c r="E72" s="446"/>
      <c r="F72" s="446"/>
      <c r="G72" s="471"/>
      <c r="H72" s="448"/>
      <c r="I72" s="448"/>
      <c r="J72" s="478"/>
      <c r="L72" s="450"/>
      <c r="P72" s="448"/>
      <c r="Q72" s="448"/>
      <c r="R72" s="448"/>
      <c r="S72" s="448"/>
      <c r="T72" s="448"/>
      <c r="U72" s="448"/>
      <c r="V72" s="448"/>
      <c r="W72" s="448"/>
      <c r="X72" s="448"/>
      <c r="Y72" s="448"/>
      <c r="Z72" s="448"/>
      <c r="AA72" s="448"/>
      <c r="AB72" s="448"/>
      <c r="AC72" s="448"/>
      <c r="AD72" s="448"/>
      <c r="AE72" s="448"/>
      <c r="AF72" s="448"/>
      <c r="AG72" s="448"/>
      <c r="AH72" s="448"/>
      <c r="AI72" s="448"/>
      <c r="AJ72" s="448"/>
      <c r="AK72" s="448"/>
      <c r="AL72" s="448"/>
      <c r="AM72" s="448"/>
      <c r="AN72" s="448"/>
      <c r="AO72" s="448"/>
      <c r="AP72" s="448"/>
      <c r="AQ72" s="448"/>
      <c r="AR72" s="448"/>
      <c r="AS72" s="448"/>
      <c r="AT72" s="448"/>
      <c r="AU72" s="448"/>
      <c r="AV72" s="448"/>
      <c r="AW72" s="448"/>
      <c r="AX72" s="448"/>
      <c r="AY72" s="448"/>
      <c r="AZ72" s="448"/>
      <c r="BA72" s="448"/>
      <c r="BB72" s="448"/>
      <c r="BC72" s="448"/>
      <c r="BD72" s="448"/>
      <c r="BE72" s="448"/>
      <c r="BF72" s="448"/>
      <c r="BG72" s="448"/>
      <c r="BH72" s="448"/>
      <c r="BI72" s="448"/>
      <c r="BJ72" s="448"/>
      <c r="BK72" s="448"/>
    </row>
    <row r="73" spans="1:63" s="449" customFormat="1" x14ac:dyDescent="0.3">
      <c r="A73" s="442"/>
      <c r="B73" s="443"/>
      <c r="C73" s="444"/>
      <c r="D73" s="445"/>
      <c r="E73" s="446"/>
      <c r="F73" s="446"/>
      <c r="G73" s="471"/>
      <c r="H73" s="448"/>
      <c r="I73" s="448"/>
      <c r="J73" s="478"/>
      <c r="L73" s="450"/>
      <c r="P73" s="448"/>
      <c r="Q73" s="448"/>
      <c r="R73" s="448"/>
      <c r="S73" s="448"/>
      <c r="T73" s="448"/>
      <c r="U73" s="448"/>
      <c r="V73" s="448"/>
      <c r="W73" s="448"/>
      <c r="X73" s="448"/>
      <c r="Y73" s="448"/>
      <c r="Z73" s="448"/>
      <c r="AA73" s="448"/>
      <c r="AB73" s="448"/>
      <c r="AC73" s="448"/>
      <c r="AD73" s="448"/>
      <c r="AE73" s="448"/>
      <c r="AF73" s="448"/>
      <c r="AG73" s="448"/>
      <c r="AH73" s="448"/>
      <c r="AI73" s="448"/>
      <c r="AJ73" s="448"/>
      <c r="AK73" s="448"/>
      <c r="AL73" s="448"/>
      <c r="AM73" s="448"/>
      <c r="AN73" s="448"/>
      <c r="AO73" s="448"/>
      <c r="AP73" s="448"/>
      <c r="AQ73" s="448"/>
      <c r="AR73" s="448"/>
      <c r="AS73" s="448"/>
      <c r="AT73" s="448"/>
      <c r="AU73" s="448"/>
      <c r="AV73" s="448"/>
      <c r="AW73" s="448"/>
      <c r="AX73" s="448"/>
      <c r="AY73" s="448"/>
      <c r="AZ73" s="448"/>
      <c r="BA73" s="448"/>
      <c r="BB73" s="448"/>
      <c r="BC73" s="448"/>
      <c r="BD73" s="448"/>
      <c r="BE73" s="448"/>
      <c r="BF73" s="448"/>
      <c r="BG73" s="448"/>
      <c r="BH73" s="448"/>
      <c r="BI73" s="448"/>
      <c r="BJ73" s="448"/>
      <c r="BK73" s="448"/>
    </row>
    <row r="74" spans="1:63" s="449" customFormat="1" x14ac:dyDescent="0.3">
      <c r="A74" s="442"/>
      <c r="B74" s="443"/>
      <c r="C74" s="444"/>
      <c r="D74" s="445"/>
      <c r="E74" s="446"/>
      <c r="F74" s="446"/>
      <c r="G74" s="471"/>
      <c r="H74" s="448"/>
      <c r="I74" s="448"/>
      <c r="J74" s="478"/>
      <c r="L74" s="450"/>
      <c r="P74" s="448"/>
      <c r="Q74" s="448"/>
      <c r="R74" s="448"/>
      <c r="S74" s="448"/>
      <c r="T74" s="448"/>
      <c r="U74" s="448"/>
      <c r="V74" s="448"/>
      <c r="W74" s="448"/>
      <c r="X74" s="448"/>
      <c r="Y74" s="448"/>
      <c r="Z74" s="448"/>
      <c r="AA74" s="448"/>
      <c r="AB74" s="448"/>
      <c r="AC74" s="448"/>
      <c r="AD74" s="448"/>
      <c r="AE74" s="448"/>
      <c r="AF74" s="448"/>
      <c r="AG74" s="448"/>
      <c r="AH74" s="448"/>
      <c r="AI74" s="448"/>
      <c r="AJ74" s="448"/>
      <c r="AK74" s="448"/>
      <c r="AL74" s="448"/>
      <c r="AM74" s="448"/>
      <c r="AN74" s="448"/>
      <c r="AO74" s="448"/>
      <c r="AP74" s="448"/>
      <c r="AQ74" s="448"/>
      <c r="AR74" s="448"/>
      <c r="AS74" s="448"/>
      <c r="AT74" s="448"/>
      <c r="AU74" s="448"/>
      <c r="AV74" s="448"/>
      <c r="AW74" s="448"/>
      <c r="AX74" s="448"/>
      <c r="AY74" s="448"/>
      <c r="AZ74" s="448"/>
      <c r="BA74" s="448"/>
      <c r="BB74" s="448"/>
      <c r="BC74" s="448"/>
      <c r="BD74" s="448"/>
      <c r="BE74" s="448"/>
      <c r="BF74" s="448"/>
      <c r="BG74" s="448"/>
      <c r="BH74" s="448"/>
      <c r="BI74" s="448"/>
      <c r="BJ74" s="448"/>
      <c r="BK74" s="448"/>
    </row>
    <row r="90" spans="2:2" x14ac:dyDescent="0.3">
      <c r="B90" s="448"/>
    </row>
    <row r="91" spans="2:2" x14ac:dyDescent="0.3">
      <c r="B91" s="448"/>
    </row>
    <row r="98" spans="1:41" s="618" customFormat="1" x14ac:dyDescent="0.3">
      <c r="A98" s="442"/>
      <c r="B98" s="443"/>
      <c r="C98" s="444"/>
      <c r="D98" s="445"/>
      <c r="E98" s="446"/>
      <c r="F98" s="446"/>
      <c r="G98" s="471"/>
      <c r="H98" s="448"/>
      <c r="I98" s="448"/>
      <c r="J98" s="449"/>
      <c r="K98" s="449"/>
      <c r="L98" s="450"/>
      <c r="M98" s="449"/>
      <c r="N98" s="449"/>
      <c r="O98" s="449"/>
      <c r="P98" s="448"/>
      <c r="Q98" s="448"/>
      <c r="R98" s="448"/>
      <c r="S98" s="448"/>
      <c r="T98" s="448"/>
      <c r="U98" s="448"/>
      <c r="V98" s="448"/>
      <c r="W98" s="448"/>
      <c r="X98" s="448"/>
      <c r="Y98" s="448"/>
      <c r="Z98" s="448"/>
      <c r="AA98" s="448"/>
      <c r="AB98" s="448"/>
      <c r="AC98" s="448"/>
      <c r="AD98" s="448"/>
      <c r="AE98" s="448"/>
      <c r="AF98" s="448"/>
      <c r="AG98" s="448"/>
      <c r="AH98" s="448"/>
      <c r="AI98" s="448"/>
      <c r="AJ98" s="448"/>
      <c r="AK98" s="448"/>
      <c r="AL98" s="448"/>
      <c r="AM98" s="448"/>
      <c r="AN98" s="448"/>
      <c r="AO98" s="448"/>
    </row>
    <row r="99" spans="1:41" s="618" customFormat="1" x14ac:dyDescent="0.3">
      <c r="A99" s="442"/>
      <c r="B99" s="443"/>
      <c r="C99" s="444"/>
      <c r="D99" s="445"/>
      <c r="E99" s="446"/>
      <c r="F99" s="446"/>
      <c r="G99" s="471"/>
      <c r="H99" s="448"/>
      <c r="I99" s="448"/>
      <c r="J99" s="449"/>
      <c r="K99" s="449"/>
      <c r="L99" s="450"/>
      <c r="M99" s="449"/>
      <c r="N99" s="449"/>
      <c r="O99" s="449"/>
      <c r="P99" s="448"/>
      <c r="Q99" s="448"/>
      <c r="R99" s="448"/>
      <c r="S99" s="448"/>
      <c r="T99" s="448"/>
      <c r="U99" s="448"/>
      <c r="V99" s="448"/>
      <c r="W99" s="448"/>
      <c r="X99" s="448"/>
      <c r="Y99" s="448"/>
      <c r="Z99" s="448"/>
      <c r="AA99" s="448"/>
      <c r="AB99" s="448"/>
      <c r="AC99" s="448"/>
      <c r="AD99" s="448"/>
      <c r="AE99" s="448"/>
      <c r="AF99" s="448"/>
      <c r="AG99" s="448"/>
      <c r="AH99" s="448"/>
      <c r="AI99" s="448"/>
      <c r="AJ99" s="448"/>
      <c r="AK99" s="448"/>
      <c r="AL99" s="448"/>
      <c r="AM99" s="448"/>
      <c r="AN99" s="448"/>
      <c r="AO99" s="448"/>
    </row>
    <row r="100" spans="1:41" s="618" customFormat="1" x14ac:dyDescent="0.3">
      <c r="A100" s="442"/>
      <c r="B100" s="443"/>
      <c r="C100" s="444"/>
      <c r="D100" s="445"/>
      <c r="E100" s="446"/>
      <c r="F100" s="446"/>
      <c r="G100" s="471"/>
      <c r="H100" s="448"/>
      <c r="I100" s="448"/>
      <c r="J100" s="449"/>
      <c r="K100" s="449"/>
      <c r="L100" s="450"/>
      <c r="M100" s="449"/>
      <c r="N100" s="449"/>
      <c r="O100" s="449"/>
      <c r="P100" s="448"/>
      <c r="Q100" s="448"/>
      <c r="R100" s="448"/>
      <c r="S100" s="448"/>
      <c r="T100" s="448"/>
      <c r="U100" s="448"/>
      <c r="V100" s="448"/>
      <c r="W100" s="448"/>
      <c r="X100" s="448"/>
      <c r="Y100" s="448"/>
      <c r="Z100" s="448"/>
      <c r="AA100" s="448"/>
      <c r="AB100" s="448"/>
      <c r="AC100" s="448"/>
      <c r="AD100" s="448"/>
      <c r="AE100" s="448"/>
      <c r="AF100" s="448"/>
      <c r="AG100" s="448"/>
      <c r="AH100" s="448"/>
      <c r="AI100" s="448"/>
      <c r="AJ100" s="448"/>
      <c r="AK100" s="448"/>
      <c r="AL100" s="448"/>
      <c r="AM100" s="448"/>
      <c r="AN100" s="448"/>
      <c r="AO100" s="448"/>
    </row>
  </sheetData>
  <mergeCells count="2">
    <mergeCell ref="J6:L6"/>
    <mergeCell ref="M6:O6"/>
  </mergeCells>
  <conditionalFormatting sqref="C3:C11 C18:C38 C46:C56">
    <cfRule type="cellIs" dxfId="3" priority="4" operator="equal">
      <formula>"x"</formula>
    </cfRule>
  </conditionalFormatting>
  <conditionalFormatting sqref="C59:C61">
    <cfRule type="cellIs" dxfId="2" priority="3" operator="equal">
      <formula>"x"</formula>
    </cfRule>
  </conditionalFormatting>
  <conditionalFormatting sqref="L9:L17 L19:L22 L24:L45 L47:L55">
    <cfRule type="cellIs" dxfId="1" priority="2" operator="lessThan">
      <formula>1</formula>
    </cfRule>
  </conditionalFormatting>
  <conditionalFormatting sqref="L57:L58">
    <cfRule type="cellIs" dxfId="0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C9E6-7201-4600-A6E0-6BB300ED45F3}">
  <dimension ref="B2:E1849"/>
  <sheetViews>
    <sheetView showGridLines="0" zoomScaleNormal="100" workbookViewId="0"/>
  </sheetViews>
  <sheetFormatPr defaultColWidth="11.453125" defaultRowHeight="14.5" x14ac:dyDescent="0.35"/>
  <cols>
    <col min="1" max="1" width="4.26953125" style="815" customWidth="1"/>
    <col min="2" max="2" width="14" style="821" customWidth="1"/>
    <col min="3" max="3" width="11" style="821" bestFit="1" customWidth="1"/>
    <col min="4" max="4" width="13.1796875" style="815" bestFit="1" customWidth="1"/>
    <col min="5" max="5" width="11.453125" style="815"/>
    <col min="6" max="6" width="14.453125" style="815" bestFit="1" customWidth="1"/>
    <col min="7" max="16384" width="11.453125" style="815"/>
  </cols>
  <sheetData>
    <row r="2" spans="2:5" x14ac:dyDescent="0.35">
      <c r="B2" s="1236" t="s">
        <v>546</v>
      </c>
      <c r="C2" s="1236"/>
    </row>
    <row r="3" spans="2:5" x14ac:dyDescent="0.35">
      <c r="B3" s="1236"/>
      <c r="C3" s="1236"/>
    </row>
    <row r="5" spans="2:5" ht="16" x14ac:dyDescent="0.35">
      <c r="B5" s="816" t="s">
        <v>1</v>
      </c>
      <c r="C5" s="817" t="s">
        <v>547</v>
      </c>
    </row>
    <row r="6" spans="2:5" x14ac:dyDescent="0.35">
      <c r="B6" s="818">
        <v>44197</v>
      </c>
      <c r="C6" s="819">
        <v>139.99</v>
      </c>
    </row>
    <row r="7" spans="2:5" x14ac:dyDescent="0.35">
      <c r="B7" s="818">
        <v>44198</v>
      </c>
      <c r="C7" s="819">
        <v>139.99</v>
      </c>
    </row>
    <row r="8" spans="2:5" x14ac:dyDescent="0.35">
      <c r="B8" s="818">
        <v>44199</v>
      </c>
      <c r="C8" s="819">
        <v>139.99</v>
      </c>
      <c r="E8" s="820"/>
    </row>
    <row r="9" spans="2:5" x14ac:dyDescent="0.35">
      <c r="B9" s="818">
        <v>44200</v>
      </c>
      <c r="C9" s="819">
        <v>142.32</v>
      </c>
      <c r="E9" s="820"/>
    </row>
    <row r="10" spans="2:5" x14ac:dyDescent="0.35">
      <c r="B10" s="818">
        <v>44201</v>
      </c>
      <c r="C10" s="819">
        <v>143.55000000000001</v>
      </c>
      <c r="E10" s="820"/>
    </row>
    <row r="11" spans="2:5" x14ac:dyDescent="0.35">
      <c r="B11" s="818">
        <v>44202</v>
      </c>
      <c r="C11" s="819">
        <v>144.38999999999999</v>
      </c>
    </row>
    <row r="12" spans="2:5" x14ac:dyDescent="0.35">
      <c r="B12" s="818">
        <v>44203</v>
      </c>
      <c r="C12" s="819">
        <v>145.84</v>
      </c>
    </row>
    <row r="13" spans="2:5" x14ac:dyDescent="0.35">
      <c r="B13" s="818">
        <v>44204</v>
      </c>
      <c r="C13" s="819">
        <v>145.06</v>
      </c>
    </row>
    <row r="14" spans="2:5" x14ac:dyDescent="0.35">
      <c r="B14" s="818">
        <v>44205</v>
      </c>
      <c r="C14" s="819">
        <v>145.06</v>
      </c>
    </row>
    <row r="15" spans="2:5" x14ac:dyDescent="0.35">
      <c r="B15" s="818">
        <v>44206</v>
      </c>
      <c r="C15" s="819">
        <v>145.06</v>
      </c>
    </row>
    <row r="16" spans="2:5" x14ac:dyDescent="0.35">
      <c r="B16" s="818">
        <v>44207</v>
      </c>
      <c r="C16" s="819">
        <v>145.80000000000001</v>
      </c>
    </row>
    <row r="17" spans="2:3" x14ac:dyDescent="0.35">
      <c r="B17" s="818">
        <v>44208</v>
      </c>
      <c r="C17" s="819">
        <v>144.97999999999999</v>
      </c>
    </row>
    <row r="18" spans="2:3" x14ac:dyDescent="0.35">
      <c r="B18" s="818">
        <v>44209</v>
      </c>
      <c r="C18" s="819">
        <v>144.72</v>
      </c>
    </row>
    <row r="19" spans="2:3" x14ac:dyDescent="0.35">
      <c r="B19" s="818">
        <v>44210</v>
      </c>
      <c r="C19" s="819">
        <v>145.41999999999999</v>
      </c>
    </row>
    <row r="20" spans="2:3" x14ac:dyDescent="0.35">
      <c r="B20" s="818">
        <v>44211</v>
      </c>
      <c r="C20" s="819">
        <v>145.38999999999999</v>
      </c>
    </row>
    <row r="21" spans="2:3" x14ac:dyDescent="0.35">
      <c r="B21" s="818">
        <v>44212</v>
      </c>
      <c r="C21" s="819">
        <v>145.38999999999999</v>
      </c>
    </row>
    <row r="22" spans="2:3" x14ac:dyDescent="0.35">
      <c r="B22" s="818">
        <v>44213</v>
      </c>
      <c r="C22" s="819">
        <v>145.38999999999999</v>
      </c>
    </row>
    <row r="23" spans="2:3" x14ac:dyDescent="0.35">
      <c r="B23" s="818">
        <v>44214</v>
      </c>
      <c r="C23" s="819">
        <v>145.36000000000001</v>
      </c>
    </row>
    <row r="24" spans="2:3" x14ac:dyDescent="0.35">
      <c r="B24" s="818">
        <v>44215</v>
      </c>
      <c r="C24" s="819">
        <v>145.47999999999999</v>
      </c>
    </row>
    <row r="25" spans="2:3" x14ac:dyDescent="0.35">
      <c r="B25" s="818">
        <v>44216</v>
      </c>
      <c r="C25" s="819">
        <v>145.72</v>
      </c>
    </row>
    <row r="26" spans="2:3" x14ac:dyDescent="0.35">
      <c r="B26" s="818">
        <v>44217</v>
      </c>
      <c r="C26" s="819">
        <v>145.96</v>
      </c>
    </row>
    <row r="27" spans="2:3" x14ac:dyDescent="0.35">
      <c r="B27" s="818">
        <v>44218</v>
      </c>
      <c r="C27" s="819">
        <v>145.88</v>
      </c>
    </row>
    <row r="28" spans="2:3" x14ac:dyDescent="0.35">
      <c r="B28" s="818">
        <v>44219</v>
      </c>
      <c r="C28" s="819">
        <v>145.88</v>
      </c>
    </row>
    <row r="29" spans="2:3" x14ac:dyDescent="0.35">
      <c r="B29" s="818">
        <v>44220</v>
      </c>
      <c r="C29" s="819">
        <v>145.88</v>
      </c>
    </row>
    <row r="30" spans="2:3" x14ac:dyDescent="0.35">
      <c r="B30" s="818">
        <v>44221</v>
      </c>
      <c r="C30" s="819">
        <v>146.38</v>
      </c>
    </row>
    <row r="31" spans="2:3" x14ac:dyDescent="0.35">
      <c r="B31" s="818">
        <v>44222</v>
      </c>
      <c r="C31" s="819">
        <v>146.88999999999999</v>
      </c>
    </row>
    <row r="32" spans="2:3" x14ac:dyDescent="0.35">
      <c r="B32" s="818">
        <v>44223</v>
      </c>
      <c r="C32" s="819">
        <v>147.38</v>
      </c>
    </row>
    <row r="33" spans="2:3" x14ac:dyDescent="0.35">
      <c r="B33" s="818">
        <v>44224</v>
      </c>
      <c r="C33" s="819">
        <v>147.9</v>
      </c>
    </row>
    <row r="34" spans="2:3" x14ac:dyDescent="0.35">
      <c r="B34" s="818">
        <v>44225</v>
      </c>
      <c r="C34" s="819">
        <v>147.88</v>
      </c>
    </row>
    <row r="35" spans="2:3" x14ac:dyDescent="0.35">
      <c r="B35" s="818">
        <v>44226</v>
      </c>
      <c r="C35" s="819">
        <v>147.88</v>
      </c>
    </row>
    <row r="36" spans="2:3" x14ac:dyDescent="0.35">
      <c r="B36" s="818">
        <v>44227</v>
      </c>
      <c r="C36" s="819">
        <v>147.88</v>
      </c>
    </row>
    <row r="37" spans="2:3" x14ac:dyDescent="0.35">
      <c r="B37" s="818">
        <v>44228</v>
      </c>
      <c r="C37" s="819">
        <v>148.33000000000001</v>
      </c>
    </row>
    <row r="38" spans="2:3" x14ac:dyDescent="0.35">
      <c r="B38" s="818">
        <v>44229</v>
      </c>
      <c r="C38" s="819">
        <v>148.83000000000001</v>
      </c>
    </row>
    <row r="39" spans="2:3" x14ac:dyDescent="0.35">
      <c r="B39" s="818">
        <v>44230</v>
      </c>
      <c r="C39" s="819">
        <v>149.34</v>
      </c>
    </row>
    <row r="40" spans="2:3" x14ac:dyDescent="0.35">
      <c r="B40" s="818">
        <v>44231</v>
      </c>
      <c r="C40" s="819">
        <v>149.84</v>
      </c>
    </row>
    <row r="41" spans="2:3" x14ac:dyDescent="0.35">
      <c r="B41" s="818">
        <v>44232</v>
      </c>
      <c r="C41" s="819">
        <v>149.6</v>
      </c>
    </row>
    <row r="42" spans="2:3" x14ac:dyDescent="0.35">
      <c r="B42" s="818">
        <v>44233</v>
      </c>
      <c r="C42" s="819">
        <v>149.6</v>
      </c>
    </row>
    <row r="43" spans="2:3" x14ac:dyDescent="0.35">
      <c r="B43" s="818">
        <v>44234</v>
      </c>
      <c r="C43" s="819">
        <v>149.6</v>
      </c>
    </row>
    <row r="44" spans="2:3" x14ac:dyDescent="0.35">
      <c r="B44" s="818">
        <v>44235</v>
      </c>
      <c r="C44" s="819">
        <v>149.6</v>
      </c>
    </row>
    <row r="45" spans="2:3" x14ac:dyDescent="0.35">
      <c r="B45" s="818">
        <v>44236</v>
      </c>
      <c r="C45" s="819">
        <v>150</v>
      </c>
    </row>
    <row r="46" spans="2:3" x14ac:dyDescent="0.35">
      <c r="B46" s="818">
        <v>44237</v>
      </c>
      <c r="C46" s="819">
        <v>149.75</v>
      </c>
    </row>
    <row r="47" spans="2:3" x14ac:dyDescent="0.35">
      <c r="B47" s="818">
        <v>44238</v>
      </c>
      <c r="C47" s="819">
        <v>148.34</v>
      </c>
    </row>
    <row r="48" spans="2:3" x14ac:dyDescent="0.35">
      <c r="B48" s="818">
        <v>44239</v>
      </c>
      <c r="C48" s="819">
        <v>147.65</v>
      </c>
    </row>
    <row r="49" spans="2:3" x14ac:dyDescent="0.35">
      <c r="B49" s="818">
        <v>44240</v>
      </c>
      <c r="C49" s="819">
        <v>147.65</v>
      </c>
    </row>
    <row r="50" spans="2:3" x14ac:dyDescent="0.35">
      <c r="B50" s="818">
        <v>44241</v>
      </c>
      <c r="C50" s="819">
        <v>147.65</v>
      </c>
    </row>
    <row r="51" spans="2:3" x14ac:dyDescent="0.35">
      <c r="B51" s="818">
        <v>44242</v>
      </c>
      <c r="C51" s="819">
        <v>147.65</v>
      </c>
    </row>
    <row r="52" spans="2:3" x14ac:dyDescent="0.35">
      <c r="B52" s="818">
        <v>44243</v>
      </c>
      <c r="C52" s="819">
        <v>147.65</v>
      </c>
    </row>
    <row r="53" spans="2:3" x14ac:dyDescent="0.35">
      <c r="B53" s="818">
        <v>44244</v>
      </c>
      <c r="C53" s="819">
        <v>143.47</v>
      </c>
    </row>
    <row r="54" spans="2:3" x14ac:dyDescent="0.35">
      <c r="B54" s="818">
        <v>44245</v>
      </c>
      <c r="C54" s="819">
        <v>141.77000000000001</v>
      </c>
    </row>
    <row r="55" spans="2:3" x14ac:dyDescent="0.35">
      <c r="B55" s="818">
        <v>44246</v>
      </c>
      <c r="C55" s="819">
        <v>140.65</v>
      </c>
    </row>
    <row r="56" spans="2:3" x14ac:dyDescent="0.35">
      <c r="B56" s="818">
        <v>44247</v>
      </c>
      <c r="C56" s="819">
        <v>140.65</v>
      </c>
    </row>
    <row r="57" spans="2:3" x14ac:dyDescent="0.35">
      <c r="B57" s="818">
        <v>44248</v>
      </c>
      <c r="C57" s="819">
        <v>140.65</v>
      </c>
    </row>
    <row r="58" spans="2:3" x14ac:dyDescent="0.35">
      <c r="B58" s="818">
        <v>44249</v>
      </c>
      <c r="C58" s="819">
        <v>138.79</v>
      </c>
    </row>
    <row r="59" spans="2:3" x14ac:dyDescent="0.35">
      <c r="B59" s="818">
        <v>44250</v>
      </c>
      <c r="C59" s="819">
        <v>139.86000000000001</v>
      </c>
    </row>
    <row r="60" spans="2:3" x14ac:dyDescent="0.35">
      <c r="B60" s="818">
        <v>44251</v>
      </c>
      <c r="C60" s="819">
        <v>140.94</v>
      </c>
    </row>
    <row r="61" spans="2:3" x14ac:dyDescent="0.35">
      <c r="B61" s="818">
        <v>44252</v>
      </c>
      <c r="C61" s="819">
        <v>141.91999999999999</v>
      </c>
    </row>
    <row r="62" spans="2:3" x14ac:dyDescent="0.35">
      <c r="B62" s="818">
        <v>44253</v>
      </c>
      <c r="C62" s="819">
        <v>141.91999999999999</v>
      </c>
    </row>
    <row r="63" spans="2:3" x14ac:dyDescent="0.35">
      <c r="B63" s="818">
        <v>44254</v>
      </c>
      <c r="C63" s="819">
        <v>141.91999999999999</v>
      </c>
    </row>
    <row r="64" spans="2:3" x14ac:dyDescent="0.35">
      <c r="B64" s="818">
        <v>44255</v>
      </c>
      <c r="C64" s="819">
        <v>141.91999999999999</v>
      </c>
    </row>
    <row r="65" spans="2:3" x14ac:dyDescent="0.35">
      <c r="B65" s="818">
        <v>44256</v>
      </c>
      <c r="C65" s="819">
        <v>143.80000000000001</v>
      </c>
    </row>
    <row r="66" spans="2:3" x14ac:dyDescent="0.35">
      <c r="B66" s="818">
        <v>44257</v>
      </c>
      <c r="C66" s="819">
        <v>146.13</v>
      </c>
    </row>
    <row r="67" spans="2:3" x14ac:dyDescent="0.35">
      <c r="B67" s="818">
        <v>44258</v>
      </c>
      <c r="C67" s="819">
        <v>146.11000000000001</v>
      </c>
    </row>
    <row r="68" spans="2:3" x14ac:dyDescent="0.35">
      <c r="B68" s="818">
        <v>44259</v>
      </c>
      <c r="C68" s="819">
        <v>145.11000000000001</v>
      </c>
    </row>
    <row r="69" spans="2:3" x14ac:dyDescent="0.35">
      <c r="B69" s="818">
        <v>44260</v>
      </c>
      <c r="C69" s="819">
        <v>145.87</v>
      </c>
    </row>
    <row r="70" spans="2:3" x14ac:dyDescent="0.35">
      <c r="B70" s="818">
        <v>44261</v>
      </c>
      <c r="C70" s="819">
        <v>145.87</v>
      </c>
    </row>
    <row r="71" spans="2:3" x14ac:dyDescent="0.35">
      <c r="B71" s="818">
        <v>44262</v>
      </c>
      <c r="C71" s="819">
        <v>145.87</v>
      </c>
    </row>
    <row r="72" spans="2:3" x14ac:dyDescent="0.35">
      <c r="B72" s="818">
        <v>44263</v>
      </c>
      <c r="C72" s="819">
        <v>145.87</v>
      </c>
    </row>
    <row r="73" spans="2:3" x14ac:dyDescent="0.35">
      <c r="B73" s="818">
        <v>44264</v>
      </c>
      <c r="C73" s="819">
        <v>145.38999999999999</v>
      </c>
    </row>
    <row r="74" spans="2:3" x14ac:dyDescent="0.35">
      <c r="B74" s="818">
        <v>44265</v>
      </c>
      <c r="C74" s="819">
        <v>144.43</v>
      </c>
    </row>
    <row r="75" spans="2:3" x14ac:dyDescent="0.35">
      <c r="B75" s="818">
        <v>44266</v>
      </c>
      <c r="C75" s="819">
        <v>144.30000000000001</v>
      </c>
    </row>
    <row r="76" spans="2:3" x14ac:dyDescent="0.35">
      <c r="B76" s="818">
        <v>44267</v>
      </c>
      <c r="C76" s="819">
        <v>144.84</v>
      </c>
    </row>
    <row r="77" spans="2:3" x14ac:dyDescent="0.35">
      <c r="B77" s="818">
        <v>44268</v>
      </c>
      <c r="C77" s="819">
        <v>144.84</v>
      </c>
    </row>
    <row r="78" spans="2:3" x14ac:dyDescent="0.35">
      <c r="B78" s="818">
        <v>44269</v>
      </c>
      <c r="C78" s="819">
        <v>144.84</v>
      </c>
    </row>
    <row r="79" spans="2:3" x14ac:dyDescent="0.35">
      <c r="B79" s="818">
        <v>44270</v>
      </c>
      <c r="C79" s="819">
        <v>144.59</v>
      </c>
    </row>
    <row r="80" spans="2:3" x14ac:dyDescent="0.35">
      <c r="B80" s="818">
        <v>44271</v>
      </c>
      <c r="C80" s="819">
        <v>144.6</v>
      </c>
    </row>
    <row r="81" spans="2:3" x14ac:dyDescent="0.35">
      <c r="B81" s="818">
        <v>44272</v>
      </c>
      <c r="C81" s="819">
        <v>145.28</v>
      </c>
    </row>
    <row r="82" spans="2:3" x14ac:dyDescent="0.35">
      <c r="B82" s="818">
        <v>44273</v>
      </c>
      <c r="C82" s="819">
        <v>144.71</v>
      </c>
    </row>
    <row r="83" spans="2:3" x14ac:dyDescent="0.35">
      <c r="B83" s="818">
        <v>44274</v>
      </c>
      <c r="C83" s="819">
        <v>144</v>
      </c>
    </row>
    <row r="84" spans="2:3" x14ac:dyDescent="0.35">
      <c r="B84" s="818">
        <v>44275</v>
      </c>
      <c r="C84" s="819">
        <v>144</v>
      </c>
    </row>
    <row r="85" spans="2:3" x14ac:dyDescent="0.35">
      <c r="B85" s="818">
        <v>44276</v>
      </c>
      <c r="C85" s="819">
        <v>144</v>
      </c>
    </row>
    <row r="86" spans="2:3" x14ac:dyDescent="0.35">
      <c r="B86" s="818">
        <v>44277</v>
      </c>
      <c r="C86" s="819">
        <v>143.15</v>
      </c>
    </row>
    <row r="87" spans="2:3" x14ac:dyDescent="0.35">
      <c r="B87" s="818">
        <v>44278</v>
      </c>
      <c r="C87" s="819">
        <v>142.78</v>
      </c>
    </row>
    <row r="88" spans="2:3" x14ac:dyDescent="0.35">
      <c r="B88" s="818">
        <v>44279</v>
      </c>
      <c r="C88" s="819">
        <v>142.78</v>
      </c>
    </row>
    <row r="89" spans="2:3" x14ac:dyDescent="0.35">
      <c r="B89" s="818">
        <v>44280</v>
      </c>
      <c r="C89" s="819">
        <v>141.19</v>
      </c>
    </row>
    <row r="90" spans="2:3" x14ac:dyDescent="0.35">
      <c r="B90" s="818">
        <v>44281</v>
      </c>
      <c r="C90" s="819">
        <v>138.44999999999999</v>
      </c>
    </row>
    <row r="91" spans="2:3" x14ac:dyDescent="0.35">
      <c r="B91" s="818">
        <v>44282</v>
      </c>
      <c r="C91" s="819">
        <v>138.44999999999999</v>
      </c>
    </row>
    <row r="92" spans="2:3" x14ac:dyDescent="0.35">
      <c r="B92" s="818">
        <v>44283</v>
      </c>
      <c r="C92" s="819">
        <v>138.44999999999999</v>
      </c>
    </row>
    <row r="93" spans="2:3" x14ac:dyDescent="0.35">
      <c r="B93" s="818">
        <v>44284</v>
      </c>
      <c r="C93" s="819">
        <v>138.47999999999999</v>
      </c>
    </row>
    <row r="94" spans="2:3" x14ac:dyDescent="0.35">
      <c r="B94" s="818">
        <v>44285</v>
      </c>
      <c r="C94" s="819">
        <v>140.38999999999999</v>
      </c>
    </row>
    <row r="95" spans="2:3" x14ac:dyDescent="0.35">
      <c r="B95" s="818">
        <v>44286</v>
      </c>
      <c r="C95" s="819">
        <v>142.19</v>
      </c>
    </row>
    <row r="96" spans="2:3" x14ac:dyDescent="0.35">
      <c r="B96" s="818">
        <v>44287</v>
      </c>
      <c r="C96" s="819">
        <v>142.19</v>
      </c>
    </row>
    <row r="97" spans="2:3" x14ac:dyDescent="0.35">
      <c r="B97" s="818">
        <v>44288</v>
      </c>
      <c r="C97" s="819">
        <v>142.19</v>
      </c>
    </row>
    <row r="98" spans="2:3" x14ac:dyDescent="0.35">
      <c r="B98" s="818">
        <v>44289</v>
      </c>
      <c r="C98" s="819">
        <v>142.19</v>
      </c>
    </row>
    <row r="99" spans="2:3" x14ac:dyDescent="0.35">
      <c r="B99" s="818">
        <v>44290</v>
      </c>
      <c r="C99" s="819">
        <v>142.19</v>
      </c>
    </row>
    <row r="100" spans="2:3" x14ac:dyDescent="0.35">
      <c r="B100" s="818">
        <v>44291</v>
      </c>
      <c r="C100" s="819">
        <v>141.81</v>
      </c>
    </row>
    <row r="101" spans="2:3" x14ac:dyDescent="0.35">
      <c r="B101" s="818">
        <v>44292</v>
      </c>
      <c r="C101" s="819">
        <v>143.66</v>
      </c>
    </row>
    <row r="102" spans="2:3" x14ac:dyDescent="0.35">
      <c r="B102" s="818">
        <v>44293</v>
      </c>
      <c r="C102" s="819">
        <v>143.77000000000001</v>
      </c>
    </row>
    <row r="103" spans="2:3" x14ac:dyDescent="0.35">
      <c r="B103" s="818">
        <v>44294</v>
      </c>
      <c r="C103" s="819">
        <v>144.66</v>
      </c>
    </row>
    <row r="104" spans="2:3" x14ac:dyDescent="0.35">
      <c r="B104" s="818">
        <v>44295</v>
      </c>
      <c r="C104" s="819">
        <v>144.38</v>
      </c>
    </row>
    <row r="105" spans="2:3" x14ac:dyDescent="0.35">
      <c r="B105" s="818">
        <v>44296</v>
      </c>
      <c r="C105" s="819">
        <v>144.38</v>
      </c>
    </row>
    <row r="106" spans="2:3" x14ac:dyDescent="0.35">
      <c r="B106" s="818">
        <v>44297</v>
      </c>
      <c r="C106" s="819">
        <v>144.38</v>
      </c>
    </row>
    <row r="107" spans="2:3" x14ac:dyDescent="0.35">
      <c r="B107" s="818">
        <v>44298</v>
      </c>
      <c r="C107" s="819">
        <v>143.26</v>
      </c>
    </row>
    <row r="108" spans="2:3" x14ac:dyDescent="0.35">
      <c r="B108" s="818">
        <v>44299</v>
      </c>
      <c r="C108" s="819">
        <v>142.79</v>
      </c>
    </row>
    <row r="109" spans="2:3" x14ac:dyDescent="0.35">
      <c r="B109" s="818">
        <v>44300</v>
      </c>
      <c r="C109" s="819">
        <v>143.80000000000001</v>
      </c>
    </row>
    <row r="110" spans="2:3" x14ac:dyDescent="0.35">
      <c r="B110" s="818">
        <v>44301</v>
      </c>
      <c r="C110" s="819">
        <v>143.65</v>
      </c>
    </row>
    <row r="111" spans="2:3" x14ac:dyDescent="0.35">
      <c r="B111" s="818">
        <v>44302</v>
      </c>
      <c r="C111" s="819">
        <v>143.71</v>
      </c>
    </row>
    <row r="112" spans="2:3" x14ac:dyDescent="0.35">
      <c r="B112" s="818">
        <v>44303</v>
      </c>
      <c r="C112" s="819">
        <v>143.71</v>
      </c>
    </row>
    <row r="113" spans="2:3" x14ac:dyDescent="0.35">
      <c r="B113" s="818">
        <v>44304</v>
      </c>
      <c r="C113" s="819">
        <v>143.71</v>
      </c>
    </row>
    <row r="114" spans="2:3" x14ac:dyDescent="0.35">
      <c r="B114" s="818">
        <v>44305</v>
      </c>
      <c r="C114" s="819">
        <v>144.37</v>
      </c>
    </row>
    <row r="115" spans="2:3" x14ac:dyDescent="0.35">
      <c r="B115" s="818">
        <v>44306</v>
      </c>
      <c r="C115" s="819">
        <v>145.94</v>
      </c>
    </row>
    <row r="116" spans="2:3" x14ac:dyDescent="0.35">
      <c r="B116" s="818">
        <v>44307</v>
      </c>
      <c r="C116" s="819">
        <v>145.44</v>
      </c>
    </row>
    <row r="117" spans="2:3" x14ac:dyDescent="0.35">
      <c r="B117" s="818">
        <v>44308</v>
      </c>
      <c r="C117" s="819">
        <v>145.5</v>
      </c>
    </row>
    <row r="118" spans="2:3" x14ac:dyDescent="0.35">
      <c r="B118" s="818">
        <v>44309</v>
      </c>
      <c r="C118" s="819">
        <v>148.36000000000001</v>
      </c>
    </row>
    <row r="119" spans="2:3" x14ac:dyDescent="0.35">
      <c r="B119" s="818">
        <v>44310</v>
      </c>
      <c r="C119" s="819">
        <v>148.36000000000001</v>
      </c>
    </row>
    <row r="120" spans="2:3" x14ac:dyDescent="0.35">
      <c r="B120" s="818">
        <v>44311</v>
      </c>
      <c r="C120" s="819">
        <v>148.36000000000001</v>
      </c>
    </row>
    <row r="121" spans="2:3" x14ac:dyDescent="0.35">
      <c r="B121" s="818">
        <v>44312</v>
      </c>
      <c r="C121" s="819">
        <v>150.27000000000001</v>
      </c>
    </row>
    <row r="122" spans="2:3" x14ac:dyDescent="0.35">
      <c r="B122" s="818">
        <v>44313</v>
      </c>
      <c r="C122" s="819">
        <v>151.49</v>
      </c>
    </row>
    <row r="123" spans="2:3" x14ac:dyDescent="0.35">
      <c r="B123" s="818">
        <v>44314</v>
      </c>
      <c r="C123" s="819">
        <v>151.80000000000001</v>
      </c>
    </row>
    <row r="124" spans="2:3" x14ac:dyDescent="0.35">
      <c r="B124" s="818">
        <v>44315</v>
      </c>
      <c r="C124" s="819">
        <v>152.19999999999999</v>
      </c>
    </row>
    <row r="125" spans="2:3" x14ac:dyDescent="0.35">
      <c r="B125" s="818">
        <v>44316</v>
      </c>
      <c r="C125" s="819">
        <v>152.19</v>
      </c>
    </row>
    <row r="126" spans="2:3" x14ac:dyDescent="0.35">
      <c r="B126" s="818">
        <v>44317</v>
      </c>
      <c r="C126" s="819">
        <v>152.19</v>
      </c>
    </row>
    <row r="127" spans="2:3" x14ac:dyDescent="0.35">
      <c r="B127" s="818">
        <v>44318</v>
      </c>
      <c r="C127" s="819">
        <v>152.19</v>
      </c>
    </row>
    <row r="128" spans="2:3" x14ac:dyDescent="0.35">
      <c r="B128" s="818">
        <v>44319</v>
      </c>
      <c r="C128" s="819">
        <v>152.96</v>
      </c>
    </row>
    <row r="129" spans="2:3" x14ac:dyDescent="0.35">
      <c r="B129" s="818">
        <v>44320</v>
      </c>
      <c r="C129" s="819">
        <v>153.33000000000001</v>
      </c>
    </row>
    <row r="130" spans="2:3" x14ac:dyDescent="0.35">
      <c r="B130" s="818">
        <v>44321</v>
      </c>
      <c r="C130" s="819">
        <v>153.82</v>
      </c>
    </row>
    <row r="131" spans="2:3" x14ac:dyDescent="0.35">
      <c r="B131" s="818">
        <v>44322</v>
      </c>
      <c r="C131" s="819">
        <v>154.30000000000001</v>
      </c>
    </row>
    <row r="132" spans="2:3" x14ac:dyDescent="0.35">
      <c r="B132" s="818">
        <v>44323</v>
      </c>
      <c r="C132" s="819">
        <v>154.4</v>
      </c>
    </row>
    <row r="133" spans="2:3" x14ac:dyDescent="0.35">
      <c r="B133" s="818">
        <v>44324</v>
      </c>
      <c r="C133" s="819">
        <v>154.4</v>
      </c>
    </row>
    <row r="134" spans="2:3" x14ac:dyDescent="0.35">
      <c r="B134" s="818">
        <v>44325</v>
      </c>
      <c r="C134" s="819">
        <v>154.4</v>
      </c>
    </row>
    <row r="135" spans="2:3" x14ac:dyDescent="0.35">
      <c r="B135" s="818">
        <v>44326</v>
      </c>
      <c r="C135" s="819">
        <v>153.94999999999999</v>
      </c>
    </row>
    <row r="136" spans="2:3" x14ac:dyDescent="0.35">
      <c r="B136" s="818">
        <v>44327</v>
      </c>
      <c r="C136" s="819">
        <v>153.16</v>
      </c>
    </row>
    <row r="137" spans="2:3" x14ac:dyDescent="0.35">
      <c r="B137" s="818">
        <v>44328</v>
      </c>
      <c r="C137" s="819">
        <v>153.21</v>
      </c>
    </row>
    <row r="138" spans="2:3" x14ac:dyDescent="0.35">
      <c r="B138" s="818">
        <v>44329</v>
      </c>
      <c r="C138" s="819">
        <v>153.71</v>
      </c>
    </row>
    <row r="139" spans="2:3" x14ac:dyDescent="0.35">
      <c r="B139" s="818">
        <v>44330</v>
      </c>
      <c r="C139" s="819">
        <v>154.16999999999999</v>
      </c>
    </row>
    <row r="140" spans="2:3" x14ac:dyDescent="0.35">
      <c r="B140" s="818">
        <v>44331</v>
      </c>
      <c r="C140" s="819">
        <v>154.16999999999999</v>
      </c>
    </row>
    <row r="141" spans="2:3" x14ac:dyDescent="0.35">
      <c r="B141" s="818">
        <v>44332</v>
      </c>
      <c r="C141" s="819">
        <v>154.16999999999999</v>
      </c>
    </row>
    <row r="142" spans="2:3" x14ac:dyDescent="0.35">
      <c r="B142" s="818">
        <v>44333</v>
      </c>
      <c r="C142" s="819">
        <v>154.65</v>
      </c>
    </row>
    <row r="143" spans="2:3" x14ac:dyDescent="0.35">
      <c r="B143" s="818">
        <v>44334</v>
      </c>
      <c r="C143" s="819">
        <v>154.65</v>
      </c>
    </row>
    <row r="144" spans="2:3" x14ac:dyDescent="0.35">
      <c r="B144" s="818">
        <v>44335</v>
      </c>
      <c r="C144" s="819">
        <v>156.49</v>
      </c>
    </row>
    <row r="145" spans="2:3" x14ac:dyDescent="0.35">
      <c r="B145" s="818">
        <v>44336</v>
      </c>
      <c r="C145" s="819">
        <v>157.22</v>
      </c>
    </row>
    <row r="146" spans="2:3" x14ac:dyDescent="0.35">
      <c r="B146" s="818">
        <v>44337</v>
      </c>
      <c r="C146" s="819">
        <v>158.37</v>
      </c>
    </row>
    <row r="147" spans="2:3" x14ac:dyDescent="0.35">
      <c r="B147" s="818">
        <v>44338</v>
      </c>
      <c r="C147" s="819">
        <v>158.37</v>
      </c>
    </row>
    <row r="148" spans="2:3" x14ac:dyDescent="0.35">
      <c r="B148" s="818">
        <v>44339</v>
      </c>
      <c r="C148" s="819">
        <v>158.37</v>
      </c>
    </row>
    <row r="149" spans="2:3" x14ac:dyDescent="0.35">
      <c r="B149" s="818">
        <v>44340</v>
      </c>
      <c r="C149" s="819">
        <v>158.37</v>
      </c>
    </row>
    <row r="150" spans="2:3" x14ac:dyDescent="0.35">
      <c r="B150" s="818">
        <v>44341</v>
      </c>
      <c r="C150" s="819">
        <v>158.37</v>
      </c>
    </row>
    <row r="151" spans="2:3" x14ac:dyDescent="0.35">
      <c r="B151" s="818">
        <v>44342</v>
      </c>
      <c r="C151" s="819">
        <v>158.05000000000001</v>
      </c>
    </row>
    <row r="152" spans="2:3" x14ac:dyDescent="0.35">
      <c r="B152" s="818">
        <v>44343</v>
      </c>
      <c r="C152" s="819">
        <v>158.72</v>
      </c>
    </row>
    <row r="153" spans="2:3" x14ac:dyDescent="0.35">
      <c r="B153" s="818">
        <v>44344</v>
      </c>
      <c r="C153" s="819">
        <v>159.49</v>
      </c>
    </row>
    <row r="154" spans="2:3" x14ac:dyDescent="0.35">
      <c r="B154" s="818">
        <v>44345</v>
      </c>
      <c r="C154" s="819">
        <v>159.49</v>
      </c>
    </row>
    <row r="155" spans="2:3" x14ac:dyDescent="0.35">
      <c r="B155" s="818">
        <v>44346</v>
      </c>
      <c r="C155" s="819">
        <v>159.49</v>
      </c>
    </row>
    <row r="156" spans="2:3" x14ac:dyDescent="0.35">
      <c r="B156" s="818">
        <v>44347</v>
      </c>
      <c r="C156" s="819">
        <v>160.22999999999999</v>
      </c>
    </row>
    <row r="157" spans="2:3" x14ac:dyDescent="0.35">
      <c r="B157" s="818">
        <v>44348</v>
      </c>
      <c r="C157" s="819">
        <v>160.96</v>
      </c>
    </row>
    <row r="158" spans="2:3" x14ac:dyDescent="0.35">
      <c r="B158" s="818">
        <v>44349</v>
      </c>
      <c r="C158" s="819">
        <v>161.71</v>
      </c>
    </row>
    <row r="159" spans="2:3" x14ac:dyDescent="0.35">
      <c r="B159" s="818">
        <v>44350</v>
      </c>
      <c r="C159" s="819">
        <v>161.33000000000001</v>
      </c>
    </row>
    <row r="160" spans="2:3" x14ac:dyDescent="0.35">
      <c r="B160" s="818">
        <v>44351</v>
      </c>
      <c r="C160" s="819">
        <v>160.86000000000001</v>
      </c>
    </row>
    <row r="161" spans="2:3" x14ac:dyDescent="0.35">
      <c r="B161" s="818">
        <v>44352</v>
      </c>
      <c r="C161" s="819">
        <v>160.86000000000001</v>
      </c>
    </row>
    <row r="162" spans="2:3" x14ac:dyDescent="0.35">
      <c r="B162" s="818">
        <v>44353</v>
      </c>
      <c r="C162" s="819">
        <v>160.86000000000001</v>
      </c>
    </row>
    <row r="163" spans="2:3" x14ac:dyDescent="0.35">
      <c r="B163" s="818">
        <v>44354</v>
      </c>
      <c r="C163" s="819">
        <v>160.55000000000001</v>
      </c>
    </row>
    <row r="164" spans="2:3" x14ac:dyDescent="0.35">
      <c r="B164" s="818">
        <v>44355</v>
      </c>
      <c r="C164" s="819">
        <v>160.47999999999999</v>
      </c>
    </row>
    <row r="165" spans="2:3" x14ac:dyDescent="0.35">
      <c r="B165" s="818">
        <v>44356</v>
      </c>
      <c r="C165" s="819">
        <v>159.68</v>
      </c>
    </row>
    <row r="166" spans="2:3" x14ac:dyDescent="0.35">
      <c r="B166" s="818">
        <v>44357</v>
      </c>
      <c r="C166" s="819">
        <v>159.07</v>
      </c>
    </row>
    <row r="167" spans="2:3" x14ac:dyDescent="0.35">
      <c r="B167" s="818">
        <v>44358</v>
      </c>
      <c r="C167" s="819">
        <v>158.09</v>
      </c>
    </row>
    <row r="168" spans="2:3" x14ac:dyDescent="0.35">
      <c r="B168" s="818">
        <v>44359</v>
      </c>
      <c r="C168" s="819">
        <v>158.09</v>
      </c>
    </row>
    <row r="169" spans="2:3" x14ac:dyDescent="0.35">
      <c r="B169" s="818">
        <v>44360</v>
      </c>
      <c r="C169" s="819">
        <v>158.09</v>
      </c>
    </row>
    <row r="170" spans="2:3" x14ac:dyDescent="0.35">
      <c r="B170" s="818">
        <v>44361</v>
      </c>
      <c r="C170" s="819">
        <v>157.94999999999999</v>
      </c>
    </row>
    <row r="171" spans="2:3" x14ac:dyDescent="0.35">
      <c r="B171" s="818">
        <v>44362</v>
      </c>
      <c r="C171" s="819">
        <v>158.72</v>
      </c>
    </row>
    <row r="172" spans="2:3" x14ac:dyDescent="0.35">
      <c r="B172" s="818">
        <v>44363</v>
      </c>
      <c r="C172" s="819">
        <v>159.19</v>
      </c>
    </row>
    <row r="173" spans="2:3" x14ac:dyDescent="0.35">
      <c r="B173" s="818">
        <v>44364</v>
      </c>
      <c r="C173" s="819">
        <v>160.41</v>
      </c>
    </row>
    <row r="174" spans="2:3" x14ac:dyDescent="0.35">
      <c r="B174" s="818">
        <v>44365</v>
      </c>
      <c r="C174" s="819">
        <v>159.84</v>
      </c>
    </row>
    <row r="175" spans="2:3" x14ac:dyDescent="0.35">
      <c r="B175" s="818">
        <v>44366</v>
      </c>
      <c r="C175" s="819">
        <v>159.84</v>
      </c>
    </row>
    <row r="176" spans="2:3" x14ac:dyDescent="0.35">
      <c r="B176" s="818">
        <v>44367</v>
      </c>
      <c r="C176" s="819">
        <v>159.84</v>
      </c>
    </row>
    <row r="177" spans="2:3" x14ac:dyDescent="0.35">
      <c r="B177" s="818">
        <v>44368</v>
      </c>
      <c r="C177" s="819">
        <v>159.84</v>
      </c>
    </row>
    <row r="178" spans="2:3" x14ac:dyDescent="0.35">
      <c r="B178" s="818">
        <v>44369</v>
      </c>
      <c r="C178" s="819">
        <v>160.63</v>
      </c>
    </row>
    <row r="179" spans="2:3" x14ac:dyDescent="0.35">
      <c r="B179" s="818">
        <v>44370</v>
      </c>
      <c r="C179" s="819">
        <v>160.91999999999999</v>
      </c>
    </row>
    <row r="180" spans="2:3" x14ac:dyDescent="0.35">
      <c r="B180" s="818">
        <v>44371</v>
      </c>
      <c r="C180" s="819">
        <v>162.03</v>
      </c>
    </row>
    <row r="181" spans="2:3" x14ac:dyDescent="0.35">
      <c r="B181" s="818">
        <v>44372</v>
      </c>
      <c r="C181" s="819">
        <v>163.53</v>
      </c>
    </row>
    <row r="182" spans="2:3" x14ac:dyDescent="0.35">
      <c r="B182" s="818">
        <v>44373</v>
      </c>
      <c r="C182" s="819">
        <v>163.53</v>
      </c>
    </row>
    <row r="183" spans="2:3" x14ac:dyDescent="0.35">
      <c r="B183" s="818">
        <v>44374</v>
      </c>
      <c r="C183" s="819">
        <v>163.53</v>
      </c>
    </row>
    <row r="184" spans="2:3" x14ac:dyDescent="0.35">
      <c r="B184" s="818">
        <v>44375</v>
      </c>
      <c r="C184" s="819">
        <v>162.78</v>
      </c>
    </row>
    <row r="185" spans="2:3" x14ac:dyDescent="0.35">
      <c r="B185" s="818">
        <v>44376</v>
      </c>
      <c r="C185" s="819">
        <v>163.75</v>
      </c>
    </row>
    <row r="186" spans="2:3" x14ac:dyDescent="0.35">
      <c r="B186" s="818">
        <v>44377</v>
      </c>
      <c r="C186" s="819">
        <v>163.57</v>
      </c>
    </row>
    <row r="187" spans="2:3" x14ac:dyDescent="0.35">
      <c r="B187" s="818">
        <v>44378</v>
      </c>
      <c r="C187" s="819">
        <v>165.77</v>
      </c>
    </row>
    <row r="188" spans="2:3" x14ac:dyDescent="0.35">
      <c r="B188" s="818">
        <v>44379</v>
      </c>
      <c r="C188" s="819">
        <v>166.35</v>
      </c>
    </row>
    <row r="189" spans="2:3" x14ac:dyDescent="0.35">
      <c r="B189" s="818">
        <v>44380</v>
      </c>
      <c r="C189" s="819">
        <v>166.35</v>
      </c>
    </row>
    <row r="190" spans="2:3" x14ac:dyDescent="0.35">
      <c r="B190" s="818">
        <v>44381</v>
      </c>
      <c r="C190" s="819">
        <v>166.35</v>
      </c>
    </row>
    <row r="191" spans="2:3" x14ac:dyDescent="0.35">
      <c r="B191" s="818">
        <v>44382</v>
      </c>
      <c r="C191" s="819">
        <v>166.45</v>
      </c>
    </row>
    <row r="192" spans="2:3" x14ac:dyDescent="0.35">
      <c r="B192" s="818">
        <v>44383</v>
      </c>
      <c r="C192" s="819">
        <v>165.98</v>
      </c>
    </row>
    <row r="193" spans="2:3" x14ac:dyDescent="0.35">
      <c r="B193" s="818">
        <v>44384</v>
      </c>
      <c r="C193" s="819">
        <v>166.2</v>
      </c>
    </row>
    <row r="194" spans="2:3" x14ac:dyDescent="0.35">
      <c r="B194" s="818">
        <v>44385</v>
      </c>
      <c r="C194" s="819">
        <v>166.42</v>
      </c>
    </row>
    <row r="195" spans="2:3" x14ac:dyDescent="0.35">
      <c r="B195" s="818">
        <v>44386</v>
      </c>
      <c r="C195" s="819">
        <v>166.42</v>
      </c>
    </row>
    <row r="196" spans="2:3" x14ac:dyDescent="0.35">
      <c r="B196" s="818">
        <v>44387</v>
      </c>
      <c r="C196" s="819">
        <v>166.42</v>
      </c>
    </row>
    <row r="197" spans="2:3" x14ac:dyDescent="0.35">
      <c r="B197" s="818">
        <v>44388</v>
      </c>
      <c r="C197" s="819">
        <v>166.42</v>
      </c>
    </row>
    <row r="198" spans="2:3" x14ac:dyDescent="0.35">
      <c r="B198" s="818">
        <v>44389</v>
      </c>
      <c r="C198" s="819">
        <v>166.05</v>
      </c>
    </row>
    <row r="199" spans="2:3" x14ac:dyDescent="0.35">
      <c r="B199" s="818">
        <v>44390</v>
      </c>
      <c r="C199" s="819">
        <v>165.38</v>
      </c>
    </row>
    <row r="200" spans="2:3" x14ac:dyDescent="0.35">
      <c r="B200" s="818">
        <v>44391</v>
      </c>
      <c r="C200" s="819">
        <v>165.29</v>
      </c>
    </row>
    <row r="201" spans="2:3" x14ac:dyDescent="0.35">
      <c r="B201" s="818">
        <v>44392</v>
      </c>
      <c r="C201" s="819">
        <v>165.26</v>
      </c>
    </row>
    <row r="202" spans="2:3" x14ac:dyDescent="0.35">
      <c r="B202" s="818">
        <v>44393</v>
      </c>
      <c r="C202" s="819">
        <v>165.5</v>
      </c>
    </row>
    <row r="203" spans="2:3" x14ac:dyDescent="0.35">
      <c r="B203" s="818">
        <v>44394</v>
      </c>
      <c r="C203" s="819">
        <v>165.5</v>
      </c>
    </row>
    <row r="204" spans="2:3" x14ac:dyDescent="0.35">
      <c r="B204" s="818">
        <v>44395</v>
      </c>
      <c r="C204" s="819">
        <v>165.5</v>
      </c>
    </row>
    <row r="205" spans="2:3" x14ac:dyDescent="0.35">
      <c r="B205" s="818">
        <v>44396</v>
      </c>
      <c r="C205" s="819">
        <v>165.79</v>
      </c>
    </row>
    <row r="206" spans="2:3" x14ac:dyDescent="0.35">
      <c r="B206" s="818">
        <v>44397</v>
      </c>
      <c r="C206" s="819">
        <v>166.07</v>
      </c>
    </row>
    <row r="207" spans="2:3" x14ac:dyDescent="0.35">
      <c r="B207" s="818">
        <v>44398</v>
      </c>
      <c r="C207" s="819">
        <v>166.3</v>
      </c>
    </row>
    <row r="208" spans="2:3" x14ac:dyDescent="0.35">
      <c r="B208" s="818">
        <v>44399</v>
      </c>
      <c r="C208" s="819">
        <v>166.39</v>
      </c>
    </row>
    <row r="209" spans="2:3" x14ac:dyDescent="0.35">
      <c r="B209" s="818">
        <v>44400</v>
      </c>
      <c r="C209" s="819">
        <v>166.48</v>
      </c>
    </row>
    <row r="210" spans="2:3" x14ac:dyDescent="0.35">
      <c r="B210" s="818">
        <v>44401</v>
      </c>
      <c r="C210" s="819">
        <v>166.48</v>
      </c>
    </row>
    <row r="211" spans="2:3" x14ac:dyDescent="0.35">
      <c r="B211" s="818">
        <v>44402</v>
      </c>
      <c r="C211" s="819">
        <v>166.48</v>
      </c>
    </row>
    <row r="212" spans="2:3" x14ac:dyDescent="0.35">
      <c r="B212" s="818">
        <v>44403</v>
      </c>
      <c r="C212" s="819">
        <v>166.81</v>
      </c>
    </row>
    <row r="213" spans="2:3" x14ac:dyDescent="0.35">
      <c r="B213" s="818">
        <v>44404</v>
      </c>
      <c r="C213" s="819">
        <v>167.36</v>
      </c>
    </row>
    <row r="214" spans="2:3" x14ac:dyDescent="0.35">
      <c r="B214" s="818">
        <v>44405</v>
      </c>
      <c r="C214" s="819">
        <v>167.9</v>
      </c>
    </row>
    <row r="215" spans="2:3" x14ac:dyDescent="0.35">
      <c r="B215" s="818">
        <v>44406</v>
      </c>
      <c r="C215" s="819">
        <v>167.9</v>
      </c>
    </row>
    <row r="216" spans="2:3" x14ac:dyDescent="0.35">
      <c r="B216" s="818">
        <v>44407</v>
      </c>
      <c r="C216" s="819">
        <v>168.19</v>
      </c>
    </row>
    <row r="217" spans="2:3" x14ac:dyDescent="0.35">
      <c r="B217" s="818">
        <v>44408</v>
      </c>
      <c r="C217" s="819">
        <v>168.19</v>
      </c>
    </row>
    <row r="218" spans="2:3" x14ac:dyDescent="0.35">
      <c r="B218" s="818">
        <v>44409</v>
      </c>
      <c r="C218" s="819">
        <v>168.19</v>
      </c>
    </row>
    <row r="219" spans="2:3" x14ac:dyDescent="0.35">
      <c r="B219" s="818">
        <v>44410</v>
      </c>
      <c r="C219" s="819">
        <v>168.67</v>
      </c>
    </row>
    <row r="220" spans="2:3" x14ac:dyDescent="0.35">
      <c r="B220" s="818">
        <v>44411</v>
      </c>
      <c r="C220" s="819">
        <v>169.57</v>
      </c>
    </row>
    <row r="221" spans="2:3" x14ac:dyDescent="0.35">
      <c r="B221" s="818">
        <v>44412</v>
      </c>
      <c r="C221" s="819">
        <v>169.73</v>
      </c>
    </row>
    <row r="222" spans="2:3" x14ac:dyDescent="0.35">
      <c r="B222" s="818">
        <v>44413</v>
      </c>
      <c r="C222" s="819">
        <v>169.93</v>
      </c>
    </row>
    <row r="223" spans="2:3" x14ac:dyDescent="0.35">
      <c r="B223" s="818">
        <v>44414</v>
      </c>
      <c r="C223" s="819">
        <v>170.09</v>
      </c>
    </row>
    <row r="224" spans="2:3" x14ac:dyDescent="0.35">
      <c r="B224" s="818">
        <v>44415</v>
      </c>
      <c r="C224" s="819">
        <v>170.09</v>
      </c>
    </row>
    <row r="225" spans="2:3" x14ac:dyDescent="0.35">
      <c r="B225" s="818">
        <v>44416</v>
      </c>
      <c r="C225" s="819">
        <v>170.09</v>
      </c>
    </row>
    <row r="226" spans="2:3" x14ac:dyDescent="0.35">
      <c r="B226" s="818">
        <v>44417</v>
      </c>
      <c r="C226" s="819">
        <v>169.94</v>
      </c>
    </row>
    <row r="227" spans="2:3" x14ac:dyDescent="0.35">
      <c r="B227" s="818">
        <v>44418</v>
      </c>
      <c r="C227" s="819">
        <v>169.87</v>
      </c>
    </row>
    <row r="228" spans="2:3" x14ac:dyDescent="0.35">
      <c r="B228" s="818">
        <v>44419</v>
      </c>
      <c r="C228" s="819">
        <v>170.03</v>
      </c>
    </row>
    <row r="229" spans="2:3" x14ac:dyDescent="0.35">
      <c r="B229" s="818">
        <v>44420</v>
      </c>
      <c r="C229" s="819">
        <v>169.62</v>
      </c>
    </row>
    <row r="230" spans="2:3" x14ac:dyDescent="0.35">
      <c r="B230" s="818">
        <v>44421</v>
      </c>
      <c r="C230" s="819">
        <v>169.45</v>
      </c>
    </row>
    <row r="231" spans="2:3" x14ac:dyDescent="0.35">
      <c r="B231" s="818">
        <v>44422</v>
      </c>
      <c r="C231" s="819">
        <v>169.45</v>
      </c>
    </row>
    <row r="232" spans="2:3" x14ac:dyDescent="0.35">
      <c r="B232" s="818">
        <v>44423</v>
      </c>
      <c r="C232" s="819">
        <v>169.45</v>
      </c>
    </row>
    <row r="233" spans="2:3" x14ac:dyDescent="0.35">
      <c r="B233" s="818">
        <v>44424</v>
      </c>
      <c r="C233" s="819">
        <v>169.45</v>
      </c>
    </row>
    <row r="234" spans="2:3" x14ac:dyDescent="0.35">
      <c r="B234" s="818">
        <v>44425</v>
      </c>
      <c r="C234" s="819">
        <v>169.41</v>
      </c>
    </row>
    <row r="235" spans="2:3" x14ac:dyDescent="0.35">
      <c r="B235" s="818">
        <v>44426</v>
      </c>
      <c r="C235" s="819">
        <v>169.39</v>
      </c>
    </row>
    <row r="236" spans="2:3" x14ac:dyDescent="0.35">
      <c r="B236" s="818">
        <v>44427</v>
      </c>
      <c r="C236" s="819">
        <v>169.36</v>
      </c>
    </row>
    <row r="237" spans="2:3" x14ac:dyDescent="0.35">
      <c r="B237" s="818">
        <v>44428</v>
      </c>
      <c r="C237" s="819">
        <v>169.32</v>
      </c>
    </row>
    <row r="238" spans="2:3" x14ac:dyDescent="0.35">
      <c r="B238" s="818">
        <v>44429</v>
      </c>
      <c r="C238" s="819">
        <v>169.32</v>
      </c>
    </row>
    <row r="239" spans="2:3" x14ac:dyDescent="0.35">
      <c r="B239" s="818">
        <v>44430</v>
      </c>
      <c r="C239" s="819">
        <v>169.32</v>
      </c>
    </row>
    <row r="240" spans="2:3" x14ac:dyDescent="0.35">
      <c r="B240" s="818">
        <v>44431</v>
      </c>
      <c r="C240" s="819">
        <v>169.46</v>
      </c>
    </row>
    <row r="241" spans="2:3" x14ac:dyDescent="0.35">
      <c r="B241" s="818">
        <v>44432</v>
      </c>
      <c r="C241" s="819">
        <v>169.43</v>
      </c>
    </row>
    <row r="242" spans="2:3" x14ac:dyDescent="0.35">
      <c r="B242" s="818">
        <v>44433</v>
      </c>
      <c r="C242" s="819">
        <v>169.66</v>
      </c>
    </row>
    <row r="243" spans="2:3" x14ac:dyDescent="0.35">
      <c r="B243" s="818">
        <v>44434</v>
      </c>
      <c r="C243" s="819">
        <v>169.96</v>
      </c>
    </row>
    <row r="244" spans="2:3" x14ac:dyDescent="0.35">
      <c r="B244" s="818">
        <v>44435</v>
      </c>
      <c r="C244" s="819">
        <v>169.97</v>
      </c>
    </row>
    <row r="245" spans="2:3" x14ac:dyDescent="0.35">
      <c r="B245" s="818">
        <v>44436</v>
      </c>
      <c r="C245" s="819">
        <v>169.97</v>
      </c>
    </row>
    <row r="246" spans="2:3" x14ac:dyDescent="0.35">
      <c r="B246" s="818">
        <v>44437</v>
      </c>
      <c r="C246" s="819">
        <v>169.97</v>
      </c>
    </row>
    <row r="247" spans="2:3" x14ac:dyDescent="0.35">
      <c r="B247" s="818">
        <v>44438</v>
      </c>
      <c r="C247" s="819">
        <v>169.98</v>
      </c>
    </row>
    <row r="248" spans="2:3" x14ac:dyDescent="0.35">
      <c r="B248" s="818">
        <v>44439</v>
      </c>
      <c r="C248" s="819">
        <v>170.26</v>
      </c>
    </row>
    <row r="249" spans="2:3" x14ac:dyDescent="0.35">
      <c r="B249" s="818">
        <v>44440</v>
      </c>
      <c r="C249" s="819">
        <v>170.42</v>
      </c>
    </row>
    <row r="250" spans="2:3" x14ac:dyDescent="0.35">
      <c r="B250" s="818">
        <v>44441</v>
      </c>
      <c r="C250" s="819">
        <v>170.58</v>
      </c>
    </row>
    <row r="251" spans="2:3" x14ac:dyDescent="0.35">
      <c r="B251" s="818">
        <v>44442</v>
      </c>
      <c r="C251" s="819">
        <v>170.58</v>
      </c>
    </row>
    <row r="252" spans="2:3" x14ac:dyDescent="0.35">
      <c r="B252" s="818">
        <v>44443</v>
      </c>
      <c r="C252" s="819">
        <v>170.58</v>
      </c>
    </row>
    <row r="253" spans="2:3" x14ac:dyDescent="0.35">
      <c r="B253" s="818">
        <v>44444</v>
      </c>
      <c r="C253" s="819">
        <v>170.58</v>
      </c>
    </row>
    <row r="254" spans="2:3" x14ac:dyDescent="0.35">
      <c r="B254" s="818">
        <v>44445</v>
      </c>
      <c r="C254" s="819">
        <v>170.82</v>
      </c>
    </row>
    <row r="255" spans="2:3" x14ac:dyDescent="0.35">
      <c r="B255" s="818">
        <v>44446</v>
      </c>
      <c r="C255" s="819">
        <v>171.2</v>
      </c>
    </row>
    <row r="256" spans="2:3" x14ac:dyDescent="0.35">
      <c r="B256" s="818">
        <v>44447</v>
      </c>
      <c r="C256" s="819">
        <v>170.68</v>
      </c>
    </row>
    <row r="257" spans="2:3" x14ac:dyDescent="0.35">
      <c r="B257" s="818">
        <v>44448</v>
      </c>
      <c r="C257" s="819">
        <v>170.67</v>
      </c>
    </row>
    <row r="258" spans="2:3" x14ac:dyDescent="0.35">
      <c r="B258" s="818">
        <v>44449</v>
      </c>
      <c r="C258" s="819">
        <v>170.65</v>
      </c>
    </row>
    <row r="259" spans="2:3" x14ac:dyDescent="0.35">
      <c r="B259" s="818">
        <v>44450</v>
      </c>
      <c r="C259" s="819">
        <v>170.65</v>
      </c>
    </row>
    <row r="260" spans="2:3" x14ac:dyDescent="0.35">
      <c r="B260" s="818">
        <v>44451</v>
      </c>
      <c r="C260" s="819">
        <v>170.65</v>
      </c>
    </row>
    <row r="261" spans="2:3" x14ac:dyDescent="0.35">
      <c r="B261" s="818">
        <v>44452</v>
      </c>
      <c r="C261" s="819">
        <v>171.04</v>
      </c>
    </row>
    <row r="262" spans="2:3" x14ac:dyDescent="0.35">
      <c r="B262" s="818">
        <v>44453</v>
      </c>
      <c r="C262" s="819">
        <v>171.44</v>
      </c>
    </row>
    <row r="263" spans="2:3" x14ac:dyDescent="0.35">
      <c r="B263" s="818">
        <v>44454</v>
      </c>
      <c r="C263" s="819">
        <v>171.83</v>
      </c>
    </row>
    <row r="264" spans="2:3" x14ac:dyDescent="0.35">
      <c r="B264" s="818">
        <v>44455</v>
      </c>
      <c r="C264" s="819">
        <v>172.32</v>
      </c>
    </row>
    <row r="265" spans="2:3" x14ac:dyDescent="0.35">
      <c r="B265" s="818">
        <v>44456</v>
      </c>
      <c r="C265" s="819">
        <v>172.44</v>
      </c>
    </row>
    <row r="266" spans="2:3" x14ac:dyDescent="0.35">
      <c r="B266" s="818">
        <v>44457</v>
      </c>
      <c r="C266" s="819">
        <v>172.44</v>
      </c>
    </row>
    <row r="267" spans="2:3" x14ac:dyDescent="0.35">
      <c r="B267" s="818">
        <v>44458</v>
      </c>
      <c r="C267" s="819">
        <v>172.44</v>
      </c>
    </row>
    <row r="268" spans="2:3" x14ac:dyDescent="0.35">
      <c r="B268" s="818">
        <v>44459</v>
      </c>
      <c r="C268" s="819">
        <v>172.68</v>
      </c>
    </row>
    <row r="269" spans="2:3" x14ac:dyDescent="0.35">
      <c r="B269" s="818">
        <v>44460</v>
      </c>
      <c r="C269" s="819">
        <v>172.67</v>
      </c>
    </row>
    <row r="270" spans="2:3" x14ac:dyDescent="0.35">
      <c r="B270" s="818">
        <v>44461</v>
      </c>
      <c r="C270" s="819">
        <v>172.99</v>
      </c>
    </row>
    <row r="271" spans="2:3" x14ac:dyDescent="0.35">
      <c r="B271" s="818">
        <v>44462</v>
      </c>
      <c r="C271" s="819">
        <v>173.33</v>
      </c>
    </row>
    <row r="272" spans="2:3" x14ac:dyDescent="0.35">
      <c r="B272" s="818">
        <v>44463</v>
      </c>
      <c r="C272" s="819">
        <v>173.42</v>
      </c>
    </row>
    <row r="273" spans="2:3" x14ac:dyDescent="0.35">
      <c r="B273" s="818">
        <v>44464</v>
      </c>
      <c r="C273" s="819">
        <v>173.42</v>
      </c>
    </row>
    <row r="274" spans="2:3" x14ac:dyDescent="0.35">
      <c r="B274" s="818">
        <v>44465</v>
      </c>
      <c r="C274" s="819">
        <v>173.42</v>
      </c>
    </row>
    <row r="275" spans="2:3" x14ac:dyDescent="0.35">
      <c r="B275" s="818">
        <v>44466</v>
      </c>
      <c r="C275" s="819">
        <v>173.92</v>
      </c>
    </row>
    <row r="276" spans="2:3" x14ac:dyDescent="0.35">
      <c r="B276" s="818">
        <v>44467</v>
      </c>
      <c r="C276" s="819">
        <v>174.41</v>
      </c>
    </row>
    <row r="277" spans="2:3" x14ac:dyDescent="0.35">
      <c r="B277" s="818">
        <v>44468</v>
      </c>
      <c r="C277" s="819">
        <v>174.64</v>
      </c>
    </row>
    <row r="278" spans="2:3" x14ac:dyDescent="0.35">
      <c r="B278" s="818">
        <v>44469</v>
      </c>
      <c r="C278" s="819">
        <v>175.03</v>
      </c>
    </row>
    <row r="279" spans="2:3" x14ac:dyDescent="0.35">
      <c r="B279" s="818">
        <v>44470</v>
      </c>
      <c r="C279" s="819">
        <v>175.47</v>
      </c>
    </row>
    <row r="280" spans="2:3" x14ac:dyDescent="0.35">
      <c r="B280" s="818">
        <v>44471</v>
      </c>
      <c r="C280" s="819">
        <v>175.47</v>
      </c>
    </row>
    <row r="281" spans="2:3" x14ac:dyDescent="0.35">
      <c r="B281" s="818">
        <v>44472</v>
      </c>
      <c r="C281" s="819">
        <v>175.47</v>
      </c>
    </row>
    <row r="282" spans="2:3" x14ac:dyDescent="0.35">
      <c r="B282" s="818">
        <v>44473</v>
      </c>
      <c r="C282" s="819">
        <v>175.89</v>
      </c>
    </row>
    <row r="283" spans="2:3" x14ac:dyDescent="0.35">
      <c r="B283" s="818">
        <v>44474</v>
      </c>
      <c r="C283" s="819">
        <v>176.34</v>
      </c>
    </row>
    <row r="284" spans="2:3" x14ac:dyDescent="0.35">
      <c r="B284" s="818">
        <v>44475</v>
      </c>
      <c r="C284" s="819">
        <v>176.33</v>
      </c>
    </row>
    <row r="285" spans="2:3" x14ac:dyDescent="0.35">
      <c r="B285" s="818">
        <v>44476</v>
      </c>
      <c r="C285" s="819">
        <v>176.45</v>
      </c>
    </row>
    <row r="286" spans="2:3" x14ac:dyDescent="0.35">
      <c r="B286" s="818">
        <v>44477</v>
      </c>
      <c r="C286" s="819">
        <v>176.45</v>
      </c>
    </row>
    <row r="287" spans="2:3" x14ac:dyDescent="0.35">
      <c r="B287" s="818">
        <v>44478</v>
      </c>
      <c r="C287" s="819">
        <v>176.45</v>
      </c>
    </row>
    <row r="288" spans="2:3" x14ac:dyDescent="0.35">
      <c r="B288" s="818">
        <v>44479</v>
      </c>
      <c r="C288" s="819">
        <v>176.45</v>
      </c>
    </row>
    <row r="289" spans="2:3" x14ac:dyDescent="0.35">
      <c r="B289" s="818">
        <v>44480</v>
      </c>
      <c r="C289" s="819">
        <v>176.45</v>
      </c>
    </row>
    <row r="290" spans="2:3" x14ac:dyDescent="0.35">
      <c r="B290" s="818">
        <v>44481</v>
      </c>
      <c r="C290" s="819">
        <v>176.78</v>
      </c>
    </row>
    <row r="291" spans="2:3" x14ac:dyDescent="0.35">
      <c r="B291" s="818">
        <v>44482</v>
      </c>
      <c r="C291" s="819">
        <v>177.1</v>
      </c>
    </row>
    <row r="292" spans="2:3" x14ac:dyDescent="0.35">
      <c r="B292" s="818">
        <v>44483</v>
      </c>
      <c r="C292" s="819">
        <v>177.43</v>
      </c>
    </row>
    <row r="293" spans="2:3" x14ac:dyDescent="0.35">
      <c r="B293" s="818">
        <v>44484</v>
      </c>
      <c r="C293" s="819">
        <v>177.68</v>
      </c>
    </row>
    <row r="294" spans="2:3" x14ac:dyDescent="0.35">
      <c r="B294" s="818">
        <v>44485</v>
      </c>
      <c r="C294" s="819">
        <v>177.68</v>
      </c>
    </row>
    <row r="295" spans="2:3" x14ac:dyDescent="0.35">
      <c r="B295" s="818">
        <v>44486</v>
      </c>
      <c r="C295" s="819">
        <v>177.68</v>
      </c>
    </row>
    <row r="296" spans="2:3" x14ac:dyDescent="0.35">
      <c r="B296" s="818">
        <v>44487</v>
      </c>
      <c r="C296" s="819">
        <v>178.02</v>
      </c>
    </row>
    <row r="297" spans="2:3" x14ac:dyDescent="0.35">
      <c r="B297" s="818">
        <v>44488</v>
      </c>
      <c r="C297" s="819">
        <v>178.36</v>
      </c>
    </row>
    <row r="298" spans="2:3" x14ac:dyDescent="0.35">
      <c r="B298" s="818">
        <v>44489</v>
      </c>
      <c r="C298" s="819">
        <v>178.6</v>
      </c>
    </row>
    <row r="299" spans="2:3" x14ac:dyDescent="0.35">
      <c r="B299" s="818">
        <v>44490</v>
      </c>
      <c r="C299" s="819">
        <v>178.83</v>
      </c>
    </row>
    <row r="300" spans="2:3" x14ac:dyDescent="0.35">
      <c r="B300" s="818">
        <v>44491</v>
      </c>
      <c r="C300" s="819">
        <v>179.23</v>
      </c>
    </row>
    <row r="301" spans="2:3" x14ac:dyDescent="0.35">
      <c r="B301" s="818">
        <v>44492</v>
      </c>
      <c r="C301" s="819">
        <v>179.23</v>
      </c>
    </row>
    <row r="302" spans="2:3" x14ac:dyDescent="0.35">
      <c r="B302" s="818">
        <v>44493</v>
      </c>
      <c r="C302" s="819">
        <v>179.23</v>
      </c>
    </row>
    <row r="303" spans="2:3" x14ac:dyDescent="0.35">
      <c r="B303" s="818">
        <v>44494</v>
      </c>
      <c r="C303" s="819">
        <v>179.23</v>
      </c>
    </row>
    <row r="304" spans="2:3" x14ac:dyDescent="0.35">
      <c r="B304" s="818">
        <v>44495</v>
      </c>
      <c r="C304" s="819">
        <v>179.24</v>
      </c>
    </row>
    <row r="305" spans="2:3" x14ac:dyDescent="0.35">
      <c r="B305" s="818">
        <v>44496</v>
      </c>
      <c r="C305" s="819">
        <v>179.23</v>
      </c>
    </row>
    <row r="306" spans="2:3" x14ac:dyDescent="0.35">
      <c r="B306" s="818">
        <v>44497</v>
      </c>
      <c r="C306" s="819">
        <v>179.23</v>
      </c>
    </row>
    <row r="307" spans="2:3" x14ac:dyDescent="0.35">
      <c r="B307" s="818">
        <v>44498</v>
      </c>
      <c r="C307" s="819">
        <v>179.22</v>
      </c>
    </row>
    <row r="308" spans="2:3" x14ac:dyDescent="0.35">
      <c r="B308" s="818">
        <v>44499</v>
      </c>
      <c r="C308" s="819">
        <v>179.22</v>
      </c>
    </row>
    <row r="309" spans="2:3" x14ac:dyDescent="0.35">
      <c r="B309" s="818">
        <v>44500</v>
      </c>
      <c r="C309" s="819">
        <v>179.22</v>
      </c>
    </row>
    <row r="310" spans="2:3" x14ac:dyDescent="0.35">
      <c r="B310" s="818">
        <v>44501</v>
      </c>
      <c r="C310" s="819">
        <v>179.22</v>
      </c>
    </row>
    <row r="311" spans="2:3" x14ac:dyDescent="0.35">
      <c r="B311" s="818">
        <v>44502</v>
      </c>
      <c r="C311" s="819">
        <v>179.32</v>
      </c>
    </row>
    <row r="312" spans="2:3" x14ac:dyDescent="0.35">
      <c r="B312" s="818">
        <v>44503</v>
      </c>
      <c r="C312" s="819">
        <v>180.07</v>
      </c>
    </row>
    <row r="313" spans="2:3" x14ac:dyDescent="0.35">
      <c r="B313" s="818">
        <v>44504</v>
      </c>
      <c r="C313" s="819">
        <v>180.56</v>
      </c>
    </row>
    <row r="314" spans="2:3" x14ac:dyDescent="0.35">
      <c r="B314" s="818">
        <v>44505</v>
      </c>
      <c r="C314" s="819">
        <v>181.26</v>
      </c>
    </row>
    <row r="315" spans="2:3" x14ac:dyDescent="0.35">
      <c r="B315" s="818">
        <v>44506</v>
      </c>
      <c r="C315" s="819">
        <v>181.26</v>
      </c>
    </row>
    <row r="316" spans="2:3" x14ac:dyDescent="0.35">
      <c r="B316" s="818">
        <v>44507</v>
      </c>
      <c r="C316" s="819">
        <v>181.26</v>
      </c>
    </row>
    <row r="317" spans="2:3" x14ac:dyDescent="0.35">
      <c r="B317" s="818">
        <v>44508</v>
      </c>
      <c r="C317" s="819">
        <v>181.86</v>
      </c>
    </row>
    <row r="318" spans="2:3" x14ac:dyDescent="0.35">
      <c r="B318" s="818">
        <v>44509</v>
      </c>
      <c r="C318" s="819">
        <v>182.46</v>
      </c>
    </row>
    <row r="319" spans="2:3" x14ac:dyDescent="0.35">
      <c r="B319" s="818">
        <v>44510</v>
      </c>
      <c r="C319" s="819">
        <v>182.74</v>
      </c>
    </row>
    <row r="320" spans="2:3" x14ac:dyDescent="0.35">
      <c r="B320" s="818">
        <v>44511</v>
      </c>
      <c r="C320" s="819">
        <v>183.23</v>
      </c>
    </row>
    <row r="321" spans="2:3" x14ac:dyDescent="0.35">
      <c r="B321" s="818">
        <v>44512</v>
      </c>
      <c r="C321" s="819">
        <v>183.98</v>
      </c>
    </row>
    <row r="322" spans="2:3" x14ac:dyDescent="0.35">
      <c r="B322" s="818">
        <v>44513</v>
      </c>
      <c r="C322" s="819">
        <v>183.98</v>
      </c>
    </row>
    <row r="323" spans="2:3" x14ac:dyDescent="0.35">
      <c r="B323" s="818">
        <v>44514</v>
      </c>
      <c r="C323" s="819">
        <v>183.98</v>
      </c>
    </row>
    <row r="324" spans="2:3" x14ac:dyDescent="0.35">
      <c r="B324" s="818">
        <v>44515</v>
      </c>
      <c r="C324" s="819">
        <v>188.78</v>
      </c>
    </row>
    <row r="325" spans="2:3" x14ac:dyDescent="0.35">
      <c r="B325" s="818">
        <v>44516</v>
      </c>
      <c r="C325" s="819">
        <v>200.3</v>
      </c>
    </row>
    <row r="326" spans="2:3" x14ac:dyDescent="0.35">
      <c r="B326" s="818">
        <v>44517</v>
      </c>
      <c r="C326" s="819">
        <v>200</v>
      </c>
    </row>
    <row r="327" spans="2:3" x14ac:dyDescent="0.35">
      <c r="B327" s="818">
        <v>44518</v>
      </c>
      <c r="C327" s="819">
        <v>204.52</v>
      </c>
    </row>
    <row r="328" spans="2:3" x14ac:dyDescent="0.35">
      <c r="B328" s="818">
        <v>44519</v>
      </c>
      <c r="C328" s="819">
        <v>203.03</v>
      </c>
    </row>
    <row r="329" spans="2:3" x14ac:dyDescent="0.35">
      <c r="B329" s="818">
        <v>44520</v>
      </c>
      <c r="C329" s="819">
        <v>203.03</v>
      </c>
    </row>
    <row r="330" spans="2:3" x14ac:dyDescent="0.35">
      <c r="B330" s="818">
        <v>44521</v>
      </c>
      <c r="C330" s="819">
        <v>203.03</v>
      </c>
    </row>
    <row r="331" spans="2:3" x14ac:dyDescent="0.35">
      <c r="B331" s="818">
        <v>44522</v>
      </c>
      <c r="C331" s="819">
        <v>203.03</v>
      </c>
    </row>
    <row r="332" spans="2:3" x14ac:dyDescent="0.35">
      <c r="B332" s="818">
        <v>44523</v>
      </c>
      <c r="C332" s="819">
        <v>205.82</v>
      </c>
    </row>
    <row r="333" spans="2:3" x14ac:dyDescent="0.35">
      <c r="B333" s="818">
        <v>44524</v>
      </c>
      <c r="C333" s="819">
        <v>204.88</v>
      </c>
    </row>
    <row r="334" spans="2:3" x14ac:dyDescent="0.35">
      <c r="B334" s="818">
        <v>44525</v>
      </c>
      <c r="C334" s="819">
        <v>203.55</v>
      </c>
    </row>
    <row r="335" spans="2:3" x14ac:dyDescent="0.35">
      <c r="B335" s="818">
        <v>44526</v>
      </c>
      <c r="C335" s="819">
        <v>200.17</v>
      </c>
    </row>
    <row r="336" spans="2:3" x14ac:dyDescent="0.35">
      <c r="B336" s="818">
        <v>44527</v>
      </c>
      <c r="C336" s="819">
        <v>200.17</v>
      </c>
    </row>
    <row r="337" spans="2:3" x14ac:dyDescent="0.35">
      <c r="B337" s="818">
        <v>44528</v>
      </c>
      <c r="C337" s="819">
        <v>200.17</v>
      </c>
    </row>
    <row r="338" spans="2:3" x14ac:dyDescent="0.35">
      <c r="B338" s="818">
        <v>44529</v>
      </c>
      <c r="C338" s="819">
        <v>196.94</v>
      </c>
    </row>
    <row r="339" spans="2:3" x14ac:dyDescent="0.35">
      <c r="B339" s="818">
        <v>44530</v>
      </c>
      <c r="C339" s="819">
        <v>200.72</v>
      </c>
    </row>
    <row r="340" spans="2:3" x14ac:dyDescent="0.35">
      <c r="B340" s="818">
        <v>44531</v>
      </c>
      <c r="C340" s="819">
        <v>200.6</v>
      </c>
    </row>
    <row r="341" spans="2:3" x14ac:dyDescent="0.35">
      <c r="B341" s="818">
        <v>44532</v>
      </c>
      <c r="C341" s="819">
        <v>203.33</v>
      </c>
    </row>
    <row r="342" spans="2:3" x14ac:dyDescent="0.35">
      <c r="B342" s="818">
        <v>44533</v>
      </c>
      <c r="C342" s="819">
        <v>203.25</v>
      </c>
    </row>
    <row r="343" spans="2:3" x14ac:dyDescent="0.35">
      <c r="B343" s="818">
        <v>44534</v>
      </c>
      <c r="C343" s="819">
        <v>203.25</v>
      </c>
    </row>
    <row r="344" spans="2:3" x14ac:dyDescent="0.35">
      <c r="B344" s="818">
        <v>44535</v>
      </c>
      <c r="C344" s="819">
        <v>203.25</v>
      </c>
    </row>
    <row r="345" spans="2:3" x14ac:dyDescent="0.35">
      <c r="B345" s="818">
        <v>44536</v>
      </c>
      <c r="C345" s="819">
        <v>201.96</v>
      </c>
    </row>
    <row r="346" spans="2:3" x14ac:dyDescent="0.35">
      <c r="B346" s="818">
        <v>44537</v>
      </c>
      <c r="C346" s="819">
        <v>198.1</v>
      </c>
    </row>
    <row r="347" spans="2:3" x14ac:dyDescent="0.35">
      <c r="B347" s="818">
        <v>44538</v>
      </c>
      <c r="C347" s="819">
        <v>198.1</v>
      </c>
    </row>
    <row r="348" spans="2:3" x14ac:dyDescent="0.35">
      <c r="B348" s="818">
        <v>44539</v>
      </c>
      <c r="C348" s="819">
        <v>195.98</v>
      </c>
    </row>
    <row r="349" spans="2:3" x14ac:dyDescent="0.35">
      <c r="B349" s="818">
        <v>44540</v>
      </c>
      <c r="C349" s="819">
        <v>197.1</v>
      </c>
    </row>
    <row r="350" spans="2:3" x14ac:dyDescent="0.35">
      <c r="B350" s="818">
        <v>44541</v>
      </c>
      <c r="C350" s="819">
        <v>197.1</v>
      </c>
    </row>
    <row r="351" spans="2:3" x14ac:dyDescent="0.35">
      <c r="B351" s="818">
        <v>44542</v>
      </c>
      <c r="C351" s="819">
        <v>197.1</v>
      </c>
    </row>
    <row r="352" spans="2:3" x14ac:dyDescent="0.35">
      <c r="B352" s="818">
        <v>44543</v>
      </c>
      <c r="C352" s="819">
        <v>195.55</v>
      </c>
    </row>
    <row r="353" spans="2:3" x14ac:dyDescent="0.35">
      <c r="B353" s="818">
        <v>44544</v>
      </c>
      <c r="C353" s="819">
        <v>194.39</v>
      </c>
    </row>
    <row r="354" spans="2:3" x14ac:dyDescent="0.35">
      <c r="B354" s="818">
        <v>44545</v>
      </c>
      <c r="C354" s="819">
        <v>191.69</v>
      </c>
    </row>
    <row r="355" spans="2:3" x14ac:dyDescent="0.35">
      <c r="B355" s="818">
        <v>44546</v>
      </c>
      <c r="C355" s="819">
        <v>191.64</v>
      </c>
    </row>
    <row r="356" spans="2:3" x14ac:dyDescent="0.35">
      <c r="B356" s="818">
        <v>44547</v>
      </c>
      <c r="C356" s="819">
        <v>199.22</v>
      </c>
    </row>
    <row r="357" spans="2:3" x14ac:dyDescent="0.35">
      <c r="B357" s="818">
        <v>44548</v>
      </c>
      <c r="C357" s="819">
        <v>199.22</v>
      </c>
    </row>
    <row r="358" spans="2:3" x14ac:dyDescent="0.35">
      <c r="B358" s="818">
        <v>44549</v>
      </c>
      <c r="C358" s="819">
        <v>199.22</v>
      </c>
    </row>
    <row r="359" spans="2:3" x14ac:dyDescent="0.35">
      <c r="B359" s="818">
        <v>44550</v>
      </c>
      <c r="C359" s="819">
        <v>200.41</v>
      </c>
    </row>
    <row r="360" spans="2:3" x14ac:dyDescent="0.35">
      <c r="B360" s="818">
        <v>44551</v>
      </c>
      <c r="C360" s="819">
        <v>202.17</v>
      </c>
    </row>
    <row r="361" spans="2:3" x14ac:dyDescent="0.35">
      <c r="B361" s="818">
        <v>44552</v>
      </c>
      <c r="C361" s="819">
        <v>199.84</v>
      </c>
    </row>
    <row r="362" spans="2:3" x14ac:dyDescent="0.35">
      <c r="B362" s="818">
        <v>44553</v>
      </c>
      <c r="C362" s="819">
        <v>199.21</v>
      </c>
    </row>
    <row r="363" spans="2:3" x14ac:dyDescent="0.35">
      <c r="B363" s="818">
        <v>44554</v>
      </c>
      <c r="C363" s="819">
        <v>197.97</v>
      </c>
    </row>
    <row r="364" spans="2:3" x14ac:dyDescent="0.35">
      <c r="B364" s="818">
        <v>44555</v>
      </c>
      <c r="C364" s="819">
        <v>197.97</v>
      </c>
    </row>
    <row r="365" spans="2:3" x14ac:dyDescent="0.35">
      <c r="B365" s="818">
        <v>44556</v>
      </c>
      <c r="C365" s="819">
        <v>197.97</v>
      </c>
    </row>
    <row r="366" spans="2:3" x14ac:dyDescent="0.35">
      <c r="B366" s="818">
        <v>44557</v>
      </c>
      <c r="C366" s="819">
        <v>194.53</v>
      </c>
    </row>
    <row r="367" spans="2:3" x14ac:dyDescent="0.35">
      <c r="B367" s="818">
        <v>44558</v>
      </c>
      <c r="C367" s="819">
        <v>193.34</v>
      </c>
    </row>
    <row r="368" spans="2:3" x14ac:dyDescent="0.35">
      <c r="B368" s="818">
        <v>44559</v>
      </c>
      <c r="C368" s="819">
        <v>196.03</v>
      </c>
    </row>
    <row r="369" spans="2:3" x14ac:dyDescent="0.35">
      <c r="B369" s="818">
        <v>44560</v>
      </c>
      <c r="C369" s="819">
        <v>197.8</v>
      </c>
    </row>
    <row r="370" spans="2:3" x14ac:dyDescent="0.35">
      <c r="B370" s="818">
        <v>44561</v>
      </c>
      <c r="C370" s="819">
        <v>197.8</v>
      </c>
    </row>
    <row r="371" spans="2:3" x14ac:dyDescent="0.35">
      <c r="B371" s="818">
        <v>44562</v>
      </c>
      <c r="C371" s="819">
        <v>197.8</v>
      </c>
    </row>
    <row r="372" spans="2:3" x14ac:dyDescent="0.35">
      <c r="B372" s="818">
        <v>44563</v>
      </c>
      <c r="C372" s="819">
        <v>197.8</v>
      </c>
    </row>
    <row r="373" spans="2:3" x14ac:dyDescent="0.35">
      <c r="B373" s="818">
        <v>44564</v>
      </c>
      <c r="C373" s="819">
        <v>198.26</v>
      </c>
    </row>
    <row r="374" spans="2:3" x14ac:dyDescent="0.35">
      <c r="B374" s="818">
        <v>44565</v>
      </c>
      <c r="C374" s="819">
        <v>197.4</v>
      </c>
    </row>
    <row r="375" spans="2:3" x14ac:dyDescent="0.35">
      <c r="B375" s="818">
        <v>44566</v>
      </c>
      <c r="C375" s="819">
        <v>199.07</v>
      </c>
    </row>
    <row r="376" spans="2:3" x14ac:dyDescent="0.35">
      <c r="B376" s="818">
        <v>44567</v>
      </c>
      <c r="C376" s="819">
        <v>202.09</v>
      </c>
    </row>
    <row r="377" spans="2:3" x14ac:dyDescent="0.35">
      <c r="B377" s="818">
        <v>44568</v>
      </c>
      <c r="C377" s="819">
        <v>203.84</v>
      </c>
    </row>
    <row r="378" spans="2:3" x14ac:dyDescent="0.35">
      <c r="B378" s="818">
        <v>44569</v>
      </c>
      <c r="C378" s="819">
        <v>203.84</v>
      </c>
    </row>
    <row r="379" spans="2:3" x14ac:dyDescent="0.35">
      <c r="B379" s="818">
        <v>44570</v>
      </c>
      <c r="C379" s="819">
        <v>203.84</v>
      </c>
    </row>
    <row r="380" spans="2:3" x14ac:dyDescent="0.35">
      <c r="B380" s="818">
        <v>44571</v>
      </c>
      <c r="C380" s="819">
        <v>202.78</v>
      </c>
    </row>
    <row r="381" spans="2:3" x14ac:dyDescent="0.35">
      <c r="B381" s="818">
        <v>44572</v>
      </c>
      <c r="C381" s="819">
        <v>202.46</v>
      </c>
    </row>
    <row r="382" spans="2:3" x14ac:dyDescent="0.35">
      <c r="B382" s="818">
        <v>44573</v>
      </c>
      <c r="C382" s="819">
        <v>201.96</v>
      </c>
    </row>
    <row r="383" spans="2:3" x14ac:dyDescent="0.35">
      <c r="B383" s="818">
        <v>44574</v>
      </c>
      <c r="C383" s="819">
        <v>200.74</v>
      </c>
    </row>
    <row r="384" spans="2:3" x14ac:dyDescent="0.35">
      <c r="B384" s="818">
        <v>44575</v>
      </c>
      <c r="C384" s="819">
        <v>202.46</v>
      </c>
    </row>
    <row r="385" spans="2:3" x14ac:dyDescent="0.35">
      <c r="B385" s="818">
        <v>44576</v>
      </c>
      <c r="C385" s="819">
        <v>202.46</v>
      </c>
    </row>
    <row r="386" spans="2:3" x14ac:dyDescent="0.35">
      <c r="B386" s="818">
        <v>44577</v>
      </c>
      <c r="C386" s="819">
        <v>202.46</v>
      </c>
    </row>
    <row r="387" spans="2:3" x14ac:dyDescent="0.35">
      <c r="B387" s="818">
        <v>44578</v>
      </c>
      <c r="C387" s="819">
        <v>204.11</v>
      </c>
    </row>
    <row r="388" spans="2:3" x14ac:dyDescent="0.35">
      <c r="B388" s="818">
        <v>44579</v>
      </c>
      <c r="C388" s="819">
        <v>203.6</v>
      </c>
    </row>
    <row r="389" spans="2:3" x14ac:dyDescent="0.35">
      <c r="B389" s="818">
        <v>44580</v>
      </c>
      <c r="C389" s="819">
        <v>206.58</v>
      </c>
    </row>
    <row r="390" spans="2:3" x14ac:dyDescent="0.35">
      <c r="B390" s="818">
        <v>44581</v>
      </c>
      <c r="C390" s="819">
        <v>212.32</v>
      </c>
    </row>
    <row r="391" spans="2:3" x14ac:dyDescent="0.35">
      <c r="B391" s="818">
        <v>44582</v>
      </c>
      <c r="C391" s="819">
        <v>212.74</v>
      </c>
    </row>
    <row r="392" spans="2:3" x14ac:dyDescent="0.35">
      <c r="B392" s="818">
        <v>44583</v>
      </c>
      <c r="C392" s="819">
        <v>212.74</v>
      </c>
    </row>
    <row r="393" spans="2:3" x14ac:dyDescent="0.35">
      <c r="B393" s="818">
        <v>44584</v>
      </c>
      <c r="C393" s="819">
        <v>212.74</v>
      </c>
    </row>
    <row r="394" spans="2:3" x14ac:dyDescent="0.35">
      <c r="B394" s="818">
        <v>44585</v>
      </c>
      <c r="C394" s="819">
        <v>219.09</v>
      </c>
    </row>
    <row r="395" spans="2:3" x14ac:dyDescent="0.35">
      <c r="B395" s="818">
        <v>44586</v>
      </c>
      <c r="C395" s="819">
        <v>218.84</v>
      </c>
    </row>
    <row r="396" spans="2:3" x14ac:dyDescent="0.35">
      <c r="B396" s="818">
        <v>44587</v>
      </c>
      <c r="C396" s="819">
        <v>216.85</v>
      </c>
    </row>
    <row r="397" spans="2:3" x14ac:dyDescent="0.35">
      <c r="B397" s="818">
        <v>44588</v>
      </c>
      <c r="C397" s="819">
        <v>223.75</v>
      </c>
    </row>
    <row r="398" spans="2:3" x14ac:dyDescent="0.35">
      <c r="B398" s="818">
        <v>44589</v>
      </c>
      <c r="C398" s="819">
        <v>216.66</v>
      </c>
    </row>
    <row r="399" spans="2:3" x14ac:dyDescent="0.35">
      <c r="B399" s="818">
        <v>44590</v>
      </c>
      <c r="C399" s="819">
        <v>216.66</v>
      </c>
    </row>
    <row r="400" spans="2:3" x14ac:dyDescent="0.35">
      <c r="B400" s="818">
        <v>44591</v>
      </c>
      <c r="C400" s="819">
        <v>216.66</v>
      </c>
    </row>
    <row r="401" spans="2:3" x14ac:dyDescent="0.35">
      <c r="B401" s="818">
        <v>44592</v>
      </c>
      <c r="C401" s="819">
        <v>214.67</v>
      </c>
    </row>
    <row r="402" spans="2:3" x14ac:dyDescent="0.35">
      <c r="B402" s="818">
        <v>44593</v>
      </c>
      <c r="C402" s="819">
        <v>214.63</v>
      </c>
    </row>
    <row r="403" spans="2:3" x14ac:dyDescent="0.35">
      <c r="B403" s="818">
        <v>44594</v>
      </c>
      <c r="C403" s="819">
        <v>210.88</v>
      </c>
    </row>
    <row r="404" spans="2:3" x14ac:dyDescent="0.35">
      <c r="B404" s="818">
        <v>44595</v>
      </c>
      <c r="C404" s="819">
        <v>211.71</v>
      </c>
    </row>
    <row r="405" spans="2:3" x14ac:dyDescent="0.35">
      <c r="B405" s="818">
        <v>44596</v>
      </c>
      <c r="C405" s="819">
        <v>212.23</v>
      </c>
    </row>
    <row r="406" spans="2:3" x14ac:dyDescent="0.35">
      <c r="B406" s="818">
        <v>44597</v>
      </c>
      <c r="C406" s="819">
        <v>212.23</v>
      </c>
    </row>
    <row r="407" spans="2:3" x14ac:dyDescent="0.35">
      <c r="B407" s="818">
        <v>44598</v>
      </c>
      <c r="C407" s="819">
        <v>212.23</v>
      </c>
    </row>
    <row r="408" spans="2:3" x14ac:dyDescent="0.35">
      <c r="B408" s="818">
        <v>44599</v>
      </c>
      <c r="C408" s="819">
        <v>210.22</v>
      </c>
    </row>
    <row r="409" spans="2:3" x14ac:dyDescent="0.35">
      <c r="B409" s="818">
        <v>44600</v>
      </c>
      <c r="C409" s="819">
        <v>207.9</v>
      </c>
    </row>
    <row r="410" spans="2:3" x14ac:dyDescent="0.35">
      <c r="B410" s="818">
        <v>44601</v>
      </c>
      <c r="C410" s="819">
        <v>204.97</v>
      </c>
    </row>
    <row r="411" spans="2:3" x14ac:dyDescent="0.35">
      <c r="B411" s="818">
        <v>44602</v>
      </c>
      <c r="C411" s="819">
        <v>207.15</v>
      </c>
    </row>
    <row r="412" spans="2:3" x14ac:dyDescent="0.35">
      <c r="B412" s="818">
        <v>44603</v>
      </c>
      <c r="C412" s="819">
        <v>207.59</v>
      </c>
    </row>
    <row r="413" spans="2:3" x14ac:dyDescent="0.35">
      <c r="B413" s="818">
        <v>44604</v>
      </c>
      <c r="C413" s="819">
        <v>207.59</v>
      </c>
    </row>
    <row r="414" spans="2:3" x14ac:dyDescent="0.35">
      <c r="B414" s="818">
        <v>44605</v>
      </c>
      <c r="C414" s="819">
        <v>207.59</v>
      </c>
    </row>
    <row r="415" spans="2:3" x14ac:dyDescent="0.35">
      <c r="B415" s="818">
        <v>44606</v>
      </c>
      <c r="C415" s="819">
        <v>207.41</v>
      </c>
    </row>
    <row r="416" spans="2:3" x14ac:dyDescent="0.35">
      <c r="B416" s="818">
        <v>44607</v>
      </c>
      <c r="C416" s="819">
        <v>205.49</v>
      </c>
    </row>
    <row r="417" spans="2:3" x14ac:dyDescent="0.35">
      <c r="B417" s="818">
        <v>44608</v>
      </c>
      <c r="C417" s="819">
        <v>203.93</v>
      </c>
    </row>
    <row r="418" spans="2:3" x14ac:dyDescent="0.35">
      <c r="B418" s="818">
        <v>44609</v>
      </c>
      <c r="C418" s="819">
        <v>203.03</v>
      </c>
    </row>
    <row r="419" spans="2:3" x14ac:dyDescent="0.35">
      <c r="B419" s="818">
        <v>44610</v>
      </c>
      <c r="C419" s="819">
        <v>199.72</v>
      </c>
    </row>
    <row r="420" spans="2:3" x14ac:dyDescent="0.35">
      <c r="B420" s="818">
        <v>44611</v>
      </c>
      <c r="C420" s="819">
        <v>199.72</v>
      </c>
    </row>
    <row r="421" spans="2:3" x14ac:dyDescent="0.35">
      <c r="B421" s="818">
        <v>44612</v>
      </c>
      <c r="C421" s="819">
        <v>199.72</v>
      </c>
    </row>
    <row r="422" spans="2:3" x14ac:dyDescent="0.35">
      <c r="B422" s="818">
        <v>44613</v>
      </c>
      <c r="C422" s="819">
        <v>201.12</v>
      </c>
    </row>
    <row r="423" spans="2:3" x14ac:dyDescent="0.35">
      <c r="B423" s="818">
        <v>44614</v>
      </c>
      <c r="C423" s="819">
        <v>196.05</v>
      </c>
    </row>
    <row r="424" spans="2:3" x14ac:dyDescent="0.35">
      <c r="B424" s="818">
        <v>44615</v>
      </c>
      <c r="C424" s="819">
        <v>196.81</v>
      </c>
    </row>
    <row r="425" spans="2:3" x14ac:dyDescent="0.35">
      <c r="B425" s="818">
        <v>44616</v>
      </c>
      <c r="C425" s="819">
        <v>197.19</v>
      </c>
    </row>
    <row r="426" spans="2:3" x14ac:dyDescent="0.35">
      <c r="B426" s="818">
        <v>44617</v>
      </c>
      <c r="C426" s="819">
        <v>195.31</v>
      </c>
    </row>
    <row r="427" spans="2:3" x14ac:dyDescent="0.35">
      <c r="B427" s="818">
        <v>44618</v>
      </c>
      <c r="C427" s="819">
        <v>195.31</v>
      </c>
    </row>
    <row r="428" spans="2:3" x14ac:dyDescent="0.35">
      <c r="B428" s="818">
        <v>44619</v>
      </c>
      <c r="C428" s="819">
        <v>195.31</v>
      </c>
    </row>
    <row r="429" spans="2:3" x14ac:dyDescent="0.35">
      <c r="B429" s="818">
        <v>44620</v>
      </c>
      <c r="C429" s="819">
        <v>195.31</v>
      </c>
    </row>
    <row r="430" spans="2:3" x14ac:dyDescent="0.35">
      <c r="B430" s="818">
        <v>44621</v>
      </c>
      <c r="C430" s="819">
        <v>195.31</v>
      </c>
    </row>
    <row r="431" spans="2:3" x14ac:dyDescent="0.35">
      <c r="B431" s="818">
        <v>44622</v>
      </c>
      <c r="C431" s="819">
        <v>196.84</v>
      </c>
    </row>
    <row r="432" spans="2:3" x14ac:dyDescent="0.35">
      <c r="B432" s="818">
        <v>44623</v>
      </c>
      <c r="C432" s="819">
        <v>196.82</v>
      </c>
    </row>
    <row r="433" spans="2:3" x14ac:dyDescent="0.35">
      <c r="B433" s="818">
        <v>44624</v>
      </c>
      <c r="C433" s="819">
        <v>197.6</v>
      </c>
    </row>
    <row r="434" spans="2:3" x14ac:dyDescent="0.35">
      <c r="B434" s="818">
        <v>44625</v>
      </c>
      <c r="C434" s="819">
        <v>197.6</v>
      </c>
    </row>
    <row r="435" spans="2:3" x14ac:dyDescent="0.35">
      <c r="B435" s="818">
        <v>44626</v>
      </c>
      <c r="C435" s="819">
        <v>197.6</v>
      </c>
    </row>
    <row r="436" spans="2:3" x14ac:dyDescent="0.35">
      <c r="B436" s="818">
        <v>44627</v>
      </c>
      <c r="C436" s="819">
        <v>197.28</v>
      </c>
    </row>
    <row r="437" spans="2:3" x14ac:dyDescent="0.35">
      <c r="B437" s="818">
        <v>44628</v>
      </c>
      <c r="C437" s="819">
        <v>194.54</v>
      </c>
    </row>
    <row r="438" spans="2:3" x14ac:dyDescent="0.35">
      <c r="B438" s="818">
        <v>44629</v>
      </c>
      <c r="C438" s="819">
        <v>190.85</v>
      </c>
    </row>
    <row r="439" spans="2:3" x14ac:dyDescent="0.35">
      <c r="B439" s="818">
        <v>44630</v>
      </c>
      <c r="C439" s="819">
        <v>189.62</v>
      </c>
    </row>
    <row r="440" spans="2:3" x14ac:dyDescent="0.35">
      <c r="B440" s="818">
        <v>44631</v>
      </c>
      <c r="C440" s="819">
        <v>187.41</v>
      </c>
    </row>
    <row r="441" spans="2:3" x14ac:dyDescent="0.35">
      <c r="B441" s="818">
        <v>44634</v>
      </c>
      <c r="C441" s="819">
        <v>185.6</v>
      </c>
    </row>
    <row r="442" spans="2:3" x14ac:dyDescent="0.35">
      <c r="B442" s="818">
        <v>44635</v>
      </c>
      <c r="C442" s="819">
        <v>187.94</v>
      </c>
    </row>
    <row r="443" spans="2:3" x14ac:dyDescent="0.35">
      <c r="B443" s="818">
        <v>44636</v>
      </c>
      <c r="C443" s="819">
        <v>193.3</v>
      </c>
    </row>
    <row r="444" spans="2:3" x14ac:dyDescent="0.35">
      <c r="B444" s="818">
        <v>44637</v>
      </c>
      <c r="C444" s="819">
        <v>195.27</v>
      </c>
    </row>
    <row r="445" spans="2:3" x14ac:dyDescent="0.35">
      <c r="B445" s="818">
        <v>44638</v>
      </c>
      <c r="C445" s="819">
        <v>195.17</v>
      </c>
    </row>
    <row r="446" spans="2:3" x14ac:dyDescent="0.35">
      <c r="B446" s="818">
        <v>44641</v>
      </c>
      <c r="C446" s="819">
        <v>197.9</v>
      </c>
    </row>
    <row r="447" spans="2:3" x14ac:dyDescent="0.35">
      <c r="B447" s="818">
        <v>44642</v>
      </c>
      <c r="C447" s="819">
        <v>199.82</v>
      </c>
    </row>
    <row r="448" spans="2:3" x14ac:dyDescent="0.35">
      <c r="B448" s="818">
        <v>44643</v>
      </c>
      <c r="C448" s="819">
        <v>200.72</v>
      </c>
    </row>
    <row r="449" spans="2:3" x14ac:dyDescent="0.35">
      <c r="B449" s="818">
        <v>44645</v>
      </c>
      <c r="C449" s="819">
        <v>200.31</v>
      </c>
    </row>
    <row r="450" spans="2:3" x14ac:dyDescent="0.35">
      <c r="B450" s="818">
        <v>44648</v>
      </c>
      <c r="C450" s="819">
        <v>196.27</v>
      </c>
    </row>
    <row r="451" spans="2:3" x14ac:dyDescent="0.35">
      <c r="B451" s="818">
        <v>44649</v>
      </c>
      <c r="C451" s="819">
        <v>191.99</v>
      </c>
    </row>
    <row r="452" spans="2:3" x14ac:dyDescent="0.35">
      <c r="B452" s="818">
        <v>44650</v>
      </c>
      <c r="C452" s="819">
        <v>192.52</v>
      </c>
    </row>
    <row r="453" spans="2:3" x14ac:dyDescent="0.35">
      <c r="B453" s="818">
        <v>44651</v>
      </c>
      <c r="C453" s="819">
        <v>190.56</v>
      </c>
    </row>
    <row r="454" spans="2:3" x14ac:dyDescent="0.35">
      <c r="B454" s="818">
        <v>44652</v>
      </c>
      <c r="C454" s="819">
        <v>189.75</v>
      </c>
    </row>
    <row r="455" spans="2:3" x14ac:dyDescent="0.35">
      <c r="B455" s="818">
        <v>44655</v>
      </c>
      <c r="C455" s="819">
        <v>190.88</v>
      </c>
    </row>
    <row r="456" spans="2:3" x14ac:dyDescent="0.35">
      <c r="B456" s="818">
        <v>44656</v>
      </c>
      <c r="C456" s="819">
        <v>190.17</v>
      </c>
    </row>
    <row r="457" spans="2:3" x14ac:dyDescent="0.35">
      <c r="B457" s="818">
        <v>44657</v>
      </c>
      <c r="C457" s="819">
        <v>190.21</v>
      </c>
    </row>
    <row r="458" spans="2:3" x14ac:dyDescent="0.35">
      <c r="B458" s="818">
        <v>44658</v>
      </c>
      <c r="C458" s="819">
        <v>192.32</v>
      </c>
    </row>
    <row r="459" spans="2:3" x14ac:dyDescent="0.35">
      <c r="B459" s="818">
        <v>44659</v>
      </c>
      <c r="C459" s="819">
        <v>191.15</v>
      </c>
    </row>
    <row r="460" spans="2:3" x14ac:dyDescent="0.35">
      <c r="B460" s="818">
        <v>44662</v>
      </c>
      <c r="C460" s="819">
        <v>191.31</v>
      </c>
    </row>
    <row r="461" spans="2:3" x14ac:dyDescent="0.35">
      <c r="B461" s="818">
        <v>44663</v>
      </c>
      <c r="C461" s="819">
        <v>191.67</v>
      </c>
    </row>
    <row r="462" spans="2:3" x14ac:dyDescent="0.35">
      <c r="B462" s="818">
        <v>44664</v>
      </c>
      <c r="C462" s="819">
        <v>191.33</v>
      </c>
    </row>
    <row r="463" spans="2:3" x14ac:dyDescent="0.35">
      <c r="B463" s="818">
        <v>44665</v>
      </c>
      <c r="C463" s="819">
        <v>191.33</v>
      </c>
    </row>
    <row r="464" spans="2:3" x14ac:dyDescent="0.35">
      <c r="B464" s="818">
        <v>44666</v>
      </c>
      <c r="C464" s="819">
        <v>191.33</v>
      </c>
    </row>
    <row r="465" spans="2:3" x14ac:dyDescent="0.35">
      <c r="B465" s="818">
        <v>44669</v>
      </c>
      <c r="C465" s="819">
        <v>189.3</v>
      </c>
    </row>
    <row r="466" spans="2:3" x14ac:dyDescent="0.35">
      <c r="B466" s="818">
        <v>44670</v>
      </c>
      <c r="C466" s="819">
        <v>191.69</v>
      </c>
    </row>
    <row r="467" spans="2:3" x14ac:dyDescent="0.35">
      <c r="B467" s="818">
        <v>44671</v>
      </c>
      <c r="C467" s="819">
        <v>195.24</v>
      </c>
    </row>
    <row r="468" spans="2:3" x14ac:dyDescent="0.35">
      <c r="B468" s="818">
        <v>44672</v>
      </c>
      <c r="C468" s="819">
        <v>203.97</v>
      </c>
    </row>
    <row r="469" spans="2:3" x14ac:dyDescent="0.35">
      <c r="B469" s="818">
        <v>44673</v>
      </c>
      <c r="C469" s="819">
        <v>208.27</v>
      </c>
    </row>
    <row r="470" spans="2:3" x14ac:dyDescent="0.35">
      <c r="B470" s="818">
        <v>44676</v>
      </c>
      <c r="C470" s="819">
        <v>207.96</v>
      </c>
    </row>
    <row r="471" spans="2:3" x14ac:dyDescent="0.35">
      <c r="B471" s="818">
        <v>44677</v>
      </c>
      <c r="C471" s="819">
        <v>212.07</v>
      </c>
    </row>
    <row r="472" spans="2:3" x14ac:dyDescent="0.35">
      <c r="B472" s="818">
        <v>44678</v>
      </c>
      <c r="C472" s="819">
        <v>208.33</v>
      </c>
    </row>
    <row r="473" spans="2:3" x14ac:dyDescent="0.35">
      <c r="B473" s="818">
        <v>44679</v>
      </c>
      <c r="C473" s="819">
        <v>203.99</v>
      </c>
    </row>
    <row r="474" spans="2:3" x14ac:dyDescent="0.35">
      <c r="B474" s="818">
        <v>44680</v>
      </c>
      <c r="C474" s="819">
        <v>205.99</v>
      </c>
    </row>
    <row r="475" spans="2:3" x14ac:dyDescent="0.35">
      <c r="B475" s="818">
        <v>44683</v>
      </c>
      <c r="C475" s="819">
        <v>209.38</v>
      </c>
    </row>
    <row r="476" spans="2:3" x14ac:dyDescent="0.35">
      <c r="B476" s="818">
        <v>44684</v>
      </c>
      <c r="C476" s="819">
        <v>207.49</v>
      </c>
    </row>
    <row r="477" spans="2:3" x14ac:dyDescent="0.35">
      <c r="B477" s="818">
        <v>44685</v>
      </c>
      <c r="C477" s="819">
        <v>203.57</v>
      </c>
    </row>
    <row r="478" spans="2:3" x14ac:dyDescent="0.35">
      <c r="B478" s="818">
        <v>44686</v>
      </c>
      <c r="C478" s="819">
        <v>205.39</v>
      </c>
    </row>
    <row r="479" spans="2:3" x14ac:dyDescent="0.35">
      <c r="B479" s="818">
        <v>44687</v>
      </c>
      <c r="C479" s="819">
        <v>208.49</v>
      </c>
    </row>
    <row r="480" spans="2:3" x14ac:dyDescent="0.35">
      <c r="B480" s="818">
        <v>44690</v>
      </c>
      <c r="C480" s="819">
        <v>206.52</v>
      </c>
    </row>
    <row r="481" spans="2:3" x14ac:dyDescent="0.35">
      <c r="B481" s="818">
        <v>44691</v>
      </c>
      <c r="C481" s="819">
        <v>207.79</v>
      </c>
    </row>
    <row r="482" spans="2:3" x14ac:dyDescent="0.35">
      <c r="B482" s="818">
        <v>44692</v>
      </c>
      <c r="C482" s="819">
        <v>207.08</v>
      </c>
    </row>
    <row r="483" spans="2:3" x14ac:dyDescent="0.35">
      <c r="B483" s="818">
        <v>44693</v>
      </c>
      <c r="C483" s="819">
        <v>206.38</v>
      </c>
    </row>
    <row r="484" spans="2:3" x14ac:dyDescent="0.35">
      <c r="B484" s="818">
        <v>44694</v>
      </c>
      <c r="C484" s="819">
        <v>210.85</v>
      </c>
    </row>
    <row r="485" spans="2:3" x14ac:dyDescent="0.35">
      <c r="B485" s="818">
        <v>44697</v>
      </c>
      <c r="C485" s="819">
        <v>210.79</v>
      </c>
    </row>
    <row r="486" spans="2:3" x14ac:dyDescent="0.35">
      <c r="B486" s="818">
        <v>44698</v>
      </c>
      <c r="C486" s="819">
        <v>209.31</v>
      </c>
    </row>
    <row r="487" spans="2:3" x14ac:dyDescent="0.35">
      <c r="B487" s="818">
        <v>44699</v>
      </c>
      <c r="C487" s="819">
        <v>209.31</v>
      </c>
    </row>
    <row r="488" spans="2:3" x14ac:dyDescent="0.35">
      <c r="B488" s="818">
        <v>44700</v>
      </c>
      <c r="C488" s="819">
        <v>207.88</v>
      </c>
    </row>
    <row r="489" spans="2:3" x14ac:dyDescent="0.35">
      <c r="B489" s="818">
        <v>44701</v>
      </c>
      <c r="C489" s="819">
        <v>209.56</v>
      </c>
    </row>
    <row r="490" spans="2:3" x14ac:dyDescent="0.35">
      <c r="B490" s="818">
        <v>44704</v>
      </c>
      <c r="C490" s="819">
        <v>210.61</v>
      </c>
    </row>
    <row r="491" spans="2:3" x14ac:dyDescent="0.35">
      <c r="B491" s="818">
        <v>44705</v>
      </c>
      <c r="C491" s="819">
        <v>211.33</v>
      </c>
    </row>
    <row r="492" spans="2:3" x14ac:dyDescent="0.35">
      <c r="B492" s="818">
        <v>44706</v>
      </c>
      <c r="C492" s="819">
        <v>211.33</v>
      </c>
    </row>
    <row r="493" spans="2:3" x14ac:dyDescent="0.35">
      <c r="B493" s="818">
        <v>44707</v>
      </c>
      <c r="C493" s="819">
        <v>211.41</v>
      </c>
    </row>
    <row r="494" spans="2:3" x14ac:dyDescent="0.35">
      <c r="B494" s="818">
        <v>44708</v>
      </c>
      <c r="C494" s="819">
        <v>210.35</v>
      </c>
    </row>
    <row r="495" spans="2:3" x14ac:dyDescent="0.35">
      <c r="B495" s="818">
        <v>44711</v>
      </c>
      <c r="C495" s="819">
        <v>209.15</v>
      </c>
    </row>
    <row r="496" spans="2:3" x14ac:dyDescent="0.35">
      <c r="B496" s="818">
        <v>44712</v>
      </c>
      <c r="C496" s="819">
        <v>207.35</v>
      </c>
    </row>
    <row r="497" spans="2:3" x14ac:dyDescent="0.35">
      <c r="B497" s="818">
        <v>44713</v>
      </c>
      <c r="C497" s="819">
        <v>208.62</v>
      </c>
    </row>
    <row r="498" spans="2:3" x14ac:dyDescent="0.35">
      <c r="B498" s="818">
        <v>44714</v>
      </c>
      <c r="C498" s="819">
        <v>207.04</v>
      </c>
    </row>
    <row r="499" spans="2:3" x14ac:dyDescent="0.35">
      <c r="B499" s="818">
        <v>44715</v>
      </c>
      <c r="C499" s="819">
        <v>207.75</v>
      </c>
    </row>
    <row r="500" spans="2:3" x14ac:dyDescent="0.35">
      <c r="B500" s="818">
        <v>44718</v>
      </c>
      <c r="C500" s="819">
        <v>208.84</v>
      </c>
    </row>
    <row r="501" spans="2:3" x14ac:dyDescent="0.35">
      <c r="B501" s="818">
        <v>44719</v>
      </c>
      <c r="C501" s="819">
        <v>208.68</v>
      </c>
    </row>
    <row r="502" spans="2:3" x14ac:dyDescent="0.35">
      <c r="B502" s="818">
        <v>44720</v>
      </c>
      <c r="C502" s="819">
        <v>209.15</v>
      </c>
    </row>
    <row r="503" spans="2:3" x14ac:dyDescent="0.35">
      <c r="B503" s="818">
        <v>44721</v>
      </c>
      <c r="C503" s="819">
        <v>217.5</v>
      </c>
    </row>
    <row r="504" spans="2:3" x14ac:dyDescent="0.35">
      <c r="B504" s="818">
        <v>44722</v>
      </c>
      <c r="C504" s="819">
        <v>223.2</v>
      </c>
    </row>
    <row r="505" spans="2:3" x14ac:dyDescent="0.35">
      <c r="B505" s="818">
        <v>44725</v>
      </c>
      <c r="C505" s="819">
        <v>227.37</v>
      </c>
    </row>
    <row r="506" spans="2:3" x14ac:dyDescent="0.35">
      <c r="B506" s="818">
        <v>44726</v>
      </c>
      <c r="C506" s="819">
        <v>231.96</v>
      </c>
    </row>
    <row r="507" spans="2:3" x14ac:dyDescent="0.35">
      <c r="B507" s="818">
        <v>44727</v>
      </c>
      <c r="C507" s="819">
        <v>229.83</v>
      </c>
    </row>
    <row r="508" spans="2:3" x14ac:dyDescent="0.35">
      <c r="B508" s="818">
        <v>44728</v>
      </c>
      <c r="C508" s="819">
        <v>235.09</v>
      </c>
    </row>
    <row r="509" spans="2:3" x14ac:dyDescent="0.35">
      <c r="B509" s="818">
        <v>44729</v>
      </c>
      <c r="C509" s="819">
        <v>235.09</v>
      </c>
    </row>
    <row r="510" spans="2:3" x14ac:dyDescent="0.35">
      <c r="B510" s="818">
        <v>44732</v>
      </c>
      <c r="C510" s="819">
        <v>235.09</v>
      </c>
    </row>
    <row r="511" spans="2:3" x14ac:dyDescent="0.35">
      <c r="B511" s="818">
        <v>44733</v>
      </c>
      <c r="C511" s="819">
        <v>233.27</v>
      </c>
    </row>
    <row r="512" spans="2:3" x14ac:dyDescent="0.35">
      <c r="B512" s="818">
        <v>44734</v>
      </c>
      <c r="C512" s="819">
        <v>227.94</v>
      </c>
    </row>
    <row r="513" spans="2:3" x14ac:dyDescent="0.35">
      <c r="B513" s="818">
        <v>44735</v>
      </c>
      <c r="C513" s="819">
        <v>232.23</v>
      </c>
    </row>
    <row r="514" spans="2:3" x14ac:dyDescent="0.35">
      <c r="B514" s="818">
        <v>44736</v>
      </c>
      <c r="C514" s="819">
        <v>232.72</v>
      </c>
    </row>
    <row r="515" spans="2:3" x14ac:dyDescent="0.35">
      <c r="B515" s="818">
        <v>44739</v>
      </c>
      <c r="C515" s="819">
        <v>240.09</v>
      </c>
    </row>
    <row r="516" spans="2:3" x14ac:dyDescent="0.35">
      <c r="B516" s="818">
        <v>44740</v>
      </c>
      <c r="C516" s="819">
        <v>243.07</v>
      </c>
    </row>
    <row r="517" spans="2:3" x14ac:dyDescent="0.35">
      <c r="B517" s="818">
        <v>44741</v>
      </c>
      <c r="C517" s="819">
        <v>245.67</v>
      </c>
    </row>
    <row r="518" spans="2:3" x14ac:dyDescent="0.35">
      <c r="B518" s="818">
        <v>44742</v>
      </c>
      <c r="C518" s="819">
        <v>249.59</v>
      </c>
    </row>
    <row r="519" spans="2:3" x14ac:dyDescent="0.35">
      <c r="B519" s="818">
        <v>44743</v>
      </c>
      <c r="C519" s="819">
        <v>247.9</v>
      </c>
    </row>
    <row r="520" spans="2:3" x14ac:dyDescent="0.35">
      <c r="B520" s="818">
        <v>44746</v>
      </c>
      <c r="C520" s="819">
        <v>272.39</v>
      </c>
    </row>
    <row r="521" spans="2:3" x14ac:dyDescent="0.35">
      <c r="B521" s="818">
        <v>44747</v>
      </c>
      <c r="C521" s="819">
        <v>265.27999999999997</v>
      </c>
    </row>
    <row r="522" spans="2:3" x14ac:dyDescent="0.35">
      <c r="B522" s="818">
        <v>44748</v>
      </c>
      <c r="C522" s="819">
        <v>270.17</v>
      </c>
    </row>
    <row r="523" spans="2:3" x14ac:dyDescent="0.35">
      <c r="B523" s="818">
        <v>44749</v>
      </c>
      <c r="C523" s="819">
        <v>284.32</v>
      </c>
    </row>
    <row r="524" spans="2:3" x14ac:dyDescent="0.35">
      <c r="B524" s="818">
        <v>44750</v>
      </c>
      <c r="C524" s="819">
        <v>289.29000000000002</v>
      </c>
    </row>
    <row r="525" spans="2:3" x14ac:dyDescent="0.35">
      <c r="B525" s="818">
        <v>44753</v>
      </c>
      <c r="C525" s="819">
        <v>285.69</v>
      </c>
    </row>
    <row r="526" spans="2:3" x14ac:dyDescent="0.35">
      <c r="B526" s="818">
        <v>44754</v>
      </c>
      <c r="C526" s="819">
        <v>279.39999999999998</v>
      </c>
    </row>
    <row r="527" spans="2:3" x14ac:dyDescent="0.35">
      <c r="B527" s="818">
        <v>44755</v>
      </c>
      <c r="C527" s="819">
        <v>280.06</v>
      </c>
    </row>
    <row r="528" spans="2:3" x14ac:dyDescent="0.35">
      <c r="B528" s="818">
        <v>44756</v>
      </c>
      <c r="C528" s="819">
        <v>284.27999999999997</v>
      </c>
    </row>
    <row r="529" spans="2:3" x14ac:dyDescent="0.35">
      <c r="B529" s="818">
        <v>44757</v>
      </c>
      <c r="C529" s="819">
        <v>292.5</v>
      </c>
    </row>
    <row r="530" spans="2:3" x14ac:dyDescent="0.35">
      <c r="B530" s="818">
        <v>44760</v>
      </c>
      <c r="C530" s="819">
        <v>295.24</v>
      </c>
    </row>
    <row r="531" spans="2:3" x14ac:dyDescent="0.35">
      <c r="B531" s="818">
        <v>44761</v>
      </c>
      <c r="C531" s="819">
        <v>297.83999999999997</v>
      </c>
    </row>
    <row r="532" spans="2:3" x14ac:dyDescent="0.35">
      <c r="B532" s="818">
        <v>44762</v>
      </c>
      <c r="C532" s="819">
        <v>303.44</v>
      </c>
    </row>
    <row r="533" spans="2:3" x14ac:dyDescent="0.35">
      <c r="B533" s="818">
        <v>44763</v>
      </c>
      <c r="C533" s="819">
        <v>326.08999999999997</v>
      </c>
    </row>
    <row r="534" spans="2:3" x14ac:dyDescent="0.35">
      <c r="B534" s="818">
        <v>44764</v>
      </c>
      <c r="C534" s="819">
        <v>315.5</v>
      </c>
    </row>
    <row r="535" spans="2:3" x14ac:dyDescent="0.35">
      <c r="B535" s="818">
        <v>44765</v>
      </c>
      <c r="C535" s="819">
        <v>315.5</v>
      </c>
    </row>
    <row r="536" spans="2:3" x14ac:dyDescent="0.35">
      <c r="B536" s="818">
        <v>44766</v>
      </c>
      <c r="C536" s="819">
        <v>315.5</v>
      </c>
    </row>
    <row r="537" spans="2:3" x14ac:dyDescent="0.35">
      <c r="B537" s="818">
        <v>44767</v>
      </c>
      <c r="C537" s="819">
        <v>319.72000000000003</v>
      </c>
    </row>
    <row r="538" spans="2:3" x14ac:dyDescent="0.35">
      <c r="B538" s="818">
        <v>44768</v>
      </c>
      <c r="C538" s="819">
        <v>324.88</v>
      </c>
    </row>
    <row r="539" spans="2:3" x14ac:dyDescent="0.35">
      <c r="B539" s="818">
        <v>44769</v>
      </c>
      <c r="C539" s="819">
        <v>323.77</v>
      </c>
    </row>
    <row r="540" spans="2:3" x14ac:dyDescent="0.35">
      <c r="B540" s="818">
        <v>44770</v>
      </c>
      <c r="C540" s="819">
        <v>298.16000000000003</v>
      </c>
    </row>
    <row r="541" spans="2:3" x14ac:dyDescent="0.35">
      <c r="B541" s="818">
        <v>44771</v>
      </c>
      <c r="C541" s="819">
        <v>276.70999999999998</v>
      </c>
    </row>
    <row r="542" spans="2:3" x14ac:dyDescent="0.35">
      <c r="B542" s="818">
        <v>44772</v>
      </c>
      <c r="C542" s="819">
        <v>276.70999999999998</v>
      </c>
    </row>
    <row r="543" spans="2:3" x14ac:dyDescent="0.35">
      <c r="B543" s="818">
        <v>44773</v>
      </c>
      <c r="C543" s="819">
        <v>276.70999999999998</v>
      </c>
    </row>
    <row r="544" spans="2:3" x14ac:dyDescent="0.35">
      <c r="B544" s="818">
        <v>44774</v>
      </c>
      <c r="C544" s="819">
        <v>272.48</v>
      </c>
    </row>
    <row r="545" spans="2:3" x14ac:dyDescent="0.35">
      <c r="B545" s="818">
        <v>44775</v>
      </c>
      <c r="C545" s="819">
        <v>276.66000000000003</v>
      </c>
    </row>
    <row r="546" spans="2:3" x14ac:dyDescent="0.35">
      <c r="B546" s="818">
        <v>44776</v>
      </c>
      <c r="C546" s="819">
        <v>281.02</v>
      </c>
    </row>
    <row r="547" spans="2:3" x14ac:dyDescent="0.35">
      <c r="B547" s="818">
        <v>44777</v>
      </c>
      <c r="C547" s="819">
        <v>284.47000000000003</v>
      </c>
    </row>
    <row r="548" spans="2:3" x14ac:dyDescent="0.35">
      <c r="B548" s="818">
        <v>44778</v>
      </c>
      <c r="C548" s="819">
        <v>278.77999999999997</v>
      </c>
    </row>
    <row r="549" spans="2:3" x14ac:dyDescent="0.35">
      <c r="B549" s="818">
        <v>44779</v>
      </c>
      <c r="C549" s="819">
        <v>278.77999999999997</v>
      </c>
    </row>
    <row r="550" spans="2:3" x14ac:dyDescent="0.35">
      <c r="B550" s="818">
        <v>44780</v>
      </c>
      <c r="C550" s="819">
        <v>278.77999999999997</v>
      </c>
    </row>
    <row r="551" spans="2:3" x14ac:dyDescent="0.35">
      <c r="B551" s="818">
        <v>44781</v>
      </c>
      <c r="C551" s="819">
        <v>278.94</v>
      </c>
    </row>
    <row r="552" spans="2:3" x14ac:dyDescent="0.35">
      <c r="B552" s="818">
        <v>44782</v>
      </c>
      <c r="C552" s="819">
        <v>279.2</v>
      </c>
    </row>
    <row r="553" spans="2:3" x14ac:dyDescent="0.35">
      <c r="B553" s="818">
        <v>44783</v>
      </c>
      <c r="C553" s="819">
        <v>284.58999999999997</v>
      </c>
    </row>
    <row r="554" spans="2:3" x14ac:dyDescent="0.35">
      <c r="B554" s="818">
        <v>44784</v>
      </c>
      <c r="C554" s="819">
        <v>279.36</v>
      </c>
    </row>
    <row r="555" spans="2:3" x14ac:dyDescent="0.35">
      <c r="B555" s="818">
        <v>44785</v>
      </c>
      <c r="C555" s="819">
        <v>279.12</v>
      </c>
    </row>
    <row r="556" spans="2:3" x14ac:dyDescent="0.35">
      <c r="B556" s="818">
        <v>44786</v>
      </c>
      <c r="C556" s="819">
        <v>279.12</v>
      </c>
    </row>
    <row r="557" spans="2:3" x14ac:dyDescent="0.35">
      <c r="B557" s="818">
        <v>44787</v>
      </c>
      <c r="C557" s="819">
        <v>279.12</v>
      </c>
    </row>
    <row r="558" spans="2:3" x14ac:dyDescent="0.35">
      <c r="B558" s="818">
        <v>44788</v>
      </c>
      <c r="C558" s="819">
        <v>279.12</v>
      </c>
    </row>
    <row r="559" spans="2:3" x14ac:dyDescent="0.35">
      <c r="B559" s="818">
        <v>44789</v>
      </c>
      <c r="C559" s="819">
        <v>275.77999999999997</v>
      </c>
    </row>
    <row r="560" spans="2:3" x14ac:dyDescent="0.35">
      <c r="B560" s="818">
        <v>44790</v>
      </c>
      <c r="C560" s="819">
        <v>281.37</v>
      </c>
    </row>
    <row r="561" spans="2:3" x14ac:dyDescent="0.35">
      <c r="B561" s="818">
        <v>44791</v>
      </c>
      <c r="C561" s="819">
        <v>288.13</v>
      </c>
    </row>
    <row r="562" spans="2:3" x14ac:dyDescent="0.35">
      <c r="B562" s="818">
        <v>44792</v>
      </c>
      <c r="C562" s="819">
        <v>292.02999999999997</v>
      </c>
    </row>
    <row r="563" spans="2:3" x14ac:dyDescent="0.35">
      <c r="B563" s="818">
        <v>44793</v>
      </c>
      <c r="C563" s="819">
        <v>292.02999999999997</v>
      </c>
    </row>
    <row r="564" spans="2:3" x14ac:dyDescent="0.35">
      <c r="B564" s="818">
        <v>44794</v>
      </c>
      <c r="C564" s="819">
        <v>292.02999999999997</v>
      </c>
    </row>
    <row r="565" spans="2:3" x14ac:dyDescent="0.35">
      <c r="B565" s="818">
        <v>44795</v>
      </c>
      <c r="C565" s="819">
        <v>287.88</v>
      </c>
    </row>
    <row r="566" spans="2:3" x14ac:dyDescent="0.35">
      <c r="B566" s="818">
        <v>44796</v>
      </c>
      <c r="C566" s="819">
        <v>288.14999999999998</v>
      </c>
    </row>
    <row r="567" spans="2:3" x14ac:dyDescent="0.35">
      <c r="B567" s="818">
        <v>44797</v>
      </c>
      <c r="C567" s="819">
        <v>286.60000000000002</v>
      </c>
    </row>
    <row r="568" spans="2:3" x14ac:dyDescent="0.35">
      <c r="B568" s="818">
        <v>44798</v>
      </c>
      <c r="C568" s="819">
        <v>286.60000000000002</v>
      </c>
    </row>
    <row r="569" spans="2:3" x14ac:dyDescent="0.35">
      <c r="B569" s="818">
        <v>44799</v>
      </c>
      <c r="C569" s="819">
        <v>282.57</v>
      </c>
    </row>
    <row r="570" spans="2:3" x14ac:dyDescent="0.35">
      <c r="B570" s="818">
        <v>44800</v>
      </c>
      <c r="C570" s="819">
        <v>282.57</v>
      </c>
    </row>
    <row r="571" spans="2:3" x14ac:dyDescent="0.35">
      <c r="B571" s="818">
        <v>44801</v>
      </c>
      <c r="C571" s="819">
        <v>282.57</v>
      </c>
    </row>
    <row r="572" spans="2:3" x14ac:dyDescent="0.35">
      <c r="B572" s="818">
        <v>44802</v>
      </c>
      <c r="C572" s="819">
        <v>281.77999999999997</v>
      </c>
    </row>
    <row r="573" spans="2:3" x14ac:dyDescent="0.35">
      <c r="B573" s="818">
        <v>44803</v>
      </c>
      <c r="C573" s="819">
        <v>283.83</v>
      </c>
    </row>
    <row r="574" spans="2:3" x14ac:dyDescent="0.35">
      <c r="B574" s="818">
        <v>44804</v>
      </c>
      <c r="C574" s="819">
        <v>283.08</v>
      </c>
    </row>
    <row r="575" spans="2:3" x14ac:dyDescent="0.35">
      <c r="B575" s="818">
        <v>44805</v>
      </c>
      <c r="C575" s="819">
        <v>278.73</v>
      </c>
    </row>
    <row r="576" spans="2:3" x14ac:dyDescent="0.35">
      <c r="B576" s="818">
        <v>44806</v>
      </c>
      <c r="C576" s="819">
        <v>278.73</v>
      </c>
    </row>
    <row r="577" spans="2:3" x14ac:dyDescent="0.35">
      <c r="B577" s="818">
        <v>44809</v>
      </c>
      <c r="C577" s="819">
        <v>271.19</v>
      </c>
    </row>
    <row r="578" spans="2:3" x14ac:dyDescent="0.35">
      <c r="B578" s="818">
        <v>44810</v>
      </c>
      <c r="C578" s="819">
        <v>270.33999999999997</v>
      </c>
    </row>
    <row r="579" spans="2:3" x14ac:dyDescent="0.35">
      <c r="B579" s="818">
        <v>44811</v>
      </c>
      <c r="C579" s="819">
        <v>271.02999999999997</v>
      </c>
    </row>
    <row r="580" spans="2:3" x14ac:dyDescent="0.35">
      <c r="B580" s="818">
        <v>44812</v>
      </c>
      <c r="C580" s="819">
        <v>273.02</v>
      </c>
    </row>
    <row r="581" spans="2:3" x14ac:dyDescent="0.35">
      <c r="B581" s="818">
        <v>44813</v>
      </c>
      <c r="C581" s="819">
        <v>269.56</v>
      </c>
    </row>
    <row r="582" spans="2:3" x14ac:dyDescent="0.35">
      <c r="B582" s="818">
        <v>44816</v>
      </c>
      <c r="C582" s="819">
        <v>269.39</v>
      </c>
    </row>
    <row r="583" spans="2:3" x14ac:dyDescent="0.35">
      <c r="B583" s="818">
        <v>44817</v>
      </c>
      <c r="C583" s="819">
        <v>269.89999999999998</v>
      </c>
    </row>
    <row r="584" spans="2:3" x14ac:dyDescent="0.35">
      <c r="B584" s="818">
        <v>44818</v>
      </c>
      <c r="C584" s="819">
        <v>275.45</v>
      </c>
    </row>
    <row r="585" spans="2:3" x14ac:dyDescent="0.35">
      <c r="B585" s="818">
        <v>44819</v>
      </c>
      <c r="C585" s="819">
        <v>289.66000000000003</v>
      </c>
    </row>
    <row r="586" spans="2:3" x14ac:dyDescent="0.35">
      <c r="B586" s="818">
        <v>44820</v>
      </c>
      <c r="C586" s="819">
        <v>294.19</v>
      </c>
    </row>
    <row r="587" spans="2:3" x14ac:dyDescent="0.35">
      <c r="B587" s="818">
        <v>44823</v>
      </c>
      <c r="C587" s="819">
        <v>297.11</v>
      </c>
    </row>
    <row r="588" spans="2:3" x14ac:dyDescent="0.35">
      <c r="B588" s="818">
        <v>44824</v>
      </c>
      <c r="C588" s="819">
        <v>295.10000000000002</v>
      </c>
    </row>
    <row r="589" spans="2:3" x14ac:dyDescent="0.35">
      <c r="B589" s="818">
        <v>44825</v>
      </c>
      <c r="C589" s="819">
        <v>297.91000000000003</v>
      </c>
    </row>
    <row r="590" spans="2:3" x14ac:dyDescent="0.35">
      <c r="B590" s="818">
        <v>44826</v>
      </c>
      <c r="C590" s="819">
        <v>302.19</v>
      </c>
    </row>
    <row r="591" spans="2:3" x14ac:dyDescent="0.35">
      <c r="B591" s="818">
        <v>44827</v>
      </c>
      <c r="C591" s="819">
        <v>301.82</v>
      </c>
    </row>
    <row r="592" spans="2:3" x14ac:dyDescent="0.35">
      <c r="B592" s="818">
        <v>44830</v>
      </c>
      <c r="C592" s="819">
        <v>298.25</v>
      </c>
    </row>
    <row r="593" spans="2:3" x14ac:dyDescent="0.35">
      <c r="B593" s="818">
        <v>44831</v>
      </c>
      <c r="C593" s="819">
        <v>296.77999999999997</v>
      </c>
    </row>
    <row r="594" spans="2:3" x14ac:dyDescent="0.35">
      <c r="B594" s="818">
        <v>44832</v>
      </c>
      <c r="C594" s="819">
        <v>297.99</v>
      </c>
    </row>
    <row r="595" spans="2:3" x14ac:dyDescent="0.35">
      <c r="B595" s="818">
        <v>44833</v>
      </c>
      <c r="C595" s="819">
        <v>295.83</v>
      </c>
    </row>
    <row r="596" spans="2:3" x14ac:dyDescent="0.35">
      <c r="B596" s="818">
        <v>44834</v>
      </c>
      <c r="C596" s="819">
        <v>302.48</v>
      </c>
    </row>
    <row r="597" spans="2:3" x14ac:dyDescent="0.35">
      <c r="B597" s="818">
        <v>44837</v>
      </c>
      <c r="C597" s="819">
        <v>297.97000000000003</v>
      </c>
    </row>
    <row r="598" spans="2:3" x14ac:dyDescent="0.35">
      <c r="B598" s="818">
        <v>44838</v>
      </c>
      <c r="C598" s="819">
        <v>299.77</v>
      </c>
    </row>
    <row r="599" spans="2:3" x14ac:dyDescent="0.35">
      <c r="B599" s="818">
        <v>44839</v>
      </c>
      <c r="C599" s="819">
        <v>297.5</v>
      </c>
    </row>
    <row r="600" spans="2:3" x14ac:dyDescent="0.35">
      <c r="B600" s="818">
        <v>44840</v>
      </c>
      <c r="C600" s="819">
        <v>293.25</v>
      </c>
    </row>
    <row r="601" spans="2:3" x14ac:dyDescent="0.35">
      <c r="B601" s="818">
        <v>44841</v>
      </c>
      <c r="C601" s="819">
        <v>293.25</v>
      </c>
    </row>
    <row r="602" spans="2:3" x14ac:dyDescent="0.35">
      <c r="B602" s="818">
        <v>44844</v>
      </c>
      <c r="C602" s="819">
        <v>293.25</v>
      </c>
    </row>
    <row r="603" spans="2:3" x14ac:dyDescent="0.35">
      <c r="B603" s="818">
        <v>44845</v>
      </c>
      <c r="C603" s="819">
        <v>288.14999999999998</v>
      </c>
    </row>
    <row r="604" spans="2:3" x14ac:dyDescent="0.35">
      <c r="B604" s="818">
        <v>44846</v>
      </c>
      <c r="C604" s="819">
        <v>293.69</v>
      </c>
    </row>
    <row r="605" spans="2:3" x14ac:dyDescent="0.35">
      <c r="B605" s="818">
        <v>44847</v>
      </c>
      <c r="C605" s="819">
        <v>299.42</v>
      </c>
    </row>
    <row r="606" spans="2:3" x14ac:dyDescent="0.35">
      <c r="B606" s="818">
        <v>44848</v>
      </c>
      <c r="C606" s="819">
        <v>299.04000000000002</v>
      </c>
    </row>
    <row r="607" spans="2:3" x14ac:dyDescent="0.35">
      <c r="B607" s="818">
        <v>44851</v>
      </c>
      <c r="C607" s="819">
        <v>295.58</v>
      </c>
    </row>
    <row r="608" spans="2:3" x14ac:dyDescent="0.35">
      <c r="B608" s="818">
        <v>44852</v>
      </c>
      <c r="C608" s="819">
        <v>293.33</v>
      </c>
    </row>
    <row r="609" spans="2:3" x14ac:dyDescent="0.35">
      <c r="B609" s="818">
        <v>44853</v>
      </c>
      <c r="C609" s="819">
        <v>292.41000000000003</v>
      </c>
    </row>
    <row r="610" spans="2:3" x14ac:dyDescent="0.35">
      <c r="B610" s="818">
        <v>44854</v>
      </c>
      <c r="C610" s="819">
        <v>290.87</v>
      </c>
    </row>
    <row r="611" spans="2:3" x14ac:dyDescent="0.35">
      <c r="B611" s="818">
        <v>44855</v>
      </c>
      <c r="C611" s="819">
        <v>290.63</v>
      </c>
    </row>
    <row r="612" spans="2:3" x14ac:dyDescent="0.35">
      <c r="B612" s="818">
        <v>44858</v>
      </c>
      <c r="C612" s="819">
        <v>291.89</v>
      </c>
    </row>
    <row r="613" spans="2:3" x14ac:dyDescent="0.35">
      <c r="B613" s="818">
        <v>44859</v>
      </c>
      <c r="C613" s="819">
        <v>293.63</v>
      </c>
    </row>
    <row r="614" spans="2:3" x14ac:dyDescent="0.35">
      <c r="B614" s="818">
        <v>44860</v>
      </c>
      <c r="C614" s="819">
        <v>292.27999999999997</v>
      </c>
    </row>
    <row r="615" spans="2:3" x14ac:dyDescent="0.35">
      <c r="B615" s="818">
        <v>44861</v>
      </c>
      <c r="C615" s="819">
        <v>294.64999999999998</v>
      </c>
    </row>
    <row r="616" spans="2:3" x14ac:dyDescent="0.35">
      <c r="B616" s="818">
        <v>44862</v>
      </c>
      <c r="C616" s="819">
        <v>295.07</v>
      </c>
    </row>
    <row r="617" spans="2:3" x14ac:dyDescent="0.35">
      <c r="B617" s="818">
        <v>44865</v>
      </c>
      <c r="C617" s="819">
        <v>293.92</v>
      </c>
    </row>
    <row r="618" spans="2:3" x14ac:dyDescent="0.35">
      <c r="B618" s="818">
        <v>44866</v>
      </c>
      <c r="C618" s="819">
        <v>292.83999999999997</v>
      </c>
    </row>
    <row r="619" spans="2:3" x14ac:dyDescent="0.35">
      <c r="B619" s="818">
        <v>44867</v>
      </c>
      <c r="C619" s="819">
        <v>291.17</v>
      </c>
    </row>
    <row r="620" spans="2:3" x14ac:dyDescent="0.35">
      <c r="B620" s="818">
        <v>44868</v>
      </c>
      <c r="C620" s="819">
        <v>292.92</v>
      </c>
    </row>
    <row r="621" spans="2:3" x14ac:dyDescent="0.35">
      <c r="B621" s="818">
        <v>44869</v>
      </c>
      <c r="C621" s="819">
        <v>290.97000000000003</v>
      </c>
    </row>
    <row r="622" spans="2:3" x14ac:dyDescent="0.35">
      <c r="B622" s="818">
        <v>44872</v>
      </c>
      <c r="C622" s="819">
        <v>289.76</v>
      </c>
    </row>
    <row r="623" spans="2:3" x14ac:dyDescent="0.35">
      <c r="B623" s="818">
        <v>44873</v>
      </c>
      <c r="C623" s="819">
        <v>292.37</v>
      </c>
    </row>
    <row r="624" spans="2:3" x14ac:dyDescent="0.35">
      <c r="B624" s="818">
        <v>44874</v>
      </c>
      <c r="C624" s="819">
        <v>292.93</v>
      </c>
    </row>
    <row r="625" spans="2:3" x14ac:dyDescent="0.35">
      <c r="B625" s="818">
        <v>44875</v>
      </c>
      <c r="C625" s="819">
        <v>296.82</v>
      </c>
    </row>
    <row r="626" spans="2:3" x14ac:dyDescent="0.35">
      <c r="B626" s="818">
        <v>44876</v>
      </c>
      <c r="C626" s="819">
        <v>297.70999999999998</v>
      </c>
    </row>
    <row r="627" spans="2:3" x14ac:dyDescent="0.35">
      <c r="B627" s="818">
        <v>44879</v>
      </c>
      <c r="C627" s="819">
        <v>299.83999999999997</v>
      </c>
    </row>
    <row r="628" spans="2:3" x14ac:dyDescent="0.35">
      <c r="B628" s="818">
        <v>44880</v>
      </c>
      <c r="C628" s="819">
        <v>302.06</v>
      </c>
    </row>
    <row r="629" spans="2:3" x14ac:dyDescent="0.35">
      <c r="B629" s="818">
        <v>44881</v>
      </c>
      <c r="C629" s="819">
        <v>308.98</v>
      </c>
    </row>
    <row r="630" spans="2:3" x14ac:dyDescent="0.35">
      <c r="B630" s="818">
        <v>44882</v>
      </c>
      <c r="C630" s="819">
        <v>313.87</v>
      </c>
    </row>
    <row r="631" spans="2:3" x14ac:dyDescent="0.35">
      <c r="B631" s="818">
        <v>44883</v>
      </c>
      <c r="C631" s="819">
        <v>313.58</v>
      </c>
    </row>
    <row r="632" spans="2:3" x14ac:dyDescent="0.35">
      <c r="B632" s="818">
        <v>44886</v>
      </c>
      <c r="C632" s="819">
        <v>313.58</v>
      </c>
    </row>
    <row r="633" spans="2:3" x14ac:dyDescent="0.35">
      <c r="B633" s="818">
        <v>44887</v>
      </c>
      <c r="C633" s="819">
        <v>312.8</v>
      </c>
    </row>
    <row r="634" spans="2:3" x14ac:dyDescent="0.35">
      <c r="B634" s="818">
        <v>44888</v>
      </c>
      <c r="C634" s="819">
        <v>311.81</v>
      </c>
    </row>
    <row r="635" spans="2:3" x14ac:dyDescent="0.35">
      <c r="B635" s="818">
        <v>44889</v>
      </c>
      <c r="C635" s="819">
        <v>319.3</v>
      </c>
    </row>
    <row r="636" spans="2:3" x14ac:dyDescent="0.35">
      <c r="B636" s="818">
        <v>44890</v>
      </c>
      <c r="C636" s="819">
        <v>316.07</v>
      </c>
    </row>
    <row r="637" spans="2:3" x14ac:dyDescent="0.35">
      <c r="B637" s="818">
        <v>44893</v>
      </c>
      <c r="C637" s="819">
        <v>314.02</v>
      </c>
    </row>
    <row r="638" spans="2:3" x14ac:dyDescent="0.35">
      <c r="B638" s="818">
        <v>44894</v>
      </c>
      <c r="C638" s="819">
        <v>313.45</v>
      </c>
    </row>
    <row r="639" spans="2:3" x14ac:dyDescent="0.35">
      <c r="B639" s="818">
        <v>44895</v>
      </c>
      <c r="C639" s="819">
        <v>312.51</v>
      </c>
    </row>
    <row r="640" spans="2:3" x14ac:dyDescent="0.35">
      <c r="B640" s="818">
        <v>44896</v>
      </c>
      <c r="C640" s="819">
        <v>318.57</v>
      </c>
    </row>
    <row r="641" spans="2:3" x14ac:dyDescent="0.35">
      <c r="B641" s="818">
        <v>44897</v>
      </c>
      <c r="C641" s="819">
        <v>318.67</v>
      </c>
    </row>
    <row r="642" spans="2:3" x14ac:dyDescent="0.35">
      <c r="B642" s="818">
        <v>44900</v>
      </c>
      <c r="C642" s="819">
        <v>319.11</v>
      </c>
    </row>
    <row r="643" spans="2:3" x14ac:dyDescent="0.35">
      <c r="B643" s="818">
        <v>44901</v>
      </c>
      <c r="C643" s="819">
        <v>328.88</v>
      </c>
    </row>
    <row r="644" spans="2:3" x14ac:dyDescent="0.35">
      <c r="B644" s="818">
        <v>44902</v>
      </c>
      <c r="C644" s="819">
        <v>328.98</v>
      </c>
    </row>
    <row r="645" spans="2:3" x14ac:dyDescent="0.35">
      <c r="B645" s="818">
        <v>44903</v>
      </c>
      <c r="C645" s="819">
        <v>328.98</v>
      </c>
    </row>
    <row r="646" spans="2:3" x14ac:dyDescent="0.35">
      <c r="B646" s="818">
        <v>44904</v>
      </c>
      <c r="C646" s="819">
        <v>328.98</v>
      </c>
    </row>
    <row r="647" spans="2:3" x14ac:dyDescent="0.35">
      <c r="B647" s="818">
        <v>44907</v>
      </c>
      <c r="C647" s="819">
        <v>322.35000000000002</v>
      </c>
    </row>
    <row r="648" spans="2:3" x14ac:dyDescent="0.35">
      <c r="B648" s="818">
        <v>44908</v>
      </c>
      <c r="C648" s="819">
        <v>323.36</v>
      </c>
    </row>
    <row r="649" spans="2:3" x14ac:dyDescent="0.35">
      <c r="B649" s="818">
        <v>44909</v>
      </c>
      <c r="C649" s="819">
        <v>322.7</v>
      </c>
    </row>
    <row r="650" spans="2:3" x14ac:dyDescent="0.35">
      <c r="B650" s="818">
        <v>44910</v>
      </c>
      <c r="C650" s="819">
        <v>320.10000000000002</v>
      </c>
    </row>
    <row r="651" spans="2:3" x14ac:dyDescent="0.35">
      <c r="B651" s="818">
        <v>44911</v>
      </c>
      <c r="C651" s="819">
        <v>320.10000000000002</v>
      </c>
    </row>
    <row r="652" spans="2:3" x14ac:dyDescent="0.35">
      <c r="B652" s="818">
        <v>44914</v>
      </c>
      <c r="C652" s="819">
        <v>320.89</v>
      </c>
    </row>
    <row r="653" spans="2:3" x14ac:dyDescent="0.35">
      <c r="B653" s="818">
        <v>44915</v>
      </c>
      <c r="C653" s="819">
        <v>325.01</v>
      </c>
    </row>
    <row r="654" spans="2:3" x14ac:dyDescent="0.35">
      <c r="B654" s="818">
        <v>44916</v>
      </c>
      <c r="C654" s="819">
        <v>322.87</v>
      </c>
    </row>
    <row r="655" spans="2:3" x14ac:dyDescent="0.35">
      <c r="B655" s="818">
        <v>44917</v>
      </c>
      <c r="C655" s="819">
        <v>324.25</v>
      </c>
    </row>
    <row r="656" spans="2:3" x14ac:dyDescent="0.35">
      <c r="B656" s="818">
        <v>44918</v>
      </c>
      <c r="C656" s="819">
        <v>325.70999999999998</v>
      </c>
    </row>
    <row r="657" spans="2:3" x14ac:dyDescent="0.35">
      <c r="B657" s="818">
        <v>44921</v>
      </c>
      <c r="C657" s="819">
        <v>327.62</v>
      </c>
    </row>
    <row r="658" spans="2:3" x14ac:dyDescent="0.35">
      <c r="B658" s="818">
        <v>44922</v>
      </c>
      <c r="C658" s="819">
        <v>335.39</v>
      </c>
    </row>
    <row r="659" spans="2:3" x14ac:dyDescent="0.35">
      <c r="B659" s="818">
        <v>44923</v>
      </c>
      <c r="C659" s="819">
        <v>331.63</v>
      </c>
    </row>
    <row r="660" spans="2:3" x14ac:dyDescent="0.35">
      <c r="B660" s="818">
        <v>44924</v>
      </c>
      <c r="C660" s="819">
        <v>334.36</v>
      </c>
    </row>
    <row r="661" spans="2:3" x14ac:dyDescent="0.35">
      <c r="B661" s="818">
        <v>44925</v>
      </c>
      <c r="C661" s="819">
        <v>327.94</v>
      </c>
    </row>
    <row r="662" spans="2:3" x14ac:dyDescent="0.35">
      <c r="B662" s="818">
        <v>44928</v>
      </c>
      <c r="C662" s="819">
        <v>329.21</v>
      </c>
    </row>
    <row r="663" spans="2:3" x14ac:dyDescent="0.35">
      <c r="B663" s="818">
        <v>44929</v>
      </c>
      <c r="C663" s="819">
        <v>330.7</v>
      </c>
    </row>
    <row r="664" spans="2:3" x14ac:dyDescent="0.35">
      <c r="B664" s="818">
        <v>44930</v>
      </c>
      <c r="C664" s="819">
        <v>334.93</v>
      </c>
    </row>
    <row r="665" spans="2:3" x14ac:dyDescent="0.35">
      <c r="B665" s="818">
        <v>44931</v>
      </c>
      <c r="C665" s="819">
        <v>332.67</v>
      </c>
    </row>
    <row r="666" spans="2:3" x14ac:dyDescent="0.35">
      <c r="B666" s="818">
        <v>44932</v>
      </c>
      <c r="C666" s="819">
        <v>329.91</v>
      </c>
    </row>
    <row r="667" spans="2:3" x14ac:dyDescent="0.35">
      <c r="B667" s="818">
        <v>44935</v>
      </c>
      <c r="C667" s="819">
        <v>327.17</v>
      </c>
    </row>
    <row r="668" spans="2:3" x14ac:dyDescent="0.35">
      <c r="B668" s="818">
        <v>44936</v>
      </c>
      <c r="C668" s="819">
        <v>325.87</v>
      </c>
    </row>
    <row r="669" spans="2:3" x14ac:dyDescent="0.35">
      <c r="B669" s="818">
        <v>44937</v>
      </c>
      <c r="C669" s="819">
        <v>327.7</v>
      </c>
    </row>
    <row r="670" spans="2:3" x14ac:dyDescent="0.35">
      <c r="B670" s="818">
        <v>44938</v>
      </c>
      <c r="C670" s="819">
        <v>342.38</v>
      </c>
    </row>
    <row r="671" spans="2:3" x14ac:dyDescent="0.35">
      <c r="B671" s="818">
        <v>44939</v>
      </c>
      <c r="C671" s="819">
        <v>340.23</v>
      </c>
    </row>
    <row r="672" spans="2:3" x14ac:dyDescent="0.35">
      <c r="B672" s="818">
        <v>44942</v>
      </c>
      <c r="C672" s="819">
        <v>344.03</v>
      </c>
    </row>
    <row r="673" spans="2:3" x14ac:dyDescent="0.35">
      <c r="B673" s="818">
        <v>44943</v>
      </c>
      <c r="C673" s="819">
        <v>341.89</v>
      </c>
    </row>
    <row r="674" spans="2:3" x14ac:dyDescent="0.35">
      <c r="B674" s="818">
        <v>44944</v>
      </c>
      <c r="C674" s="819">
        <v>340.3</v>
      </c>
    </row>
    <row r="675" spans="2:3" x14ac:dyDescent="0.35">
      <c r="B675" s="818">
        <v>44945</v>
      </c>
      <c r="C675" s="819">
        <v>332.83</v>
      </c>
    </row>
    <row r="676" spans="2:3" x14ac:dyDescent="0.35">
      <c r="B676" s="818">
        <v>44946</v>
      </c>
      <c r="C676" s="819">
        <v>352.52</v>
      </c>
    </row>
    <row r="677" spans="2:3" x14ac:dyDescent="0.35">
      <c r="B677" s="818">
        <v>44949</v>
      </c>
      <c r="C677" s="819">
        <v>352.21</v>
      </c>
    </row>
    <row r="678" spans="2:3" x14ac:dyDescent="0.35">
      <c r="B678" s="818">
        <v>44950</v>
      </c>
      <c r="C678" s="819">
        <v>353.85</v>
      </c>
    </row>
    <row r="679" spans="2:3" x14ac:dyDescent="0.35">
      <c r="B679" s="818">
        <v>44951</v>
      </c>
      <c r="C679" s="819">
        <v>351.98</v>
      </c>
    </row>
    <row r="680" spans="2:3" x14ac:dyDescent="0.35">
      <c r="B680" s="818">
        <v>44952</v>
      </c>
      <c r="C680" s="819">
        <v>352.22</v>
      </c>
    </row>
    <row r="681" spans="2:3" x14ac:dyDescent="0.35">
      <c r="B681" s="818">
        <v>44953</v>
      </c>
      <c r="C681" s="819">
        <v>352.78</v>
      </c>
    </row>
    <row r="682" spans="2:3" x14ac:dyDescent="0.35">
      <c r="B682" s="818">
        <v>44956</v>
      </c>
      <c r="C682" s="819">
        <v>353.93</v>
      </c>
    </row>
    <row r="683" spans="2:3" x14ac:dyDescent="0.35">
      <c r="B683" s="818">
        <v>44957</v>
      </c>
      <c r="C683" s="819">
        <v>354.81</v>
      </c>
    </row>
    <row r="684" spans="2:3" x14ac:dyDescent="0.35">
      <c r="B684" s="818">
        <v>44958</v>
      </c>
      <c r="C684" s="819">
        <v>353.7</v>
      </c>
    </row>
    <row r="685" spans="2:3" x14ac:dyDescent="0.35">
      <c r="B685" s="818">
        <v>44959</v>
      </c>
      <c r="C685" s="819">
        <v>354.75</v>
      </c>
    </row>
    <row r="686" spans="2:3" x14ac:dyDescent="0.35">
      <c r="B686" s="818">
        <v>44960</v>
      </c>
      <c r="C686" s="819">
        <v>357.36</v>
      </c>
    </row>
    <row r="687" spans="2:3" x14ac:dyDescent="0.35">
      <c r="B687" s="818">
        <v>44963</v>
      </c>
      <c r="C687" s="819">
        <v>353.94</v>
      </c>
    </row>
    <row r="688" spans="2:3" x14ac:dyDescent="0.35">
      <c r="B688" s="818">
        <v>44964</v>
      </c>
      <c r="C688" s="819">
        <v>353.2</v>
      </c>
    </row>
    <row r="689" spans="2:3" x14ac:dyDescent="0.35">
      <c r="B689" s="818">
        <v>44965</v>
      </c>
      <c r="C689" s="819">
        <v>354.95</v>
      </c>
    </row>
    <row r="690" spans="2:3" x14ac:dyDescent="0.35">
      <c r="B690" s="818">
        <v>44966</v>
      </c>
      <c r="C690" s="819">
        <v>354.36</v>
      </c>
    </row>
    <row r="691" spans="2:3" x14ac:dyDescent="0.35">
      <c r="B691" s="818">
        <v>44967</v>
      </c>
      <c r="C691" s="819">
        <v>354.15</v>
      </c>
    </row>
    <row r="692" spans="2:3" x14ac:dyDescent="0.35">
      <c r="B692" s="818">
        <v>44970</v>
      </c>
      <c r="C692" s="819">
        <v>355.27</v>
      </c>
    </row>
    <row r="693" spans="2:3" x14ac:dyDescent="0.35">
      <c r="B693" s="818">
        <v>44971</v>
      </c>
      <c r="C693" s="819">
        <v>355.28</v>
      </c>
    </row>
    <row r="694" spans="2:3" x14ac:dyDescent="0.35">
      <c r="B694" s="818">
        <v>44972</v>
      </c>
      <c r="C694" s="819">
        <v>356.23</v>
      </c>
    </row>
    <row r="695" spans="2:3" x14ac:dyDescent="0.35">
      <c r="B695" s="818">
        <v>44973</v>
      </c>
      <c r="C695" s="819">
        <v>357.61</v>
      </c>
    </row>
    <row r="696" spans="2:3" x14ac:dyDescent="0.35">
      <c r="B696" s="818">
        <v>44974</v>
      </c>
      <c r="C696" s="819">
        <v>355.59</v>
      </c>
    </row>
    <row r="697" spans="2:3" x14ac:dyDescent="0.35">
      <c r="B697" s="818">
        <v>44977</v>
      </c>
      <c r="C697" s="819">
        <v>355.59</v>
      </c>
    </row>
    <row r="698" spans="2:3" x14ac:dyDescent="0.35">
      <c r="B698" s="818">
        <v>44978</v>
      </c>
      <c r="C698" s="819">
        <v>355.59</v>
      </c>
    </row>
    <row r="699" spans="2:3" x14ac:dyDescent="0.35">
      <c r="B699" s="818">
        <v>44979</v>
      </c>
      <c r="C699" s="819">
        <v>356.45</v>
      </c>
    </row>
    <row r="700" spans="2:3" x14ac:dyDescent="0.35">
      <c r="B700" s="818">
        <v>44980</v>
      </c>
      <c r="C700" s="819">
        <v>357.26</v>
      </c>
    </row>
    <row r="701" spans="2:3" x14ac:dyDescent="0.35">
      <c r="B701" s="818">
        <v>44981</v>
      </c>
      <c r="C701" s="819">
        <v>356.78</v>
      </c>
    </row>
    <row r="702" spans="2:3" x14ac:dyDescent="0.35">
      <c r="B702" s="818">
        <v>44984</v>
      </c>
      <c r="C702" s="819">
        <v>356.07</v>
      </c>
    </row>
    <row r="703" spans="2:3" x14ac:dyDescent="0.35">
      <c r="B703" s="818">
        <v>44985</v>
      </c>
      <c r="C703" s="819">
        <v>357.47</v>
      </c>
    </row>
    <row r="704" spans="2:3" x14ac:dyDescent="0.35">
      <c r="B704" s="818">
        <v>44986</v>
      </c>
      <c r="C704" s="819">
        <v>359.78</v>
      </c>
    </row>
    <row r="705" spans="2:3" x14ac:dyDescent="0.35">
      <c r="B705" s="818">
        <v>44987</v>
      </c>
      <c r="C705" s="819">
        <v>364.81</v>
      </c>
    </row>
    <row r="706" spans="2:3" x14ac:dyDescent="0.35">
      <c r="B706" s="818">
        <v>44988</v>
      </c>
      <c r="C706" s="819">
        <v>366.5</v>
      </c>
    </row>
    <row r="707" spans="2:3" x14ac:dyDescent="0.35">
      <c r="B707" s="818">
        <v>44991</v>
      </c>
      <c r="C707" s="819">
        <v>362.42</v>
      </c>
    </row>
    <row r="708" spans="2:3" x14ac:dyDescent="0.35">
      <c r="B708" s="818">
        <v>44992</v>
      </c>
      <c r="C708" s="819">
        <v>366.97</v>
      </c>
    </row>
    <row r="709" spans="2:3" x14ac:dyDescent="0.35">
      <c r="B709" s="818">
        <v>44993</v>
      </c>
      <c r="C709" s="819">
        <v>372.86</v>
      </c>
    </row>
    <row r="710" spans="2:3" x14ac:dyDescent="0.35">
      <c r="B710" s="818">
        <v>44994</v>
      </c>
      <c r="C710" s="819">
        <v>375.43</v>
      </c>
    </row>
    <row r="711" spans="2:3" x14ac:dyDescent="0.35">
      <c r="B711" s="818">
        <v>44995</v>
      </c>
      <c r="C711" s="819">
        <v>380.64</v>
      </c>
    </row>
    <row r="712" spans="2:3" x14ac:dyDescent="0.35">
      <c r="B712" s="818">
        <v>44998</v>
      </c>
      <c r="C712" s="819">
        <v>379.51</v>
      </c>
    </row>
    <row r="713" spans="2:3" x14ac:dyDescent="0.35">
      <c r="B713" s="818">
        <v>44999</v>
      </c>
      <c r="C713" s="819">
        <v>377.76</v>
      </c>
    </row>
    <row r="714" spans="2:3" x14ac:dyDescent="0.35">
      <c r="B714" s="818">
        <v>45000</v>
      </c>
      <c r="C714" s="819">
        <v>383.31</v>
      </c>
    </row>
    <row r="715" spans="2:3" x14ac:dyDescent="0.35">
      <c r="B715" s="818">
        <v>45001</v>
      </c>
      <c r="C715" s="819">
        <v>388.76</v>
      </c>
    </row>
    <row r="716" spans="2:3" x14ac:dyDescent="0.35">
      <c r="B716" s="818">
        <v>45002</v>
      </c>
      <c r="C716" s="819">
        <v>388.84</v>
      </c>
    </row>
    <row r="717" spans="2:3" x14ac:dyDescent="0.35">
      <c r="B717" s="818">
        <v>45005</v>
      </c>
      <c r="C717" s="819">
        <v>387.63</v>
      </c>
    </row>
    <row r="718" spans="2:3" x14ac:dyDescent="0.35">
      <c r="B718" s="818">
        <v>45006</v>
      </c>
      <c r="C718" s="819">
        <v>385.98</v>
      </c>
    </row>
    <row r="719" spans="2:3" x14ac:dyDescent="0.35">
      <c r="B719" s="818">
        <v>45007</v>
      </c>
      <c r="C719" s="819">
        <v>387.1</v>
      </c>
    </row>
    <row r="720" spans="2:3" x14ac:dyDescent="0.35">
      <c r="B720" s="818">
        <v>45008</v>
      </c>
      <c r="C720" s="819">
        <v>375.72</v>
      </c>
    </row>
    <row r="721" spans="2:3" x14ac:dyDescent="0.35">
      <c r="B721" s="818">
        <v>45009</v>
      </c>
      <c r="C721" s="819">
        <v>375.72</v>
      </c>
    </row>
    <row r="722" spans="2:3" x14ac:dyDescent="0.35">
      <c r="B722" s="818">
        <v>45012</v>
      </c>
      <c r="C722" s="819">
        <v>376.4</v>
      </c>
    </row>
    <row r="723" spans="2:3" x14ac:dyDescent="0.35">
      <c r="B723" s="818">
        <v>45013</v>
      </c>
      <c r="C723" s="819">
        <v>383.55</v>
      </c>
    </row>
    <row r="724" spans="2:3" x14ac:dyDescent="0.35">
      <c r="B724" s="818">
        <v>45014</v>
      </c>
      <c r="C724" s="819">
        <v>386.81</v>
      </c>
    </row>
    <row r="725" spans="2:3" x14ac:dyDescent="0.35">
      <c r="B725" s="818">
        <v>45015</v>
      </c>
      <c r="C725" s="819">
        <v>391.82</v>
      </c>
    </row>
    <row r="726" spans="2:3" x14ac:dyDescent="0.35">
      <c r="B726" s="818">
        <v>45016</v>
      </c>
      <c r="C726" s="819">
        <v>397.37</v>
      </c>
    </row>
    <row r="727" spans="2:3" x14ac:dyDescent="0.35">
      <c r="B727" s="818">
        <v>45019</v>
      </c>
      <c r="C727" s="819">
        <v>396.94</v>
      </c>
    </row>
    <row r="728" spans="2:3" x14ac:dyDescent="0.35">
      <c r="B728" s="818">
        <v>45020</v>
      </c>
      <c r="C728" s="819">
        <v>402.41</v>
      </c>
    </row>
    <row r="729" spans="2:3" x14ac:dyDescent="0.35">
      <c r="B729" s="818">
        <v>45021</v>
      </c>
      <c r="C729" s="819">
        <v>396.6</v>
      </c>
    </row>
    <row r="730" spans="2:3" x14ac:dyDescent="0.35">
      <c r="B730" s="818">
        <v>45022</v>
      </c>
      <c r="C730" s="819">
        <v>396.6</v>
      </c>
    </row>
    <row r="731" spans="2:3" x14ac:dyDescent="0.35">
      <c r="B731" s="818">
        <v>45023</v>
      </c>
      <c r="C731" s="819">
        <v>396.6</v>
      </c>
    </row>
    <row r="732" spans="2:3" x14ac:dyDescent="0.35">
      <c r="B732" s="818">
        <v>45026</v>
      </c>
      <c r="C732" s="819">
        <v>390.71</v>
      </c>
    </row>
    <row r="733" spans="2:3" x14ac:dyDescent="0.35">
      <c r="B733" s="818">
        <v>45027</v>
      </c>
      <c r="C733" s="819">
        <v>387</v>
      </c>
    </row>
    <row r="734" spans="2:3" x14ac:dyDescent="0.35">
      <c r="B734" s="818">
        <v>45028</v>
      </c>
      <c r="C734" s="819">
        <v>386.34</v>
      </c>
    </row>
    <row r="735" spans="2:3" x14ac:dyDescent="0.35">
      <c r="B735" s="818">
        <v>45029</v>
      </c>
      <c r="C735" s="819">
        <v>388.14</v>
      </c>
    </row>
    <row r="736" spans="2:3" x14ac:dyDescent="0.35">
      <c r="B736" s="818">
        <v>45030</v>
      </c>
      <c r="C736" s="819">
        <v>398.62</v>
      </c>
    </row>
    <row r="737" spans="2:3" x14ac:dyDescent="0.35">
      <c r="B737" s="818">
        <v>45033</v>
      </c>
      <c r="C737" s="819">
        <v>395.45</v>
      </c>
    </row>
    <row r="738" spans="2:3" x14ac:dyDescent="0.35">
      <c r="B738" s="818">
        <v>45034</v>
      </c>
      <c r="C738" s="819">
        <v>408.86</v>
      </c>
    </row>
    <row r="739" spans="2:3" x14ac:dyDescent="0.35">
      <c r="B739" s="818">
        <v>45035</v>
      </c>
      <c r="C739" s="819">
        <v>409.77</v>
      </c>
    </row>
    <row r="740" spans="2:3" x14ac:dyDescent="0.35">
      <c r="B740" s="818">
        <v>45036</v>
      </c>
      <c r="C740" s="819">
        <v>421.9</v>
      </c>
    </row>
    <row r="741" spans="2:3" x14ac:dyDescent="0.35">
      <c r="B741" s="818">
        <v>45037</v>
      </c>
      <c r="C741" s="819">
        <v>437.75</v>
      </c>
    </row>
    <row r="742" spans="2:3" x14ac:dyDescent="0.35">
      <c r="B742" s="818">
        <v>45040</v>
      </c>
      <c r="C742" s="819">
        <v>449.02</v>
      </c>
    </row>
    <row r="743" spans="2:3" x14ac:dyDescent="0.35">
      <c r="B743" s="818">
        <v>45041</v>
      </c>
      <c r="C743" s="819">
        <v>447.5</v>
      </c>
    </row>
    <row r="744" spans="2:3" x14ac:dyDescent="0.35">
      <c r="B744" s="818">
        <v>45042</v>
      </c>
      <c r="C744" s="819">
        <v>446.43</v>
      </c>
    </row>
    <row r="745" spans="2:3" x14ac:dyDescent="0.35">
      <c r="B745" s="818">
        <v>45043</v>
      </c>
      <c r="C745" s="819">
        <v>442.23</v>
      </c>
    </row>
    <row r="746" spans="2:3" x14ac:dyDescent="0.35">
      <c r="B746" s="818">
        <v>45044</v>
      </c>
      <c r="C746" s="819">
        <v>436.05</v>
      </c>
    </row>
    <row r="747" spans="2:3" x14ac:dyDescent="0.35">
      <c r="B747" s="818">
        <v>45047</v>
      </c>
      <c r="C747" s="819">
        <v>436.05</v>
      </c>
    </row>
    <row r="748" spans="2:3" x14ac:dyDescent="0.35">
      <c r="B748" s="818">
        <v>45048</v>
      </c>
      <c r="C748" s="819">
        <v>428.84</v>
      </c>
    </row>
    <row r="749" spans="2:3" x14ac:dyDescent="0.35">
      <c r="B749" s="818">
        <v>45049</v>
      </c>
      <c r="C749" s="819">
        <v>431.03</v>
      </c>
    </row>
    <row r="750" spans="2:3" x14ac:dyDescent="0.35">
      <c r="B750" s="818">
        <v>45050</v>
      </c>
      <c r="C750" s="819">
        <v>430.19</v>
      </c>
    </row>
    <row r="751" spans="2:3" x14ac:dyDescent="0.35">
      <c r="B751" s="818">
        <v>45051</v>
      </c>
      <c r="C751" s="819">
        <v>432.35</v>
      </c>
    </row>
    <row r="752" spans="2:3" x14ac:dyDescent="0.35">
      <c r="B752" s="818">
        <v>45054</v>
      </c>
      <c r="C752" s="819">
        <v>432.08</v>
      </c>
    </row>
    <row r="753" spans="2:3" x14ac:dyDescent="0.35">
      <c r="B753" s="818">
        <v>45055</v>
      </c>
      <c r="C753" s="819">
        <v>432.08</v>
      </c>
    </row>
    <row r="754" spans="2:3" x14ac:dyDescent="0.35">
      <c r="B754" s="818">
        <v>45056</v>
      </c>
      <c r="C754" s="819">
        <v>436.09</v>
      </c>
    </row>
    <row r="755" spans="2:3" x14ac:dyDescent="0.35">
      <c r="B755" s="818">
        <v>45057</v>
      </c>
      <c r="C755" s="819">
        <v>440.07</v>
      </c>
    </row>
    <row r="756" spans="2:3" x14ac:dyDescent="0.35">
      <c r="B756" s="818">
        <v>45058</v>
      </c>
      <c r="C756" s="819">
        <v>434.31</v>
      </c>
    </row>
    <row r="757" spans="2:3" x14ac:dyDescent="0.35">
      <c r="B757" s="818">
        <v>45061</v>
      </c>
      <c r="C757" s="819">
        <v>437.66</v>
      </c>
    </row>
    <row r="758" spans="2:3" x14ac:dyDescent="0.35">
      <c r="B758" s="818">
        <v>45062</v>
      </c>
      <c r="C758" s="819">
        <v>442.43</v>
      </c>
    </row>
    <row r="759" spans="2:3" x14ac:dyDescent="0.35">
      <c r="B759" s="818">
        <v>45063</v>
      </c>
      <c r="C759" s="819">
        <v>444.08</v>
      </c>
    </row>
    <row r="760" spans="2:3" x14ac:dyDescent="0.35">
      <c r="B760" s="818">
        <v>45064</v>
      </c>
      <c r="C760" s="819">
        <v>473.5</v>
      </c>
    </row>
    <row r="761" spans="2:3" x14ac:dyDescent="0.35">
      <c r="B761" s="818">
        <v>45065</v>
      </c>
      <c r="C761" s="819">
        <v>465.42</v>
      </c>
    </row>
    <row r="762" spans="2:3" x14ac:dyDescent="0.35">
      <c r="B762" s="818">
        <v>45068</v>
      </c>
      <c r="C762" s="819">
        <v>464.27</v>
      </c>
    </row>
    <row r="763" spans="2:3" x14ac:dyDescent="0.35">
      <c r="B763" s="818">
        <v>45069</v>
      </c>
      <c r="C763" s="819">
        <v>466.09</v>
      </c>
    </row>
    <row r="764" spans="2:3" x14ac:dyDescent="0.35">
      <c r="B764" s="818">
        <v>45070</v>
      </c>
      <c r="C764" s="819">
        <v>462.35</v>
      </c>
    </row>
    <row r="765" spans="2:3" x14ac:dyDescent="0.35">
      <c r="B765" s="818">
        <v>45071</v>
      </c>
      <c r="C765" s="819">
        <v>459.55</v>
      </c>
    </row>
    <row r="766" spans="2:3" x14ac:dyDescent="0.35">
      <c r="B766" s="818">
        <v>45072</v>
      </c>
      <c r="C766" s="819">
        <v>459.55</v>
      </c>
    </row>
    <row r="767" spans="2:3" x14ac:dyDescent="0.35">
      <c r="B767" s="818">
        <v>45075</v>
      </c>
      <c r="C767" s="819">
        <v>459.51</v>
      </c>
    </row>
    <row r="768" spans="2:3" x14ac:dyDescent="0.35">
      <c r="B768" s="818">
        <v>45076</v>
      </c>
      <c r="C768" s="819">
        <v>462.32</v>
      </c>
    </row>
    <row r="769" spans="2:3" x14ac:dyDescent="0.35">
      <c r="B769" s="818">
        <v>45077</v>
      </c>
      <c r="C769" s="819">
        <v>466.98</v>
      </c>
    </row>
    <row r="770" spans="2:3" x14ac:dyDescent="0.35">
      <c r="B770" s="818">
        <v>45078</v>
      </c>
      <c r="C770" s="819">
        <v>467.03</v>
      </c>
    </row>
    <row r="771" spans="2:3" x14ac:dyDescent="0.35">
      <c r="B771" s="818">
        <v>45079</v>
      </c>
      <c r="C771" s="819">
        <v>469.09</v>
      </c>
    </row>
    <row r="772" spans="2:3" x14ac:dyDescent="0.35">
      <c r="B772" s="818">
        <v>45082</v>
      </c>
      <c r="C772" s="819">
        <v>472.29</v>
      </c>
    </row>
    <row r="773" spans="2:3" x14ac:dyDescent="0.35">
      <c r="B773" s="818">
        <v>45083</v>
      </c>
      <c r="C773" s="819">
        <v>473.87</v>
      </c>
    </row>
    <row r="774" spans="2:3" x14ac:dyDescent="0.35">
      <c r="B774" s="818">
        <v>45084</v>
      </c>
      <c r="C774" s="819">
        <v>472.76</v>
      </c>
    </row>
    <row r="775" spans="2:3" x14ac:dyDescent="0.35">
      <c r="B775" s="818">
        <v>45085</v>
      </c>
      <c r="C775" s="819">
        <v>473.92</v>
      </c>
    </row>
    <row r="776" spans="2:3" x14ac:dyDescent="0.35">
      <c r="B776" s="818">
        <v>45086</v>
      </c>
      <c r="C776" s="819">
        <v>473.5</v>
      </c>
    </row>
    <row r="777" spans="2:3" x14ac:dyDescent="0.35">
      <c r="B777" s="818">
        <v>45089</v>
      </c>
      <c r="C777" s="819">
        <v>474.49</v>
      </c>
    </row>
    <row r="778" spans="2:3" x14ac:dyDescent="0.35">
      <c r="B778" s="818">
        <v>45090</v>
      </c>
      <c r="C778" s="819">
        <v>473.19</v>
      </c>
    </row>
    <row r="779" spans="2:3" x14ac:dyDescent="0.35">
      <c r="B779" s="818">
        <v>45091</v>
      </c>
      <c r="C779" s="819">
        <v>474.98</v>
      </c>
    </row>
    <row r="780" spans="2:3" x14ac:dyDescent="0.35">
      <c r="B780" s="818">
        <v>45092</v>
      </c>
      <c r="C780" s="819">
        <v>474.59</v>
      </c>
    </row>
    <row r="781" spans="2:3" x14ac:dyDescent="0.35">
      <c r="B781" s="818">
        <v>45093</v>
      </c>
      <c r="C781" s="819">
        <v>479.35</v>
      </c>
    </row>
    <row r="782" spans="2:3" x14ac:dyDescent="0.35">
      <c r="B782" s="818">
        <v>45096</v>
      </c>
      <c r="C782" s="819">
        <v>479.35</v>
      </c>
    </row>
    <row r="783" spans="2:3" x14ac:dyDescent="0.35">
      <c r="B783" s="818">
        <v>45097</v>
      </c>
      <c r="C783" s="819">
        <v>479.35</v>
      </c>
    </row>
    <row r="784" spans="2:3" x14ac:dyDescent="0.35">
      <c r="B784" s="818">
        <v>45098</v>
      </c>
      <c r="C784" s="819">
        <v>476.46</v>
      </c>
    </row>
    <row r="785" spans="2:3" x14ac:dyDescent="0.35">
      <c r="B785" s="818">
        <v>45099</v>
      </c>
      <c r="C785" s="819">
        <v>482.51</v>
      </c>
    </row>
    <row r="786" spans="2:3" x14ac:dyDescent="0.35">
      <c r="B786" s="818">
        <v>45100</v>
      </c>
      <c r="C786" s="819">
        <v>486.66</v>
      </c>
    </row>
    <row r="787" spans="2:3" x14ac:dyDescent="0.35">
      <c r="B787" s="818">
        <v>45103</v>
      </c>
      <c r="C787" s="819">
        <v>479.79</v>
      </c>
    </row>
    <row r="788" spans="2:3" x14ac:dyDescent="0.35">
      <c r="B788" s="818">
        <v>45104</v>
      </c>
      <c r="C788" s="819">
        <v>483.43</v>
      </c>
    </row>
    <row r="789" spans="2:3" x14ac:dyDescent="0.35">
      <c r="B789" s="818">
        <v>45105</v>
      </c>
      <c r="C789" s="819">
        <v>484.01</v>
      </c>
    </row>
    <row r="790" spans="2:3" x14ac:dyDescent="0.35">
      <c r="B790" s="818">
        <v>45106</v>
      </c>
      <c r="C790" s="819">
        <v>482.23</v>
      </c>
    </row>
    <row r="791" spans="2:3" x14ac:dyDescent="0.35">
      <c r="B791" s="818">
        <v>45107</v>
      </c>
      <c r="C791" s="819">
        <v>484.69</v>
      </c>
    </row>
    <row r="792" spans="2:3" x14ac:dyDescent="0.35">
      <c r="B792" s="818">
        <v>45110</v>
      </c>
      <c r="C792" s="819">
        <v>483.45</v>
      </c>
    </row>
    <row r="793" spans="2:3" x14ac:dyDescent="0.35">
      <c r="B793" s="818">
        <v>45111</v>
      </c>
      <c r="C793" s="819">
        <v>482.9</v>
      </c>
    </row>
    <row r="794" spans="2:3" x14ac:dyDescent="0.35">
      <c r="B794" s="818">
        <v>45112</v>
      </c>
      <c r="C794" s="819">
        <v>480.37</v>
      </c>
    </row>
    <row r="795" spans="2:3" x14ac:dyDescent="0.35">
      <c r="B795" s="818">
        <v>45113</v>
      </c>
      <c r="C795" s="819">
        <v>484.68</v>
      </c>
    </row>
    <row r="796" spans="2:3" x14ac:dyDescent="0.35">
      <c r="B796" s="818">
        <v>45114</v>
      </c>
      <c r="C796" s="819">
        <v>484.78</v>
      </c>
    </row>
    <row r="797" spans="2:3" x14ac:dyDescent="0.35">
      <c r="B797" s="818">
        <v>45117</v>
      </c>
      <c r="C797" s="819">
        <v>490.4</v>
      </c>
    </row>
    <row r="798" spans="2:3" x14ac:dyDescent="0.35">
      <c r="B798" s="818">
        <v>45118</v>
      </c>
      <c r="C798" s="819">
        <v>488.64</v>
      </c>
    </row>
    <row r="799" spans="2:3" x14ac:dyDescent="0.35">
      <c r="B799" s="818">
        <v>45119</v>
      </c>
      <c r="C799" s="819">
        <v>488.65</v>
      </c>
    </row>
    <row r="800" spans="2:3" x14ac:dyDescent="0.35">
      <c r="B800" s="818">
        <v>45120</v>
      </c>
      <c r="C800" s="819">
        <v>498.73</v>
      </c>
    </row>
    <row r="801" spans="2:3" x14ac:dyDescent="0.35">
      <c r="B801" s="818">
        <v>45121</v>
      </c>
      <c r="C801" s="819">
        <v>499.71</v>
      </c>
    </row>
    <row r="802" spans="2:3" x14ac:dyDescent="0.35">
      <c r="B802" s="818">
        <v>45124</v>
      </c>
      <c r="C802" s="819">
        <v>499.86</v>
      </c>
    </row>
    <row r="803" spans="2:3" x14ac:dyDescent="0.35">
      <c r="B803" s="818">
        <v>45125</v>
      </c>
      <c r="C803" s="819">
        <v>494.9</v>
      </c>
    </row>
    <row r="804" spans="2:3" x14ac:dyDescent="0.35">
      <c r="B804" s="818">
        <v>45126</v>
      </c>
      <c r="C804" s="819">
        <v>494.65</v>
      </c>
    </row>
    <row r="805" spans="2:3" x14ac:dyDescent="0.35">
      <c r="B805" s="818">
        <v>45127</v>
      </c>
      <c r="C805" s="819">
        <v>495.84</v>
      </c>
    </row>
    <row r="806" spans="2:3" x14ac:dyDescent="0.35">
      <c r="B806" s="818">
        <v>45128</v>
      </c>
      <c r="C806" s="819">
        <v>498.08</v>
      </c>
    </row>
    <row r="807" spans="2:3" x14ac:dyDescent="0.35">
      <c r="B807" s="818">
        <v>45131</v>
      </c>
      <c r="C807" s="819">
        <v>497.09</v>
      </c>
    </row>
    <row r="808" spans="2:3" x14ac:dyDescent="0.35">
      <c r="B808" s="818">
        <v>45132</v>
      </c>
      <c r="C808" s="819">
        <v>507.12</v>
      </c>
    </row>
    <row r="809" spans="2:3" x14ac:dyDescent="0.35">
      <c r="B809" s="818">
        <v>45133</v>
      </c>
      <c r="C809" s="819">
        <v>503.9</v>
      </c>
    </row>
    <row r="810" spans="2:3" x14ac:dyDescent="0.35">
      <c r="B810" s="818">
        <v>45134</v>
      </c>
      <c r="C810" s="819">
        <v>510.62</v>
      </c>
    </row>
    <row r="811" spans="2:3" x14ac:dyDescent="0.35">
      <c r="B811" s="818">
        <v>45135</v>
      </c>
      <c r="C811" s="819">
        <v>508.01</v>
      </c>
    </row>
    <row r="812" spans="2:3" x14ac:dyDescent="0.35">
      <c r="B812" s="818">
        <v>45138</v>
      </c>
      <c r="C812" s="819">
        <v>509.1</v>
      </c>
    </row>
    <row r="813" spans="2:3" x14ac:dyDescent="0.35">
      <c r="B813" s="818">
        <v>45139</v>
      </c>
      <c r="C813" s="819">
        <v>509.45</v>
      </c>
    </row>
    <row r="814" spans="2:3" x14ac:dyDescent="0.35">
      <c r="B814" s="818">
        <v>45140</v>
      </c>
      <c r="C814" s="819">
        <v>512.54</v>
      </c>
    </row>
    <row r="815" spans="2:3" x14ac:dyDescent="0.35">
      <c r="B815" s="818">
        <v>45141</v>
      </c>
      <c r="C815" s="819">
        <v>513.99</v>
      </c>
    </row>
    <row r="816" spans="2:3" x14ac:dyDescent="0.35">
      <c r="B816" s="818">
        <v>45142</v>
      </c>
      <c r="C816" s="819">
        <v>514.71</v>
      </c>
    </row>
    <row r="817" spans="2:3" x14ac:dyDescent="0.35">
      <c r="B817" s="818">
        <v>45145</v>
      </c>
      <c r="C817" s="819">
        <v>516.70000000000005</v>
      </c>
    </row>
    <row r="818" spans="2:3" x14ac:dyDescent="0.35">
      <c r="B818" s="818">
        <v>45146</v>
      </c>
      <c r="C818" s="819">
        <v>521.91999999999996</v>
      </c>
    </row>
    <row r="819" spans="2:3" x14ac:dyDescent="0.35">
      <c r="B819" s="818">
        <v>45147</v>
      </c>
      <c r="C819" s="819">
        <v>527.91999999999996</v>
      </c>
    </row>
    <row r="820" spans="2:3" x14ac:dyDescent="0.35">
      <c r="B820" s="818">
        <v>45148</v>
      </c>
      <c r="C820" s="819">
        <v>529.82000000000005</v>
      </c>
    </row>
    <row r="821" spans="2:3" x14ac:dyDescent="0.35">
      <c r="B821" s="818">
        <v>45149</v>
      </c>
      <c r="C821" s="819">
        <v>539.89</v>
      </c>
    </row>
    <row r="822" spans="2:3" x14ac:dyDescent="0.35">
      <c r="B822" s="818">
        <v>45150</v>
      </c>
      <c r="C822" s="819">
        <v>621.14</v>
      </c>
    </row>
    <row r="823" spans="2:3" x14ac:dyDescent="0.35">
      <c r="B823" s="818">
        <v>45151</v>
      </c>
      <c r="C823" s="819">
        <v>667.17</v>
      </c>
    </row>
    <row r="824" spans="2:3" x14ac:dyDescent="0.35">
      <c r="B824" s="818">
        <v>45152</v>
      </c>
      <c r="C824" s="819">
        <v>651.41999999999996</v>
      </c>
    </row>
    <row r="825" spans="2:3" x14ac:dyDescent="0.35">
      <c r="B825" s="818">
        <v>45153</v>
      </c>
      <c r="C825" s="819">
        <v>659.49</v>
      </c>
    </row>
    <row r="826" spans="2:3" x14ac:dyDescent="0.35">
      <c r="B826" s="818">
        <v>45154</v>
      </c>
      <c r="C826" s="819">
        <v>657.48</v>
      </c>
    </row>
    <row r="827" spans="2:3" x14ac:dyDescent="0.35">
      <c r="B827" s="818">
        <v>45155</v>
      </c>
      <c r="C827" s="819">
        <v>657.48</v>
      </c>
    </row>
    <row r="828" spans="2:3" x14ac:dyDescent="0.35">
      <c r="B828" s="818">
        <v>45156</v>
      </c>
      <c r="C828" s="819">
        <v>657.48</v>
      </c>
    </row>
    <row r="829" spans="2:3" x14ac:dyDescent="0.35">
      <c r="B829" s="818">
        <v>45157</v>
      </c>
      <c r="C829" s="819">
        <v>657.48</v>
      </c>
    </row>
    <row r="830" spans="2:3" x14ac:dyDescent="0.35">
      <c r="B830" s="818">
        <v>45158</v>
      </c>
      <c r="C830" s="819">
        <v>657.48</v>
      </c>
    </row>
    <row r="831" spans="2:3" x14ac:dyDescent="0.35">
      <c r="B831" s="818">
        <v>45159</v>
      </c>
      <c r="C831" s="819">
        <v>657.48</v>
      </c>
    </row>
    <row r="832" spans="2:3" x14ac:dyDescent="0.35">
      <c r="B832" s="818">
        <v>45160</v>
      </c>
      <c r="C832" s="819">
        <v>658.88</v>
      </c>
    </row>
    <row r="833" spans="2:3" x14ac:dyDescent="0.35">
      <c r="B833" s="818">
        <v>45161</v>
      </c>
      <c r="C833" s="819">
        <v>661.32</v>
      </c>
    </row>
    <row r="834" spans="2:3" x14ac:dyDescent="0.35">
      <c r="B834" s="818">
        <v>45162</v>
      </c>
      <c r="C834" s="819">
        <v>665.4</v>
      </c>
    </row>
    <row r="835" spans="2:3" x14ac:dyDescent="0.35">
      <c r="B835" s="818">
        <v>45163</v>
      </c>
      <c r="C835" s="819">
        <v>664.97</v>
      </c>
    </row>
    <row r="836" spans="2:3" x14ac:dyDescent="0.35">
      <c r="B836" s="818">
        <v>45164</v>
      </c>
      <c r="C836" s="819">
        <v>664.97</v>
      </c>
    </row>
    <row r="837" spans="2:3" x14ac:dyDescent="0.35">
      <c r="B837" s="818">
        <v>45165</v>
      </c>
      <c r="C837" s="819">
        <v>664.97</v>
      </c>
    </row>
    <row r="838" spans="2:3" x14ac:dyDescent="0.35">
      <c r="B838" s="818">
        <v>45166</v>
      </c>
      <c r="C838" s="819">
        <v>680.83</v>
      </c>
    </row>
    <row r="839" spans="2:3" x14ac:dyDescent="0.35">
      <c r="B839" s="818">
        <v>45167</v>
      </c>
      <c r="C839" s="819">
        <v>671.02</v>
      </c>
    </row>
    <row r="840" spans="2:3" x14ac:dyDescent="0.35">
      <c r="B840" s="818">
        <v>45168</v>
      </c>
      <c r="C840" s="819">
        <v>670.99</v>
      </c>
    </row>
    <row r="841" spans="2:3" x14ac:dyDescent="0.35">
      <c r="B841" s="818">
        <v>45169</v>
      </c>
      <c r="C841" s="819">
        <v>670.83</v>
      </c>
    </row>
    <row r="842" spans="2:3" x14ac:dyDescent="0.35">
      <c r="B842" s="818">
        <v>45170</v>
      </c>
      <c r="C842" s="819">
        <v>670.37</v>
      </c>
    </row>
    <row r="843" spans="2:3" x14ac:dyDescent="0.35">
      <c r="B843" s="818">
        <v>45173</v>
      </c>
      <c r="C843" s="819">
        <v>672.62</v>
      </c>
    </row>
    <row r="844" spans="2:3" x14ac:dyDescent="0.35">
      <c r="B844" s="818">
        <v>45174</v>
      </c>
      <c r="C844" s="819">
        <v>672.34</v>
      </c>
    </row>
    <row r="845" spans="2:3" x14ac:dyDescent="0.35">
      <c r="B845" s="818">
        <v>45175</v>
      </c>
      <c r="C845" s="819">
        <v>673.47</v>
      </c>
    </row>
    <row r="846" spans="2:3" x14ac:dyDescent="0.35">
      <c r="B846" s="818">
        <v>45176</v>
      </c>
      <c r="C846" s="819">
        <v>674.84</v>
      </c>
    </row>
    <row r="847" spans="2:3" x14ac:dyDescent="0.35">
      <c r="B847" s="818">
        <v>45177</v>
      </c>
      <c r="C847" s="819">
        <v>673.36</v>
      </c>
    </row>
    <row r="848" spans="2:3" x14ac:dyDescent="0.35">
      <c r="B848" s="818">
        <v>45180</v>
      </c>
      <c r="C848" s="819">
        <v>675.54</v>
      </c>
    </row>
    <row r="849" spans="2:3" x14ac:dyDescent="0.35">
      <c r="B849" s="818">
        <v>45181</v>
      </c>
      <c r="C849" s="819">
        <v>676.46</v>
      </c>
    </row>
    <row r="850" spans="2:3" x14ac:dyDescent="0.35">
      <c r="B850" s="818">
        <v>45182</v>
      </c>
      <c r="C850" s="819">
        <v>676.32</v>
      </c>
    </row>
    <row r="851" spans="2:3" x14ac:dyDescent="0.35">
      <c r="B851" s="818">
        <v>45183</v>
      </c>
      <c r="C851" s="819">
        <v>687.74499999999989</v>
      </c>
    </row>
    <row r="852" spans="2:3" x14ac:dyDescent="0.35">
      <c r="B852" s="818">
        <v>45184</v>
      </c>
      <c r="C852" s="819">
        <v>689.3</v>
      </c>
    </row>
    <row r="853" spans="2:3" x14ac:dyDescent="0.35">
      <c r="B853" s="818">
        <v>45185</v>
      </c>
      <c r="C853" s="819">
        <v>689.3</v>
      </c>
    </row>
    <row r="854" spans="2:3" x14ac:dyDescent="0.35">
      <c r="B854" s="818">
        <v>45186</v>
      </c>
      <c r="C854" s="819">
        <v>689.3</v>
      </c>
    </row>
    <row r="855" spans="2:3" x14ac:dyDescent="0.35">
      <c r="B855" s="818">
        <v>45187</v>
      </c>
      <c r="C855" s="819">
        <v>679.36</v>
      </c>
    </row>
    <row r="856" spans="2:3" x14ac:dyDescent="0.35">
      <c r="B856" s="818">
        <f t="shared" ref="B856:B919" si="0">+B855+1</f>
        <v>45188</v>
      </c>
      <c r="C856" s="819">
        <v>680.08</v>
      </c>
    </row>
    <row r="857" spans="2:3" x14ac:dyDescent="0.35">
      <c r="B857" s="818">
        <f t="shared" si="0"/>
        <v>45189</v>
      </c>
      <c r="C857" s="819">
        <v>679.95</v>
      </c>
    </row>
    <row r="858" spans="2:3" x14ac:dyDescent="0.35">
      <c r="B858" s="818">
        <f t="shared" si="0"/>
        <v>45190</v>
      </c>
      <c r="C858" s="819">
        <v>680.85</v>
      </c>
    </row>
    <row r="859" spans="2:3" x14ac:dyDescent="0.35">
      <c r="B859" s="818">
        <f t="shared" si="0"/>
        <v>45191</v>
      </c>
      <c r="C859" s="819">
        <v>682.08</v>
      </c>
    </row>
    <row r="860" spans="2:3" x14ac:dyDescent="0.35">
      <c r="B860" s="818">
        <f t="shared" si="0"/>
        <v>45192</v>
      </c>
      <c r="C860" s="819">
        <v>682.08</v>
      </c>
    </row>
    <row r="861" spans="2:3" x14ac:dyDescent="0.35">
      <c r="B861" s="818">
        <f t="shared" si="0"/>
        <v>45193</v>
      </c>
      <c r="C861" s="819">
        <v>682.08</v>
      </c>
    </row>
    <row r="862" spans="2:3" x14ac:dyDescent="0.35">
      <c r="B862" s="818">
        <f t="shared" si="0"/>
        <v>45194</v>
      </c>
      <c r="C862" s="819">
        <v>683.01</v>
      </c>
    </row>
    <row r="863" spans="2:3" x14ac:dyDescent="0.35">
      <c r="B863" s="818">
        <f t="shared" si="0"/>
        <v>45195</v>
      </c>
      <c r="C863" s="819">
        <v>685.58</v>
      </c>
    </row>
    <row r="864" spans="2:3" x14ac:dyDescent="0.35">
      <c r="B864" s="818">
        <f t="shared" si="0"/>
        <v>45196</v>
      </c>
      <c r="C864" s="819">
        <v>689.85</v>
      </c>
    </row>
    <row r="865" spans="2:3" x14ac:dyDescent="0.35">
      <c r="B865" s="818">
        <f t="shared" si="0"/>
        <v>45197</v>
      </c>
      <c r="C865" s="819">
        <v>694.89</v>
      </c>
    </row>
    <row r="866" spans="2:3" x14ac:dyDescent="0.35">
      <c r="B866" s="818">
        <f t="shared" si="0"/>
        <v>45198</v>
      </c>
      <c r="C866" s="819">
        <v>701.01</v>
      </c>
    </row>
    <row r="867" spans="2:3" x14ac:dyDescent="0.35">
      <c r="B867" s="818">
        <f t="shared" si="0"/>
        <v>45199</v>
      </c>
      <c r="C867" s="819">
        <v>701.01</v>
      </c>
    </row>
    <row r="868" spans="2:3" x14ac:dyDescent="0.35">
      <c r="B868" s="818">
        <f t="shared" si="0"/>
        <v>45200</v>
      </c>
      <c r="C868" s="819">
        <v>701.01</v>
      </c>
    </row>
    <row r="869" spans="2:3" x14ac:dyDescent="0.35">
      <c r="B869" s="818">
        <f t="shared" si="0"/>
        <v>45201</v>
      </c>
      <c r="C869" s="819">
        <v>709.83</v>
      </c>
    </row>
    <row r="870" spans="2:3" x14ac:dyDescent="0.35">
      <c r="B870" s="818">
        <f t="shared" si="0"/>
        <v>45202</v>
      </c>
      <c r="C870" s="819">
        <v>720.62</v>
      </c>
    </row>
    <row r="871" spans="2:3" x14ac:dyDescent="0.35">
      <c r="B871" s="818">
        <f t="shared" si="0"/>
        <v>45203</v>
      </c>
      <c r="C871" s="819">
        <v>747.68</v>
      </c>
    </row>
    <row r="872" spans="2:3" x14ac:dyDescent="0.35">
      <c r="B872" s="818">
        <f t="shared" si="0"/>
        <v>45204</v>
      </c>
      <c r="C872" s="819">
        <v>784.83</v>
      </c>
    </row>
    <row r="873" spans="2:3" x14ac:dyDescent="0.35">
      <c r="B873" s="818">
        <f t="shared" si="0"/>
        <v>45205</v>
      </c>
      <c r="C873" s="819">
        <v>812.75</v>
      </c>
    </row>
    <row r="874" spans="2:3" x14ac:dyDescent="0.35">
      <c r="B874" s="818">
        <f t="shared" si="0"/>
        <v>45206</v>
      </c>
      <c r="C874" s="819">
        <v>844.81</v>
      </c>
    </row>
    <row r="875" spans="2:3" x14ac:dyDescent="0.35">
      <c r="B875" s="818">
        <f t="shared" si="0"/>
        <v>45207</v>
      </c>
      <c r="C875" s="819">
        <v>844.81</v>
      </c>
    </row>
    <row r="876" spans="2:3" x14ac:dyDescent="0.35">
      <c r="B876" s="818">
        <f t="shared" si="0"/>
        <v>45208</v>
      </c>
      <c r="C876" s="819">
        <v>844.81</v>
      </c>
    </row>
    <row r="877" spans="2:3" x14ac:dyDescent="0.35">
      <c r="B877" s="818">
        <f t="shared" si="0"/>
        <v>45209</v>
      </c>
      <c r="C877" s="819">
        <v>844.81</v>
      </c>
    </row>
    <row r="878" spans="2:3" x14ac:dyDescent="0.35">
      <c r="B878" s="818">
        <f t="shared" si="0"/>
        <v>45210</v>
      </c>
      <c r="C878" s="819">
        <v>854.74</v>
      </c>
    </row>
    <row r="879" spans="2:3" x14ac:dyDescent="0.35">
      <c r="B879" s="818">
        <f t="shared" si="0"/>
        <v>45211</v>
      </c>
      <c r="C879" s="819">
        <v>870.46</v>
      </c>
    </row>
    <row r="880" spans="2:3" x14ac:dyDescent="0.35">
      <c r="B880" s="818">
        <f t="shared" si="0"/>
        <v>45212</v>
      </c>
      <c r="C880" s="819">
        <v>870.46</v>
      </c>
    </row>
    <row r="881" spans="2:3" x14ac:dyDescent="0.35">
      <c r="B881" s="818">
        <f t="shared" si="0"/>
        <v>45213</v>
      </c>
      <c r="C881" s="819">
        <v>870.46</v>
      </c>
    </row>
    <row r="882" spans="2:3" x14ac:dyDescent="0.35">
      <c r="B882" s="818">
        <f t="shared" si="0"/>
        <v>45214</v>
      </c>
      <c r="C882" s="819">
        <v>870.46</v>
      </c>
    </row>
    <row r="883" spans="2:3" x14ac:dyDescent="0.35">
      <c r="B883" s="818">
        <f t="shared" si="0"/>
        <v>45215</v>
      </c>
      <c r="C883" s="819">
        <v>870.46</v>
      </c>
    </row>
    <row r="884" spans="2:3" x14ac:dyDescent="0.35">
      <c r="B884" s="818">
        <f t="shared" si="0"/>
        <v>45216</v>
      </c>
      <c r="C884" s="819">
        <v>884.82</v>
      </c>
    </row>
    <row r="885" spans="2:3" x14ac:dyDescent="0.35">
      <c r="B885" s="818">
        <f t="shared" si="0"/>
        <v>45217</v>
      </c>
      <c r="C885" s="819">
        <v>887.88</v>
      </c>
    </row>
    <row r="886" spans="2:3" x14ac:dyDescent="0.35">
      <c r="B886" s="818">
        <f t="shared" si="0"/>
        <v>45218</v>
      </c>
      <c r="C886" s="819">
        <v>884.74</v>
      </c>
    </row>
    <row r="887" spans="2:3" x14ac:dyDescent="0.35">
      <c r="B887" s="818">
        <f t="shared" si="0"/>
        <v>45219</v>
      </c>
      <c r="C887" s="819">
        <v>898.91</v>
      </c>
    </row>
    <row r="888" spans="2:3" x14ac:dyDescent="0.35">
      <c r="B888" s="818">
        <f t="shared" si="0"/>
        <v>45220</v>
      </c>
      <c r="C888" s="819">
        <v>898.91</v>
      </c>
    </row>
    <row r="889" spans="2:3" x14ac:dyDescent="0.35">
      <c r="B889" s="818">
        <f t="shared" si="0"/>
        <v>45221</v>
      </c>
      <c r="C889" s="819">
        <v>898.91</v>
      </c>
    </row>
    <row r="890" spans="2:3" x14ac:dyDescent="0.35">
      <c r="B890" s="818">
        <f t="shared" si="0"/>
        <v>45222</v>
      </c>
      <c r="C890" s="819">
        <v>899.33</v>
      </c>
    </row>
    <row r="891" spans="2:3" x14ac:dyDescent="0.35">
      <c r="B891" s="818">
        <f t="shared" si="0"/>
        <v>45223</v>
      </c>
      <c r="C891" s="819">
        <v>843.82</v>
      </c>
    </row>
    <row r="892" spans="2:3" x14ac:dyDescent="0.35">
      <c r="B892" s="818">
        <f t="shared" si="0"/>
        <v>45224</v>
      </c>
      <c r="C892" s="819">
        <v>872.31</v>
      </c>
    </row>
    <row r="893" spans="2:3" x14ac:dyDescent="0.35">
      <c r="B893" s="818">
        <f t="shared" si="0"/>
        <v>45225</v>
      </c>
      <c r="C893" s="819">
        <v>855.48</v>
      </c>
    </row>
    <row r="894" spans="2:3" x14ac:dyDescent="0.35">
      <c r="B894" s="818">
        <f t="shared" si="0"/>
        <v>45226</v>
      </c>
      <c r="C894" s="819">
        <v>806.84</v>
      </c>
    </row>
    <row r="895" spans="2:3" x14ac:dyDescent="0.35">
      <c r="B895" s="818">
        <f t="shared" si="0"/>
        <v>45227</v>
      </c>
      <c r="C895" s="819">
        <v>806.84</v>
      </c>
    </row>
    <row r="896" spans="2:3" x14ac:dyDescent="0.35">
      <c r="B896" s="818">
        <f t="shared" si="0"/>
        <v>45228</v>
      </c>
      <c r="C896" s="819">
        <v>806.84</v>
      </c>
    </row>
    <row r="897" spans="2:3" x14ac:dyDescent="0.35">
      <c r="B897" s="818">
        <f t="shared" si="0"/>
        <v>45229</v>
      </c>
      <c r="C897" s="819">
        <v>859.75</v>
      </c>
    </row>
    <row r="898" spans="2:3" x14ac:dyDescent="0.35">
      <c r="B898" s="818">
        <f t="shared" si="0"/>
        <v>45230</v>
      </c>
      <c r="C898" s="819">
        <v>852.85</v>
      </c>
    </row>
    <row r="899" spans="2:3" x14ac:dyDescent="0.35">
      <c r="B899" s="818">
        <f t="shared" si="0"/>
        <v>45231</v>
      </c>
      <c r="C899" s="819">
        <v>840.28</v>
      </c>
    </row>
    <row r="900" spans="2:3" x14ac:dyDescent="0.35">
      <c r="B900" s="818">
        <f t="shared" si="0"/>
        <v>45232</v>
      </c>
      <c r="C900" s="819">
        <v>863.64</v>
      </c>
    </row>
    <row r="901" spans="2:3" x14ac:dyDescent="0.35">
      <c r="B901" s="818">
        <f t="shared" si="0"/>
        <v>45233</v>
      </c>
      <c r="C901" s="819">
        <v>844.01</v>
      </c>
    </row>
    <row r="902" spans="2:3" x14ac:dyDescent="0.35">
      <c r="B902" s="818">
        <f t="shared" si="0"/>
        <v>45234</v>
      </c>
      <c r="C902" s="819">
        <v>844.01</v>
      </c>
    </row>
    <row r="903" spans="2:3" x14ac:dyDescent="0.35">
      <c r="B903" s="818">
        <f t="shared" si="0"/>
        <v>45235</v>
      </c>
      <c r="C903" s="819">
        <v>844.01</v>
      </c>
    </row>
    <row r="904" spans="2:3" x14ac:dyDescent="0.35">
      <c r="B904" s="818">
        <f t="shared" si="0"/>
        <v>45236</v>
      </c>
      <c r="C904" s="819">
        <v>844.01</v>
      </c>
    </row>
    <row r="905" spans="2:3" x14ac:dyDescent="0.35">
      <c r="B905" s="818">
        <f t="shared" si="0"/>
        <v>45237</v>
      </c>
      <c r="C905" s="819">
        <v>848.8</v>
      </c>
    </row>
    <row r="906" spans="2:3" x14ac:dyDescent="0.35">
      <c r="B906" s="818">
        <f t="shared" si="0"/>
        <v>45238</v>
      </c>
      <c r="C906" s="819">
        <v>840.97</v>
      </c>
    </row>
    <row r="907" spans="2:3" x14ac:dyDescent="0.35">
      <c r="B907" s="818">
        <f t="shared" si="0"/>
        <v>45239</v>
      </c>
      <c r="C907" s="819">
        <v>863.3</v>
      </c>
    </row>
    <row r="908" spans="2:3" x14ac:dyDescent="0.35">
      <c r="B908" s="818">
        <f t="shared" si="0"/>
        <v>45240</v>
      </c>
      <c r="C908" s="819">
        <v>881.71</v>
      </c>
    </row>
    <row r="909" spans="2:3" x14ac:dyDescent="0.35">
      <c r="B909" s="818">
        <f t="shared" si="0"/>
        <v>45241</v>
      </c>
      <c r="C909" s="819">
        <v>881.71</v>
      </c>
    </row>
    <row r="910" spans="2:3" x14ac:dyDescent="0.35">
      <c r="B910" s="818">
        <f t="shared" si="0"/>
        <v>45242</v>
      </c>
      <c r="C910" s="819">
        <v>881.71</v>
      </c>
    </row>
    <row r="911" spans="2:3" x14ac:dyDescent="0.35">
      <c r="B911" s="818">
        <f t="shared" si="0"/>
        <v>45243</v>
      </c>
      <c r="C911" s="819">
        <v>870.63</v>
      </c>
    </row>
    <row r="912" spans="2:3" x14ac:dyDescent="0.35">
      <c r="B912" s="818">
        <f t="shared" si="0"/>
        <v>45244</v>
      </c>
      <c r="C912" s="819">
        <v>868.42</v>
      </c>
    </row>
    <row r="913" spans="2:3" x14ac:dyDescent="0.35">
      <c r="B913" s="818">
        <f t="shared" si="0"/>
        <v>45245</v>
      </c>
      <c r="C913" s="819">
        <v>882.35</v>
      </c>
    </row>
    <row r="914" spans="2:3" x14ac:dyDescent="0.35">
      <c r="B914" s="818">
        <f t="shared" si="0"/>
        <v>45246</v>
      </c>
      <c r="C914" s="819">
        <v>857.14</v>
      </c>
    </row>
    <row r="915" spans="2:3" x14ac:dyDescent="0.35">
      <c r="B915" s="818">
        <f t="shared" si="0"/>
        <v>45247</v>
      </c>
      <c r="C915" s="819">
        <v>872.61</v>
      </c>
    </row>
    <row r="916" spans="2:3" x14ac:dyDescent="0.35">
      <c r="B916" s="818">
        <f t="shared" si="0"/>
        <v>45248</v>
      </c>
      <c r="C916" s="819">
        <v>872.61</v>
      </c>
    </row>
    <row r="917" spans="2:3" x14ac:dyDescent="0.35">
      <c r="B917" s="818">
        <f t="shared" si="0"/>
        <v>45249</v>
      </c>
      <c r="C917" s="819">
        <v>872.61</v>
      </c>
    </row>
    <row r="918" spans="2:3" x14ac:dyDescent="0.35">
      <c r="B918" s="818">
        <f t="shared" si="0"/>
        <v>45250</v>
      </c>
      <c r="C918" s="819">
        <v>872.61</v>
      </c>
    </row>
    <row r="919" spans="2:3" x14ac:dyDescent="0.35">
      <c r="B919" s="818">
        <f t="shared" si="0"/>
        <v>45251</v>
      </c>
      <c r="C919" s="819">
        <v>930.44</v>
      </c>
    </row>
    <row r="920" spans="2:3" x14ac:dyDescent="0.35">
      <c r="B920" s="818">
        <f t="shared" ref="B920:B983" si="1">+B919+1</f>
        <v>45252</v>
      </c>
      <c r="C920" s="819">
        <v>984.19</v>
      </c>
    </row>
    <row r="921" spans="2:3" x14ac:dyDescent="0.35">
      <c r="B921" s="818">
        <f t="shared" si="1"/>
        <v>45253</v>
      </c>
      <c r="C921" s="819">
        <v>1006.39</v>
      </c>
    </row>
    <row r="922" spans="2:3" x14ac:dyDescent="0.35">
      <c r="B922" s="818">
        <f t="shared" si="1"/>
        <v>45254</v>
      </c>
      <c r="C922" s="819">
        <v>972.75</v>
      </c>
    </row>
    <row r="923" spans="2:3" x14ac:dyDescent="0.35">
      <c r="B923" s="818">
        <f t="shared" si="1"/>
        <v>45255</v>
      </c>
      <c r="C923" s="819">
        <v>972.75</v>
      </c>
    </row>
    <row r="924" spans="2:3" x14ac:dyDescent="0.35">
      <c r="B924" s="818">
        <f t="shared" si="1"/>
        <v>45256</v>
      </c>
      <c r="C924" s="819">
        <v>972.75</v>
      </c>
    </row>
    <row r="925" spans="2:3" x14ac:dyDescent="0.35">
      <c r="B925" s="818">
        <f t="shared" si="1"/>
        <v>45257</v>
      </c>
      <c r="C925" s="819">
        <v>889.15</v>
      </c>
    </row>
    <row r="926" spans="2:3" x14ac:dyDescent="0.35">
      <c r="B926" s="818">
        <f t="shared" si="1"/>
        <v>45258</v>
      </c>
      <c r="C926" s="819">
        <v>867.12</v>
      </c>
    </row>
    <row r="927" spans="2:3" x14ac:dyDescent="0.35">
      <c r="B927" s="818">
        <f t="shared" si="1"/>
        <v>45259</v>
      </c>
      <c r="C927" s="819">
        <v>838.16</v>
      </c>
    </row>
    <row r="928" spans="2:3" x14ac:dyDescent="0.35">
      <c r="B928" s="818">
        <f t="shared" si="1"/>
        <v>45260</v>
      </c>
      <c r="C928" s="819">
        <v>858.82</v>
      </c>
    </row>
    <row r="929" spans="2:3" x14ac:dyDescent="0.35">
      <c r="B929" s="818">
        <f t="shared" si="1"/>
        <v>45261</v>
      </c>
      <c r="C929" s="819">
        <v>907.69</v>
      </c>
    </row>
    <row r="930" spans="2:3" x14ac:dyDescent="0.35">
      <c r="B930" s="818">
        <f t="shared" si="1"/>
        <v>45262</v>
      </c>
      <c r="C930" s="819">
        <v>907.69</v>
      </c>
    </row>
    <row r="931" spans="2:3" x14ac:dyDescent="0.35">
      <c r="B931" s="818">
        <f t="shared" si="1"/>
        <v>45263</v>
      </c>
      <c r="C931" s="819">
        <v>907.69</v>
      </c>
    </row>
    <row r="932" spans="2:3" x14ac:dyDescent="0.35">
      <c r="B932" s="818">
        <f t="shared" si="1"/>
        <v>45264</v>
      </c>
      <c r="C932" s="819">
        <v>913.05</v>
      </c>
    </row>
    <row r="933" spans="2:3" x14ac:dyDescent="0.35">
      <c r="B933" s="818">
        <f t="shared" si="1"/>
        <v>45265</v>
      </c>
      <c r="C933" s="819">
        <v>934.71</v>
      </c>
    </row>
    <row r="934" spans="2:3" x14ac:dyDescent="0.35">
      <c r="B934" s="818">
        <f t="shared" si="1"/>
        <v>45266</v>
      </c>
      <c r="C934" s="819">
        <v>936.93</v>
      </c>
    </row>
    <row r="935" spans="2:3" x14ac:dyDescent="0.35">
      <c r="B935" s="818">
        <f t="shared" si="1"/>
        <v>45267</v>
      </c>
      <c r="C935" s="819">
        <v>986.37</v>
      </c>
    </row>
    <row r="936" spans="2:3" x14ac:dyDescent="0.35">
      <c r="B936" s="818">
        <f t="shared" si="1"/>
        <v>45268</v>
      </c>
      <c r="C936" s="819">
        <v>986.37</v>
      </c>
    </row>
    <row r="937" spans="2:3" x14ac:dyDescent="0.35">
      <c r="B937" s="818">
        <f t="shared" si="1"/>
        <v>45269</v>
      </c>
      <c r="C937" s="819">
        <v>986.37</v>
      </c>
    </row>
    <row r="938" spans="2:3" x14ac:dyDescent="0.35">
      <c r="B938" s="818">
        <f t="shared" si="1"/>
        <v>45270</v>
      </c>
      <c r="C938" s="819">
        <v>986.37</v>
      </c>
    </row>
    <row r="939" spans="2:3" x14ac:dyDescent="0.35">
      <c r="B939" s="818">
        <f t="shared" si="1"/>
        <v>45271</v>
      </c>
      <c r="C939" s="819">
        <v>993.53</v>
      </c>
    </row>
    <row r="940" spans="2:3" x14ac:dyDescent="0.35">
      <c r="B940" s="818">
        <f t="shared" si="1"/>
        <v>45272</v>
      </c>
      <c r="C940" s="819">
        <v>1011.46</v>
      </c>
    </row>
    <row r="941" spans="2:3" x14ac:dyDescent="0.35">
      <c r="B941" s="818">
        <f t="shared" si="1"/>
        <v>45273</v>
      </c>
      <c r="C941" s="819">
        <v>1037.29</v>
      </c>
    </row>
    <row r="942" spans="2:3" x14ac:dyDescent="0.35">
      <c r="B942" s="818">
        <f t="shared" si="1"/>
        <v>45274</v>
      </c>
      <c r="C942" s="819">
        <v>1003.94</v>
      </c>
    </row>
    <row r="943" spans="2:3" x14ac:dyDescent="0.35">
      <c r="B943" s="818">
        <f t="shared" si="1"/>
        <v>45275</v>
      </c>
      <c r="C943" s="819">
        <v>993.73</v>
      </c>
    </row>
    <row r="944" spans="2:3" x14ac:dyDescent="0.35">
      <c r="B944" s="818">
        <f t="shared" si="1"/>
        <v>45276</v>
      </c>
      <c r="C944" s="819">
        <v>993.73</v>
      </c>
    </row>
    <row r="945" spans="2:3" x14ac:dyDescent="0.35">
      <c r="B945" s="818">
        <f t="shared" si="1"/>
        <v>45277</v>
      </c>
      <c r="C945" s="819">
        <v>993.73</v>
      </c>
    </row>
    <row r="946" spans="2:3" x14ac:dyDescent="0.35">
      <c r="B946" s="818">
        <f t="shared" si="1"/>
        <v>45278</v>
      </c>
      <c r="C946" s="819">
        <v>963.22</v>
      </c>
    </row>
    <row r="947" spans="2:3" x14ac:dyDescent="0.35">
      <c r="B947" s="818">
        <f t="shared" si="1"/>
        <v>45279</v>
      </c>
      <c r="C947" s="819">
        <v>964.39</v>
      </c>
    </row>
    <row r="948" spans="2:3" x14ac:dyDescent="0.35">
      <c r="B948" s="818">
        <f t="shared" si="1"/>
        <v>45280</v>
      </c>
      <c r="C948" s="819">
        <v>946.47</v>
      </c>
    </row>
    <row r="949" spans="2:3" x14ac:dyDescent="0.35">
      <c r="B949" s="818">
        <f t="shared" si="1"/>
        <v>45281</v>
      </c>
      <c r="C949" s="819">
        <v>971.88</v>
      </c>
    </row>
    <row r="950" spans="2:3" x14ac:dyDescent="0.35">
      <c r="B950" s="818">
        <f t="shared" si="1"/>
        <v>45282</v>
      </c>
      <c r="C950" s="819">
        <v>954.23</v>
      </c>
    </row>
    <row r="951" spans="2:3" x14ac:dyDescent="0.35">
      <c r="B951" s="818">
        <f t="shared" si="1"/>
        <v>45283</v>
      </c>
      <c r="C951" s="819">
        <v>954.23</v>
      </c>
    </row>
    <row r="952" spans="2:3" x14ac:dyDescent="0.35">
      <c r="B952" s="818">
        <f t="shared" si="1"/>
        <v>45284</v>
      </c>
      <c r="C952" s="819">
        <v>954.23</v>
      </c>
    </row>
    <row r="953" spans="2:3" x14ac:dyDescent="0.35">
      <c r="B953" s="818">
        <f t="shared" si="1"/>
        <v>45285</v>
      </c>
      <c r="C953" s="819">
        <v>954.23</v>
      </c>
    </row>
    <row r="954" spans="2:3" x14ac:dyDescent="0.35">
      <c r="B954" s="818">
        <f t="shared" si="1"/>
        <v>45286</v>
      </c>
      <c r="C954" s="819">
        <v>939.7</v>
      </c>
    </row>
    <row r="955" spans="2:3" x14ac:dyDescent="0.35">
      <c r="B955" s="818">
        <f t="shared" si="1"/>
        <v>45287</v>
      </c>
      <c r="C955" s="819">
        <v>932.59</v>
      </c>
    </row>
    <row r="956" spans="2:3" x14ac:dyDescent="0.35">
      <c r="B956" s="818">
        <f t="shared" si="1"/>
        <v>45288</v>
      </c>
      <c r="C956" s="819">
        <v>950.24</v>
      </c>
    </row>
    <row r="957" spans="2:3" x14ac:dyDescent="0.35">
      <c r="B957" s="818">
        <f t="shared" si="1"/>
        <v>45289</v>
      </c>
      <c r="C957" s="819">
        <v>995</v>
      </c>
    </row>
    <row r="958" spans="2:3" x14ac:dyDescent="0.35">
      <c r="B958" s="818">
        <f t="shared" si="1"/>
        <v>45290</v>
      </c>
      <c r="C958" s="819">
        <v>995</v>
      </c>
    </row>
    <row r="959" spans="2:3" x14ac:dyDescent="0.35">
      <c r="B959" s="818">
        <f t="shared" si="1"/>
        <v>45291</v>
      </c>
      <c r="C959" s="819">
        <v>995</v>
      </c>
    </row>
    <row r="960" spans="2:3" x14ac:dyDescent="0.35">
      <c r="B960" s="818">
        <f t="shared" si="1"/>
        <v>45292</v>
      </c>
      <c r="C960" s="819">
        <v>995</v>
      </c>
    </row>
    <row r="961" spans="2:3" x14ac:dyDescent="0.35">
      <c r="B961" s="818">
        <f t="shared" si="1"/>
        <v>45293</v>
      </c>
      <c r="C961" s="819">
        <v>991.3</v>
      </c>
    </row>
    <row r="962" spans="2:3" x14ac:dyDescent="0.35">
      <c r="B962" s="818">
        <f t="shared" si="1"/>
        <v>45294</v>
      </c>
      <c r="C962" s="819">
        <v>1033.56</v>
      </c>
    </row>
    <row r="963" spans="2:3" x14ac:dyDescent="0.35">
      <c r="B963" s="818">
        <f t="shared" si="1"/>
        <v>45295</v>
      </c>
      <c r="C963" s="819">
        <v>1050.43</v>
      </c>
    </row>
    <row r="964" spans="2:3" x14ac:dyDescent="0.35">
      <c r="B964" s="818">
        <f t="shared" si="1"/>
        <v>45296</v>
      </c>
      <c r="C964" s="819">
        <v>1104.93</v>
      </c>
    </row>
    <row r="965" spans="2:3" x14ac:dyDescent="0.35">
      <c r="B965" s="818">
        <f t="shared" si="1"/>
        <v>45297</v>
      </c>
      <c r="C965" s="819">
        <v>1104.93</v>
      </c>
    </row>
    <row r="966" spans="2:3" x14ac:dyDescent="0.35">
      <c r="B966" s="818">
        <f t="shared" si="1"/>
        <v>45298</v>
      </c>
      <c r="C966" s="819">
        <v>1104.93</v>
      </c>
    </row>
    <row r="967" spans="2:3" x14ac:dyDescent="0.35">
      <c r="B967" s="818">
        <f t="shared" si="1"/>
        <v>45299</v>
      </c>
      <c r="C967" s="819">
        <v>1141.6199999999999</v>
      </c>
    </row>
    <row r="968" spans="2:3" x14ac:dyDescent="0.35">
      <c r="B968" s="818">
        <f t="shared" si="1"/>
        <v>45300</v>
      </c>
      <c r="C968" s="819">
        <v>1160.3800000000001</v>
      </c>
    </row>
    <row r="969" spans="2:3" x14ac:dyDescent="0.35">
      <c r="B969" s="818">
        <f t="shared" si="1"/>
        <v>45301</v>
      </c>
      <c r="C969" s="819">
        <v>1142.45</v>
      </c>
    </row>
    <row r="970" spans="2:3" x14ac:dyDescent="0.35">
      <c r="B970" s="818">
        <f t="shared" si="1"/>
        <v>45302</v>
      </c>
      <c r="C970" s="819">
        <v>1119.17</v>
      </c>
    </row>
    <row r="971" spans="2:3" x14ac:dyDescent="0.35">
      <c r="B971" s="818">
        <f t="shared" si="1"/>
        <v>45303</v>
      </c>
      <c r="C971" s="819">
        <v>1096.3900000000001</v>
      </c>
    </row>
    <row r="972" spans="2:3" x14ac:dyDescent="0.35">
      <c r="B972" s="818">
        <f t="shared" si="1"/>
        <v>45304</v>
      </c>
      <c r="C972" s="819">
        <v>1096.3900000000001</v>
      </c>
    </row>
    <row r="973" spans="2:3" x14ac:dyDescent="0.35">
      <c r="B973" s="818">
        <f t="shared" si="1"/>
        <v>45305</v>
      </c>
      <c r="C973" s="819">
        <v>1096.3900000000001</v>
      </c>
    </row>
    <row r="974" spans="2:3" x14ac:dyDescent="0.35">
      <c r="B974" s="818">
        <f t="shared" si="1"/>
        <v>45306</v>
      </c>
      <c r="C974" s="819">
        <v>1125.3</v>
      </c>
    </row>
    <row r="975" spans="2:3" x14ac:dyDescent="0.35">
      <c r="B975" s="818">
        <f t="shared" si="1"/>
        <v>45307</v>
      </c>
      <c r="C975" s="819">
        <v>1163.48</v>
      </c>
    </row>
    <row r="976" spans="2:3" x14ac:dyDescent="0.35">
      <c r="B976" s="818">
        <f t="shared" si="1"/>
        <v>45308</v>
      </c>
      <c r="C976" s="819">
        <v>1221.49</v>
      </c>
    </row>
    <row r="977" spans="2:3" x14ac:dyDescent="0.35">
      <c r="B977" s="818">
        <f t="shared" si="1"/>
        <v>45309</v>
      </c>
      <c r="C977" s="819">
        <v>1227.54</v>
      </c>
    </row>
    <row r="978" spans="2:3" x14ac:dyDescent="0.35">
      <c r="B978" s="818">
        <f t="shared" si="1"/>
        <v>45310</v>
      </c>
      <c r="C978" s="819">
        <v>1251.67</v>
      </c>
    </row>
    <row r="979" spans="2:3" x14ac:dyDescent="0.35">
      <c r="B979" s="818">
        <f t="shared" si="1"/>
        <v>45311</v>
      </c>
      <c r="C979" s="819">
        <v>1251.67</v>
      </c>
    </row>
    <row r="980" spans="2:3" x14ac:dyDescent="0.35">
      <c r="B980" s="818">
        <f t="shared" si="1"/>
        <v>45312</v>
      </c>
      <c r="C980" s="819">
        <v>1251.67</v>
      </c>
    </row>
    <row r="981" spans="2:3" x14ac:dyDescent="0.35">
      <c r="B981" s="818">
        <f t="shared" si="1"/>
        <v>45313</v>
      </c>
      <c r="C981" s="819">
        <v>1241.4100000000001</v>
      </c>
    </row>
    <row r="982" spans="2:3" x14ac:dyDescent="0.35">
      <c r="B982" s="818">
        <f t="shared" si="1"/>
        <v>45314</v>
      </c>
      <c r="C982" s="819">
        <v>1233.22</v>
      </c>
    </row>
    <row r="983" spans="2:3" x14ac:dyDescent="0.35">
      <c r="B983" s="818">
        <f t="shared" si="1"/>
        <v>45315</v>
      </c>
      <c r="C983" s="819">
        <v>1232.72</v>
      </c>
    </row>
    <row r="984" spans="2:3" x14ac:dyDescent="0.35">
      <c r="B984" s="818">
        <f t="shared" ref="B984:B1047" si="2">+B983+1</f>
        <v>45316</v>
      </c>
      <c r="C984" s="819">
        <v>1229.32</v>
      </c>
    </row>
    <row r="985" spans="2:3" x14ac:dyDescent="0.35">
      <c r="B985" s="818">
        <f t="shared" si="2"/>
        <v>45317</v>
      </c>
      <c r="C985" s="819">
        <v>1188.48</v>
      </c>
    </row>
    <row r="986" spans="2:3" x14ac:dyDescent="0.35">
      <c r="B986" s="818">
        <f t="shared" si="2"/>
        <v>45318</v>
      </c>
      <c r="C986" s="819">
        <v>1188.48</v>
      </c>
    </row>
    <row r="987" spans="2:3" x14ac:dyDescent="0.35">
      <c r="B987" s="818">
        <f t="shared" si="2"/>
        <v>45319</v>
      </c>
      <c r="C987" s="819">
        <v>1188.48</v>
      </c>
    </row>
    <row r="988" spans="2:3" x14ac:dyDescent="0.35">
      <c r="B988" s="818">
        <f t="shared" si="2"/>
        <v>45320</v>
      </c>
      <c r="C988" s="819">
        <v>1219.8800000000001</v>
      </c>
    </row>
    <row r="989" spans="2:3" x14ac:dyDescent="0.35">
      <c r="B989" s="818">
        <f t="shared" si="2"/>
        <v>45321</v>
      </c>
      <c r="C989" s="819">
        <v>1208.21</v>
      </c>
    </row>
    <row r="990" spans="2:3" x14ac:dyDescent="0.35">
      <c r="B990" s="818">
        <f t="shared" si="2"/>
        <v>45322</v>
      </c>
      <c r="C990" s="819">
        <v>1175.67</v>
      </c>
    </row>
    <row r="991" spans="2:3" x14ac:dyDescent="0.35">
      <c r="B991" s="818">
        <f t="shared" si="2"/>
        <v>45323</v>
      </c>
      <c r="C991" s="819">
        <v>1235.43</v>
      </c>
    </row>
    <row r="992" spans="2:3" x14ac:dyDescent="0.35">
      <c r="B992" s="818">
        <f t="shared" si="2"/>
        <v>45324</v>
      </c>
      <c r="C992" s="819">
        <v>1237.43</v>
      </c>
    </row>
    <row r="993" spans="2:3" x14ac:dyDescent="0.35">
      <c r="B993" s="818">
        <f t="shared" si="2"/>
        <v>45325</v>
      </c>
      <c r="C993" s="819">
        <v>1237.43</v>
      </c>
    </row>
    <row r="994" spans="2:3" x14ac:dyDescent="0.35">
      <c r="B994" s="818">
        <f t="shared" si="2"/>
        <v>45326</v>
      </c>
      <c r="C994" s="819">
        <v>1237.43</v>
      </c>
    </row>
    <row r="995" spans="2:3" x14ac:dyDescent="0.35">
      <c r="B995" s="818">
        <f t="shared" si="2"/>
        <v>45327</v>
      </c>
      <c r="C995" s="819">
        <v>1209.52</v>
      </c>
    </row>
    <row r="996" spans="2:3" x14ac:dyDescent="0.35">
      <c r="B996" s="818">
        <f t="shared" si="2"/>
        <v>45328</v>
      </c>
      <c r="C996" s="819">
        <v>1194.74</v>
      </c>
    </row>
    <row r="997" spans="2:3" x14ac:dyDescent="0.35">
      <c r="B997" s="818">
        <f t="shared" si="2"/>
        <v>45329</v>
      </c>
      <c r="C997" s="819">
        <v>1199.4100000000001</v>
      </c>
    </row>
    <row r="998" spans="2:3" x14ac:dyDescent="0.35">
      <c r="B998" s="818">
        <f t="shared" si="2"/>
        <v>45330</v>
      </c>
      <c r="C998" s="819">
        <v>1183.55</v>
      </c>
    </row>
    <row r="999" spans="2:3" x14ac:dyDescent="0.35">
      <c r="B999" s="818">
        <f t="shared" si="2"/>
        <v>45331</v>
      </c>
      <c r="C999" s="819">
        <v>1173.3599999999999</v>
      </c>
    </row>
    <row r="1000" spans="2:3" x14ac:dyDescent="0.35">
      <c r="B1000" s="818">
        <f t="shared" si="2"/>
        <v>45332</v>
      </c>
      <c r="C1000" s="819">
        <v>1173.3599999999999</v>
      </c>
    </row>
    <row r="1001" spans="2:3" x14ac:dyDescent="0.35">
      <c r="B1001" s="818">
        <f t="shared" si="2"/>
        <v>45333</v>
      </c>
      <c r="C1001" s="819">
        <v>1173.3599999999999</v>
      </c>
    </row>
    <row r="1002" spans="2:3" x14ac:dyDescent="0.35">
      <c r="B1002" s="818">
        <f t="shared" si="2"/>
        <v>45334</v>
      </c>
      <c r="C1002" s="819">
        <v>1173.3599999999999</v>
      </c>
    </row>
    <row r="1003" spans="2:3" x14ac:dyDescent="0.35">
      <c r="B1003" s="818">
        <f t="shared" si="2"/>
        <v>45335</v>
      </c>
      <c r="C1003" s="819">
        <v>1173.3599999999999</v>
      </c>
    </row>
    <row r="1004" spans="2:3" x14ac:dyDescent="0.35">
      <c r="B1004" s="818">
        <f t="shared" si="2"/>
        <v>45336</v>
      </c>
      <c r="C1004" s="819">
        <v>1124.1400000000001</v>
      </c>
    </row>
    <row r="1005" spans="2:3" x14ac:dyDescent="0.35">
      <c r="B1005" s="818">
        <f t="shared" si="2"/>
        <v>45337</v>
      </c>
      <c r="C1005" s="819">
        <v>1086.8599999999999</v>
      </c>
    </row>
    <row r="1006" spans="2:3" x14ac:dyDescent="0.35">
      <c r="B1006" s="818">
        <f t="shared" si="2"/>
        <v>45338</v>
      </c>
      <c r="C1006" s="819">
        <v>1064.71</v>
      </c>
    </row>
    <row r="1007" spans="2:3" x14ac:dyDescent="0.35">
      <c r="B1007" s="818">
        <f t="shared" si="2"/>
        <v>45339</v>
      </c>
      <c r="C1007" s="819">
        <v>1064.71</v>
      </c>
    </row>
    <row r="1008" spans="2:3" x14ac:dyDescent="0.35">
      <c r="B1008" s="818">
        <f t="shared" si="2"/>
        <v>45340</v>
      </c>
      <c r="C1008" s="819">
        <v>1064.71</v>
      </c>
    </row>
    <row r="1009" spans="2:3" x14ac:dyDescent="0.35">
      <c r="B1009" s="818">
        <f t="shared" si="2"/>
        <v>45341</v>
      </c>
      <c r="C1009" s="819">
        <v>1108.6099999999999</v>
      </c>
    </row>
    <row r="1010" spans="2:3" x14ac:dyDescent="0.35">
      <c r="B1010" s="818">
        <f t="shared" si="2"/>
        <v>45342</v>
      </c>
      <c r="C1010" s="819">
        <v>1080.31</v>
      </c>
    </row>
    <row r="1011" spans="2:3" x14ac:dyDescent="0.35">
      <c r="B1011" s="818">
        <f t="shared" si="2"/>
        <v>45343</v>
      </c>
      <c r="C1011" s="819">
        <v>1072.51</v>
      </c>
    </row>
    <row r="1012" spans="2:3" x14ac:dyDescent="0.35">
      <c r="B1012" s="818">
        <f t="shared" si="2"/>
        <v>45344</v>
      </c>
      <c r="C1012" s="819">
        <v>1054.78</v>
      </c>
    </row>
    <row r="1013" spans="2:3" x14ac:dyDescent="0.35">
      <c r="B1013" s="818">
        <f t="shared" si="2"/>
        <v>45345</v>
      </c>
      <c r="C1013" s="819">
        <v>1076.5999999999999</v>
      </c>
    </row>
    <row r="1014" spans="2:3" x14ac:dyDescent="0.35">
      <c r="B1014" s="818">
        <f t="shared" si="2"/>
        <v>45346</v>
      </c>
      <c r="C1014" s="819">
        <v>1076.5999999999999</v>
      </c>
    </row>
    <row r="1015" spans="2:3" x14ac:dyDescent="0.35">
      <c r="B1015" s="818">
        <f t="shared" si="2"/>
        <v>45347</v>
      </c>
      <c r="C1015" s="819">
        <v>1076.5999999999999</v>
      </c>
    </row>
    <row r="1016" spans="2:3" x14ac:dyDescent="0.35">
      <c r="B1016" s="818">
        <f t="shared" si="2"/>
        <v>45348</v>
      </c>
      <c r="C1016" s="819">
        <v>1051.04</v>
      </c>
    </row>
    <row r="1017" spans="2:3" x14ac:dyDescent="0.35">
      <c r="B1017" s="818">
        <f t="shared" si="2"/>
        <v>45349</v>
      </c>
      <c r="C1017" s="819">
        <v>1044.95</v>
      </c>
    </row>
    <row r="1018" spans="2:3" x14ac:dyDescent="0.35">
      <c r="B1018" s="818">
        <f t="shared" si="2"/>
        <v>45350</v>
      </c>
      <c r="C1018" s="819">
        <v>1031.25</v>
      </c>
    </row>
    <row r="1019" spans="2:3" x14ac:dyDescent="0.35">
      <c r="B1019" s="818">
        <f t="shared" si="2"/>
        <v>45351</v>
      </c>
      <c r="C1019" s="819">
        <v>1032.24</v>
      </c>
    </row>
    <row r="1020" spans="2:3" x14ac:dyDescent="0.35">
      <c r="B1020" s="818">
        <f t="shared" si="2"/>
        <v>45352</v>
      </c>
      <c r="C1020" s="819">
        <v>1053.46</v>
      </c>
    </row>
    <row r="1021" spans="2:3" x14ac:dyDescent="0.35">
      <c r="B1021" s="818">
        <f t="shared" si="2"/>
        <v>45353</v>
      </c>
      <c r="C1021" s="819">
        <v>1053.46</v>
      </c>
    </row>
    <row r="1022" spans="2:3" x14ac:dyDescent="0.35">
      <c r="B1022" s="818">
        <f t="shared" si="2"/>
        <v>45354</v>
      </c>
      <c r="C1022" s="819">
        <v>1053.46</v>
      </c>
    </row>
    <row r="1023" spans="2:3" x14ac:dyDescent="0.35">
      <c r="B1023" s="818">
        <f t="shared" si="2"/>
        <v>45355</v>
      </c>
      <c r="C1023" s="819">
        <v>1029.54</v>
      </c>
    </row>
    <row r="1024" spans="2:3" x14ac:dyDescent="0.35">
      <c r="B1024" s="818">
        <f t="shared" si="2"/>
        <v>45356</v>
      </c>
      <c r="C1024" s="819">
        <v>1016.08</v>
      </c>
    </row>
    <row r="1025" spans="2:3" x14ac:dyDescent="0.35">
      <c r="B1025" s="818">
        <f t="shared" si="2"/>
        <v>45357</v>
      </c>
      <c r="C1025" s="819">
        <v>981.21</v>
      </c>
    </row>
    <row r="1026" spans="2:3" x14ac:dyDescent="0.35">
      <c r="B1026" s="818">
        <f t="shared" si="2"/>
        <v>45358</v>
      </c>
      <c r="C1026" s="819">
        <v>996.63</v>
      </c>
    </row>
    <row r="1027" spans="2:3" x14ac:dyDescent="0.35">
      <c r="B1027" s="818">
        <f t="shared" si="2"/>
        <v>45359</v>
      </c>
      <c r="C1027" s="819">
        <v>1004.7</v>
      </c>
    </row>
    <row r="1028" spans="2:3" x14ac:dyDescent="0.35">
      <c r="B1028" s="818">
        <f t="shared" si="2"/>
        <v>45360</v>
      </c>
      <c r="C1028" s="819">
        <v>1004.7</v>
      </c>
    </row>
    <row r="1029" spans="2:3" x14ac:dyDescent="0.35">
      <c r="B1029" s="818">
        <f t="shared" si="2"/>
        <v>45361</v>
      </c>
      <c r="C1029" s="819">
        <v>1004.7</v>
      </c>
    </row>
    <row r="1030" spans="2:3" x14ac:dyDescent="0.35">
      <c r="B1030" s="818">
        <f t="shared" si="2"/>
        <v>45362</v>
      </c>
      <c r="C1030" s="819">
        <v>980.98</v>
      </c>
    </row>
    <row r="1031" spans="2:3" x14ac:dyDescent="0.35">
      <c r="B1031" s="818">
        <f t="shared" si="2"/>
        <v>45363</v>
      </c>
      <c r="C1031" s="819">
        <v>1036.19</v>
      </c>
    </row>
    <row r="1032" spans="2:3" x14ac:dyDescent="0.35">
      <c r="B1032" s="818">
        <f t="shared" si="2"/>
        <v>45364</v>
      </c>
      <c r="C1032" s="819">
        <v>1012.01</v>
      </c>
    </row>
    <row r="1033" spans="2:3" x14ac:dyDescent="0.35">
      <c r="B1033" s="818">
        <f t="shared" si="2"/>
        <v>45365</v>
      </c>
      <c r="C1033" s="819">
        <v>1015.67</v>
      </c>
    </row>
    <row r="1034" spans="2:3" x14ac:dyDescent="0.35">
      <c r="B1034" s="818">
        <f t="shared" si="2"/>
        <v>45366</v>
      </c>
      <c r="C1034" s="819">
        <v>1027.6300000000001</v>
      </c>
    </row>
    <row r="1035" spans="2:3" x14ac:dyDescent="0.35">
      <c r="B1035" s="818">
        <f t="shared" si="2"/>
        <v>45367</v>
      </c>
      <c r="C1035" s="819">
        <v>1027.6300000000001</v>
      </c>
    </row>
    <row r="1036" spans="2:3" x14ac:dyDescent="0.35">
      <c r="B1036" s="818">
        <f t="shared" si="2"/>
        <v>45368</v>
      </c>
      <c r="C1036" s="819">
        <v>1027.6300000000001</v>
      </c>
    </row>
    <row r="1037" spans="2:3" x14ac:dyDescent="0.35">
      <c r="B1037" s="818">
        <f t="shared" si="2"/>
        <v>45369</v>
      </c>
      <c r="C1037" s="819">
        <v>1023.89</v>
      </c>
    </row>
    <row r="1038" spans="2:3" x14ac:dyDescent="0.35">
      <c r="B1038" s="818">
        <f t="shared" si="2"/>
        <v>45370</v>
      </c>
      <c r="C1038" s="819">
        <v>1032.3599999999999</v>
      </c>
    </row>
    <row r="1039" spans="2:3" x14ac:dyDescent="0.35">
      <c r="B1039" s="818">
        <f t="shared" si="2"/>
        <v>45371</v>
      </c>
      <c r="C1039" s="819">
        <v>1042.43</v>
      </c>
    </row>
    <row r="1040" spans="2:3" x14ac:dyDescent="0.35">
      <c r="B1040" s="818">
        <f t="shared" si="2"/>
        <v>45372</v>
      </c>
      <c r="C1040" s="819">
        <v>1036.25</v>
      </c>
    </row>
    <row r="1041" spans="2:3" x14ac:dyDescent="0.35">
      <c r="B1041" s="818">
        <f t="shared" si="2"/>
        <v>45373</v>
      </c>
      <c r="C1041" s="819">
        <v>1036.1600000000001</v>
      </c>
    </row>
    <row r="1042" spans="2:3" x14ac:dyDescent="0.35">
      <c r="B1042" s="818">
        <f t="shared" si="2"/>
        <v>45374</v>
      </c>
      <c r="C1042" s="819">
        <v>1036.1600000000001</v>
      </c>
    </row>
    <row r="1043" spans="2:3" x14ac:dyDescent="0.35">
      <c r="B1043" s="818">
        <f t="shared" si="2"/>
        <v>45375</v>
      </c>
      <c r="C1043" s="819">
        <v>1036.1600000000001</v>
      </c>
    </row>
    <row r="1044" spans="2:3" x14ac:dyDescent="0.35">
      <c r="B1044" s="818">
        <f t="shared" si="2"/>
        <v>45376</v>
      </c>
      <c r="C1044" s="819">
        <v>1012.94</v>
      </c>
    </row>
    <row r="1045" spans="2:3" x14ac:dyDescent="0.35">
      <c r="B1045" s="818">
        <f t="shared" si="2"/>
        <v>45377</v>
      </c>
      <c r="C1045" s="819">
        <v>1027.0899999999999</v>
      </c>
    </row>
    <row r="1046" spans="2:3" x14ac:dyDescent="0.35">
      <c r="B1046" s="818">
        <f t="shared" si="2"/>
        <v>45378</v>
      </c>
      <c r="C1046" s="819">
        <v>1016.09</v>
      </c>
    </row>
    <row r="1047" spans="2:3" x14ac:dyDescent="0.35">
      <c r="B1047" s="818">
        <f t="shared" si="2"/>
        <v>45379</v>
      </c>
      <c r="C1047" s="819">
        <v>1016.09</v>
      </c>
    </row>
    <row r="1048" spans="2:3" x14ac:dyDescent="0.35">
      <c r="B1048" s="818">
        <f t="shared" ref="B1048:B1095" si="3">+B1047+1</f>
        <v>45380</v>
      </c>
      <c r="C1048" s="819">
        <v>1016.09</v>
      </c>
    </row>
    <row r="1049" spans="2:3" x14ac:dyDescent="0.35">
      <c r="B1049" s="818">
        <f t="shared" si="3"/>
        <v>45381</v>
      </c>
      <c r="C1049" s="819">
        <v>1016.09</v>
      </c>
    </row>
    <row r="1050" spans="2:3" x14ac:dyDescent="0.35">
      <c r="B1050" s="818">
        <f t="shared" si="3"/>
        <v>45382</v>
      </c>
      <c r="C1050" s="819">
        <v>1016.09</v>
      </c>
    </row>
    <row r="1051" spans="2:3" x14ac:dyDescent="0.35">
      <c r="B1051" s="818">
        <f t="shared" si="3"/>
        <v>45383</v>
      </c>
      <c r="C1051" s="819">
        <v>1016.09</v>
      </c>
    </row>
    <row r="1052" spans="2:3" x14ac:dyDescent="0.35">
      <c r="B1052" s="818">
        <f t="shared" si="3"/>
        <v>45384</v>
      </c>
      <c r="C1052" s="819">
        <v>1016.09</v>
      </c>
    </row>
    <row r="1053" spans="2:3" x14ac:dyDescent="0.35">
      <c r="B1053" s="818">
        <f t="shared" si="3"/>
        <v>45385</v>
      </c>
      <c r="C1053" s="819">
        <v>991.25</v>
      </c>
    </row>
    <row r="1054" spans="2:3" x14ac:dyDescent="0.35">
      <c r="B1054" s="818">
        <f t="shared" si="3"/>
        <v>45386</v>
      </c>
      <c r="C1054" s="819">
        <v>996.25</v>
      </c>
    </row>
    <row r="1055" spans="2:3" x14ac:dyDescent="0.35">
      <c r="B1055" s="818">
        <f t="shared" si="3"/>
        <v>45387</v>
      </c>
      <c r="C1055" s="819">
        <v>1000.88</v>
      </c>
    </row>
    <row r="1056" spans="2:3" x14ac:dyDescent="0.35">
      <c r="B1056" s="818">
        <f t="shared" si="3"/>
        <v>45388</v>
      </c>
      <c r="C1056" s="819">
        <v>1000.88</v>
      </c>
    </row>
    <row r="1057" spans="2:3" x14ac:dyDescent="0.35">
      <c r="B1057" s="818">
        <f t="shared" si="3"/>
        <v>45389</v>
      </c>
      <c r="C1057" s="819">
        <v>1000.88</v>
      </c>
    </row>
    <row r="1058" spans="2:3" x14ac:dyDescent="0.35">
      <c r="B1058" s="818">
        <f t="shared" si="3"/>
        <v>45390</v>
      </c>
      <c r="C1058" s="819">
        <v>985.86</v>
      </c>
    </row>
    <row r="1059" spans="2:3" x14ac:dyDescent="0.35">
      <c r="B1059" s="818">
        <f t="shared" si="3"/>
        <v>45391</v>
      </c>
      <c r="C1059" s="819">
        <v>1000.69</v>
      </c>
    </row>
    <row r="1060" spans="2:3" x14ac:dyDescent="0.35">
      <c r="B1060" s="818">
        <f t="shared" si="3"/>
        <v>45392</v>
      </c>
      <c r="C1060" s="819">
        <v>998.1</v>
      </c>
    </row>
    <row r="1061" spans="2:3" x14ac:dyDescent="0.35">
      <c r="B1061" s="818">
        <f t="shared" si="3"/>
        <v>45393</v>
      </c>
      <c r="C1061" s="819">
        <v>994.86</v>
      </c>
    </row>
    <row r="1062" spans="2:3" x14ac:dyDescent="0.35">
      <c r="B1062" s="818">
        <f t="shared" si="3"/>
        <v>45394</v>
      </c>
      <c r="C1062" s="819">
        <v>1005.46</v>
      </c>
    </row>
    <row r="1063" spans="2:3" x14ac:dyDescent="0.35">
      <c r="B1063" s="818">
        <f t="shared" si="3"/>
        <v>45395</v>
      </c>
      <c r="C1063" s="819">
        <v>1005.46</v>
      </c>
    </row>
    <row r="1064" spans="2:3" x14ac:dyDescent="0.35">
      <c r="B1064" s="818">
        <f t="shared" si="3"/>
        <v>45396</v>
      </c>
      <c r="C1064" s="819">
        <v>1005.46</v>
      </c>
    </row>
    <row r="1065" spans="2:3" x14ac:dyDescent="0.35">
      <c r="B1065" s="818">
        <f t="shared" si="3"/>
        <v>45397</v>
      </c>
      <c r="C1065" s="819">
        <v>1021.55</v>
      </c>
    </row>
    <row r="1066" spans="2:3" x14ac:dyDescent="0.35">
      <c r="B1066" s="818">
        <f t="shared" si="3"/>
        <v>45398</v>
      </c>
      <c r="C1066" s="819">
        <v>1031.6300000000001</v>
      </c>
    </row>
    <row r="1067" spans="2:3" x14ac:dyDescent="0.35">
      <c r="B1067" s="818">
        <f t="shared" si="3"/>
        <v>45399</v>
      </c>
      <c r="C1067" s="819">
        <v>1021.16</v>
      </c>
    </row>
    <row r="1068" spans="2:3" x14ac:dyDescent="0.35">
      <c r="B1068" s="818">
        <f t="shared" si="3"/>
        <v>45400</v>
      </c>
      <c r="C1068" s="819">
        <v>1021.92</v>
      </c>
    </row>
    <row r="1069" spans="2:3" x14ac:dyDescent="0.35">
      <c r="B1069" s="818">
        <f t="shared" si="3"/>
        <v>45401</v>
      </c>
      <c r="C1069" s="819">
        <v>1026.6500000000001</v>
      </c>
    </row>
    <row r="1070" spans="2:3" x14ac:dyDescent="0.35">
      <c r="B1070" s="818">
        <f t="shared" si="3"/>
        <v>45402</v>
      </c>
      <c r="C1070" s="819">
        <v>1026.6500000000001</v>
      </c>
    </row>
    <row r="1071" spans="2:3" x14ac:dyDescent="0.35">
      <c r="B1071" s="818">
        <f t="shared" si="3"/>
        <v>45403</v>
      </c>
      <c r="C1071" s="819">
        <v>1026.6500000000001</v>
      </c>
    </row>
    <row r="1072" spans="2:3" x14ac:dyDescent="0.35">
      <c r="B1072" s="818">
        <f t="shared" si="3"/>
        <v>45404</v>
      </c>
      <c r="C1072" s="819">
        <v>1014.98</v>
      </c>
    </row>
    <row r="1073" spans="2:3" x14ac:dyDescent="0.35">
      <c r="B1073" s="818">
        <f t="shared" si="3"/>
        <v>45405</v>
      </c>
      <c r="C1073" s="819">
        <v>1006.71</v>
      </c>
    </row>
    <row r="1074" spans="2:3" x14ac:dyDescent="0.35">
      <c r="B1074" s="818">
        <f t="shared" si="3"/>
        <v>45406</v>
      </c>
      <c r="C1074" s="819">
        <v>1015.54</v>
      </c>
    </row>
    <row r="1075" spans="2:3" x14ac:dyDescent="0.35">
      <c r="B1075" s="818">
        <f t="shared" si="3"/>
        <v>45407</v>
      </c>
      <c r="C1075" s="819">
        <v>1034.06</v>
      </c>
    </row>
    <row r="1076" spans="2:3" x14ac:dyDescent="0.35">
      <c r="B1076" s="818">
        <f t="shared" si="3"/>
        <v>45408</v>
      </c>
      <c r="C1076" s="819">
        <v>1034.04</v>
      </c>
    </row>
    <row r="1077" spans="2:3" x14ac:dyDescent="0.35">
      <c r="B1077" s="818">
        <f t="shared" si="3"/>
        <v>45409</v>
      </c>
      <c r="C1077" s="819">
        <v>1034.04</v>
      </c>
    </row>
    <row r="1078" spans="2:3" x14ac:dyDescent="0.35">
      <c r="B1078" s="818">
        <f t="shared" si="3"/>
        <v>45410</v>
      </c>
      <c r="C1078" s="819">
        <v>1034.04</v>
      </c>
    </row>
    <row r="1079" spans="2:3" x14ac:dyDescent="0.35">
      <c r="B1079" s="818">
        <f t="shared" si="3"/>
        <v>45411</v>
      </c>
      <c r="C1079" s="819">
        <v>1037.77</v>
      </c>
    </row>
    <row r="1080" spans="2:3" x14ac:dyDescent="0.35">
      <c r="B1080" s="818">
        <f t="shared" si="3"/>
        <v>45412</v>
      </c>
      <c r="C1080" s="819">
        <v>1040.8900000000001</v>
      </c>
    </row>
    <row r="1081" spans="2:3" x14ac:dyDescent="0.35">
      <c r="B1081" s="818">
        <f t="shared" si="3"/>
        <v>45413</v>
      </c>
      <c r="C1081" s="819">
        <v>1040.8900000000001</v>
      </c>
    </row>
    <row r="1082" spans="2:3" x14ac:dyDescent="0.35">
      <c r="B1082" s="818">
        <f t="shared" si="3"/>
        <v>45414</v>
      </c>
      <c r="C1082" s="819">
        <v>1064.56</v>
      </c>
    </row>
    <row r="1083" spans="2:3" x14ac:dyDescent="0.35">
      <c r="B1083" s="818">
        <f t="shared" si="3"/>
        <v>45415</v>
      </c>
      <c r="C1083" s="819">
        <v>1072.6400000000001</v>
      </c>
    </row>
    <row r="1084" spans="2:3" x14ac:dyDescent="0.35">
      <c r="B1084" s="818">
        <f t="shared" si="3"/>
        <v>45416</v>
      </c>
      <c r="C1084" s="819">
        <v>1072.6400000000001</v>
      </c>
    </row>
    <row r="1085" spans="2:3" x14ac:dyDescent="0.35">
      <c r="B1085" s="818">
        <f t="shared" si="3"/>
        <v>45417</v>
      </c>
      <c r="C1085" s="819">
        <v>1072.6400000000001</v>
      </c>
    </row>
    <row r="1086" spans="2:3" x14ac:dyDescent="0.35">
      <c r="B1086" s="818">
        <f t="shared" si="3"/>
        <v>45418</v>
      </c>
      <c r="C1086" s="819">
        <v>1064.47</v>
      </c>
    </row>
    <row r="1087" spans="2:3" x14ac:dyDescent="0.35">
      <c r="B1087" s="818">
        <f t="shared" si="3"/>
        <v>45419</v>
      </c>
      <c r="C1087" s="819">
        <v>1048.49</v>
      </c>
    </row>
    <row r="1088" spans="2:3" x14ac:dyDescent="0.35">
      <c r="B1088" s="818">
        <f t="shared" si="3"/>
        <v>45420</v>
      </c>
      <c r="C1088" s="819">
        <v>1038.77</v>
      </c>
    </row>
    <row r="1089" spans="2:3" x14ac:dyDescent="0.35">
      <c r="B1089" s="818">
        <f t="shared" si="3"/>
        <v>45421</v>
      </c>
      <c r="C1089" s="819">
        <v>1046.02</v>
      </c>
    </row>
    <row r="1090" spans="2:3" x14ac:dyDescent="0.35">
      <c r="B1090" s="818">
        <f t="shared" si="3"/>
        <v>45422</v>
      </c>
      <c r="C1090" s="819">
        <v>1035.73</v>
      </c>
    </row>
    <row r="1091" spans="2:3" x14ac:dyDescent="0.35">
      <c r="B1091" s="818">
        <f t="shared" si="3"/>
        <v>45423</v>
      </c>
      <c r="C1091" s="819">
        <v>1035.73</v>
      </c>
    </row>
    <row r="1092" spans="2:3" x14ac:dyDescent="0.35">
      <c r="B1092" s="818">
        <f t="shared" si="3"/>
        <v>45424</v>
      </c>
      <c r="C1092" s="819">
        <v>1035.73</v>
      </c>
    </row>
    <row r="1093" spans="2:3" x14ac:dyDescent="0.35">
      <c r="B1093" s="818">
        <f t="shared" si="3"/>
        <v>45425</v>
      </c>
      <c r="C1093" s="819">
        <v>1034.8900000000001</v>
      </c>
    </row>
    <row r="1094" spans="2:3" x14ac:dyDescent="0.35">
      <c r="B1094" s="818">
        <f t="shared" si="3"/>
        <v>45426</v>
      </c>
      <c r="C1094" s="819">
        <v>1041.6500000000001</v>
      </c>
    </row>
    <row r="1095" spans="2:3" x14ac:dyDescent="0.35">
      <c r="B1095" s="818">
        <f t="shared" si="3"/>
        <v>45427</v>
      </c>
      <c r="C1095" s="819">
        <v>1050.33</v>
      </c>
    </row>
    <row r="1096" spans="2:3" x14ac:dyDescent="0.35">
      <c r="B1096" s="818">
        <v>45428</v>
      </c>
      <c r="C1096" s="819">
        <v>1062.25</v>
      </c>
    </row>
    <row r="1097" spans="2:3" x14ac:dyDescent="0.35">
      <c r="B1097" s="818">
        <v>45429</v>
      </c>
      <c r="C1097" s="819">
        <v>1071.1199999999999</v>
      </c>
    </row>
    <row r="1098" spans="2:3" x14ac:dyDescent="0.35">
      <c r="B1098" s="818">
        <v>45430</v>
      </c>
      <c r="C1098" s="819">
        <v>1071.1199999999999</v>
      </c>
    </row>
    <row r="1099" spans="2:3" x14ac:dyDescent="0.35">
      <c r="B1099" s="818">
        <v>45431</v>
      </c>
      <c r="C1099" s="819">
        <v>1071.1199999999999</v>
      </c>
    </row>
    <row r="1100" spans="2:3" x14ac:dyDescent="0.35">
      <c r="B1100" s="818">
        <v>45432</v>
      </c>
      <c r="C1100" s="819">
        <v>1106.22</v>
      </c>
    </row>
    <row r="1101" spans="2:3" x14ac:dyDescent="0.35">
      <c r="B1101" s="818">
        <v>45433</v>
      </c>
      <c r="C1101" s="819">
        <v>1170.28</v>
      </c>
    </row>
    <row r="1102" spans="2:3" x14ac:dyDescent="0.35">
      <c r="B1102" s="818">
        <v>45434</v>
      </c>
      <c r="C1102" s="819">
        <v>1230.5999999999999</v>
      </c>
    </row>
    <row r="1103" spans="2:3" x14ac:dyDescent="0.35">
      <c r="B1103" s="818">
        <v>45435</v>
      </c>
      <c r="C1103" s="819">
        <v>1234.4000000000001</v>
      </c>
    </row>
    <row r="1104" spans="2:3" x14ac:dyDescent="0.35">
      <c r="B1104" s="818">
        <v>45436</v>
      </c>
      <c r="C1104" s="819">
        <v>1205.73</v>
      </c>
    </row>
    <row r="1105" spans="2:3" x14ac:dyDescent="0.35">
      <c r="B1105" s="818">
        <v>45437</v>
      </c>
      <c r="C1105" s="819">
        <v>1205.73</v>
      </c>
    </row>
    <row r="1106" spans="2:3" x14ac:dyDescent="0.35">
      <c r="B1106" s="818">
        <v>45438</v>
      </c>
      <c r="C1106" s="819">
        <v>1205.73</v>
      </c>
    </row>
    <row r="1107" spans="2:3" x14ac:dyDescent="0.35">
      <c r="B1107" s="818">
        <v>45439</v>
      </c>
      <c r="C1107" s="819">
        <v>1228.18</v>
      </c>
    </row>
    <row r="1108" spans="2:3" x14ac:dyDescent="0.35">
      <c r="B1108" s="818">
        <v>45440</v>
      </c>
      <c r="C1108" s="819">
        <v>1200.9000000000001</v>
      </c>
    </row>
    <row r="1109" spans="2:3" x14ac:dyDescent="0.35">
      <c r="B1109" s="818">
        <v>45441</v>
      </c>
      <c r="C1109" s="819">
        <v>1177.1400000000001</v>
      </c>
    </row>
    <row r="1110" spans="2:3" x14ac:dyDescent="0.35">
      <c r="B1110" s="818">
        <v>45442</v>
      </c>
      <c r="C1110" s="819">
        <v>1182.71</v>
      </c>
    </row>
    <row r="1111" spans="2:3" x14ac:dyDescent="0.35">
      <c r="B1111" s="818">
        <v>45443</v>
      </c>
      <c r="C1111" s="819">
        <v>1215.93</v>
      </c>
    </row>
    <row r="1112" spans="2:3" x14ac:dyDescent="0.35">
      <c r="B1112" s="818">
        <v>45446</v>
      </c>
      <c r="C1112" s="819">
        <v>1269.9100000000001</v>
      </c>
    </row>
    <row r="1113" spans="2:3" x14ac:dyDescent="0.35">
      <c r="B1113" s="818">
        <v>45447</v>
      </c>
      <c r="C1113" s="819">
        <v>1280.8</v>
      </c>
    </row>
    <row r="1114" spans="2:3" x14ac:dyDescent="0.35">
      <c r="B1114" s="818">
        <v>45448</v>
      </c>
      <c r="C1114" s="819">
        <v>1283.0899999999999</v>
      </c>
    </row>
    <row r="1115" spans="2:3" x14ac:dyDescent="0.35">
      <c r="B1115" s="818">
        <v>45449</v>
      </c>
      <c r="C1115" s="819">
        <v>1272.01</v>
      </c>
    </row>
    <row r="1116" spans="2:3" x14ac:dyDescent="0.35">
      <c r="B1116" s="818">
        <v>45450</v>
      </c>
      <c r="C1116" s="819">
        <v>1282.33</v>
      </c>
    </row>
    <row r="1117" spans="2:3" x14ac:dyDescent="0.35">
      <c r="B1117" s="818">
        <v>45451</v>
      </c>
      <c r="C1117" s="819">
        <v>1282.33</v>
      </c>
    </row>
    <row r="1118" spans="2:3" x14ac:dyDescent="0.35">
      <c r="B1118" s="818">
        <v>45452</v>
      </c>
      <c r="C1118" s="819">
        <v>1282.33</v>
      </c>
    </row>
    <row r="1119" spans="2:3" x14ac:dyDescent="0.35">
      <c r="B1119" s="818">
        <v>45453</v>
      </c>
      <c r="C1119" s="819">
        <v>1272.6300000000001</v>
      </c>
    </row>
    <row r="1120" spans="2:3" x14ac:dyDescent="0.35">
      <c r="B1120" s="818">
        <v>45454</v>
      </c>
      <c r="C1120" s="819">
        <v>1273.9000000000001</v>
      </c>
    </row>
    <row r="1121" spans="2:3" x14ac:dyDescent="0.35">
      <c r="B1121" s="818">
        <v>45455</v>
      </c>
      <c r="C1121" s="819">
        <v>1278.94</v>
      </c>
    </row>
    <row r="1122" spans="2:3" x14ac:dyDescent="0.35">
      <c r="B1122" s="818">
        <v>45456</v>
      </c>
      <c r="C1122" s="819">
        <v>1241.0999999999999</v>
      </c>
    </row>
    <row r="1123" spans="2:3" x14ac:dyDescent="0.35">
      <c r="B1123" s="818">
        <v>45457</v>
      </c>
      <c r="C1123" s="819">
        <v>1244.6400000000001</v>
      </c>
    </row>
    <row r="1124" spans="2:3" x14ac:dyDescent="0.35">
      <c r="B1124" s="818">
        <v>45458</v>
      </c>
      <c r="C1124" s="819">
        <v>1244.6400000000001</v>
      </c>
    </row>
    <row r="1125" spans="2:3" x14ac:dyDescent="0.35">
      <c r="B1125" s="818">
        <v>45459</v>
      </c>
      <c r="C1125" s="819">
        <v>1244.6400000000001</v>
      </c>
    </row>
    <row r="1126" spans="2:3" x14ac:dyDescent="0.35">
      <c r="B1126" s="818">
        <v>45460</v>
      </c>
      <c r="C1126" s="819">
        <v>1244.6400000000001</v>
      </c>
    </row>
    <row r="1127" spans="2:3" x14ac:dyDescent="0.35">
      <c r="B1127" s="818">
        <v>45461</v>
      </c>
      <c r="C1127" s="819">
        <v>1245.49</v>
      </c>
    </row>
    <row r="1128" spans="2:3" x14ac:dyDescent="0.35">
      <c r="B1128" s="818">
        <v>45462</v>
      </c>
      <c r="C1128" s="819">
        <v>1273.81</v>
      </c>
    </row>
    <row r="1129" spans="2:3" x14ac:dyDescent="0.35">
      <c r="B1129" s="818">
        <v>45463</v>
      </c>
      <c r="C1129" s="819">
        <v>1273.81</v>
      </c>
    </row>
    <row r="1130" spans="2:3" x14ac:dyDescent="0.35">
      <c r="B1130" s="818">
        <v>45464</v>
      </c>
      <c r="C1130" s="819">
        <v>1273.81</v>
      </c>
    </row>
    <row r="1131" spans="2:3" x14ac:dyDescent="0.35">
      <c r="B1131" s="818">
        <v>45465</v>
      </c>
      <c r="C1131" s="819">
        <v>1273.81</v>
      </c>
    </row>
    <row r="1132" spans="2:3" x14ac:dyDescent="0.35">
      <c r="B1132" s="818">
        <v>45466</v>
      </c>
      <c r="C1132" s="819">
        <v>1273.81</v>
      </c>
    </row>
    <row r="1133" spans="2:3" x14ac:dyDescent="0.35">
      <c r="B1133" s="818">
        <v>45467</v>
      </c>
      <c r="C1133" s="819">
        <v>1295.22</v>
      </c>
    </row>
    <row r="1134" spans="2:3" x14ac:dyDescent="0.35">
      <c r="B1134" s="818">
        <v>45468</v>
      </c>
      <c r="C1134" s="819">
        <v>1308.99</v>
      </c>
    </row>
    <row r="1135" spans="2:3" x14ac:dyDescent="0.35">
      <c r="B1135" s="818">
        <v>45469</v>
      </c>
      <c r="C1135" s="819">
        <v>1332.13</v>
      </c>
    </row>
    <row r="1136" spans="2:3" x14ac:dyDescent="0.35">
      <c r="B1136" s="818">
        <v>45470</v>
      </c>
      <c r="C1136" s="819">
        <v>1331.96</v>
      </c>
    </row>
    <row r="1137" spans="2:3" x14ac:dyDescent="0.35">
      <c r="B1137" s="818">
        <v>45471</v>
      </c>
      <c r="C1137" s="819">
        <v>1347.96</v>
      </c>
    </row>
    <row r="1138" spans="2:3" x14ac:dyDescent="0.35">
      <c r="B1138" s="818">
        <v>45472</v>
      </c>
      <c r="C1138" s="819">
        <v>1347.96</v>
      </c>
    </row>
    <row r="1139" spans="2:3" x14ac:dyDescent="0.35">
      <c r="B1139" s="818">
        <v>45473</v>
      </c>
      <c r="C1139" s="819">
        <v>1347.96</v>
      </c>
    </row>
    <row r="1140" spans="2:3" x14ac:dyDescent="0.35">
      <c r="B1140" s="818">
        <v>45474</v>
      </c>
      <c r="C1140" s="819">
        <v>1413.01</v>
      </c>
    </row>
    <row r="1141" spans="2:3" x14ac:dyDescent="0.35">
      <c r="B1141" s="818">
        <v>45475</v>
      </c>
      <c r="C1141" s="819">
        <v>1428.46</v>
      </c>
    </row>
    <row r="1142" spans="2:3" x14ac:dyDescent="0.35">
      <c r="B1142" s="818">
        <v>45476</v>
      </c>
      <c r="C1142" s="819">
        <v>1382.5</v>
      </c>
    </row>
    <row r="1143" spans="2:3" x14ac:dyDescent="0.35">
      <c r="B1143" s="818">
        <v>45477</v>
      </c>
      <c r="C1143" s="819">
        <v>1395.68</v>
      </c>
    </row>
    <row r="1144" spans="2:3" x14ac:dyDescent="0.35">
      <c r="B1144" s="818">
        <v>45478</v>
      </c>
      <c r="C1144" s="819">
        <v>1396.24</v>
      </c>
    </row>
    <row r="1145" spans="2:3" x14ac:dyDescent="0.35">
      <c r="B1145" s="818">
        <v>45479</v>
      </c>
      <c r="C1145" s="819">
        <v>1396.24</v>
      </c>
    </row>
    <row r="1146" spans="2:3" x14ac:dyDescent="0.35">
      <c r="B1146" s="818">
        <v>45480</v>
      </c>
      <c r="C1146" s="819">
        <v>1396.24</v>
      </c>
    </row>
    <row r="1147" spans="2:3" x14ac:dyDescent="0.35">
      <c r="B1147" s="818">
        <v>45481</v>
      </c>
      <c r="C1147" s="819">
        <v>1386.86</v>
      </c>
    </row>
    <row r="1148" spans="2:3" x14ac:dyDescent="0.35">
      <c r="B1148" s="818">
        <v>45482</v>
      </c>
      <c r="C1148" s="819">
        <v>1386.86</v>
      </c>
    </row>
    <row r="1149" spans="2:3" x14ac:dyDescent="0.35">
      <c r="B1149" s="818">
        <v>45483</v>
      </c>
      <c r="C1149" s="819">
        <v>1377.39</v>
      </c>
    </row>
    <row r="1150" spans="2:3" x14ac:dyDescent="0.35">
      <c r="B1150" s="818">
        <v>45484</v>
      </c>
      <c r="C1150" s="819">
        <v>1403.33</v>
      </c>
    </row>
    <row r="1151" spans="2:3" x14ac:dyDescent="0.35">
      <c r="B1151" s="818">
        <v>45485</v>
      </c>
      <c r="C1151" s="819">
        <v>1416.22</v>
      </c>
    </row>
    <row r="1152" spans="2:3" x14ac:dyDescent="0.35">
      <c r="B1152" s="818">
        <v>45486</v>
      </c>
      <c r="C1152" s="819">
        <v>1416.22</v>
      </c>
    </row>
    <row r="1153" spans="2:3" x14ac:dyDescent="0.35">
      <c r="B1153" s="818">
        <v>45487</v>
      </c>
      <c r="C1153" s="819">
        <v>1416.22</v>
      </c>
    </row>
    <row r="1154" spans="2:3" x14ac:dyDescent="0.35">
      <c r="B1154" s="818">
        <v>45488</v>
      </c>
      <c r="C1154" s="819">
        <v>1307.54</v>
      </c>
    </row>
    <row r="1155" spans="2:3" x14ac:dyDescent="0.35">
      <c r="B1155" s="818">
        <v>45489</v>
      </c>
      <c r="C1155" s="819">
        <v>1278.94</v>
      </c>
    </row>
    <row r="1156" spans="2:3" x14ac:dyDescent="0.35">
      <c r="B1156" s="818">
        <v>45490</v>
      </c>
      <c r="C1156" s="819">
        <v>1300</v>
      </c>
    </row>
    <row r="1157" spans="2:3" x14ac:dyDescent="0.35">
      <c r="B1157" s="818">
        <v>45491</v>
      </c>
      <c r="C1157" s="819">
        <v>1315.29</v>
      </c>
    </row>
    <row r="1158" spans="2:3" x14ac:dyDescent="0.35">
      <c r="B1158" s="818">
        <v>45492</v>
      </c>
      <c r="C1158" s="819">
        <v>1331.7</v>
      </c>
    </row>
    <row r="1159" spans="2:3" x14ac:dyDescent="0.35">
      <c r="B1159" s="818">
        <v>45493</v>
      </c>
      <c r="C1159" s="819">
        <v>1331.7</v>
      </c>
    </row>
    <row r="1160" spans="2:3" x14ac:dyDescent="0.35">
      <c r="B1160" s="818">
        <v>45494</v>
      </c>
      <c r="C1160" s="819">
        <v>1331.7</v>
      </c>
    </row>
    <row r="1161" spans="2:3" x14ac:dyDescent="0.35">
      <c r="B1161" s="818">
        <v>45495</v>
      </c>
      <c r="C1161" s="819">
        <v>1333.37</v>
      </c>
    </row>
    <row r="1162" spans="2:3" x14ac:dyDescent="0.35">
      <c r="B1162" s="818">
        <v>45496</v>
      </c>
      <c r="C1162" s="819">
        <v>1324.96</v>
      </c>
    </row>
    <row r="1163" spans="2:3" x14ac:dyDescent="0.35">
      <c r="B1163" s="818">
        <v>45497</v>
      </c>
      <c r="C1163" s="819">
        <v>1337.51</v>
      </c>
    </row>
    <row r="1164" spans="2:3" x14ac:dyDescent="0.35">
      <c r="B1164" s="818">
        <v>45498</v>
      </c>
      <c r="C1164" s="819">
        <v>1332.77</v>
      </c>
    </row>
    <row r="1165" spans="2:3" x14ac:dyDescent="0.35">
      <c r="B1165" s="818">
        <v>45499</v>
      </c>
      <c r="C1165" s="819">
        <v>1323.15</v>
      </c>
    </row>
    <row r="1166" spans="2:3" x14ac:dyDescent="0.35">
      <c r="B1166" s="818">
        <v>45500</v>
      </c>
      <c r="C1166" s="819">
        <v>1323.15</v>
      </c>
    </row>
    <row r="1167" spans="2:3" x14ac:dyDescent="0.35">
      <c r="B1167" s="818">
        <v>45501</v>
      </c>
      <c r="C1167" s="819">
        <v>1323.15</v>
      </c>
    </row>
    <row r="1168" spans="2:3" x14ac:dyDescent="0.35">
      <c r="B1168" s="818">
        <v>45502</v>
      </c>
      <c r="C1168" s="819">
        <v>1296.57</v>
      </c>
    </row>
    <row r="1169" spans="2:3" x14ac:dyDescent="0.35">
      <c r="B1169" s="818">
        <v>45503</v>
      </c>
      <c r="C1169" s="819">
        <v>1267.95</v>
      </c>
    </row>
    <row r="1170" spans="2:3" x14ac:dyDescent="0.35">
      <c r="B1170" s="818">
        <v>45504</v>
      </c>
      <c r="C1170" s="819">
        <v>1293.33</v>
      </c>
    </row>
    <row r="1171" spans="2:3" x14ac:dyDescent="0.35">
      <c r="B1171" s="818">
        <v>45505</v>
      </c>
      <c r="C1171" s="819">
        <v>1300.1400000000001</v>
      </c>
    </row>
    <row r="1172" spans="2:3" x14ac:dyDescent="0.35">
      <c r="B1172" s="818">
        <v>45506</v>
      </c>
      <c r="C1172" s="819">
        <v>1334.04</v>
      </c>
    </row>
    <row r="1173" spans="2:3" x14ac:dyDescent="0.35">
      <c r="B1173" s="818">
        <v>45507</v>
      </c>
      <c r="C1173" s="819">
        <v>1334.04</v>
      </c>
    </row>
    <row r="1174" spans="2:3" x14ac:dyDescent="0.35">
      <c r="B1174" s="818">
        <v>45508</v>
      </c>
      <c r="C1174" s="819">
        <v>1334.04</v>
      </c>
    </row>
    <row r="1175" spans="2:3" x14ac:dyDescent="0.35">
      <c r="B1175" s="818">
        <v>45509</v>
      </c>
      <c r="C1175" s="819">
        <v>1346.09</v>
      </c>
    </row>
    <row r="1176" spans="2:3" x14ac:dyDescent="0.35">
      <c r="B1176" s="818">
        <v>45510</v>
      </c>
      <c r="C1176" s="819">
        <v>1336.4</v>
      </c>
    </row>
    <row r="1177" spans="2:3" x14ac:dyDescent="0.35">
      <c r="B1177" s="818">
        <v>45511</v>
      </c>
      <c r="C1177" s="819">
        <v>1331.95</v>
      </c>
    </row>
    <row r="1178" spans="2:3" x14ac:dyDescent="0.35">
      <c r="B1178" s="818">
        <v>45512</v>
      </c>
      <c r="C1178" s="819">
        <v>1310.45</v>
      </c>
    </row>
    <row r="1179" spans="2:3" x14ac:dyDescent="0.35">
      <c r="B1179" s="818">
        <v>45513</v>
      </c>
      <c r="C1179" s="819">
        <v>1298.27</v>
      </c>
    </row>
    <row r="1180" spans="2:3" x14ac:dyDescent="0.35">
      <c r="B1180" s="818">
        <v>45514</v>
      </c>
      <c r="C1180" s="819">
        <v>1298.28</v>
      </c>
    </row>
    <row r="1181" spans="2:3" x14ac:dyDescent="0.35">
      <c r="B1181" s="818">
        <v>45515</v>
      </c>
      <c r="C1181" s="819">
        <v>1298.29</v>
      </c>
    </row>
    <row r="1182" spans="2:3" x14ac:dyDescent="0.35">
      <c r="B1182" s="818">
        <v>45516</v>
      </c>
      <c r="C1182" s="819">
        <v>1284.3499999999999</v>
      </c>
    </row>
    <row r="1183" spans="2:3" x14ac:dyDescent="0.35">
      <c r="B1183" s="818">
        <v>45517</v>
      </c>
      <c r="C1183" s="819">
        <v>1272.49</v>
      </c>
    </row>
    <row r="1184" spans="2:3" x14ac:dyDescent="0.35">
      <c r="B1184" s="818">
        <v>45518</v>
      </c>
      <c r="C1184" s="819">
        <v>1268.81</v>
      </c>
    </row>
    <row r="1185" spans="2:3" x14ac:dyDescent="0.35">
      <c r="B1185" s="818">
        <v>45519</v>
      </c>
      <c r="C1185" s="819">
        <v>1276.21</v>
      </c>
    </row>
    <row r="1186" spans="2:3" x14ac:dyDescent="0.35">
      <c r="B1186" s="818">
        <v>45520</v>
      </c>
      <c r="C1186" s="819">
        <v>1295.3</v>
      </c>
    </row>
    <row r="1187" spans="2:3" x14ac:dyDescent="0.35">
      <c r="B1187" s="818">
        <v>45521</v>
      </c>
      <c r="C1187" s="819">
        <v>1295.3</v>
      </c>
    </row>
    <row r="1188" spans="2:3" x14ac:dyDescent="0.35">
      <c r="B1188" s="818">
        <v>45522</v>
      </c>
      <c r="C1188" s="819">
        <v>1295.3</v>
      </c>
    </row>
    <row r="1189" spans="2:3" x14ac:dyDescent="0.35">
      <c r="B1189" s="818">
        <v>45523</v>
      </c>
      <c r="C1189" s="819">
        <v>1290.0999999999999</v>
      </c>
    </row>
    <row r="1190" spans="2:3" x14ac:dyDescent="0.35">
      <c r="B1190" s="818">
        <v>45524</v>
      </c>
      <c r="C1190" s="819">
        <v>1287.82</v>
      </c>
    </row>
    <row r="1191" spans="2:3" x14ac:dyDescent="0.35">
      <c r="B1191" s="818">
        <v>45525</v>
      </c>
      <c r="C1191" s="819">
        <v>1291.75</v>
      </c>
    </row>
    <row r="1192" spans="2:3" x14ac:dyDescent="0.35">
      <c r="B1192" s="818">
        <v>45526</v>
      </c>
      <c r="C1192" s="819">
        <v>1283.23</v>
      </c>
    </row>
    <row r="1193" spans="2:3" x14ac:dyDescent="0.35">
      <c r="B1193" s="818">
        <v>45527</v>
      </c>
      <c r="C1193" s="819">
        <v>1282.7</v>
      </c>
    </row>
    <row r="1194" spans="2:3" x14ac:dyDescent="0.35">
      <c r="B1194" s="818">
        <v>45528</v>
      </c>
      <c r="C1194" s="819">
        <v>1282.7</v>
      </c>
    </row>
    <row r="1195" spans="2:3" x14ac:dyDescent="0.35">
      <c r="B1195" s="818">
        <v>45529</v>
      </c>
      <c r="C1195" s="819">
        <v>1282.7</v>
      </c>
    </row>
    <row r="1196" spans="2:3" x14ac:dyDescent="0.35">
      <c r="B1196" s="818">
        <v>45530</v>
      </c>
      <c r="C1196" s="819">
        <v>1288.25</v>
      </c>
    </row>
    <row r="1197" spans="2:3" x14ac:dyDescent="0.35">
      <c r="B1197" s="818">
        <v>45531</v>
      </c>
      <c r="C1197" s="819">
        <v>1286.19</v>
      </c>
    </row>
    <row r="1198" spans="2:3" x14ac:dyDescent="0.35">
      <c r="B1198" s="818">
        <v>45532</v>
      </c>
      <c r="C1198" s="819">
        <v>1282.19</v>
      </c>
    </row>
    <row r="1199" spans="2:3" x14ac:dyDescent="0.35">
      <c r="B1199" s="818">
        <v>45533</v>
      </c>
      <c r="C1199" s="819">
        <v>1271.33</v>
      </c>
    </row>
    <row r="1200" spans="2:3" x14ac:dyDescent="0.35">
      <c r="B1200" s="818">
        <v>45534</v>
      </c>
      <c r="C1200" s="819">
        <v>1279.96</v>
      </c>
    </row>
    <row r="1201" spans="2:3" x14ac:dyDescent="0.35">
      <c r="B1201" s="818">
        <v>45535</v>
      </c>
      <c r="C1201" s="819">
        <v>1279.96</v>
      </c>
    </row>
    <row r="1202" spans="2:3" x14ac:dyDescent="0.35">
      <c r="B1202" s="818">
        <v>45536</v>
      </c>
      <c r="C1202" s="819">
        <v>1279.96</v>
      </c>
    </row>
    <row r="1203" spans="2:3" x14ac:dyDescent="0.35">
      <c r="B1203" s="818">
        <v>45537</v>
      </c>
      <c r="C1203" s="819">
        <v>1285.01</v>
      </c>
    </row>
    <row r="1204" spans="2:3" x14ac:dyDescent="0.35">
      <c r="B1204" s="818">
        <v>45538</v>
      </c>
      <c r="C1204" s="819">
        <v>1294.46</v>
      </c>
    </row>
    <row r="1205" spans="2:3" x14ac:dyDescent="0.35">
      <c r="B1205" s="818">
        <v>45539</v>
      </c>
      <c r="C1205" s="819">
        <v>1279.8399999999999</v>
      </c>
    </row>
    <row r="1206" spans="2:3" x14ac:dyDescent="0.35">
      <c r="B1206" s="818">
        <v>45540</v>
      </c>
      <c r="C1206" s="819">
        <v>1258.82</v>
      </c>
    </row>
    <row r="1207" spans="2:3" x14ac:dyDescent="0.35">
      <c r="B1207" s="818">
        <v>45541</v>
      </c>
      <c r="C1207" s="819">
        <v>1243.8699999999999</v>
      </c>
    </row>
    <row r="1208" spans="2:3" x14ac:dyDescent="0.35">
      <c r="B1208" s="818">
        <v>45542</v>
      </c>
      <c r="C1208" s="819">
        <v>1243.8699999999999</v>
      </c>
    </row>
    <row r="1209" spans="2:3" x14ac:dyDescent="0.35">
      <c r="B1209" s="818">
        <v>45543</v>
      </c>
      <c r="C1209" s="819">
        <v>1243.8699999999999</v>
      </c>
    </row>
    <row r="1210" spans="2:3" x14ac:dyDescent="0.35">
      <c r="B1210" s="818">
        <v>45544</v>
      </c>
      <c r="C1210" s="819">
        <v>1226.42</v>
      </c>
    </row>
    <row r="1211" spans="2:3" x14ac:dyDescent="0.35">
      <c r="B1211" s="818">
        <v>45545</v>
      </c>
      <c r="C1211" s="819">
        <v>1230.44</v>
      </c>
    </row>
    <row r="1212" spans="2:3" x14ac:dyDescent="0.35">
      <c r="B1212" s="818">
        <v>45546</v>
      </c>
      <c r="C1212" s="819">
        <v>1230.1600000000001</v>
      </c>
    </row>
    <row r="1213" spans="2:3" x14ac:dyDescent="0.35">
      <c r="B1213" s="818">
        <v>45547</v>
      </c>
      <c r="C1213" s="819">
        <v>1239.48</v>
      </c>
    </row>
    <row r="1214" spans="2:3" x14ac:dyDescent="0.35">
      <c r="B1214" s="818">
        <v>45548</v>
      </c>
      <c r="C1214" s="819">
        <v>1226.53</v>
      </c>
    </row>
    <row r="1215" spans="2:3" x14ac:dyDescent="0.35">
      <c r="B1215" s="818">
        <v>45549</v>
      </c>
      <c r="C1215" s="819">
        <v>1226.54</v>
      </c>
    </row>
    <row r="1216" spans="2:3" x14ac:dyDescent="0.35">
      <c r="B1216" s="818">
        <v>45550</v>
      </c>
      <c r="C1216" s="819">
        <v>1226.55</v>
      </c>
    </row>
    <row r="1217" spans="2:3" x14ac:dyDescent="0.35">
      <c r="B1217" s="818">
        <v>45551</v>
      </c>
      <c r="C1217" s="819">
        <v>1215.72</v>
      </c>
    </row>
    <row r="1218" spans="2:3" x14ac:dyDescent="0.35">
      <c r="B1218" s="818">
        <v>45552</v>
      </c>
      <c r="C1218" s="819">
        <v>1214.04</v>
      </c>
    </row>
    <row r="1219" spans="2:3" x14ac:dyDescent="0.35">
      <c r="B1219" s="818">
        <v>45553</v>
      </c>
      <c r="C1219" s="819">
        <v>1206.72</v>
      </c>
    </row>
    <row r="1220" spans="2:3" x14ac:dyDescent="0.35">
      <c r="B1220" s="818">
        <v>45554</v>
      </c>
      <c r="C1220" s="819">
        <v>1197.74</v>
      </c>
    </row>
    <row r="1221" spans="2:3" x14ac:dyDescent="0.35">
      <c r="B1221" s="818">
        <v>45555</v>
      </c>
      <c r="C1221" s="819">
        <v>1200.0999999999999</v>
      </c>
    </row>
    <row r="1222" spans="2:3" x14ac:dyDescent="0.35">
      <c r="B1222" s="818">
        <v>45556</v>
      </c>
      <c r="C1222" s="819">
        <v>1200.0999999999999</v>
      </c>
    </row>
    <row r="1223" spans="2:3" x14ac:dyDescent="0.35">
      <c r="B1223" s="818">
        <v>45557</v>
      </c>
      <c r="C1223" s="819">
        <v>1200.0999999999999</v>
      </c>
    </row>
    <row r="1224" spans="2:3" x14ac:dyDescent="0.35">
      <c r="B1224" s="818">
        <v>45558</v>
      </c>
      <c r="C1224" s="819">
        <v>1204.57</v>
      </c>
    </row>
    <row r="1225" spans="2:3" x14ac:dyDescent="0.35">
      <c r="B1225" s="818">
        <v>45559</v>
      </c>
      <c r="C1225" s="819">
        <v>1202.1300000000001</v>
      </c>
    </row>
    <row r="1226" spans="2:3" x14ac:dyDescent="0.35">
      <c r="B1226" s="818">
        <v>45560</v>
      </c>
      <c r="C1226" s="819">
        <v>1209.79</v>
      </c>
    </row>
    <row r="1227" spans="2:3" x14ac:dyDescent="0.35">
      <c r="B1227" s="818">
        <v>45561</v>
      </c>
      <c r="C1227" s="819">
        <v>1210.95</v>
      </c>
    </row>
    <row r="1228" spans="2:3" x14ac:dyDescent="0.35">
      <c r="B1228" s="818">
        <v>45562</v>
      </c>
      <c r="C1228" s="819">
        <v>1207.75</v>
      </c>
    </row>
    <row r="1229" spans="2:3" x14ac:dyDescent="0.35">
      <c r="B1229" s="818">
        <v>45563</v>
      </c>
      <c r="C1229" s="819">
        <v>1207.75</v>
      </c>
    </row>
    <row r="1230" spans="2:3" x14ac:dyDescent="0.35">
      <c r="B1230" s="818">
        <v>45564</v>
      </c>
      <c r="C1230" s="819">
        <v>1207.75</v>
      </c>
    </row>
    <row r="1231" spans="2:3" x14ac:dyDescent="0.35">
      <c r="B1231" s="818">
        <v>45565</v>
      </c>
      <c r="C1231" s="819">
        <v>1215.03</v>
      </c>
    </row>
    <row r="1232" spans="2:3" x14ac:dyDescent="0.35">
      <c r="B1232" s="818">
        <v>45566</v>
      </c>
      <c r="C1232" s="819">
        <v>1220.07</v>
      </c>
    </row>
    <row r="1233" spans="2:3" x14ac:dyDescent="0.35">
      <c r="B1233" s="818">
        <v>45567</v>
      </c>
      <c r="C1233" s="819">
        <v>1207.51</v>
      </c>
    </row>
    <row r="1234" spans="2:3" x14ac:dyDescent="0.35">
      <c r="B1234" s="818">
        <v>45568</v>
      </c>
      <c r="C1234" s="819">
        <v>1191.74</v>
      </c>
    </row>
    <row r="1235" spans="2:3" x14ac:dyDescent="0.35">
      <c r="B1235" s="818">
        <v>45569</v>
      </c>
      <c r="C1235" s="819">
        <v>1187.52</v>
      </c>
    </row>
    <row r="1236" spans="2:3" x14ac:dyDescent="0.35">
      <c r="B1236" s="818">
        <v>45570</v>
      </c>
      <c r="C1236" s="819">
        <v>1184.07</v>
      </c>
    </row>
    <row r="1237" spans="2:3" x14ac:dyDescent="0.35">
      <c r="B1237" s="818">
        <v>45571</v>
      </c>
      <c r="C1237" s="819">
        <v>1184.07</v>
      </c>
    </row>
    <row r="1238" spans="2:3" x14ac:dyDescent="0.35">
      <c r="B1238" s="818">
        <v>45572</v>
      </c>
      <c r="C1238" s="819">
        <v>1184.07</v>
      </c>
    </row>
    <row r="1239" spans="2:3" x14ac:dyDescent="0.35">
      <c r="B1239" s="818">
        <v>45573</v>
      </c>
      <c r="C1239" s="819">
        <v>1169.54</v>
      </c>
    </row>
    <row r="1240" spans="2:3" x14ac:dyDescent="0.35">
      <c r="B1240" s="818">
        <v>45574</v>
      </c>
      <c r="C1240" s="819">
        <v>1147.4000000000001</v>
      </c>
    </row>
    <row r="1241" spans="2:3" x14ac:dyDescent="0.35">
      <c r="B1241" s="818">
        <v>45575</v>
      </c>
      <c r="C1241" s="819">
        <v>1134.8399999999999</v>
      </c>
    </row>
    <row r="1242" spans="2:3" x14ac:dyDescent="0.35">
      <c r="B1242" s="818">
        <v>45576</v>
      </c>
      <c r="C1242" s="819">
        <v>1134.8399999999999</v>
      </c>
    </row>
    <row r="1243" spans="2:3" x14ac:dyDescent="0.35">
      <c r="B1243" s="818">
        <v>45577</v>
      </c>
      <c r="C1243" s="819">
        <v>1134.8399999999999</v>
      </c>
    </row>
    <row r="1244" spans="2:3" x14ac:dyDescent="0.35">
      <c r="B1244" s="818">
        <v>45578</v>
      </c>
      <c r="C1244" s="819">
        <v>1134.8399999999999</v>
      </c>
    </row>
    <row r="1245" spans="2:3" x14ac:dyDescent="0.35">
      <c r="B1245" s="818">
        <v>45579</v>
      </c>
      <c r="C1245" s="819">
        <v>1143.8800000000001</v>
      </c>
    </row>
    <row r="1246" spans="2:3" x14ac:dyDescent="0.35">
      <c r="B1246" s="818">
        <v>45580</v>
      </c>
      <c r="C1246" s="819">
        <v>1139.31</v>
      </c>
    </row>
    <row r="1247" spans="2:3" x14ac:dyDescent="0.35">
      <c r="B1247" s="818">
        <v>45581</v>
      </c>
      <c r="C1247" s="819">
        <v>1159.8900000000001</v>
      </c>
    </row>
    <row r="1248" spans="2:3" x14ac:dyDescent="0.35">
      <c r="B1248" s="818">
        <v>45582</v>
      </c>
      <c r="C1248" s="819">
        <v>1159.5999999999999</v>
      </c>
    </row>
    <row r="1249" spans="2:3" x14ac:dyDescent="0.35">
      <c r="B1249" s="818">
        <v>45583</v>
      </c>
      <c r="C1249" s="819">
        <v>1159.05</v>
      </c>
    </row>
    <row r="1250" spans="2:3" x14ac:dyDescent="0.35">
      <c r="B1250" s="818">
        <v>45584</v>
      </c>
      <c r="C1250" s="819">
        <v>1159.05</v>
      </c>
    </row>
    <row r="1251" spans="2:3" x14ac:dyDescent="0.35">
      <c r="B1251" s="818">
        <v>45585</v>
      </c>
      <c r="C1251" s="819">
        <v>1159.05</v>
      </c>
    </row>
    <row r="1252" spans="2:3" x14ac:dyDescent="0.35">
      <c r="B1252" s="818">
        <v>45586</v>
      </c>
      <c r="C1252" s="819">
        <v>1167.9100000000001</v>
      </c>
    </row>
    <row r="1253" spans="2:3" x14ac:dyDescent="0.35">
      <c r="B1253" s="818">
        <v>45587</v>
      </c>
      <c r="C1253" s="819">
        <v>1161.97</v>
      </c>
    </row>
    <row r="1254" spans="2:3" x14ac:dyDescent="0.35">
      <c r="B1254" s="818">
        <v>45588</v>
      </c>
      <c r="C1254" s="819">
        <v>1161.99</v>
      </c>
    </row>
    <row r="1255" spans="2:3" x14ac:dyDescent="0.35">
      <c r="B1255" s="818">
        <v>45589</v>
      </c>
      <c r="C1255" s="819">
        <v>1160</v>
      </c>
    </row>
    <row r="1256" spans="2:3" x14ac:dyDescent="0.35">
      <c r="B1256" s="818">
        <v>45590</v>
      </c>
      <c r="C1256" s="819">
        <v>1141.81</v>
      </c>
    </row>
    <row r="1257" spans="2:3" x14ac:dyDescent="0.35">
      <c r="B1257" s="818">
        <v>45591</v>
      </c>
      <c r="C1257" s="819">
        <v>1141.81</v>
      </c>
    </row>
    <row r="1258" spans="2:3" x14ac:dyDescent="0.35">
      <c r="B1258" s="818">
        <v>45592</v>
      </c>
      <c r="C1258" s="819">
        <v>1141.81</v>
      </c>
    </row>
    <row r="1259" spans="2:3" x14ac:dyDescent="0.35">
      <c r="B1259" s="818">
        <v>45593</v>
      </c>
      <c r="C1259" s="819">
        <v>1134.18</v>
      </c>
    </row>
    <row r="1260" spans="2:3" x14ac:dyDescent="0.35">
      <c r="B1260" s="818">
        <v>45594</v>
      </c>
      <c r="C1260" s="819">
        <v>1138.18</v>
      </c>
    </row>
    <row r="1261" spans="2:3" x14ac:dyDescent="0.35">
      <c r="B1261" s="818">
        <v>45595</v>
      </c>
      <c r="C1261" s="819">
        <v>1138.32</v>
      </c>
    </row>
    <row r="1262" spans="2:3" x14ac:dyDescent="0.35">
      <c r="B1262" s="818">
        <v>45596</v>
      </c>
      <c r="C1262" s="819">
        <v>1131.46</v>
      </c>
    </row>
    <row r="1263" spans="2:3" x14ac:dyDescent="0.35">
      <c r="B1263" s="818">
        <v>45597</v>
      </c>
      <c r="C1263" s="819">
        <v>1146.17</v>
      </c>
    </row>
    <row r="1264" spans="2:3" x14ac:dyDescent="0.35">
      <c r="B1264" s="818">
        <v>45598</v>
      </c>
      <c r="C1264" s="819">
        <v>1151.54</v>
      </c>
    </row>
    <row r="1265" spans="2:3" x14ac:dyDescent="0.35">
      <c r="B1265" s="818">
        <v>45599</v>
      </c>
      <c r="C1265" s="819">
        <v>1153.5</v>
      </c>
    </row>
    <row r="1266" spans="2:3" x14ac:dyDescent="0.35">
      <c r="B1266" s="818">
        <v>45600</v>
      </c>
      <c r="C1266" s="819">
        <v>1153.5</v>
      </c>
    </row>
    <row r="1267" spans="2:3" x14ac:dyDescent="0.35">
      <c r="B1267" s="818">
        <v>45601</v>
      </c>
      <c r="C1267" s="819">
        <v>1153.5</v>
      </c>
    </row>
    <row r="1268" spans="2:3" x14ac:dyDescent="0.35">
      <c r="B1268" s="818">
        <v>45602</v>
      </c>
      <c r="C1268" s="819">
        <v>1145.69</v>
      </c>
    </row>
    <row r="1269" spans="2:3" x14ac:dyDescent="0.35">
      <c r="B1269" s="818">
        <v>45603</v>
      </c>
      <c r="C1269" s="819">
        <v>1135.99</v>
      </c>
    </row>
    <row r="1270" spans="2:3" x14ac:dyDescent="0.35">
      <c r="B1270" s="818">
        <v>45604</v>
      </c>
      <c r="C1270" s="819">
        <v>1130.2</v>
      </c>
    </row>
    <row r="1271" spans="2:3" x14ac:dyDescent="0.35">
      <c r="B1271" s="818">
        <v>45605</v>
      </c>
      <c r="C1271" s="819">
        <v>1130.2</v>
      </c>
    </row>
    <row r="1272" spans="2:3" x14ac:dyDescent="0.35">
      <c r="B1272" s="818">
        <v>45606</v>
      </c>
      <c r="C1272" s="819">
        <v>1130.2</v>
      </c>
    </row>
    <row r="1273" spans="2:3" x14ac:dyDescent="0.35">
      <c r="B1273" s="818">
        <v>45607</v>
      </c>
      <c r="C1273" s="819">
        <v>1131.23</v>
      </c>
    </row>
    <row r="1274" spans="2:3" x14ac:dyDescent="0.35">
      <c r="B1274" s="818">
        <v>45608</v>
      </c>
      <c r="C1274" s="819">
        <v>1124.4000000000001</v>
      </c>
    </row>
    <row r="1275" spans="2:3" x14ac:dyDescent="0.35">
      <c r="B1275" s="818">
        <v>45609</v>
      </c>
      <c r="C1275" s="819">
        <v>1121.1099999999999</v>
      </c>
    </row>
    <row r="1276" spans="2:3" x14ac:dyDescent="0.35">
      <c r="B1276" s="818">
        <v>45610</v>
      </c>
      <c r="C1276" s="819">
        <v>1105.75</v>
      </c>
    </row>
    <row r="1277" spans="2:3" x14ac:dyDescent="0.35">
      <c r="B1277" s="818">
        <v>45611</v>
      </c>
      <c r="C1277" s="819">
        <v>1096.02</v>
      </c>
    </row>
    <row r="1278" spans="2:3" x14ac:dyDescent="0.35">
      <c r="B1278" s="818">
        <v>45612</v>
      </c>
      <c r="C1278" s="819">
        <v>1096.02</v>
      </c>
    </row>
    <row r="1279" spans="2:3" x14ac:dyDescent="0.35">
      <c r="B1279" s="818">
        <v>45613</v>
      </c>
      <c r="C1279" s="819">
        <v>1096.02</v>
      </c>
    </row>
    <row r="1280" spans="2:3" x14ac:dyDescent="0.35">
      <c r="B1280" s="818">
        <v>45614</v>
      </c>
      <c r="C1280" s="819">
        <v>1096.02</v>
      </c>
    </row>
    <row r="1281" spans="2:3" x14ac:dyDescent="0.35">
      <c r="B1281" s="818">
        <v>45615</v>
      </c>
      <c r="C1281" s="819">
        <v>1075.1199999999999</v>
      </c>
    </row>
    <row r="1282" spans="2:3" x14ac:dyDescent="0.35">
      <c r="B1282" s="818">
        <v>45616</v>
      </c>
      <c r="C1282" s="819">
        <v>1074.8599999999999</v>
      </c>
    </row>
    <row r="1283" spans="2:3" x14ac:dyDescent="0.35">
      <c r="B1283" s="818">
        <v>45617</v>
      </c>
      <c r="C1283" s="819">
        <v>1078.95</v>
      </c>
    </row>
    <row r="1284" spans="2:3" x14ac:dyDescent="0.35">
      <c r="B1284" s="818">
        <v>45618</v>
      </c>
      <c r="C1284" s="819">
        <v>1080.4000000000001</v>
      </c>
    </row>
    <row r="1285" spans="2:3" x14ac:dyDescent="0.35">
      <c r="B1285" s="818">
        <v>45619</v>
      </c>
      <c r="C1285" s="819">
        <v>1080.4000000000001</v>
      </c>
    </row>
    <row r="1286" spans="2:3" x14ac:dyDescent="0.35">
      <c r="B1286" s="818">
        <v>45620</v>
      </c>
      <c r="C1286" s="819">
        <v>1080.4000000000001</v>
      </c>
    </row>
    <row r="1287" spans="2:3" x14ac:dyDescent="0.35">
      <c r="B1287" s="818">
        <v>45621</v>
      </c>
      <c r="C1287" s="819">
        <v>1077.58</v>
      </c>
    </row>
    <row r="1288" spans="2:3" x14ac:dyDescent="0.35">
      <c r="B1288" s="818">
        <v>45622</v>
      </c>
      <c r="C1288" s="819">
        <v>1076.1199999999999</v>
      </c>
    </row>
    <row r="1289" spans="2:3" x14ac:dyDescent="0.35">
      <c r="B1289" s="818">
        <v>45623</v>
      </c>
      <c r="C1289" s="819">
        <v>1074.6099999999999</v>
      </c>
    </row>
    <row r="1290" spans="2:3" x14ac:dyDescent="0.35">
      <c r="B1290" s="818">
        <v>45624</v>
      </c>
      <c r="C1290" s="819">
        <v>1075.1500000000001</v>
      </c>
    </row>
    <row r="1291" spans="2:3" x14ac:dyDescent="0.35">
      <c r="B1291" s="818">
        <v>45625</v>
      </c>
      <c r="C1291" s="819">
        <v>1075.76</v>
      </c>
    </row>
    <row r="1292" spans="2:3" x14ac:dyDescent="0.35">
      <c r="B1292" s="818">
        <v>45626</v>
      </c>
      <c r="C1292" s="819">
        <v>1075.76</v>
      </c>
    </row>
    <row r="1293" spans="2:3" x14ac:dyDescent="0.35">
      <c r="B1293" s="818">
        <v>45627</v>
      </c>
      <c r="C1293" s="819">
        <v>1075.76</v>
      </c>
    </row>
    <row r="1294" spans="2:3" x14ac:dyDescent="0.35">
      <c r="B1294" s="818">
        <v>45628</v>
      </c>
      <c r="C1294" s="819">
        <v>1068.8900000000001</v>
      </c>
    </row>
    <row r="1295" spans="2:3" x14ac:dyDescent="0.35">
      <c r="B1295" s="818">
        <v>45629</v>
      </c>
      <c r="C1295" s="819">
        <v>1075.6500000000001</v>
      </c>
    </row>
    <row r="1296" spans="2:3" x14ac:dyDescent="0.35">
      <c r="B1296" s="818">
        <v>45630</v>
      </c>
      <c r="C1296" s="819">
        <v>1076.3399999999999</v>
      </c>
    </row>
    <row r="1297" spans="2:3" x14ac:dyDescent="0.35">
      <c r="B1297" s="818">
        <v>45631</v>
      </c>
      <c r="C1297" s="819">
        <v>1062.1600000000001</v>
      </c>
    </row>
    <row r="1298" spans="2:3" x14ac:dyDescent="0.35">
      <c r="B1298" s="818">
        <v>45632</v>
      </c>
      <c r="C1298" s="819">
        <v>1049.33</v>
      </c>
    </row>
    <row r="1299" spans="2:3" x14ac:dyDescent="0.35">
      <c r="B1299" s="818">
        <v>45633</v>
      </c>
      <c r="C1299" s="819">
        <v>1049.33</v>
      </c>
    </row>
    <row r="1300" spans="2:3" x14ac:dyDescent="0.35">
      <c r="B1300" s="818">
        <v>45634</v>
      </c>
      <c r="C1300" s="819">
        <v>1049.33</v>
      </c>
    </row>
    <row r="1301" spans="2:3" x14ac:dyDescent="0.35">
      <c r="B1301" s="818">
        <v>45635</v>
      </c>
      <c r="C1301" s="819">
        <v>1049.31</v>
      </c>
    </row>
    <row r="1302" spans="2:3" x14ac:dyDescent="0.35">
      <c r="B1302" s="818">
        <v>45636</v>
      </c>
      <c r="C1302" s="819">
        <v>1060.52</v>
      </c>
    </row>
    <row r="1303" spans="2:3" x14ac:dyDescent="0.35">
      <c r="B1303" s="818">
        <v>45637</v>
      </c>
      <c r="C1303" s="819">
        <v>1057.72</v>
      </c>
    </row>
    <row r="1304" spans="2:3" x14ac:dyDescent="0.35">
      <c r="B1304" s="818">
        <v>45638</v>
      </c>
      <c r="C1304" s="819">
        <v>1058.21</v>
      </c>
    </row>
    <row r="1305" spans="2:3" x14ac:dyDescent="0.35">
      <c r="B1305" s="818">
        <v>45639</v>
      </c>
      <c r="C1305" s="819">
        <v>1073.08</v>
      </c>
    </row>
    <row r="1306" spans="2:3" x14ac:dyDescent="0.35">
      <c r="B1306" s="818">
        <v>45640</v>
      </c>
      <c r="C1306" s="819">
        <v>1073.08</v>
      </c>
    </row>
    <row r="1307" spans="2:3" x14ac:dyDescent="0.35">
      <c r="B1307" s="818">
        <v>45641</v>
      </c>
      <c r="C1307" s="819">
        <v>1073.08</v>
      </c>
    </row>
    <row r="1308" spans="2:3" x14ac:dyDescent="0.35">
      <c r="B1308" s="818">
        <v>45642</v>
      </c>
      <c r="C1308" s="819">
        <v>1100.27</v>
      </c>
    </row>
    <row r="1309" spans="2:3" x14ac:dyDescent="0.35">
      <c r="B1309" s="818">
        <v>45643</v>
      </c>
      <c r="C1309" s="819">
        <v>1145.26</v>
      </c>
    </row>
    <row r="1310" spans="2:3" x14ac:dyDescent="0.35">
      <c r="B1310" s="818">
        <v>45644</v>
      </c>
      <c r="C1310" s="819">
        <v>1131.22</v>
      </c>
    </row>
    <row r="1311" spans="2:3" x14ac:dyDescent="0.35">
      <c r="B1311" s="818">
        <v>45645</v>
      </c>
      <c r="C1311" s="819">
        <v>1131.19</v>
      </c>
    </row>
    <row r="1312" spans="2:3" x14ac:dyDescent="0.35">
      <c r="B1312" s="818">
        <v>45646</v>
      </c>
      <c r="C1312" s="819">
        <v>1142.2</v>
      </c>
    </row>
    <row r="1313" spans="2:3" x14ac:dyDescent="0.35">
      <c r="B1313" s="818">
        <v>45647</v>
      </c>
      <c r="C1313" s="819">
        <v>1142.2</v>
      </c>
    </row>
    <row r="1314" spans="2:3" x14ac:dyDescent="0.35">
      <c r="B1314" s="818">
        <v>45648</v>
      </c>
      <c r="C1314" s="819">
        <v>1142.2</v>
      </c>
    </row>
    <row r="1315" spans="2:3" x14ac:dyDescent="0.35">
      <c r="B1315" s="818">
        <v>45649</v>
      </c>
      <c r="C1315" s="819">
        <v>1162.3</v>
      </c>
    </row>
    <row r="1316" spans="2:3" x14ac:dyDescent="0.35">
      <c r="B1316" s="818">
        <v>45650</v>
      </c>
      <c r="C1316" s="819">
        <v>1160.97</v>
      </c>
    </row>
    <row r="1317" spans="2:3" x14ac:dyDescent="0.35">
      <c r="B1317" s="818">
        <v>45651</v>
      </c>
      <c r="C1317" s="819">
        <v>1160.97</v>
      </c>
    </row>
    <row r="1318" spans="2:3" x14ac:dyDescent="0.35">
      <c r="B1318" s="818">
        <v>45652</v>
      </c>
      <c r="C1318" s="819">
        <v>1170.8900000000001</v>
      </c>
    </row>
    <row r="1319" spans="2:3" x14ac:dyDescent="0.35">
      <c r="B1319" s="818">
        <v>45653</v>
      </c>
      <c r="C1319" s="819">
        <v>1170.56</v>
      </c>
    </row>
    <row r="1320" spans="2:3" x14ac:dyDescent="0.35">
      <c r="B1320" s="818">
        <v>45654</v>
      </c>
      <c r="C1320" s="819">
        <v>1170.56</v>
      </c>
    </row>
    <row r="1321" spans="2:3" x14ac:dyDescent="0.35">
      <c r="B1321" s="818">
        <v>45655</v>
      </c>
      <c r="C1321" s="819">
        <v>1170.56</v>
      </c>
    </row>
    <row r="1322" spans="2:3" x14ac:dyDescent="0.35">
      <c r="B1322" s="818">
        <v>45656</v>
      </c>
      <c r="C1322" s="819">
        <v>1170.4100000000001</v>
      </c>
    </row>
    <row r="1323" spans="2:3" x14ac:dyDescent="0.35">
      <c r="B1323" s="818">
        <v>45657</v>
      </c>
      <c r="C1323" s="819">
        <v>1170.4100000000001</v>
      </c>
    </row>
    <row r="1324" spans="2:3" x14ac:dyDescent="0.35">
      <c r="B1324" s="818">
        <v>45658</v>
      </c>
      <c r="C1324" s="819">
        <v>1170.4100000000001</v>
      </c>
    </row>
    <row r="1325" spans="2:3" x14ac:dyDescent="0.35">
      <c r="B1325" s="818">
        <v>45659</v>
      </c>
      <c r="C1325" s="819">
        <v>1162.1199999999999</v>
      </c>
    </row>
    <row r="1326" spans="2:3" x14ac:dyDescent="0.35">
      <c r="B1326" s="818">
        <v>45660</v>
      </c>
      <c r="C1326" s="819">
        <v>1165.8800000000001</v>
      </c>
    </row>
    <row r="1327" spans="2:3" x14ac:dyDescent="0.35">
      <c r="B1327" s="818">
        <v>45661</v>
      </c>
      <c r="C1327" s="819">
        <v>1165.8800000000001</v>
      </c>
    </row>
    <row r="1328" spans="2:3" x14ac:dyDescent="0.35">
      <c r="B1328" s="818">
        <v>45662</v>
      </c>
      <c r="C1328" s="819">
        <v>1165.8800000000001</v>
      </c>
    </row>
    <row r="1329" spans="2:3" x14ac:dyDescent="0.35">
      <c r="B1329" s="818">
        <v>45663</v>
      </c>
      <c r="C1329" s="819">
        <v>1165.0899999999999</v>
      </c>
    </row>
    <row r="1330" spans="2:3" x14ac:dyDescent="0.35">
      <c r="B1330" s="818">
        <v>45664</v>
      </c>
      <c r="C1330" s="819">
        <v>1164.3699999999999</v>
      </c>
    </row>
    <row r="1331" spans="2:3" x14ac:dyDescent="0.35">
      <c r="B1331" s="818">
        <v>45665</v>
      </c>
      <c r="C1331" s="819">
        <v>1164.72</v>
      </c>
    </row>
    <row r="1332" spans="2:3" x14ac:dyDescent="0.35">
      <c r="B1332" s="818">
        <v>45666</v>
      </c>
      <c r="C1332" s="819">
        <v>1164.19</v>
      </c>
    </row>
    <row r="1333" spans="2:3" x14ac:dyDescent="0.35">
      <c r="B1333" s="818">
        <v>45667</v>
      </c>
      <c r="C1333" s="819">
        <v>1164.01</v>
      </c>
    </row>
    <row r="1334" spans="2:3" x14ac:dyDescent="0.35">
      <c r="B1334" s="818">
        <v>45668</v>
      </c>
      <c r="C1334" s="819">
        <v>1164.01</v>
      </c>
    </row>
    <row r="1335" spans="2:3" x14ac:dyDescent="0.35">
      <c r="B1335" s="818">
        <v>45669</v>
      </c>
      <c r="C1335" s="819">
        <v>1164.01</v>
      </c>
    </row>
    <row r="1336" spans="2:3" x14ac:dyDescent="0.35">
      <c r="B1336" s="818">
        <v>45670</v>
      </c>
      <c r="C1336" s="819">
        <v>1163.21</v>
      </c>
    </row>
    <row r="1337" spans="2:3" x14ac:dyDescent="0.35">
      <c r="B1337" s="818">
        <v>45671</v>
      </c>
      <c r="C1337" s="819">
        <v>1162.93</v>
      </c>
    </row>
    <row r="1338" spans="2:3" x14ac:dyDescent="0.35">
      <c r="B1338" s="818">
        <v>45672</v>
      </c>
      <c r="C1338" s="819">
        <v>1164.05</v>
      </c>
    </row>
    <row r="1339" spans="2:3" x14ac:dyDescent="0.35">
      <c r="B1339" s="818">
        <v>45673</v>
      </c>
      <c r="C1339" s="819">
        <v>1166.03</v>
      </c>
    </row>
    <row r="1340" spans="2:3" x14ac:dyDescent="0.35">
      <c r="B1340" s="818">
        <v>45674</v>
      </c>
      <c r="C1340" s="819">
        <v>1165.8399999999999</v>
      </c>
    </row>
    <row r="1341" spans="2:3" x14ac:dyDescent="0.35">
      <c r="B1341" s="818">
        <v>45675</v>
      </c>
      <c r="C1341" s="819">
        <v>1165.8399999999999</v>
      </c>
    </row>
    <row r="1342" spans="2:3" x14ac:dyDescent="0.35">
      <c r="B1342" s="818">
        <v>45676</v>
      </c>
      <c r="C1342" s="819">
        <v>1165.8399999999999</v>
      </c>
    </row>
    <row r="1343" spans="2:3" x14ac:dyDescent="0.35">
      <c r="B1343" s="818">
        <v>45677</v>
      </c>
      <c r="C1343" s="819">
        <v>1165.9000000000001</v>
      </c>
    </row>
    <row r="1344" spans="2:3" x14ac:dyDescent="0.35">
      <c r="B1344" s="818">
        <v>45678</v>
      </c>
      <c r="C1344" s="819">
        <v>1167.6099999999999</v>
      </c>
    </row>
    <row r="1345" spans="2:3" x14ac:dyDescent="0.35">
      <c r="B1345" s="818">
        <v>45679</v>
      </c>
      <c r="C1345" s="819">
        <v>1172.67</v>
      </c>
    </row>
    <row r="1346" spans="2:3" x14ac:dyDescent="0.35">
      <c r="B1346" s="818">
        <v>45680</v>
      </c>
      <c r="C1346" s="819">
        <v>1167.3499999999999</v>
      </c>
    </row>
    <row r="1347" spans="2:3" x14ac:dyDescent="0.35">
      <c r="B1347" s="818">
        <v>45681</v>
      </c>
      <c r="C1347" s="819">
        <v>1155.75</v>
      </c>
    </row>
    <row r="1348" spans="2:3" x14ac:dyDescent="0.35">
      <c r="B1348" s="818">
        <v>45682</v>
      </c>
      <c r="C1348" s="819">
        <v>1155.75</v>
      </c>
    </row>
    <row r="1349" spans="2:3" x14ac:dyDescent="0.35">
      <c r="B1349" s="818">
        <v>45683</v>
      </c>
      <c r="C1349" s="819">
        <v>1155.75</v>
      </c>
    </row>
    <row r="1350" spans="2:3" x14ac:dyDescent="0.35">
      <c r="B1350" s="818">
        <v>45684</v>
      </c>
      <c r="C1350" s="819">
        <v>1162.22</v>
      </c>
    </row>
    <row r="1351" spans="2:3" x14ac:dyDescent="0.35">
      <c r="B1351" s="818">
        <v>45685</v>
      </c>
      <c r="C1351" s="819">
        <v>1161.3800000000001</v>
      </c>
    </row>
    <row r="1352" spans="2:3" x14ac:dyDescent="0.35">
      <c r="B1352" s="818">
        <v>45686</v>
      </c>
      <c r="C1352" s="819">
        <v>1163.3599999999999</v>
      </c>
    </row>
    <row r="1353" spans="2:3" x14ac:dyDescent="0.35">
      <c r="B1353" s="818">
        <v>45687</v>
      </c>
      <c r="C1353" s="819">
        <v>1164.8900000000001</v>
      </c>
    </row>
    <row r="1354" spans="2:3" x14ac:dyDescent="0.35">
      <c r="B1354" s="818">
        <v>45688</v>
      </c>
      <c r="C1354" s="819">
        <v>1164.79</v>
      </c>
    </row>
    <row r="1355" spans="2:3" x14ac:dyDescent="0.35">
      <c r="B1355" s="818">
        <v>45689</v>
      </c>
      <c r="C1355" s="819">
        <v>1164.79</v>
      </c>
    </row>
    <row r="1356" spans="2:3" x14ac:dyDescent="0.35">
      <c r="B1356" s="818">
        <v>45690</v>
      </c>
      <c r="C1356" s="819">
        <v>1164.79</v>
      </c>
    </row>
    <row r="1357" spans="2:3" x14ac:dyDescent="0.35">
      <c r="B1357" s="818">
        <v>45691</v>
      </c>
      <c r="C1357" s="819">
        <v>1178.82</v>
      </c>
    </row>
    <row r="1358" spans="2:3" x14ac:dyDescent="0.35">
      <c r="B1358" s="818">
        <v>45692</v>
      </c>
      <c r="C1358" s="819">
        <v>1188</v>
      </c>
    </row>
    <row r="1359" spans="2:3" x14ac:dyDescent="0.35">
      <c r="B1359" s="818">
        <v>45693</v>
      </c>
      <c r="C1359" s="819">
        <v>1191.94</v>
      </c>
    </row>
    <row r="1360" spans="2:3" x14ac:dyDescent="0.35">
      <c r="B1360" s="818">
        <v>45694</v>
      </c>
      <c r="C1360" s="819">
        <v>1189.03</v>
      </c>
    </row>
    <row r="1361" spans="2:3" x14ac:dyDescent="0.35">
      <c r="B1361" s="818">
        <v>45695</v>
      </c>
      <c r="C1361" s="819">
        <v>1194.47</v>
      </c>
    </row>
    <row r="1362" spans="2:3" x14ac:dyDescent="0.35">
      <c r="B1362" s="818">
        <v>45696</v>
      </c>
      <c r="C1362" s="819">
        <v>1194.47</v>
      </c>
    </row>
    <row r="1363" spans="2:3" x14ac:dyDescent="0.35">
      <c r="B1363" s="818">
        <v>45697</v>
      </c>
      <c r="C1363" s="819">
        <v>1194.47</v>
      </c>
    </row>
    <row r="1364" spans="2:3" x14ac:dyDescent="0.35">
      <c r="B1364" s="818">
        <v>45698</v>
      </c>
      <c r="C1364" s="819">
        <v>1184.07</v>
      </c>
    </row>
    <row r="1365" spans="2:3" x14ac:dyDescent="0.35">
      <c r="B1365" s="818">
        <v>45699</v>
      </c>
      <c r="C1365" s="819">
        <v>1180.8499999999999</v>
      </c>
    </row>
    <row r="1366" spans="2:3" x14ac:dyDescent="0.35">
      <c r="B1366" s="818">
        <v>45700</v>
      </c>
      <c r="C1366" s="819">
        <v>1186.3499999999999</v>
      </c>
    </row>
    <row r="1367" spans="2:3" x14ac:dyDescent="0.35">
      <c r="B1367" s="818">
        <v>45701</v>
      </c>
      <c r="C1367" s="819">
        <v>1187.8900000000001</v>
      </c>
    </row>
    <row r="1368" spans="2:3" x14ac:dyDescent="0.35">
      <c r="B1368" s="818">
        <v>45702</v>
      </c>
      <c r="C1368" s="819">
        <v>1183.8800000000001</v>
      </c>
    </row>
    <row r="1369" spans="2:3" x14ac:dyDescent="0.35">
      <c r="B1369" s="818">
        <v>45703</v>
      </c>
      <c r="C1369" s="819">
        <v>1183.8800000000001</v>
      </c>
    </row>
    <row r="1370" spans="2:3" x14ac:dyDescent="0.35">
      <c r="B1370" s="818">
        <v>45704</v>
      </c>
      <c r="C1370" s="819">
        <v>1183.8800000000001</v>
      </c>
    </row>
    <row r="1371" spans="2:3" x14ac:dyDescent="0.35">
      <c r="B1371" s="818">
        <v>45705</v>
      </c>
      <c r="C1371" s="819">
        <v>1210.0899999999999</v>
      </c>
    </row>
    <row r="1372" spans="2:3" x14ac:dyDescent="0.35">
      <c r="B1372" s="818">
        <v>45706</v>
      </c>
      <c r="C1372" s="819">
        <v>1203.1600000000001</v>
      </c>
    </row>
    <row r="1373" spans="2:3" x14ac:dyDescent="0.35">
      <c r="B1373" s="818">
        <v>45707</v>
      </c>
      <c r="C1373" s="819">
        <v>1201.8599999999999</v>
      </c>
    </row>
    <row r="1374" spans="2:3" x14ac:dyDescent="0.35">
      <c r="B1374" s="818">
        <v>45708</v>
      </c>
      <c r="C1374" s="819">
        <v>1206.06</v>
      </c>
    </row>
    <row r="1375" spans="2:3" x14ac:dyDescent="0.35">
      <c r="B1375" s="818">
        <v>45709</v>
      </c>
      <c r="C1375" s="819">
        <v>1205.8800000000001</v>
      </c>
    </row>
    <row r="1376" spans="2:3" x14ac:dyDescent="0.35">
      <c r="B1376" s="818">
        <v>45710</v>
      </c>
      <c r="C1376" s="819">
        <v>1205.8800000000001</v>
      </c>
    </row>
    <row r="1377" spans="2:3" x14ac:dyDescent="0.35">
      <c r="B1377" s="818">
        <v>45711</v>
      </c>
      <c r="C1377" s="819">
        <v>1205.8800000000001</v>
      </c>
    </row>
    <row r="1378" spans="2:3" x14ac:dyDescent="0.35">
      <c r="B1378" s="818">
        <v>45712</v>
      </c>
      <c r="C1378" s="819">
        <v>1207.48</v>
      </c>
    </row>
    <row r="1379" spans="2:3" x14ac:dyDescent="0.35">
      <c r="B1379" s="818">
        <v>45713</v>
      </c>
      <c r="C1379" s="819">
        <v>1211.96</v>
      </c>
    </row>
    <row r="1380" spans="2:3" x14ac:dyDescent="0.35">
      <c r="B1380" s="818">
        <v>45714</v>
      </c>
      <c r="C1380" s="819">
        <v>1211.04</v>
      </c>
    </row>
    <row r="1381" spans="2:3" x14ac:dyDescent="0.35">
      <c r="B1381" s="818">
        <v>45715</v>
      </c>
      <c r="C1381" s="819">
        <v>1215.29</v>
      </c>
    </row>
    <row r="1382" spans="2:3" x14ac:dyDescent="0.35">
      <c r="B1382" s="818">
        <v>45716</v>
      </c>
      <c r="C1382" s="819">
        <v>1228.48</v>
      </c>
    </row>
    <row r="1383" spans="2:3" x14ac:dyDescent="0.35">
      <c r="B1383" s="818">
        <v>45717</v>
      </c>
      <c r="C1383" s="819">
        <v>1228.48</v>
      </c>
    </row>
    <row r="1384" spans="2:3" x14ac:dyDescent="0.35">
      <c r="B1384" s="818">
        <v>45718</v>
      </c>
      <c r="C1384" s="819">
        <v>1228.48</v>
      </c>
    </row>
    <row r="1385" spans="2:3" x14ac:dyDescent="0.35">
      <c r="B1385" s="818">
        <v>45719</v>
      </c>
      <c r="C1385" s="819">
        <v>1228.48</v>
      </c>
    </row>
    <row r="1386" spans="2:3" x14ac:dyDescent="0.35">
      <c r="B1386" s="818">
        <v>45720</v>
      </c>
      <c r="C1386" s="819">
        <v>1228.48</v>
      </c>
    </row>
    <row r="1387" spans="2:3" x14ac:dyDescent="0.35">
      <c r="B1387" s="818">
        <v>45721</v>
      </c>
      <c r="C1387" s="819">
        <v>1235.31</v>
      </c>
    </row>
    <row r="1388" spans="2:3" x14ac:dyDescent="0.35">
      <c r="B1388" s="818">
        <v>45722</v>
      </c>
      <c r="C1388" s="819">
        <v>1237.8599999999999</v>
      </c>
    </row>
    <row r="1389" spans="2:3" x14ac:dyDescent="0.35">
      <c r="B1389" s="818">
        <v>45723</v>
      </c>
      <c r="C1389" s="819">
        <v>1221.93</v>
      </c>
    </row>
    <row r="1390" spans="2:3" x14ac:dyDescent="0.35">
      <c r="B1390" s="818">
        <v>45724</v>
      </c>
      <c r="C1390" s="819">
        <v>1221.93</v>
      </c>
    </row>
    <row r="1391" spans="2:3" x14ac:dyDescent="0.35">
      <c r="B1391" s="818">
        <v>45725</v>
      </c>
      <c r="C1391" s="819">
        <v>1221.93</v>
      </c>
    </row>
    <row r="1392" spans="2:3" x14ac:dyDescent="0.35">
      <c r="B1392" s="818">
        <v>45726</v>
      </c>
      <c r="C1392" s="819">
        <v>1228.92</v>
      </c>
    </row>
    <row r="1393" spans="2:3" x14ac:dyDescent="0.35">
      <c r="B1393" s="818">
        <v>45727</v>
      </c>
      <c r="C1393" s="819">
        <v>1230.3800000000001</v>
      </c>
    </row>
    <row r="1394" spans="2:3" x14ac:dyDescent="0.35">
      <c r="B1394" s="818">
        <v>45728</v>
      </c>
      <c r="C1394" s="819">
        <v>1229.3399999999999</v>
      </c>
    </row>
    <row r="1395" spans="2:3" x14ac:dyDescent="0.35">
      <c r="B1395" s="818">
        <v>45729</v>
      </c>
      <c r="C1395" s="819">
        <v>1233.55</v>
      </c>
    </row>
    <row r="1396" spans="2:3" x14ac:dyDescent="0.35">
      <c r="B1396" s="818">
        <v>45730</v>
      </c>
      <c r="C1396" s="819">
        <v>1237.78</v>
      </c>
    </row>
    <row r="1397" spans="2:3" x14ac:dyDescent="0.35">
      <c r="B1397" s="818">
        <v>45731</v>
      </c>
      <c r="C1397" s="819">
        <v>1237.78</v>
      </c>
    </row>
    <row r="1398" spans="2:3" x14ac:dyDescent="0.35">
      <c r="B1398" s="818">
        <v>45732</v>
      </c>
      <c r="C1398" s="819">
        <v>1237.78</v>
      </c>
    </row>
    <row r="1399" spans="2:3" x14ac:dyDescent="0.35">
      <c r="B1399" s="818">
        <v>45733</v>
      </c>
      <c r="C1399" s="819">
        <v>1250.5899999999999</v>
      </c>
    </row>
    <row r="1400" spans="2:3" x14ac:dyDescent="0.35">
      <c r="B1400" s="818">
        <v>45734</v>
      </c>
      <c r="C1400" s="819" t="s">
        <v>548</v>
      </c>
    </row>
    <row r="1401" spans="2:3" x14ac:dyDescent="0.35">
      <c r="B1401" s="818">
        <v>45735</v>
      </c>
      <c r="C1401" s="819" t="s">
        <v>549</v>
      </c>
    </row>
    <row r="1402" spans="2:3" x14ac:dyDescent="0.35">
      <c r="B1402" s="818">
        <v>45736</v>
      </c>
      <c r="C1402" s="819" t="s">
        <v>550</v>
      </c>
    </row>
    <row r="1403" spans="2:3" x14ac:dyDescent="0.35">
      <c r="B1403" s="818">
        <v>45737</v>
      </c>
      <c r="C1403" s="819">
        <v>1287.22</v>
      </c>
    </row>
    <row r="1404" spans="2:3" x14ac:dyDescent="0.35">
      <c r="B1404" s="818">
        <v>45738</v>
      </c>
      <c r="C1404" s="819">
        <v>1287.22</v>
      </c>
    </row>
    <row r="1405" spans="2:3" x14ac:dyDescent="0.35">
      <c r="B1405" s="818">
        <v>45739</v>
      </c>
      <c r="C1405" s="819">
        <v>1287.22</v>
      </c>
    </row>
    <row r="1406" spans="2:3" x14ac:dyDescent="0.35">
      <c r="B1406" s="818">
        <v>45740</v>
      </c>
      <c r="C1406" s="819">
        <v>1287.22</v>
      </c>
    </row>
    <row r="1407" spans="2:3" x14ac:dyDescent="0.35">
      <c r="B1407" s="818">
        <v>45741</v>
      </c>
      <c r="C1407" s="819">
        <v>1294.3</v>
      </c>
    </row>
    <row r="1408" spans="2:3" x14ac:dyDescent="0.35">
      <c r="B1408" s="818">
        <v>45742</v>
      </c>
      <c r="C1408" s="819">
        <v>1295.6300000000001</v>
      </c>
    </row>
    <row r="1409" spans="2:3" x14ac:dyDescent="0.35">
      <c r="B1409" s="818">
        <v>45743</v>
      </c>
      <c r="C1409" s="819">
        <v>1292.29</v>
      </c>
    </row>
    <row r="1410" spans="2:3" x14ac:dyDescent="0.35">
      <c r="B1410" s="818">
        <v>45744</v>
      </c>
      <c r="C1410" s="819">
        <v>1302.44</v>
      </c>
    </row>
    <row r="1411" spans="2:3" x14ac:dyDescent="0.35">
      <c r="B1411" s="818">
        <v>45745</v>
      </c>
      <c r="C1411" s="819">
        <v>1302.44</v>
      </c>
    </row>
    <row r="1412" spans="2:3" x14ac:dyDescent="0.35">
      <c r="B1412" s="818">
        <v>45746</v>
      </c>
      <c r="C1412" s="819">
        <v>1302.44</v>
      </c>
    </row>
    <row r="1413" spans="2:3" x14ac:dyDescent="0.35">
      <c r="B1413" s="818">
        <v>45747</v>
      </c>
      <c r="C1413" s="819">
        <v>1313.97</v>
      </c>
    </row>
    <row r="1414" spans="2:3" x14ac:dyDescent="0.35">
      <c r="B1414" s="818">
        <v>45748</v>
      </c>
      <c r="C1414" s="819">
        <v>1314.47</v>
      </c>
    </row>
    <row r="1415" spans="2:3" x14ac:dyDescent="0.35">
      <c r="B1415" s="818">
        <v>45749</v>
      </c>
      <c r="C1415" s="819">
        <v>1314.47</v>
      </c>
    </row>
    <row r="1416" spans="2:3" x14ac:dyDescent="0.35">
      <c r="B1416" s="818">
        <v>45750</v>
      </c>
      <c r="C1416" s="819">
        <v>1319.42</v>
      </c>
    </row>
    <row r="1417" spans="2:3" x14ac:dyDescent="0.35">
      <c r="B1417" s="818">
        <v>45751</v>
      </c>
      <c r="C1417" s="819">
        <v>1340.44</v>
      </c>
    </row>
    <row r="1418" spans="2:3" x14ac:dyDescent="0.35">
      <c r="B1418" s="818">
        <v>45752</v>
      </c>
      <c r="C1418" s="819">
        <v>1340.44</v>
      </c>
    </row>
    <row r="1419" spans="2:3" x14ac:dyDescent="0.35">
      <c r="B1419" s="818">
        <v>45753</v>
      </c>
      <c r="C1419" s="819">
        <v>1340.44</v>
      </c>
    </row>
    <row r="1420" spans="2:3" x14ac:dyDescent="0.35">
      <c r="B1420" s="818">
        <v>45754</v>
      </c>
      <c r="C1420" s="819">
        <v>1370.35</v>
      </c>
    </row>
    <row r="1421" spans="2:3" x14ac:dyDescent="0.35">
      <c r="B1421" s="818">
        <v>45755</v>
      </c>
      <c r="C1421" s="819">
        <v>1376.58</v>
      </c>
    </row>
    <row r="1422" spans="2:3" x14ac:dyDescent="0.35">
      <c r="B1422" s="818">
        <v>45756</v>
      </c>
      <c r="C1422" s="819">
        <v>1341.72</v>
      </c>
    </row>
    <row r="1423" spans="2:3" x14ac:dyDescent="0.35">
      <c r="B1423" s="818">
        <v>45757</v>
      </c>
      <c r="C1423" s="819">
        <v>1364.01</v>
      </c>
    </row>
    <row r="1424" spans="2:3" x14ac:dyDescent="0.35">
      <c r="B1424" s="818">
        <v>45758</v>
      </c>
      <c r="C1424" s="819">
        <v>1333.33</v>
      </c>
    </row>
    <row r="1425" spans="2:3" x14ac:dyDescent="0.35">
      <c r="B1425" s="818">
        <v>45759</v>
      </c>
      <c r="C1425" s="819">
        <v>1333.33</v>
      </c>
    </row>
    <row r="1426" spans="2:3" x14ac:dyDescent="0.35">
      <c r="B1426" s="818">
        <v>45760</v>
      </c>
      <c r="C1426" s="819">
        <v>1333.33</v>
      </c>
    </row>
    <row r="1427" spans="2:3" x14ac:dyDescent="0.35">
      <c r="B1427" s="818">
        <v>45761</v>
      </c>
      <c r="C1427" s="819">
        <v>1253.4000000000001</v>
      </c>
    </row>
    <row r="1428" spans="2:3" x14ac:dyDescent="0.35">
      <c r="B1428" s="818">
        <v>45762</v>
      </c>
      <c r="C1428" s="819">
        <v>1237.9000000000001</v>
      </c>
    </row>
    <row r="1429" spans="2:3" x14ac:dyDescent="0.35">
      <c r="B1429" s="818">
        <v>45763</v>
      </c>
      <c r="C1429" s="819">
        <v>1165.93</v>
      </c>
    </row>
    <row r="1430" spans="2:3" x14ac:dyDescent="0.35">
      <c r="B1430" s="818">
        <v>45764</v>
      </c>
      <c r="C1430" s="819">
        <v>1165.93</v>
      </c>
    </row>
    <row r="1431" spans="2:3" x14ac:dyDescent="0.35">
      <c r="B1431" s="818">
        <v>45765</v>
      </c>
      <c r="C1431" s="819">
        <v>1165.93</v>
      </c>
    </row>
    <row r="1432" spans="2:3" x14ac:dyDescent="0.35">
      <c r="B1432" s="818">
        <v>45766</v>
      </c>
      <c r="C1432" s="819">
        <v>1165.93</v>
      </c>
    </row>
    <row r="1433" spans="2:3" x14ac:dyDescent="0.35">
      <c r="B1433" s="818">
        <v>45767</v>
      </c>
      <c r="C1433" s="819">
        <v>1165.93</v>
      </c>
    </row>
    <row r="1434" spans="2:3" x14ac:dyDescent="0.35">
      <c r="B1434" s="818">
        <v>45768</v>
      </c>
      <c r="C1434" s="819">
        <v>1122.08</v>
      </c>
    </row>
    <row r="1435" spans="2:3" x14ac:dyDescent="0.35">
      <c r="B1435" s="818">
        <v>45769</v>
      </c>
      <c r="C1435" s="819">
        <v>1140.3800000000001</v>
      </c>
    </row>
    <row r="1436" spans="2:3" x14ac:dyDescent="0.35">
      <c r="B1436" s="818">
        <v>45770</v>
      </c>
      <c r="C1436" s="819">
        <v>1168</v>
      </c>
    </row>
    <row r="1437" spans="2:3" x14ac:dyDescent="0.35">
      <c r="B1437" s="818">
        <v>45771</v>
      </c>
      <c r="C1437" s="819">
        <v>1186.53</v>
      </c>
    </row>
    <row r="1438" spans="2:3" x14ac:dyDescent="0.35">
      <c r="B1438" s="818">
        <v>45772</v>
      </c>
      <c r="C1438" s="819">
        <v>1184.24</v>
      </c>
    </row>
    <row r="1439" spans="2:3" x14ac:dyDescent="0.35">
      <c r="B1439" s="818">
        <v>45773</v>
      </c>
      <c r="C1439" s="819">
        <v>1184.24</v>
      </c>
    </row>
    <row r="1440" spans="2:3" x14ac:dyDescent="0.35">
      <c r="B1440" s="818">
        <v>45774</v>
      </c>
      <c r="C1440" s="819">
        <v>1184.24</v>
      </c>
    </row>
    <row r="1441" spans="2:3" x14ac:dyDescent="0.35">
      <c r="B1441" s="818">
        <v>45775</v>
      </c>
      <c r="C1441" s="819">
        <v>1176.55</v>
      </c>
    </row>
    <row r="1442" spans="2:3" x14ac:dyDescent="0.35">
      <c r="B1442" s="818">
        <v>45776</v>
      </c>
      <c r="C1442" s="819">
        <v>1173.1500000000001</v>
      </c>
    </row>
    <row r="1443" spans="2:3" x14ac:dyDescent="0.35">
      <c r="B1443" s="818">
        <v>45777</v>
      </c>
      <c r="C1443" s="819">
        <v>1183.3699999999999</v>
      </c>
    </row>
    <row r="1444" spans="2:3" x14ac:dyDescent="0.35">
      <c r="B1444" s="818">
        <v>45778</v>
      </c>
      <c r="C1444" s="819">
        <v>1183.3699999999999</v>
      </c>
    </row>
    <row r="1445" spans="2:3" x14ac:dyDescent="0.35">
      <c r="B1445" s="818">
        <v>45779</v>
      </c>
      <c r="C1445" s="819">
        <v>1183.3699999999999</v>
      </c>
    </row>
    <row r="1446" spans="2:3" x14ac:dyDescent="0.35">
      <c r="B1446" s="818">
        <v>45780</v>
      </c>
      <c r="C1446" s="819">
        <v>1183.3699999999999</v>
      </c>
    </row>
    <row r="1447" spans="2:3" x14ac:dyDescent="0.35">
      <c r="B1447" s="818">
        <v>45781</v>
      </c>
      <c r="C1447" s="819">
        <v>1183.3699999999999</v>
      </c>
    </row>
    <row r="1448" spans="2:3" x14ac:dyDescent="0.35">
      <c r="B1448" s="818">
        <v>45782</v>
      </c>
      <c r="C1448" s="819">
        <v>1202.92</v>
      </c>
    </row>
    <row r="1449" spans="2:3" x14ac:dyDescent="0.35">
      <c r="B1449" s="818">
        <v>45783</v>
      </c>
      <c r="C1449" s="819">
        <v>1199.6099999999999</v>
      </c>
    </row>
    <row r="1450" spans="2:3" x14ac:dyDescent="0.35">
      <c r="B1450" s="818">
        <v>45784</v>
      </c>
      <c r="C1450" s="819">
        <v>1156.07</v>
      </c>
    </row>
    <row r="1451" spans="2:3" x14ac:dyDescent="0.35">
      <c r="B1451" s="818">
        <v>45785</v>
      </c>
      <c r="C1451" s="819">
        <v>1143.32</v>
      </c>
    </row>
    <row r="1452" spans="2:3" x14ac:dyDescent="0.35">
      <c r="B1452" s="818">
        <v>45786</v>
      </c>
      <c r="C1452" s="819">
        <v>1144.1099999999999</v>
      </c>
    </row>
    <row r="1453" spans="2:3" x14ac:dyDescent="0.35">
      <c r="B1453" s="818">
        <v>45787</v>
      </c>
      <c r="C1453" s="819">
        <v>1144.1099999999999</v>
      </c>
    </row>
    <row r="1454" spans="2:3" x14ac:dyDescent="0.35">
      <c r="B1454" s="818">
        <v>45788</v>
      </c>
      <c r="C1454" s="819">
        <v>1144.1099999999999</v>
      </c>
    </row>
    <row r="1455" spans="2:3" x14ac:dyDescent="0.35">
      <c r="B1455" s="818">
        <v>45789</v>
      </c>
      <c r="C1455" s="819">
        <v>1141.2</v>
      </c>
    </row>
    <row r="1456" spans="2:3" x14ac:dyDescent="0.35">
      <c r="B1456" s="818">
        <v>45790</v>
      </c>
      <c r="C1456" s="819">
        <v>1140.92</v>
      </c>
    </row>
    <row r="1457" spans="2:3" x14ac:dyDescent="0.35">
      <c r="B1457" s="818">
        <v>45791</v>
      </c>
      <c r="C1457" s="819">
        <v>1140.92</v>
      </c>
    </row>
    <row r="1458" spans="2:3" x14ac:dyDescent="0.35">
      <c r="B1458" s="818">
        <v>45792</v>
      </c>
      <c r="C1458" s="819">
        <v>1140.92</v>
      </c>
    </row>
    <row r="1459" spans="2:3" x14ac:dyDescent="0.35">
      <c r="B1459" s="818">
        <v>45793</v>
      </c>
      <c r="C1459" s="819">
        <v>1155.1199999999999</v>
      </c>
    </row>
    <row r="1460" spans="2:3" x14ac:dyDescent="0.35">
      <c r="B1460" s="818">
        <v>45794</v>
      </c>
      <c r="C1460" s="819">
        <v>1155.1199999999999</v>
      </c>
    </row>
    <row r="1461" spans="2:3" x14ac:dyDescent="0.35">
      <c r="B1461" s="818">
        <v>45795</v>
      </c>
      <c r="C1461" s="819">
        <v>1155.1199999999999</v>
      </c>
    </row>
    <row r="1462" spans="2:3" x14ac:dyDescent="0.35">
      <c r="B1462" s="818">
        <v>45796</v>
      </c>
      <c r="C1462" s="819">
        <v>1148.77</v>
      </c>
    </row>
    <row r="1463" spans="2:3" x14ac:dyDescent="0.35">
      <c r="B1463" s="818">
        <v>45797</v>
      </c>
      <c r="C1463" s="819">
        <v>1153.33</v>
      </c>
    </row>
    <row r="1464" spans="2:3" x14ac:dyDescent="0.35">
      <c r="B1464" s="818">
        <v>45798</v>
      </c>
      <c r="C1464" s="819">
        <v>1148.8</v>
      </c>
    </row>
    <row r="1465" spans="2:3" x14ac:dyDescent="0.35">
      <c r="B1465" s="818">
        <v>45799</v>
      </c>
      <c r="C1465" s="819">
        <v>1143.49</v>
      </c>
    </row>
    <row r="1466" spans="2:3" x14ac:dyDescent="0.35">
      <c r="B1466" s="818">
        <v>45800</v>
      </c>
      <c r="C1466" s="819">
        <v>1143.32</v>
      </c>
    </row>
    <row r="1467" spans="2:3" x14ac:dyDescent="0.35">
      <c r="B1467" s="818">
        <v>45801</v>
      </c>
      <c r="C1467" s="819">
        <v>1143.32</v>
      </c>
    </row>
    <row r="1468" spans="2:3" x14ac:dyDescent="0.35">
      <c r="B1468" s="818">
        <v>45802</v>
      </c>
      <c r="C1468" s="819">
        <v>1143.32</v>
      </c>
    </row>
    <row r="1469" spans="2:3" x14ac:dyDescent="0.35">
      <c r="B1469" s="818">
        <v>45803</v>
      </c>
      <c r="C1469" s="819">
        <v>1145.42</v>
      </c>
    </row>
    <row r="1470" spans="2:3" x14ac:dyDescent="0.35">
      <c r="B1470" s="818">
        <v>45804</v>
      </c>
      <c r="C1470" s="819">
        <v>1161.3</v>
      </c>
    </row>
    <row r="1471" spans="2:3" x14ac:dyDescent="0.35">
      <c r="B1471" s="818">
        <v>45805</v>
      </c>
      <c r="C1471" s="819">
        <v>1164.8</v>
      </c>
    </row>
    <row r="1472" spans="2:3" x14ac:dyDescent="0.35">
      <c r="B1472" s="818">
        <v>45806</v>
      </c>
      <c r="C1472" s="819">
        <v>1181.9000000000001</v>
      </c>
    </row>
    <row r="1473" spans="2:3" x14ac:dyDescent="0.35">
      <c r="B1473" s="818">
        <v>45807</v>
      </c>
      <c r="C1473" s="819">
        <v>1191.72</v>
      </c>
    </row>
    <row r="1474" spans="2:3" x14ac:dyDescent="0.35">
      <c r="B1474" s="818">
        <v>45808</v>
      </c>
      <c r="C1474" s="819">
        <v>1191.72</v>
      </c>
    </row>
    <row r="1475" spans="2:3" x14ac:dyDescent="0.35">
      <c r="B1475" s="818">
        <v>45809</v>
      </c>
      <c r="C1475" s="819">
        <v>1191.72</v>
      </c>
    </row>
    <row r="1476" spans="2:3" x14ac:dyDescent="0.35">
      <c r="B1476" s="818">
        <v>45810</v>
      </c>
      <c r="C1476" s="819">
        <v>1183.78</v>
      </c>
    </row>
    <row r="1477" spans="2:3" x14ac:dyDescent="0.35">
      <c r="B1477" s="818">
        <v>45811</v>
      </c>
      <c r="C1477" s="819">
        <v>1189.67</v>
      </c>
    </row>
    <row r="1478" spans="2:3" x14ac:dyDescent="0.35">
      <c r="B1478" s="818">
        <v>45812</v>
      </c>
      <c r="C1478" s="819">
        <v>1193.22</v>
      </c>
    </row>
    <row r="1479" spans="2:3" x14ac:dyDescent="0.35">
      <c r="B1479" s="818">
        <v>45813</v>
      </c>
      <c r="C1479" s="819">
        <v>1192.3800000000001</v>
      </c>
    </row>
    <row r="1480" spans="2:3" x14ac:dyDescent="0.35">
      <c r="B1480" s="818">
        <v>45814</v>
      </c>
      <c r="C1480" s="819">
        <v>1192.4000000000001</v>
      </c>
    </row>
    <row r="1481" spans="2:3" x14ac:dyDescent="0.35">
      <c r="B1481" s="818">
        <v>45815</v>
      </c>
      <c r="C1481" s="819">
        <v>1192.4000000000001</v>
      </c>
    </row>
    <row r="1482" spans="2:3" x14ac:dyDescent="0.35">
      <c r="B1482" s="818">
        <v>45816</v>
      </c>
      <c r="C1482" s="819">
        <v>1192.4000000000001</v>
      </c>
    </row>
    <row r="1483" spans="2:3" x14ac:dyDescent="0.35">
      <c r="B1483" s="818">
        <v>45817</v>
      </c>
      <c r="C1483" s="819">
        <v>1192.1600000000001</v>
      </c>
    </row>
    <row r="1484" spans="2:3" x14ac:dyDescent="0.35">
      <c r="B1484" s="818">
        <v>45818</v>
      </c>
      <c r="C1484" s="819">
        <v>1189.44</v>
      </c>
    </row>
    <row r="1485" spans="2:3" x14ac:dyDescent="0.35">
      <c r="B1485" s="818">
        <v>45819</v>
      </c>
      <c r="C1485" s="819">
        <v>1186.93</v>
      </c>
    </row>
    <row r="1486" spans="2:3" x14ac:dyDescent="0.35">
      <c r="B1486" s="818">
        <v>45820</v>
      </c>
      <c r="C1486" s="819">
        <v>1186.51</v>
      </c>
    </row>
    <row r="1487" spans="2:3" x14ac:dyDescent="0.35">
      <c r="B1487" s="818">
        <v>45821</v>
      </c>
      <c r="C1487" s="819">
        <v>1191.74</v>
      </c>
    </row>
    <row r="1488" spans="2:3" x14ac:dyDescent="0.35">
      <c r="B1488" s="818">
        <v>45822</v>
      </c>
      <c r="C1488" s="819">
        <v>1191.74</v>
      </c>
    </row>
    <row r="1489" spans="2:3" x14ac:dyDescent="0.35">
      <c r="B1489" s="818">
        <v>45823</v>
      </c>
      <c r="C1489" s="819">
        <v>1191.74</v>
      </c>
    </row>
    <row r="1490" spans="2:3" x14ac:dyDescent="0.35">
      <c r="B1490" s="818">
        <v>45824</v>
      </c>
      <c r="C1490" s="819">
        <v>1191.06</v>
      </c>
    </row>
    <row r="1491" spans="2:3" x14ac:dyDescent="0.35">
      <c r="B1491" s="818">
        <v>45825</v>
      </c>
      <c r="C1491" s="819">
        <v>1190.22</v>
      </c>
    </row>
    <row r="1492" spans="2:3" x14ac:dyDescent="0.35">
      <c r="B1492" s="818">
        <v>45826</v>
      </c>
      <c r="C1492" s="819">
        <v>1167.07</v>
      </c>
    </row>
    <row r="1493" spans="2:3" x14ac:dyDescent="0.35">
      <c r="B1493" s="818">
        <v>45827</v>
      </c>
      <c r="C1493" s="819">
        <v>1174.03</v>
      </c>
    </row>
    <row r="1494" spans="2:3" x14ac:dyDescent="0.35">
      <c r="B1494" s="818">
        <v>45828</v>
      </c>
      <c r="C1494" s="819">
        <v>1174.03</v>
      </c>
    </row>
    <row r="1495" spans="2:3" x14ac:dyDescent="0.35">
      <c r="B1495" s="818">
        <v>45829</v>
      </c>
      <c r="C1495" s="819">
        <v>1174.03</v>
      </c>
    </row>
    <row r="1496" spans="2:3" x14ac:dyDescent="0.35">
      <c r="B1496" s="818">
        <v>45830</v>
      </c>
      <c r="C1496" s="819">
        <v>1174.03</v>
      </c>
    </row>
    <row r="1497" spans="2:3" x14ac:dyDescent="0.35">
      <c r="B1497" s="818">
        <v>45831</v>
      </c>
      <c r="C1497" s="819">
        <v>1185.1500000000001</v>
      </c>
    </row>
    <row r="1498" spans="2:3" x14ac:dyDescent="0.35">
      <c r="B1498" s="818">
        <v>45832</v>
      </c>
      <c r="C1498" s="819">
        <v>1184.49</v>
      </c>
    </row>
    <row r="1499" spans="2:3" x14ac:dyDescent="0.35">
      <c r="B1499" s="818">
        <v>45833</v>
      </c>
      <c r="C1499" s="819">
        <v>1196.43</v>
      </c>
    </row>
    <row r="1500" spans="2:3" x14ac:dyDescent="0.35">
      <c r="B1500" s="818">
        <v>45834</v>
      </c>
      <c r="C1500" s="819">
        <v>1199.28</v>
      </c>
    </row>
    <row r="1501" spans="2:3" x14ac:dyDescent="0.35">
      <c r="B1501" s="818">
        <v>45835</v>
      </c>
      <c r="C1501" s="819">
        <v>1197.54</v>
      </c>
    </row>
    <row r="1502" spans="2:3" x14ac:dyDescent="0.35">
      <c r="B1502" s="818">
        <v>45836</v>
      </c>
      <c r="C1502" s="819">
        <v>1197.54</v>
      </c>
    </row>
    <row r="1503" spans="2:3" x14ac:dyDescent="0.35">
      <c r="B1503" s="818">
        <v>45837</v>
      </c>
      <c r="C1503" s="819">
        <v>1197.54</v>
      </c>
    </row>
    <row r="1504" spans="2:3" x14ac:dyDescent="0.35">
      <c r="B1504" s="818">
        <v>45838</v>
      </c>
      <c r="C1504" s="819">
        <v>1211.0999999999999</v>
      </c>
    </row>
    <row r="1505" spans="2:3" x14ac:dyDescent="0.35">
      <c r="B1505" s="818">
        <v>45839</v>
      </c>
      <c r="C1505" s="819">
        <v>1232.83</v>
      </c>
    </row>
    <row r="1506" spans="2:3" x14ac:dyDescent="0.35">
      <c r="B1506" s="818">
        <v>45840</v>
      </c>
      <c r="C1506" s="819">
        <v>1238.5999999999999</v>
      </c>
    </row>
    <row r="1507" spans="2:3" x14ac:dyDescent="0.35">
      <c r="B1507" s="818">
        <v>45841</v>
      </c>
      <c r="C1507" s="819">
        <v>1238.3699999999999</v>
      </c>
    </row>
    <row r="1508" spans="2:3" x14ac:dyDescent="0.35">
      <c r="B1508" s="818">
        <v>45842</v>
      </c>
      <c r="C1508" s="819">
        <v>1246.92</v>
      </c>
    </row>
    <row r="1509" spans="2:3" x14ac:dyDescent="0.35">
      <c r="B1509" s="818">
        <v>45843</v>
      </c>
      <c r="C1509" s="819">
        <v>1246.92</v>
      </c>
    </row>
    <row r="1510" spans="2:3" x14ac:dyDescent="0.35">
      <c r="B1510" s="818">
        <v>45844</v>
      </c>
      <c r="C1510" s="819">
        <v>1246.92</v>
      </c>
    </row>
    <row r="1511" spans="2:3" x14ac:dyDescent="0.35">
      <c r="B1511" s="818">
        <v>45845</v>
      </c>
      <c r="C1511" s="819">
        <v>1276.44</v>
      </c>
    </row>
    <row r="1512" spans="2:3" x14ac:dyDescent="0.35">
      <c r="B1512" s="818">
        <v>45846</v>
      </c>
      <c r="C1512" s="819">
        <v>1259.0899999999999</v>
      </c>
    </row>
    <row r="1513" spans="2:3" x14ac:dyDescent="0.35">
      <c r="B1513" s="818">
        <v>45847</v>
      </c>
      <c r="C1513" s="819">
        <v>1259.0899999999999</v>
      </c>
    </row>
    <row r="1514" spans="2:3" x14ac:dyDescent="0.35">
      <c r="B1514" s="818">
        <v>45848</v>
      </c>
      <c r="C1514" s="819">
        <v>1267.8699999999999</v>
      </c>
    </row>
    <row r="1515" spans="2:3" x14ac:dyDescent="0.35">
      <c r="B1515" s="818">
        <v>45849</v>
      </c>
      <c r="C1515" s="819">
        <v>1269.0999999999999</v>
      </c>
    </row>
    <row r="1516" spans="2:3" x14ac:dyDescent="0.35">
      <c r="B1516" s="818">
        <v>45850</v>
      </c>
      <c r="C1516" s="819">
        <v>1269.0999999999999</v>
      </c>
    </row>
    <row r="1517" spans="2:3" x14ac:dyDescent="0.35">
      <c r="B1517" s="818">
        <v>45851</v>
      </c>
      <c r="C1517" s="819">
        <v>1269.0999999999999</v>
      </c>
    </row>
    <row r="1518" spans="2:3" x14ac:dyDescent="0.35">
      <c r="B1518" s="818">
        <v>45852</v>
      </c>
      <c r="C1518" s="819">
        <v>1295.8399999999999</v>
      </c>
    </row>
    <row r="1519" spans="2:3" x14ac:dyDescent="0.35">
      <c r="B1519" s="818">
        <v>45853</v>
      </c>
      <c r="C1519" s="819">
        <v>1276.07</v>
      </c>
    </row>
    <row r="1520" spans="2:3" x14ac:dyDescent="0.35">
      <c r="B1520" s="818">
        <v>45854</v>
      </c>
      <c r="C1520" s="819">
        <v>1269.99</v>
      </c>
    </row>
    <row r="1521" spans="2:3" x14ac:dyDescent="0.35">
      <c r="B1521" s="818">
        <v>45855</v>
      </c>
      <c r="C1521" s="819">
        <v>1280.96</v>
      </c>
    </row>
    <row r="1522" spans="2:3" x14ac:dyDescent="0.35">
      <c r="B1522" s="818">
        <v>45856</v>
      </c>
      <c r="C1522" s="819">
        <v>1292.8699999999999</v>
      </c>
    </row>
    <row r="1523" spans="2:3" x14ac:dyDescent="0.35">
      <c r="B1523" s="818">
        <v>45857</v>
      </c>
      <c r="C1523" s="819">
        <v>1292.8699999999999</v>
      </c>
    </row>
    <row r="1524" spans="2:3" x14ac:dyDescent="0.35">
      <c r="B1524" s="818">
        <v>45858</v>
      </c>
      <c r="C1524" s="819">
        <v>1292.8699999999999</v>
      </c>
    </row>
    <row r="1525" spans="2:3" x14ac:dyDescent="0.35">
      <c r="B1525" s="818">
        <v>45859</v>
      </c>
      <c r="C1525" s="819">
        <v>1281.33</v>
      </c>
    </row>
    <row r="1526" spans="2:3" x14ac:dyDescent="0.35">
      <c r="B1526" s="818">
        <v>45860</v>
      </c>
      <c r="C1526" s="819">
        <v>1260.71</v>
      </c>
    </row>
    <row r="1527" spans="2:3" x14ac:dyDescent="0.35">
      <c r="B1527" s="818">
        <v>45861</v>
      </c>
      <c r="C1527" s="819">
        <v>1264.6500000000001</v>
      </c>
    </row>
    <row r="1528" spans="2:3" x14ac:dyDescent="0.35">
      <c r="B1528" s="818">
        <v>45862</v>
      </c>
      <c r="C1528" s="819">
        <v>1272.9100000000001</v>
      </c>
    </row>
    <row r="1529" spans="2:3" x14ac:dyDescent="0.35">
      <c r="B1529" s="818">
        <v>45863</v>
      </c>
      <c r="C1529" s="819">
        <v>1285.98</v>
      </c>
    </row>
    <row r="1530" spans="2:3" x14ac:dyDescent="0.35">
      <c r="B1530" s="818">
        <v>45864</v>
      </c>
      <c r="C1530" s="819">
        <v>1285.98</v>
      </c>
    </row>
    <row r="1531" spans="2:3" x14ac:dyDescent="0.35">
      <c r="B1531" s="818">
        <v>45865</v>
      </c>
      <c r="C1531" s="819">
        <v>1285.98</v>
      </c>
    </row>
    <row r="1532" spans="2:3" x14ac:dyDescent="0.35">
      <c r="B1532" s="818">
        <v>45866</v>
      </c>
      <c r="C1532" s="819">
        <v>1296.25</v>
      </c>
    </row>
    <row r="1533" spans="2:3" x14ac:dyDescent="0.35">
      <c r="B1533" s="818">
        <v>45867</v>
      </c>
      <c r="C1533" s="819">
        <v>1294.45</v>
      </c>
    </row>
    <row r="1534" spans="2:3" x14ac:dyDescent="0.35">
      <c r="B1534" s="818">
        <v>45868</v>
      </c>
      <c r="C1534" s="819">
        <v>1322.36</v>
      </c>
    </row>
    <row r="1535" spans="2:3" x14ac:dyDescent="0.35">
      <c r="B1535" s="818">
        <v>45869</v>
      </c>
      <c r="C1535" s="819">
        <v>1359.76</v>
      </c>
    </row>
    <row r="1536" spans="2:3" x14ac:dyDescent="0.35">
      <c r="B1536" s="818">
        <v>45870</v>
      </c>
      <c r="C1536" s="819">
        <v>1357.56</v>
      </c>
    </row>
    <row r="1537" spans="2:3" x14ac:dyDescent="0.35">
      <c r="B1537" s="818">
        <v>45871</v>
      </c>
      <c r="C1537" s="819">
        <v>1357.56</v>
      </c>
    </row>
    <row r="1538" spans="2:3" x14ac:dyDescent="0.35">
      <c r="B1538" s="818">
        <v>45872</v>
      </c>
      <c r="C1538" s="819">
        <v>1357.56</v>
      </c>
    </row>
    <row r="1539" spans="2:3" x14ac:dyDescent="0.35">
      <c r="B1539" s="818">
        <v>45873</v>
      </c>
      <c r="C1539" s="819">
        <v>1356.15</v>
      </c>
    </row>
    <row r="1540" spans="2:3" x14ac:dyDescent="0.35">
      <c r="B1540" s="818">
        <v>45874</v>
      </c>
      <c r="C1540" s="819">
        <v>1344.27</v>
      </c>
    </row>
    <row r="1541" spans="2:3" x14ac:dyDescent="0.35">
      <c r="B1541" s="818">
        <v>45875</v>
      </c>
      <c r="C1541" s="819">
        <v>1334.88</v>
      </c>
    </row>
    <row r="1542" spans="2:3" x14ac:dyDescent="0.35">
      <c r="B1542" s="818">
        <v>45876</v>
      </c>
      <c r="C1542" s="819">
        <v>1327.8</v>
      </c>
    </row>
    <row r="1543" spans="2:3" x14ac:dyDescent="0.35">
      <c r="B1543" s="818">
        <v>45877</v>
      </c>
      <c r="C1543" s="819">
        <v>1332.23</v>
      </c>
    </row>
    <row r="1544" spans="2:3" x14ac:dyDescent="0.35">
      <c r="B1544" s="818">
        <v>45878</v>
      </c>
      <c r="C1544" s="819">
        <v>1332.23</v>
      </c>
    </row>
    <row r="1545" spans="2:3" x14ac:dyDescent="0.35">
      <c r="B1545" s="818">
        <v>45879</v>
      </c>
      <c r="C1545" s="819">
        <v>1332.23</v>
      </c>
    </row>
    <row r="1546" spans="2:3" x14ac:dyDescent="0.35">
      <c r="B1546" s="818">
        <v>45880</v>
      </c>
      <c r="C1546" s="819">
        <v>1324.65</v>
      </c>
    </row>
    <row r="1547" spans="2:3" x14ac:dyDescent="0.35">
      <c r="B1547" s="818">
        <v>45881</v>
      </c>
      <c r="C1547" s="819">
        <v>1323.46</v>
      </c>
    </row>
    <row r="1548" spans="2:3" x14ac:dyDescent="0.35">
      <c r="B1548" s="818">
        <v>45882</v>
      </c>
      <c r="C1548" s="819">
        <v>1325.5</v>
      </c>
    </row>
    <row r="1549" spans="2:3" x14ac:dyDescent="0.35">
      <c r="B1549" s="818">
        <v>45883</v>
      </c>
      <c r="C1549" s="819">
        <v>1308.1300000000001</v>
      </c>
    </row>
    <row r="1550" spans="2:3" x14ac:dyDescent="0.35">
      <c r="B1550" s="818">
        <v>45884</v>
      </c>
      <c r="C1550" s="819">
        <v>1308.1300000000001</v>
      </c>
    </row>
    <row r="1551" spans="2:3" x14ac:dyDescent="0.35">
      <c r="B1551" s="818">
        <v>45885</v>
      </c>
      <c r="C1551" s="819">
        <v>1308.1300000000001</v>
      </c>
    </row>
    <row r="1552" spans="2:3" x14ac:dyDescent="0.35">
      <c r="B1552" s="818">
        <v>45886</v>
      </c>
      <c r="C1552" s="819">
        <v>1308.1300000000001</v>
      </c>
    </row>
    <row r="1553" spans="2:3" x14ac:dyDescent="0.35">
      <c r="B1553" s="818">
        <v>45887</v>
      </c>
      <c r="C1553" s="819">
        <v>1301.06</v>
      </c>
    </row>
    <row r="1554" spans="2:3" x14ac:dyDescent="0.35">
      <c r="B1554" s="818">
        <v>45888</v>
      </c>
      <c r="C1554" s="819">
        <v>1297.02</v>
      </c>
    </row>
    <row r="1555" spans="2:3" x14ac:dyDescent="0.35">
      <c r="B1555" s="818">
        <v>45889</v>
      </c>
      <c r="C1555" s="819">
        <v>1309.5999999999999</v>
      </c>
    </row>
    <row r="1556" spans="2:3" x14ac:dyDescent="0.35">
      <c r="B1556" s="818">
        <v>45890</v>
      </c>
      <c r="C1556" s="819">
        <v>1321.87</v>
      </c>
    </row>
    <row r="1557" spans="2:3" x14ac:dyDescent="0.35">
      <c r="B1557" s="818">
        <v>45891</v>
      </c>
      <c r="C1557" s="819">
        <v>1329.08</v>
      </c>
    </row>
    <row r="1558" spans="2:3" x14ac:dyDescent="0.35">
      <c r="B1558" s="818">
        <v>45892</v>
      </c>
      <c r="C1558" s="819">
        <v>1329.08</v>
      </c>
    </row>
    <row r="1559" spans="2:3" x14ac:dyDescent="0.35">
      <c r="B1559" s="818">
        <v>45893</v>
      </c>
      <c r="C1559" s="819">
        <v>1329.08</v>
      </c>
    </row>
    <row r="1560" spans="2:3" x14ac:dyDescent="0.35">
      <c r="B1560" s="818">
        <v>45894</v>
      </c>
      <c r="C1560" s="819">
        <v>1362.22</v>
      </c>
    </row>
    <row r="1561" spans="2:3" x14ac:dyDescent="0.35">
      <c r="B1561" s="818">
        <v>45895</v>
      </c>
      <c r="C1561" s="819">
        <v>1352.46</v>
      </c>
    </row>
    <row r="1562" spans="2:3" x14ac:dyDescent="0.35">
      <c r="B1562" s="818">
        <v>45896</v>
      </c>
      <c r="C1562" s="819">
        <v>1357.27</v>
      </c>
    </row>
    <row r="1563" spans="2:3" x14ac:dyDescent="0.35">
      <c r="B1563" s="818">
        <v>45897</v>
      </c>
      <c r="C1563" s="819">
        <v>1344.05</v>
      </c>
    </row>
    <row r="1564" spans="2:3" x14ac:dyDescent="0.35">
      <c r="B1564" s="818">
        <v>45898</v>
      </c>
      <c r="C1564" s="819">
        <v>1357.34</v>
      </c>
    </row>
    <row r="1565" spans="2:3" x14ac:dyDescent="0.35">
      <c r="B1565" s="818">
        <v>45899</v>
      </c>
      <c r="C1565" s="819">
        <v>1357.34</v>
      </c>
    </row>
    <row r="1566" spans="2:3" x14ac:dyDescent="0.35">
      <c r="B1566" s="818">
        <v>45900</v>
      </c>
      <c r="C1566" s="819">
        <v>1357.34</v>
      </c>
    </row>
    <row r="1567" spans="2:3" x14ac:dyDescent="0.35">
      <c r="B1567" s="818">
        <v>45901</v>
      </c>
      <c r="C1567" s="819">
        <v>1376.49</v>
      </c>
    </row>
    <row r="1568" spans="2:3" x14ac:dyDescent="0.35">
      <c r="B1568" s="818">
        <v>45902</v>
      </c>
      <c r="C1568" s="819">
        <v>1365.62</v>
      </c>
    </row>
    <row r="1569" spans="2:3" x14ac:dyDescent="0.35">
      <c r="B1569" s="818">
        <v>45903</v>
      </c>
      <c r="C1569" s="819">
        <v>1370.14</v>
      </c>
    </row>
    <row r="1570" spans="2:3" x14ac:dyDescent="0.35">
      <c r="B1570" s="818">
        <v>45904</v>
      </c>
      <c r="C1570" s="819">
        <v>1378.31</v>
      </c>
    </row>
    <row r="1571" spans="2:3" x14ac:dyDescent="0.35">
      <c r="B1571" s="818">
        <v>45905</v>
      </c>
      <c r="C1571" s="819">
        <v>1383.33</v>
      </c>
    </row>
    <row r="1572" spans="2:3" x14ac:dyDescent="0.35">
      <c r="B1572" s="818">
        <v>45906</v>
      </c>
      <c r="C1572" s="819">
        <v>1383.33</v>
      </c>
    </row>
    <row r="1573" spans="2:3" x14ac:dyDescent="0.35">
      <c r="B1573" s="818">
        <v>45907</v>
      </c>
      <c r="C1573" s="819">
        <v>1383.33</v>
      </c>
    </row>
    <row r="1574" spans="2:3" x14ac:dyDescent="0.35">
      <c r="B1574" s="818">
        <v>45908</v>
      </c>
      <c r="C1574" s="819">
        <v>1434.92</v>
      </c>
    </row>
    <row r="1575" spans="2:3" x14ac:dyDescent="0.35">
      <c r="B1575" s="818">
        <v>45909</v>
      </c>
      <c r="C1575" s="819">
        <v>1430.74</v>
      </c>
    </row>
    <row r="1576" spans="2:3" x14ac:dyDescent="0.35">
      <c r="B1576" s="818">
        <v>45910</v>
      </c>
      <c r="C1576" s="819">
        <v>1428.49</v>
      </c>
    </row>
    <row r="1577" spans="2:3" x14ac:dyDescent="0.35">
      <c r="B1577" s="818">
        <v>45911</v>
      </c>
      <c r="C1577" s="819">
        <v>1451.12</v>
      </c>
    </row>
    <row r="1578" spans="2:3" x14ac:dyDescent="0.35">
      <c r="B1578" s="818">
        <v>45912</v>
      </c>
      <c r="C1578" s="819">
        <v>1468.46</v>
      </c>
    </row>
    <row r="1579" spans="2:3" x14ac:dyDescent="0.35">
      <c r="B1579" s="818">
        <v>45913</v>
      </c>
      <c r="C1579" s="819">
        <v>1468.46</v>
      </c>
    </row>
    <row r="1580" spans="2:3" x14ac:dyDescent="0.35">
      <c r="B1580" s="818">
        <v>45914</v>
      </c>
      <c r="C1580" s="819">
        <v>1468.46</v>
      </c>
    </row>
    <row r="1581" spans="2:3" x14ac:dyDescent="0.35">
      <c r="B1581" s="818">
        <v>45915</v>
      </c>
      <c r="C1581" s="819">
        <v>1488.06</v>
      </c>
    </row>
    <row r="1582" spans="2:3" x14ac:dyDescent="0.35">
      <c r="B1582" s="818">
        <v>45916</v>
      </c>
      <c r="C1582" s="819">
        <v>1469.91</v>
      </c>
    </row>
    <row r="1583" spans="2:3" x14ac:dyDescent="0.35">
      <c r="B1583" s="818">
        <v>45917</v>
      </c>
      <c r="C1583" s="819">
        <v>1486.47</v>
      </c>
    </row>
    <row r="1584" spans="2:3" x14ac:dyDescent="0.35">
      <c r="B1584" s="818">
        <v>45918</v>
      </c>
      <c r="C1584" s="819">
        <v>1535.4</v>
      </c>
    </row>
    <row r="1585" spans="2:3" x14ac:dyDescent="0.35">
      <c r="B1585" s="818">
        <v>45919</v>
      </c>
      <c r="C1585" s="819">
        <v>1551.03</v>
      </c>
    </row>
    <row r="1586" spans="2:3" x14ac:dyDescent="0.35">
      <c r="B1586" s="818">
        <v>45920</v>
      </c>
      <c r="C1586" s="819">
        <v>1551.03</v>
      </c>
    </row>
    <row r="1587" spans="2:3" x14ac:dyDescent="0.35">
      <c r="B1587" s="818">
        <v>45921</v>
      </c>
      <c r="C1587" s="819">
        <v>1551.03</v>
      </c>
    </row>
    <row r="1588" spans="2:3" x14ac:dyDescent="0.35">
      <c r="B1588" s="818">
        <v>45922</v>
      </c>
      <c r="C1588" s="819">
        <v>1427.51</v>
      </c>
    </row>
    <row r="1589" spans="2:3" x14ac:dyDescent="0.35">
      <c r="B1589" s="818">
        <v>45923</v>
      </c>
      <c r="C1589" s="819">
        <v>1405.02</v>
      </c>
    </row>
    <row r="1590" spans="2:3" x14ac:dyDescent="0.35">
      <c r="B1590" s="818">
        <v>45924</v>
      </c>
      <c r="C1590" s="819">
        <v>1369.47</v>
      </c>
    </row>
    <row r="1591" spans="2:3" x14ac:dyDescent="0.35">
      <c r="B1591" s="818">
        <v>45925</v>
      </c>
      <c r="C1591" s="819">
        <v>1380.13</v>
      </c>
    </row>
    <row r="1592" spans="2:3" x14ac:dyDescent="0.35">
      <c r="B1592" s="818">
        <v>45926</v>
      </c>
      <c r="C1592" s="819">
        <v>1431.44</v>
      </c>
    </row>
    <row r="1593" spans="2:3" x14ac:dyDescent="0.35">
      <c r="B1593" s="818">
        <v>45927</v>
      </c>
      <c r="C1593" s="819">
        <v>1431.44</v>
      </c>
    </row>
    <row r="1594" spans="2:3" x14ac:dyDescent="0.35">
      <c r="B1594" s="818">
        <v>45928</v>
      </c>
      <c r="C1594" s="819">
        <v>1431.44</v>
      </c>
    </row>
    <row r="1595" spans="2:3" x14ac:dyDescent="0.35">
      <c r="B1595" s="818">
        <v>45929</v>
      </c>
      <c r="C1595" s="819">
        <v>1454.91</v>
      </c>
    </row>
    <row r="1596" spans="2:3" x14ac:dyDescent="0.35">
      <c r="B1596" s="818">
        <v>45930</v>
      </c>
      <c r="C1596" s="819">
        <v>1494.02</v>
      </c>
    </row>
    <row r="1597" spans="2:3" x14ac:dyDescent="0.35">
      <c r="B1597" s="818">
        <v>45931</v>
      </c>
      <c r="C1597" s="819">
        <v>1523</v>
      </c>
    </row>
    <row r="1598" spans="2:3" x14ac:dyDescent="0.35">
      <c r="B1598" s="818">
        <v>45932</v>
      </c>
      <c r="C1598" s="819">
        <v>1500</v>
      </c>
    </row>
    <row r="1599" spans="2:3" x14ac:dyDescent="0.35">
      <c r="B1599" s="818">
        <v>45933</v>
      </c>
      <c r="C1599" s="819">
        <v>1498.81</v>
      </c>
    </row>
    <row r="1600" spans="2:3" x14ac:dyDescent="0.35">
      <c r="B1600" s="818">
        <v>45934</v>
      </c>
      <c r="C1600" s="819">
        <v>1498.81</v>
      </c>
    </row>
    <row r="1601" spans="2:3" x14ac:dyDescent="0.35">
      <c r="B1601" s="818">
        <v>45935</v>
      </c>
      <c r="C1601" s="819">
        <v>1498.81</v>
      </c>
    </row>
    <row r="1602" spans="2:3" x14ac:dyDescent="0.35">
      <c r="B1602" s="818">
        <v>45936</v>
      </c>
      <c r="C1602" s="819">
        <v>1499.11</v>
      </c>
    </row>
    <row r="1603" spans="2:3" x14ac:dyDescent="0.35">
      <c r="B1603" s="818">
        <v>45937</v>
      </c>
      <c r="C1603" s="819">
        <v>1533.95</v>
      </c>
    </row>
    <row r="1604" spans="2:3" x14ac:dyDescent="0.35">
      <c r="B1604" s="818">
        <v>45938</v>
      </c>
      <c r="C1604" s="819">
        <v>1527.95</v>
      </c>
    </row>
    <row r="1605" spans="2:3" x14ac:dyDescent="0.35">
      <c r="B1605" s="818">
        <v>45939</v>
      </c>
      <c r="C1605" s="819">
        <v>1440.81</v>
      </c>
    </row>
    <row r="1606" spans="2:3" x14ac:dyDescent="0.35">
      <c r="B1606" s="818">
        <v>45940</v>
      </c>
      <c r="C1606" s="819">
        <v>1440.81</v>
      </c>
    </row>
    <row r="1607" spans="2:3" x14ac:dyDescent="0.35">
      <c r="B1607" s="818">
        <v>45941</v>
      </c>
      <c r="C1607" s="819">
        <v>1440.81</v>
      </c>
    </row>
    <row r="1608" spans="2:3" x14ac:dyDescent="0.35">
      <c r="B1608" s="818">
        <v>45942</v>
      </c>
      <c r="C1608" s="819">
        <v>1440.81</v>
      </c>
    </row>
    <row r="1609" spans="2:3" x14ac:dyDescent="0.35">
      <c r="B1609" s="818">
        <v>45943</v>
      </c>
      <c r="C1609" s="819">
        <v>1409.92</v>
      </c>
    </row>
    <row r="1610" spans="2:3" x14ac:dyDescent="0.35">
      <c r="B1610" s="818">
        <v>45944</v>
      </c>
      <c r="C1610" s="819">
        <v>1454.99</v>
      </c>
    </row>
    <row r="1611" spans="2:3" x14ac:dyDescent="0.35">
      <c r="B1611" s="818">
        <v>45945</v>
      </c>
      <c r="C1611" s="819">
        <v>1441.77</v>
      </c>
    </row>
    <row r="1612" spans="2:3" x14ac:dyDescent="0.35">
      <c r="B1612" s="818">
        <v>45946</v>
      </c>
      <c r="C1612" s="819">
        <v>1473.52</v>
      </c>
    </row>
    <row r="1613" spans="2:3" x14ac:dyDescent="0.35">
      <c r="B1613" s="818">
        <v>45947</v>
      </c>
      <c r="C1613" s="819">
        <v>1541.49</v>
      </c>
    </row>
    <row r="1614" spans="2:3" x14ac:dyDescent="0.35">
      <c r="B1614" s="818">
        <v>45948</v>
      </c>
      <c r="C1614" s="819">
        <v>1541.49</v>
      </c>
    </row>
    <row r="1615" spans="2:3" x14ac:dyDescent="0.35">
      <c r="B1615" s="818">
        <v>45949</v>
      </c>
      <c r="C1615" s="819">
        <v>1541.49</v>
      </c>
    </row>
    <row r="1616" spans="2:3" x14ac:dyDescent="0.35">
      <c r="B1616" s="818">
        <v>45950</v>
      </c>
      <c r="C1616" s="819">
        <v>1552.82</v>
      </c>
    </row>
    <row r="1617" spans="2:3" x14ac:dyDescent="0.35">
      <c r="B1617" s="818">
        <v>45951</v>
      </c>
      <c r="C1617" s="819">
        <v>1591.57</v>
      </c>
    </row>
    <row r="1618" spans="2:3" x14ac:dyDescent="0.35">
      <c r="B1618" s="818">
        <v>45952</v>
      </c>
      <c r="C1618" s="819">
        <v>1592.99</v>
      </c>
    </row>
    <row r="1619" spans="2:3" x14ac:dyDescent="0.35">
      <c r="B1619" s="818">
        <v>45953</v>
      </c>
      <c r="C1619" s="819">
        <v>1533.7</v>
      </c>
    </row>
    <row r="1620" spans="2:3" x14ac:dyDescent="0.35">
      <c r="B1620" s="818">
        <v>45954</v>
      </c>
      <c r="C1620" s="819">
        <v>1549.44</v>
      </c>
    </row>
    <row r="1621" spans="2:3" x14ac:dyDescent="0.35">
      <c r="B1621" s="818">
        <v>45955</v>
      </c>
      <c r="C1621" s="819">
        <v>1549.44</v>
      </c>
    </row>
    <row r="1622" spans="2:3" x14ac:dyDescent="0.35">
      <c r="B1622" s="818">
        <v>45956</v>
      </c>
      <c r="C1622" s="819">
        <v>1549.44</v>
      </c>
    </row>
    <row r="1623" spans="2:3" x14ac:dyDescent="0.35">
      <c r="B1623" s="818">
        <v>45957</v>
      </c>
      <c r="C1623" s="819">
        <v>1440.79</v>
      </c>
    </row>
    <row r="1624" spans="2:3" x14ac:dyDescent="0.35">
      <c r="B1624" s="818">
        <v>45958</v>
      </c>
      <c r="C1624" s="819">
        <v>1477.87</v>
      </c>
    </row>
    <row r="1625" spans="2:3" x14ac:dyDescent="0.35">
      <c r="B1625" s="818">
        <v>45959</v>
      </c>
      <c r="C1625" s="819">
        <v>1475.21</v>
      </c>
    </row>
    <row r="1626" spans="2:3" x14ac:dyDescent="0.35">
      <c r="B1626" s="818">
        <v>45960</v>
      </c>
      <c r="C1626" s="819">
        <v>1470.6</v>
      </c>
    </row>
    <row r="1627" spans="2:3" x14ac:dyDescent="0.35">
      <c r="B1627" s="818">
        <v>45961</v>
      </c>
      <c r="C1627" s="819">
        <v>1477.46</v>
      </c>
    </row>
    <row r="1628" spans="2:3" x14ac:dyDescent="0.35">
      <c r="B1628" s="818">
        <v>45962</v>
      </c>
      <c r="C1628" s="819">
        <v>1477.46</v>
      </c>
    </row>
    <row r="1629" spans="2:3" x14ac:dyDescent="0.35">
      <c r="B1629" s="818">
        <v>45963</v>
      </c>
      <c r="C1629" s="819">
        <v>1477.46</v>
      </c>
    </row>
    <row r="1630" spans="2:3" x14ac:dyDescent="0.35">
      <c r="B1630" s="818">
        <v>45964</v>
      </c>
      <c r="C1630" s="819">
        <v>1500.47</v>
      </c>
    </row>
    <row r="1631" spans="2:3" x14ac:dyDescent="0.35">
      <c r="B1631" s="818">
        <v>45965</v>
      </c>
      <c r="C1631" s="819">
        <v>1495.58</v>
      </c>
    </row>
    <row r="1632" spans="2:3" x14ac:dyDescent="0.35">
      <c r="B1632" s="818">
        <v>45966</v>
      </c>
      <c r="C1632" s="819">
        <v>1478.74</v>
      </c>
    </row>
    <row r="1633" spans="2:3" x14ac:dyDescent="0.35">
      <c r="B1633" s="818">
        <v>45967</v>
      </c>
      <c r="C1633" s="819">
        <v>1480.23</v>
      </c>
    </row>
    <row r="1634" spans="2:3" x14ac:dyDescent="0.35">
      <c r="B1634" s="818">
        <v>45968</v>
      </c>
      <c r="C1634" s="819">
        <v>1454.69</v>
      </c>
    </row>
    <row r="1635" spans="2:3" x14ac:dyDescent="0.35">
      <c r="B1635" s="818">
        <v>45969</v>
      </c>
      <c r="C1635" s="819">
        <v>1454.69</v>
      </c>
    </row>
    <row r="1636" spans="2:3" x14ac:dyDescent="0.35">
      <c r="B1636" s="818">
        <v>45970</v>
      </c>
      <c r="C1636" s="819">
        <v>1454.69</v>
      </c>
    </row>
    <row r="1637" spans="2:3" x14ac:dyDescent="0.35">
      <c r="B1637" s="818">
        <v>45971</v>
      </c>
      <c r="C1637" s="819">
        <v>1458.18</v>
      </c>
    </row>
    <row r="1638" spans="2:3" x14ac:dyDescent="0.35">
      <c r="B1638" s="818">
        <v>45972</v>
      </c>
      <c r="C1638" s="819">
        <v>1455.43</v>
      </c>
    </row>
    <row r="1639" spans="2:3" x14ac:dyDescent="0.35">
      <c r="B1639" s="818">
        <v>45973</v>
      </c>
      <c r="C1639" s="819">
        <v>1451.89</v>
      </c>
    </row>
    <row r="1640" spans="2:3" x14ac:dyDescent="0.35">
      <c r="B1640" s="818">
        <v>45974</v>
      </c>
      <c r="C1640" s="819">
        <v>1462.04</v>
      </c>
    </row>
    <row r="1641" spans="2:3" x14ac:dyDescent="0.35">
      <c r="B1641" s="818">
        <v>45975</v>
      </c>
      <c r="C1641" s="819">
        <v>1451.17</v>
      </c>
    </row>
    <row r="1642" spans="2:3" x14ac:dyDescent="0.35">
      <c r="B1642" s="818">
        <v>45976</v>
      </c>
      <c r="C1642" s="819">
        <v>1451.17</v>
      </c>
    </row>
    <row r="1643" spans="2:3" x14ac:dyDescent="0.35">
      <c r="B1643" s="818">
        <v>45977</v>
      </c>
      <c r="C1643" s="819">
        <v>1451.17</v>
      </c>
    </row>
    <row r="1644" spans="2:3" x14ac:dyDescent="0.35">
      <c r="B1644" s="818">
        <v>45978</v>
      </c>
      <c r="C1644" s="819">
        <v>1448.93</v>
      </c>
    </row>
    <row r="1645" spans="2:3" x14ac:dyDescent="0.35">
      <c r="B1645" s="818">
        <v>45979</v>
      </c>
      <c r="C1645" s="819">
        <v>1440.51</v>
      </c>
    </row>
    <row r="1646" spans="2:3" x14ac:dyDescent="0.35">
      <c r="B1646" s="818">
        <v>45980</v>
      </c>
      <c r="C1646" s="819">
        <v>1441.13</v>
      </c>
    </row>
    <row r="1647" spans="2:3" x14ac:dyDescent="0.35">
      <c r="B1647" s="818">
        <v>45981</v>
      </c>
      <c r="C1647" s="819">
        <v>1452.76</v>
      </c>
    </row>
    <row r="1648" spans="2:3" x14ac:dyDescent="0.35">
      <c r="B1648" s="818">
        <v>45982</v>
      </c>
      <c r="C1648" s="819">
        <v>1460.35</v>
      </c>
    </row>
    <row r="1649" spans="2:3" x14ac:dyDescent="0.35">
      <c r="B1649" s="818">
        <v>45983</v>
      </c>
      <c r="C1649" s="819">
        <v>1460.35</v>
      </c>
    </row>
    <row r="1650" spans="2:3" x14ac:dyDescent="0.35">
      <c r="B1650" s="818">
        <v>45984</v>
      </c>
      <c r="C1650" s="819">
        <v>1460.35</v>
      </c>
    </row>
    <row r="1651" spans="2:3" x14ac:dyDescent="0.35">
      <c r="B1651" s="818">
        <v>45985</v>
      </c>
      <c r="C1651" s="819">
        <v>1460.35</v>
      </c>
    </row>
    <row r="1652" spans="2:3" x14ac:dyDescent="0.35">
      <c r="B1652" s="818">
        <v>45986</v>
      </c>
      <c r="C1652" s="819">
        <v>1480.68</v>
      </c>
    </row>
    <row r="1653" spans="2:3" x14ac:dyDescent="0.35">
      <c r="B1653" s="818">
        <v>45987</v>
      </c>
      <c r="C1653" s="819">
        <v>1487.55</v>
      </c>
    </row>
    <row r="1654" spans="2:3" x14ac:dyDescent="0.35">
      <c r="B1654" s="818">
        <v>45988</v>
      </c>
      <c r="C1654" s="819">
        <v>1481.82</v>
      </c>
    </row>
    <row r="1655" spans="2:3" x14ac:dyDescent="0.35">
      <c r="B1655" s="818">
        <v>45989</v>
      </c>
      <c r="C1655" s="819">
        <v>1476.42</v>
      </c>
    </row>
    <row r="1656" spans="2:3" x14ac:dyDescent="0.35">
      <c r="B1656" s="818">
        <v>45990</v>
      </c>
      <c r="C1656" s="819">
        <v>1476.42</v>
      </c>
    </row>
    <row r="1657" spans="2:3" x14ac:dyDescent="0.35">
      <c r="B1657" s="818">
        <v>45991</v>
      </c>
      <c r="C1657" s="819">
        <v>1476.42</v>
      </c>
    </row>
    <row r="1658" spans="2:3" x14ac:dyDescent="0.35">
      <c r="B1658" s="818">
        <v>45992</v>
      </c>
      <c r="C1658" s="819">
        <v>1475.23</v>
      </c>
    </row>
    <row r="1659" spans="2:3" x14ac:dyDescent="0.35">
      <c r="B1659" s="818">
        <v>45993</v>
      </c>
      <c r="C1659" s="819">
        <v>1477.35</v>
      </c>
    </row>
    <row r="1660" spans="2:3" x14ac:dyDescent="0.35">
      <c r="B1660" s="818">
        <v>45994</v>
      </c>
      <c r="C1660" s="819">
        <v>1470.3</v>
      </c>
    </row>
    <row r="1661" spans="2:3" x14ac:dyDescent="0.35">
      <c r="B1661" s="818">
        <v>45995</v>
      </c>
      <c r="C1661" s="819">
        <v>1470</v>
      </c>
    </row>
    <row r="1662" spans="2:3" x14ac:dyDescent="0.35">
      <c r="B1662" s="818">
        <v>45996</v>
      </c>
      <c r="C1662" s="819">
        <v>1474.54</v>
      </c>
    </row>
    <row r="1663" spans="2:3" x14ac:dyDescent="0.35">
      <c r="B1663" s="818">
        <v>45997</v>
      </c>
      <c r="C1663" s="819">
        <v>1474.54</v>
      </c>
    </row>
    <row r="1664" spans="2:3" x14ac:dyDescent="0.35">
      <c r="B1664" s="818">
        <v>45998</v>
      </c>
      <c r="C1664" s="819">
        <v>1474.54</v>
      </c>
    </row>
    <row r="1665" spans="2:3" x14ac:dyDescent="0.35">
      <c r="B1665" s="818">
        <v>45999</v>
      </c>
      <c r="C1665" s="819">
        <v>1474.54</v>
      </c>
    </row>
    <row r="1666" spans="2:3" x14ac:dyDescent="0.35">
      <c r="B1666" s="818">
        <v>46000</v>
      </c>
      <c r="C1666" s="819">
        <v>1468.72</v>
      </c>
    </row>
    <row r="1667" spans="2:3" x14ac:dyDescent="0.35">
      <c r="B1667" s="818">
        <v>46001</v>
      </c>
      <c r="C1667" s="819">
        <v>1471.35</v>
      </c>
    </row>
    <row r="1668" spans="2:3" x14ac:dyDescent="0.35">
      <c r="B1668" s="818">
        <v>46002</v>
      </c>
      <c r="C1668" s="819">
        <v>1476.11</v>
      </c>
    </row>
    <row r="1669" spans="2:3" x14ac:dyDescent="0.35">
      <c r="B1669" s="818">
        <v>46003</v>
      </c>
      <c r="C1669" s="819">
        <v>1478.73</v>
      </c>
    </row>
    <row r="1670" spans="2:3" x14ac:dyDescent="0.35">
      <c r="B1670" s="818">
        <v>46004</v>
      </c>
      <c r="C1670" s="819">
        <v>1492.01</v>
      </c>
    </row>
    <row r="1671" spans="2:3" x14ac:dyDescent="0.35">
      <c r="B1671" s="818">
        <v>46005</v>
      </c>
      <c r="C1671" s="819">
        <v>1504.3</v>
      </c>
    </row>
    <row r="1672" spans="2:3" x14ac:dyDescent="0.35">
      <c r="B1672" s="818">
        <v>46006</v>
      </c>
      <c r="C1672" s="819">
        <v>1514.14</v>
      </c>
    </row>
    <row r="1673" spans="2:3" x14ac:dyDescent="0.35">
      <c r="B1673" s="818">
        <v>46007</v>
      </c>
      <c r="C1673" s="819">
        <v>1498.58</v>
      </c>
    </row>
    <row r="1674" spans="2:3" x14ac:dyDescent="0.35">
      <c r="B1674" s="818">
        <v>46008</v>
      </c>
      <c r="C1674" s="819">
        <v>1494.62</v>
      </c>
    </row>
    <row r="1675" spans="2:3" x14ac:dyDescent="0.35">
      <c r="B1675" s="818">
        <v>46009</v>
      </c>
      <c r="C1675" s="819">
        <v>1498.58</v>
      </c>
    </row>
    <row r="1676" spans="2:3" x14ac:dyDescent="0.35">
      <c r="B1676" s="818">
        <v>46010</v>
      </c>
      <c r="C1676" s="819">
        <v>1494.62</v>
      </c>
    </row>
    <row r="1677" spans="2:3" x14ac:dyDescent="0.35">
      <c r="B1677" s="818">
        <v>46011</v>
      </c>
      <c r="C1677" s="819">
        <v>1494.62</v>
      </c>
    </row>
    <row r="1678" spans="2:3" x14ac:dyDescent="0.35">
      <c r="B1678" s="818">
        <v>46012</v>
      </c>
      <c r="C1678" s="819">
        <v>1494.62</v>
      </c>
    </row>
    <row r="1679" spans="2:3" x14ac:dyDescent="0.35">
      <c r="B1679" s="818">
        <v>46013</v>
      </c>
      <c r="C1679" s="819">
        <v>1493.06</v>
      </c>
    </row>
    <row r="1680" spans="2:3" x14ac:dyDescent="0.35">
      <c r="B1680" s="818">
        <v>46014</v>
      </c>
      <c r="C1680" s="819">
        <v>1479.44</v>
      </c>
    </row>
    <row r="1681" spans="2:3" x14ac:dyDescent="0.35">
      <c r="B1681" s="818">
        <v>46015</v>
      </c>
      <c r="C1681" s="819">
        <v>1481.63</v>
      </c>
    </row>
    <row r="1682" spans="2:3" x14ac:dyDescent="0.35">
      <c r="B1682" s="818">
        <v>46016</v>
      </c>
      <c r="C1682" s="819">
        <v>1481.63</v>
      </c>
    </row>
    <row r="1683" spans="2:3" x14ac:dyDescent="0.35">
      <c r="B1683" s="818">
        <v>46017</v>
      </c>
      <c r="C1683" s="819">
        <v>1486.11</v>
      </c>
    </row>
    <row r="1684" spans="2:3" x14ac:dyDescent="0.35">
      <c r="B1684" s="818">
        <v>46018</v>
      </c>
      <c r="C1684" s="819">
        <v>1486.11</v>
      </c>
    </row>
    <row r="1685" spans="2:3" x14ac:dyDescent="0.35">
      <c r="B1685" s="818">
        <v>46019</v>
      </c>
      <c r="C1685" s="819">
        <v>1486.11</v>
      </c>
    </row>
    <row r="1686" spans="2:3" x14ac:dyDescent="0.35">
      <c r="B1686" s="818">
        <v>46020</v>
      </c>
      <c r="C1686" s="819">
        <v>1484.35</v>
      </c>
    </row>
    <row r="1687" spans="2:3" x14ac:dyDescent="0.35">
      <c r="B1687" s="818">
        <v>46021</v>
      </c>
      <c r="C1687" s="819">
        <v>1480.74</v>
      </c>
    </row>
    <row r="1688" spans="2:3" x14ac:dyDescent="0.35">
      <c r="B1688" s="818">
        <v>46022</v>
      </c>
      <c r="C1688" s="819">
        <v>1480.74</v>
      </c>
    </row>
    <row r="1689" spans="2:3" x14ac:dyDescent="0.35">
      <c r="B1689" s="818">
        <v>46023</v>
      </c>
      <c r="C1689" s="819">
        <v>1480.74</v>
      </c>
    </row>
    <row r="1690" spans="2:3" x14ac:dyDescent="0.35">
      <c r="B1690" s="818">
        <v>46024</v>
      </c>
      <c r="C1690" s="819">
        <v>1506.21</v>
      </c>
    </row>
    <row r="1691" spans="2:3" x14ac:dyDescent="0.35">
      <c r="B1691" s="818">
        <v>46025</v>
      </c>
      <c r="C1691" s="819">
        <v>1506.21</v>
      </c>
    </row>
    <row r="1692" spans="2:3" x14ac:dyDescent="0.35">
      <c r="B1692" s="818">
        <v>46026</v>
      </c>
      <c r="C1692" s="819">
        <v>1506.21</v>
      </c>
    </row>
    <row r="1693" spans="2:3" x14ac:dyDescent="0.35">
      <c r="B1693" s="818">
        <v>46027</v>
      </c>
      <c r="C1693" s="819">
        <v>1501.49</v>
      </c>
    </row>
    <row r="1694" spans="2:3" x14ac:dyDescent="0.35">
      <c r="B1694" s="818">
        <v>46028</v>
      </c>
      <c r="C1694" s="819">
        <v>1498.06</v>
      </c>
    </row>
    <row r="1695" spans="2:3" x14ac:dyDescent="0.35">
      <c r="B1695" s="818">
        <v>46029</v>
      </c>
      <c r="C1695" s="819">
        <v>1494.56</v>
      </c>
    </row>
    <row r="1696" spans="2:3" x14ac:dyDescent="0.35">
      <c r="B1696" s="818">
        <v>46030</v>
      </c>
      <c r="C1696" s="819">
        <v>1494.11</v>
      </c>
    </row>
    <row r="1697" spans="2:3" x14ac:dyDescent="0.35">
      <c r="B1697" s="818">
        <v>46031</v>
      </c>
      <c r="C1697" s="819">
        <v>1489.42</v>
      </c>
    </row>
    <row r="1698" spans="2:3" x14ac:dyDescent="0.35">
      <c r="B1698" s="818">
        <v>46032</v>
      </c>
      <c r="C1698" s="819">
        <v>1489.42</v>
      </c>
    </row>
    <row r="1699" spans="2:3" x14ac:dyDescent="0.35">
      <c r="B1699" s="818">
        <v>46033</v>
      </c>
      <c r="C1699" s="819">
        <v>1489.42</v>
      </c>
    </row>
    <row r="1700" spans="2:3" x14ac:dyDescent="0.35">
      <c r="B1700" s="818">
        <v>46034</v>
      </c>
      <c r="C1700" s="819">
        <v>1487.89</v>
      </c>
    </row>
    <row r="1701" spans="2:3" x14ac:dyDescent="0.35">
      <c r="B1701" s="818">
        <v>46035</v>
      </c>
      <c r="C1701" s="819">
        <v>1487.11</v>
      </c>
    </row>
    <row r="1702" spans="2:3" x14ac:dyDescent="0.35">
      <c r="B1702" s="818">
        <v>46036</v>
      </c>
      <c r="C1702" s="819">
        <v>1481.74</v>
      </c>
    </row>
    <row r="1703" spans="2:3" x14ac:dyDescent="0.35">
      <c r="B1703" s="818">
        <v>46037</v>
      </c>
      <c r="C1703" s="819">
        <v>1473.83</v>
      </c>
    </row>
    <row r="1704" spans="2:3" x14ac:dyDescent="0.35">
      <c r="B1704" s="818">
        <v>46038</v>
      </c>
      <c r="C1704" s="819">
        <v>1472.15</v>
      </c>
    </row>
    <row r="1705" spans="2:3" x14ac:dyDescent="0.35">
      <c r="B1705" s="818">
        <v>46039</v>
      </c>
      <c r="C1705" s="819">
        <v>1472.15</v>
      </c>
    </row>
    <row r="1706" spans="2:3" x14ac:dyDescent="0.35">
      <c r="B1706" s="818">
        <v>46040</v>
      </c>
      <c r="C1706" s="819">
        <v>1472.15</v>
      </c>
    </row>
    <row r="1707" spans="2:3" x14ac:dyDescent="0.35">
      <c r="B1707" s="818">
        <v>46041</v>
      </c>
      <c r="C1707" s="819">
        <v>1466.7</v>
      </c>
    </row>
    <row r="1708" spans="2:3" x14ac:dyDescent="0.35">
      <c r="B1708" s="818">
        <v>46042</v>
      </c>
      <c r="C1708" s="819">
        <v>1471.72</v>
      </c>
    </row>
    <row r="1709" spans="2:3" x14ac:dyDescent="0.35">
      <c r="B1709" s="818">
        <v>46043</v>
      </c>
      <c r="C1709" s="819">
        <v>1463.7</v>
      </c>
    </row>
    <row r="1710" spans="2:3" x14ac:dyDescent="0.35">
      <c r="B1710" s="818">
        <v>46044</v>
      </c>
      <c r="C1710" s="819">
        <v>1458.81</v>
      </c>
    </row>
    <row r="1711" spans="2:3" x14ac:dyDescent="0.35">
      <c r="B1711" s="818">
        <v>46045</v>
      </c>
      <c r="C1711" s="819">
        <v>1469.38</v>
      </c>
    </row>
    <row r="1712" spans="2:3" x14ac:dyDescent="0.35">
      <c r="B1712" s="818">
        <v>46046</v>
      </c>
      <c r="C1712" s="819">
        <v>1469.38</v>
      </c>
    </row>
    <row r="1713" spans="2:3" x14ac:dyDescent="0.35">
      <c r="B1713" s="818">
        <v>46047</v>
      </c>
      <c r="C1713" s="819">
        <v>1469.38</v>
      </c>
    </row>
    <row r="1714" spans="2:3" x14ac:dyDescent="0.35">
      <c r="B1714" s="818">
        <v>46048</v>
      </c>
      <c r="C1714" s="819">
        <v>1468.93</v>
      </c>
    </row>
    <row r="1715" spans="2:3" x14ac:dyDescent="0.35">
      <c r="B1715" s="818">
        <v>46049</v>
      </c>
      <c r="C1715" s="819">
        <v>1464.66</v>
      </c>
    </row>
    <row r="1716" spans="2:3" x14ac:dyDescent="0.35">
      <c r="B1716" s="818">
        <v>46050</v>
      </c>
      <c r="C1716" s="819">
        <v>1462.35</v>
      </c>
    </row>
    <row r="1717" spans="2:3" x14ac:dyDescent="0.35">
      <c r="B1717" s="818">
        <v>46051</v>
      </c>
      <c r="C1717" s="819">
        <v>1458.88</v>
      </c>
    </row>
    <row r="1718" spans="2:3" x14ac:dyDescent="0.35">
      <c r="B1718" s="818">
        <v>46052</v>
      </c>
      <c r="C1718" s="819">
        <v>1460.32</v>
      </c>
    </row>
    <row r="1719" spans="2:3" x14ac:dyDescent="0.35">
      <c r="B1719" s="818">
        <v>46053</v>
      </c>
      <c r="C1719" s="819">
        <v>1460.32</v>
      </c>
    </row>
    <row r="1720" spans="2:3" x14ac:dyDescent="0.35">
      <c r="B1720" s="818">
        <v>46054</v>
      </c>
      <c r="C1720" s="819">
        <v>1460.32</v>
      </c>
    </row>
    <row r="1721" spans="2:3" x14ac:dyDescent="0.35">
      <c r="B1721" s="818">
        <v>46055</v>
      </c>
      <c r="C1721" s="819">
        <v>1450.23</v>
      </c>
    </row>
    <row r="1722" spans="2:3" x14ac:dyDescent="0.35">
      <c r="B1722" s="818">
        <v>46056</v>
      </c>
      <c r="C1722" s="819">
        <v>1460.38</v>
      </c>
    </row>
    <row r="1723" spans="2:3" x14ac:dyDescent="0.35">
      <c r="B1723" s="818">
        <v>46057</v>
      </c>
      <c r="C1723" s="819">
        <v>1457.29</v>
      </c>
    </row>
    <row r="1724" spans="2:3" x14ac:dyDescent="0.35">
      <c r="B1724" s="818">
        <v>46058</v>
      </c>
      <c r="C1724" s="819">
        <v>1460.8</v>
      </c>
    </row>
    <row r="1725" spans="2:3" x14ac:dyDescent="0.35">
      <c r="B1725" s="818">
        <v>46059</v>
      </c>
      <c r="C1725" s="819">
        <v>1447.99</v>
      </c>
    </row>
    <row r="1726" spans="2:3" x14ac:dyDescent="0.35">
      <c r="B1726" s="818">
        <v>46060</v>
      </c>
      <c r="C1726" s="819">
        <v>1447.99</v>
      </c>
    </row>
    <row r="1727" spans="2:3" x14ac:dyDescent="0.35">
      <c r="B1727" s="818">
        <v>46061</v>
      </c>
      <c r="C1727" s="819">
        <v>1447.99</v>
      </c>
    </row>
    <row r="1728" spans="2:3" x14ac:dyDescent="0.35">
      <c r="B1728" s="818">
        <v>46062</v>
      </c>
      <c r="C1728" s="819">
        <v>1447.99</v>
      </c>
    </row>
    <row r="1729" spans="2:3" x14ac:dyDescent="0.35">
      <c r="B1729" s="818">
        <v>46063</v>
      </c>
      <c r="C1729" s="819">
        <v>1432.85</v>
      </c>
    </row>
    <row r="1730" spans="2:3" x14ac:dyDescent="0.35">
      <c r="B1730" s="818">
        <v>46064</v>
      </c>
      <c r="C1730" s="819">
        <v>1431.68</v>
      </c>
    </row>
    <row r="1731" spans="2:3" x14ac:dyDescent="0.35">
      <c r="B1731" s="818">
        <v>46065</v>
      </c>
      <c r="C1731" s="819">
        <v>1417.81</v>
      </c>
    </row>
    <row r="1732" spans="2:3" x14ac:dyDescent="0.35">
      <c r="B1732" s="818">
        <v>46066</v>
      </c>
      <c r="C1732" s="819">
        <v>1423.6</v>
      </c>
    </row>
    <row r="1733" spans="2:3" x14ac:dyDescent="0.35">
      <c r="B1733" s="818">
        <v>46067</v>
      </c>
      <c r="C1733" s="819">
        <v>1423.6</v>
      </c>
    </row>
    <row r="1734" spans="2:3" x14ac:dyDescent="0.35">
      <c r="B1734" s="818">
        <v>46068</v>
      </c>
      <c r="C1734" s="819">
        <v>1423.6</v>
      </c>
    </row>
    <row r="1735" spans="2:3" x14ac:dyDescent="0.35">
      <c r="B1735" s="818">
        <v>46069</v>
      </c>
      <c r="C1735" s="819">
        <v>1423.6</v>
      </c>
    </row>
    <row r="1736" spans="2:3" x14ac:dyDescent="0.35">
      <c r="B1736" s="818">
        <v>46070</v>
      </c>
      <c r="C1736" s="819">
        <v>1423.6</v>
      </c>
    </row>
    <row r="1737" spans="2:3" x14ac:dyDescent="0.35">
      <c r="B1737" s="818">
        <v>46071</v>
      </c>
      <c r="C1737" s="819">
        <v>1415.69</v>
      </c>
    </row>
    <row r="1738" spans="2:3" x14ac:dyDescent="0.35">
      <c r="B1738" s="818">
        <v>46072</v>
      </c>
      <c r="C1738" s="819">
        <v>1409.07</v>
      </c>
    </row>
    <row r="1739" spans="2:3" x14ac:dyDescent="0.35">
      <c r="B1739" s="818">
        <v>46073</v>
      </c>
      <c r="C1739" s="819">
        <v>1402.08</v>
      </c>
    </row>
    <row r="1740" spans="2:3" x14ac:dyDescent="0.35">
      <c r="B1740" s="818">
        <v>46074</v>
      </c>
      <c r="C1740" s="819">
        <v>1402.08</v>
      </c>
    </row>
    <row r="1741" spans="2:3" x14ac:dyDescent="0.35">
      <c r="B1741" s="818">
        <v>46075</v>
      </c>
      <c r="C1741" s="819">
        <v>1402.08</v>
      </c>
    </row>
    <row r="1742" spans="2:3" x14ac:dyDescent="0.35">
      <c r="B1742" s="818">
        <v>46076</v>
      </c>
      <c r="C1742" s="819">
        <v>1394.84</v>
      </c>
    </row>
    <row r="1743" spans="2:3" x14ac:dyDescent="0.35">
      <c r="B1743" s="818">
        <v>46077</v>
      </c>
      <c r="C1743" s="819">
        <v>1405.08</v>
      </c>
    </row>
    <row r="1744" spans="2:3" x14ac:dyDescent="0.35">
      <c r="B1744" s="818">
        <v>46078</v>
      </c>
      <c r="C1744" s="819">
        <v>1425.86</v>
      </c>
    </row>
    <row r="1745" spans="2:3" x14ac:dyDescent="0.35">
      <c r="B1745" s="818">
        <v>46079</v>
      </c>
      <c r="C1745" s="819">
        <v>1437.58</v>
      </c>
    </row>
    <row r="1746" spans="2:3" x14ac:dyDescent="0.35">
      <c r="B1746" s="818">
        <v>46080</v>
      </c>
      <c r="C1746" s="819">
        <v>1419.54</v>
      </c>
    </row>
    <row r="1747" spans="2:3" x14ac:dyDescent="0.35">
      <c r="B1747" s="818">
        <v>46081</v>
      </c>
      <c r="C1747" s="819">
        <v>1419.54</v>
      </c>
    </row>
    <row r="1748" spans="2:3" x14ac:dyDescent="0.35">
      <c r="B1748" s="818">
        <v>46082</v>
      </c>
      <c r="C1748" s="819">
        <v>1419.54</v>
      </c>
    </row>
    <row r="1749" spans="2:3" x14ac:dyDescent="0.35">
      <c r="B1749" s="818">
        <v>46083</v>
      </c>
      <c r="C1749" s="819">
        <v>1413.54</v>
      </c>
    </row>
    <row r="1750" spans="2:3" x14ac:dyDescent="0.35">
      <c r="B1750" s="818">
        <v>46084</v>
      </c>
      <c r="C1750" s="819">
        <v>1434.11</v>
      </c>
    </row>
    <row r="1751" spans="2:3" x14ac:dyDescent="0.35">
      <c r="B1751" s="818">
        <v>46085</v>
      </c>
      <c r="C1751" s="819">
        <v>1427.7</v>
      </c>
    </row>
    <row r="1752" spans="2:3" x14ac:dyDescent="0.35">
      <c r="B1752" s="818">
        <v>46086</v>
      </c>
      <c r="C1752" s="819">
        <v>1433.21</v>
      </c>
    </row>
    <row r="1753" spans="2:3" x14ac:dyDescent="0.35">
      <c r="B1753" s="818">
        <v>46087</v>
      </c>
      <c r="C1753" s="819">
        <v>1437.53</v>
      </c>
    </row>
    <row r="1754" spans="2:3" x14ac:dyDescent="0.35">
      <c r="B1754" s="818">
        <v>46088</v>
      </c>
      <c r="C1754" s="819">
        <v>1437.53</v>
      </c>
    </row>
    <row r="1755" spans="2:3" x14ac:dyDescent="0.35">
      <c r="B1755" s="818">
        <v>46089</v>
      </c>
      <c r="C1755" s="819">
        <v>1437.53</v>
      </c>
    </row>
    <row r="1756" spans="2:3" x14ac:dyDescent="0.35">
      <c r="B1756" s="818">
        <v>46090</v>
      </c>
      <c r="C1756" s="819">
        <v>1430.17</v>
      </c>
    </row>
    <row r="1757" spans="2:3" x14ac:dyDescent="0.35">
      <c r="B1757" s="818">
        <v>46091</v>
      </c>
      <c r="C1757" s="819">
        <v>1422.12</v>
      </c>
    </row>
    <row r="1758" spans="2:3" x14ac:dyDescent="0.35">
      <c r="B1758" s="818">
        <v>46092</v>
      </c>
      <c r="C1758" s="819">
        <v>1413.8</v>
      </c>
    </row>
    <row r="1759" spans="2:3" x14ac:dyDescent="0.35">
      <c r="B1759" s="818">
        <v>46093</v>
      </c>
      <c r="C1759" s="819">
        <v>1415.52</v>
      </c>
    </row>
    <row r="1760" spans="2:3" x14ac:dyDescent="0.35">
      <c r="B1760" s="818">
        <v>46094</v>
      </c>
      <c r="C1760" s="819">
        <v>1424.34</v>
      </c>
    </row>
    <row r="1761" spans="2:3" x14ac:dyDescent="0.35">
      <c r="B1761" s="818">
        <v>46095</v>
      </c>
      <c r="C1761" s="819">
        <v>1424.34</v>
      </c>
    </row>
    <row r="1762" spans="2:3" x14ac:dyDescent="0.35">
      <c r="B1762" s="818">
        <v>46096</v>
      </c>
      <c r="C1762" s="819">
        <v>1424.34</v>
      </c>
    </row>
    <row r="1763" spans="2:3" x14ac:dyDescent="0.35">
      <c r="B1763" s="818">
        <v>46097</v>
      </c>
      <c r="C1763" s="819">
        <v>1424.92</v>
      </c>
    </row>
    <row r="1764" spans="2:3" x14ac:dyDescent="0.35">
      <c r="B1764" s="818">
        <v>46098</v>
      </c>
      <c r="C1764" s="819">
        <v>1417.3</v>
      </c>
    </row>
    <row r="1765" spans="2:3" x14ac:dyDescent="0.35">
      <c r="B1765" s="818">
        <v>46099</v>
      </c>
      <c r="C1765" s="819">
        <v>1420.38</v>
      </c>
    </row>
    <row r="1766" spans="2:3" x14ac:dyDescent="0.35">
      <c r="B1766" s="818">
        <v>46100</v>
      </c>
      <c r="C1766" s="819">
        <v>1421.08</v>
      </c>
    </row>
    <row r="1767" spans="2:3" x14ac:dyDescent="0.35">
      <c r="B1767" s="818">
        <v>46101</v>
      </c>
      <c r="C1767" s="819">
        <v>1422.13</v>
      </c>
    </row>
    <row r="1768" spans="2:3" x14ac:dyDescent="0.35">
      <c r="B1768" s="818">
        <v>46102</v>
      </c>
      <c r="C1768" s="819">
        <v>1422.13</v>
      </c>
    </row>
    <row r="1769" spans="2:3" x14ac:dyDescent="0.35">
      <c r="B1769" s="818">
        <v>46103</v>
      </c>
      <c r="C1769" s="819">
        <v>1422.13</v>
      </c>
    </row>
    <row r="1770" spans="2:3" x14ac:dyDescent="0.35">
      <c r="B1770" s="818">
        <v>46104</v>
      </c>
      <c r="C1770" s="819">
        <v>1415.68</v>
      </c>
    </row>
    <row r="1771" spans="2:3" x14ac:dyDescent="0.35">
      <c r="B1771" s="818">
        <v>46105</v>
      </c>
      <c r="C1771" s="819">
        <v>1415.68</v>
      </c>
    </row>
    <row r="1772" spans="2:3" x14ac:dyDescent="0.35">
      <c r="B1772" s="818">
        <v>46106</v>
      </c>
      <c r="C1772" s="819">
        <v>1404.55</v>
      </c>
    </row>
    <row r="1773" spans="2:3" x14ac:dyDescent="0.35">
      <c r="B1773" s="818">
        <v>46107</v>
      </c>
      <c r="C1773" s="819">
        <v>1401.28</v>
      </c>
    </row>
    <row r="1774" spans="2:3" x14ac:dyDescent="0.35">
      <c r="B1774" s="818">
        <v>46108</v>
      </c>
      <c r="C1774" s="819">
        <v>1429.73</v>
      </c>
    </row>
    <row r="1775" spans="2:3" x14ac:dyDescent="0.35">
      <c r="B1775" s="818">
        <v>46109</v>
      </c>
      <c r="C1775" s="819">
        <v>1429.73</v>
      </c>
    </row>
    <row r="1776" spans="2:3" x14ac:dyDescent="0.35">
      <c r="B1776" s="818">
        <v>46110</v>
      </c>
      <c r="C1776" s="819">
        <v>1429.73</v>
      </c>
    </row>
    <row r="1777" spans="2:3" x14ac:dyDescent="0.35">
      <c r="B1777" s="818">
        <v>46111</v>
      </c>
      <c r="C1777" s="819">
        <v>1432.51</v>
      </c>
    </row>
    <row r="1778" spans="2:3" x14ac:dyDescent="0.35">
      <c r="B1778" s="818">
        <v>46112</v>
      </c>
      <c r="C1778" s="819">
        <v>1422.84</v>
      </c>
    </row>
    <row r="1779" spans="2:3" x14ac:dyDescent="0.35">
      <c r="B1779" s="818">
        <v>46113</v>
      </c>
      <c r="C1779" s="819">
        <v>1434.04</v>
      </c>
    </row>
    <row r="1780" spans="2:3" x14ac:dyDescent="0.35">
      <c r="B1780" s="818">
        <v>46114</v>
      </c>
      <c r="C1780" s="819">
        <v>1434.04</v>
      </c>
    </row>
    <row r="1781" spans="2:3" x14ac:dyDescent="0.35">
      <c r="B1781" s="818">
        <v>46115</v>
      </c>
      <c r="C1781" s="819">
        <v>1434.04</v>
      </c>
    </row>
    <row r="1782" spans="2:3" x14ac:dyDescent="0.35">
      <c r="B1782" s="818">
        <v>46116</v>
      </c>
      <c r="C1782" s="819">
        <v>1434.04</v>
      </c>
    </row>
    <row r="1783" spans="2:3" x14ac:dyDescent="0.35">
      <c r="B1783" s="818">
        <v>46117</v>
      </c>
      <c r="C1783" s="819">
        <v>1434.04</v>
      </c>
    </row>
    <row r="1784" spans="2:3" x14ac:dyDescent="0.35">
      <c r="B1784" s="818">
        <v>46118</v>
      </c>
      <c r="C1784" s="819">
        <v>1429.57</v>
      </c>
    </row>
    <row r="1785" spans="2:3" x14ac:dyDescent="0.35">
      <c r="B1785" s="818">
        <v>46119</v>
      </c>
      <c r="C1785" s="819">
        <v>1430.16</v>
      </c>
    </row>
    <row r="1786" spans="2:3" x14ac:dyDescent="0.35">
      <c r="B1786" s="818">
        <v>46120</v>
      </c>
      <c r="C1786" s="819">
        <v>1424.45</v>
      </c>
    </row>
    <row r="1787" spans="2:3" x14ac:dyDescent="0.35">
      <c r="B1787" s="818">
        <v>46121</v>
      </c>
      <c r="C1787" s="819">
        <v>1420.86</v>
      </c>
    </row>
    <row r="1788" spans="2:3" x14ac:dyDescent="0.35">
      <c r="B1788" s="818">
        <v>46122</v>
      </c>
      <c r="C1788" s="819">
        <v>1412.5</v>
      </c>
    </row>
    <row r="1789" spans="2:3" x14ac:dyDescent="0.35">
      <c r="B1789" s="818">
        <v>46123</v>
      </c>
      <c r="C1789" s="819">
        <v>1412.5</v>
      </c>
    </row>
    <row r="1790" spans="2:3" x14ac:dyDescent="0.35">
      <c r="B1790" s="818">
        <v>46124</v>
      </c>
      <c r="C1790" s="819">
        <v>1412.5</v>
      </c>
    </row>
    <row r="1791" spans="2:3" x14ac:dyDescent="0.35">
      <c r="B1791" s="818">
        <v>46125</v>
      </c>
      <c r="C1791" s="819">
        <v>1404.47</v>
      </c>
    </row>
    <row r="1792" spans="2:3" x14ac:dyDescent="0.35">
      <c r="B1792" s="818">
        <v>46126</v>
      </c>
      <c r="C1792" s="819">
        <v>1412.09</v>
      </c>
    </row>
    <row r="1793" spans="2:3" x14ac:dyDescent="0.35">
      <c r="B1793" s="818">
        <v>46127</v>
      </c>
      <c r="C1793" s="819">
        <v>1398.53</v>
      </c>
    </row>
    <row r="1794" spans="2:3" x14ac:dyDescent="0.35">
      <c r="B1794" s="818">
        <v>46128</v>
      </c>
      <c r="C1794" s="819">
        <v>1406.23</v>
      </c>
    </row>
    <row r="1795" spans="2:3" x14ac:dyDescent="0.35">
      <c r="B1795" s="818">
        <v>46129</v>
      </c>
      <c r="C1795" s="819">
        <v>1412.53</v>
      </c>
    </row>
    <row r="1796" spans="2:3" x14ac:dyDescent="0.35">
      <c r="B1796" s="818">
        <v>46130</v>
      </c>
      <c r="C1796" s="819">
        <v>1412.53</v>
      </c>
    </row>
    <row r="1797" spans="2:3" x14ac:dyDescent="0.35">
      <c r="B1797" s="818">
        <v>46131</v>
      </c>
      <c r="C1797" s="819">
        <v>1412.53</v>
      </c>
    </row>
    <row r="1798" spans="2:3" x14ac:dyDescent="0.35">
      <c r="B1798" s="818">
        <v>46132</v>
      </c>
      <c r="C1798" s="819">
        <v>1414.73</v>
      </c>
    </row>
    <row r="1799" spans="2:3" x14ac:dyDescent="0.35">
      <c r="B1799" s="818">
        <v>46133</v>
      </c>
      <c r="C1799" s="819">
        <v>1414.42</v>
      </c>
    </row>
    <row r="1800" spans="2:3" x14ac:dyDescent="0.35">
      <c r="B1800" s="818">
        <v>46134</v>
      </c>
      <c r="C1800" s="819">
        <v>1419.84</v>
      </c>
    </row>
    <row r="1801" spans="2:3" x14ac:dyDescent="0.35">
      <c r="B1801" s="818">
        <v>46135</v>
      </c>
      <c r="C1801" s="819">
        <v>1424.4</v>
      </c>
    </row>
    <row r="1802" spans="2:3" x14ac:dyDescent="0.35">
      <c r="B1802" s="818">
        <v>46136</v>
      </c>
      <c r="C1802" s="819">
        <v>1438.34</v>
      </c>
    </row>
    <row r="1803" spans="2:3" x14ac:dyDescent="0.35">
      <c r="B1803" s="818">
        <v>46137</v>
      </c>
      <c r="C1803" s="819">
        <v>1438.34</v>
      </c>
    </row>
    <row r="1804" spans="2:3" x14ac:dyDescent="0.35">
      <c r="B1804" s="818">
        <v>46138</v>
      </c>
      <c r="C1804" s="819">
        <v>1438.34</v>
      </c>
    </row>
    <row r="1805" spans="2:3" x14ac:dyDescent="0.35">
      <c r="B1805" s="818">
        <v>46139</v>
      </c>
      <c r="C1805" s="819">
        <v>1461.73</v>
      </c>
    </row>
    <row r="1806" spans="2:3" x14ac:dyDescent="0.35">
      <c r="B1806" s="818">
        <v>46140</v>
      </c>
      <c r="C1806" s="819">
        <v>1447.18</v>
      </c>
    </row>
    <row r="1807" spans="2:3" x14ac:dyDescent="0.35">
      <c r="B1807" s="818">
        <v>46141</v>
      </c>
      <c r="C1807" s="819">
        <v>1435.6</v>
      </c>
    </row>
    <row r="1808" spans="2:3" x14ac:dyDescent="0.35">
      <c r="B1808" s="818">
        <v>46142</v>
      </c>
      <c r="C1808" s="819">
        <v>1442.43</v>
      </c>
    </row>
    <row r="1809" spans="2:3" x14ac:dyDescent="0.35">
      <c r="B1809" s="818">
        <v>46143</v>
      </c>
      <c r="C1809" s="819">
        <v>1442.43</v>
      </c>
    </row>
    <row r="1810" spans="2:3" x14ac:dyDescent="0.35">
      <c r="B1810" s="818">
        <v>46144</v>
      </c>
      <c r="C1810" s="819">
        <v>1442.43</v>
      </c>
    </row>
    <row r="1811" spans="2:3" x14ac:dyDescent="0.35">
      <c r="B1811" s="818">
        <v>46145</v>
      </c>
      <c r="C1811" s="819">
        <v>1442.43</v>
      </c>
    </row>
    <row r="1812" spans="2:3" x14ac:dyDescent="0.35">
      <c r="B1812" s="818">
        <v>46146</v>
      </c>
      <c r="C1812" s="819">
        <v>1440.54</v>
      </c>
    </row>
    <row r="1813" spans="2:3" x14ac:dyDescent="0.35">
      <c r="B1813" s="818">
        <v>46147</v>
      </c>
      <c r="C1813" s="819">
        <v>1429.65</v>
      </c>
    </row>
    <row r="1814" spans="2:3" x14ac:dyDescent="0.35">
      <c r="B1814" s="818">
        <v>46148</v>
      </c>
      <c r="C1814" s="819">
        <v>1427.88</v>
      </c>
    </row>
    <row r="1815" spans="2:3" x14ac:dyDescent="0.35">
      <c r="B1815" s="818">
        <v>46149</v>
      </c>
      <c r="C1815" s="819">
        <v>1427.88</v>
      </c>
    </row>
    <row r="1816" spans="2:3" x14ac:dyDescent="0.35">
      <c r="B1816" s="818">
        <v>46150</v>
      </c>
      <c r="C1816" s="819">
        <v>1427.13</v>
      </c>
    </row>
    <row r="1817" spans="2:3" x14ac:dyDescent="0.35">
      <c r="B1817" s="818">
        <v>46151</v>
      </c>
      <c r="C1817" s="819">
        <v>1427.13</v>
      </c>
    </row>
    <row r="1818" spans="2:3" x14ac:dyDescent="0.35">
      <c r="B1818" s="818">
        <v>46152</v>
      </c>
      <c r="C1818" s="819">
        <v>1427.13</v>
      </c>
    </row>
    <row r="1819" spans="2:3" x14ac:dyDescent="0.35">
      <c r="B1819" s="818">
        <v>46153</v>
      </c>
      <c r="C1819" s="819">
        <v>1425.02</v>
      </c>
    </row>
    <row r="1820" spans="2:3" x14ac:dyDescent="0.35">
      <c r="B1820" s="818">
        <v>46154</v>
      </c>
      <c r="C1820" s="819">
        <v>1418.81</v>
      </c>
    </row>
    <row r="1821" spans="2:3" x14ac:dyDescent="0.35">
      <c r="B1821" s="818">
        <v>46155</v>
      </c>
      <c r="C1821" s="819">
        <v>1425.77</v>
      </c>
    </row>
    <row r="1822" spans="2:3" x14ac:dyDescent="0.35">
      <c r="B1822" s="818">
        <v>46156</v>
      </c>
      <c r="C1822" s="819">
        <v>1418.81</v>
      </c>
    </row>
    <row r="1823" spans="2:3" x14ac:dyDescent="0.35">
      <c r="B1823" s="818">
        <v>46157</v>
      </c>
      <c r="C1823" s="819">
        <v>1426.5</v>
      </c>
    </row>
    <row r="1824" spans="2:3" x14ac:dyDescent="0.35">
      <c r="B1824" s="818">
        <v>46158</v>
      </c>
      <c r="C1824" s="819">
        <v>1426.5</v>
      </c>
    </row>
    <row r="1825" spans="2:3" x14ac:dyDescent="0.35">
      <c r="B1825" s="818">
        <v>46159</v>
      </c>
      <c r="C1825" s="819">
        <v>1426.5</v>
      </c>
    </row>
    <row r="1826" spans="2:3" x14ac:dyDescent="0.35">
      <c r="B1826" s="818">
        <v>46160</v>
      </c>
      <c r="C1826" s="819">
        <v>1428.41</v>
      </c>
    </row>
    <row r="1827" spans="2:3" x14ac:dyDescent="0.35">
      <c r="B1827" s="818">
        <v>46161</v>
      </c>
      <c r="C1827" s="819">
        <v>1433.99</v>
      </c>
    </row>
    <row r="1828" spans="2:3" x14ac:dyDescent="0.35">
      <c r="B1828" s="818">
        <v>46162</v>
      </c>
      <c r="C1828" s="819">
        <v>1431.71</v>
      </c>
    </row>
    <row r="1829" spans="2:3" x14ac:dyDescent="0.35">
      <c r="B1829" s="818">
        <v>46163</v>
      </c>
      <c r="C1829" s="819">
        <v>1426.11</v>
      </c>
    </row>
    <row r="1830" spans="2:3" x14ac:dyDescent="0.35">
      <c r="B1830" s="818">
        <v>46164</v>
      </c>
      <c r="C1830" s="819">
        <v>1431.92</v>
      </c>
    </row>
    <row r="1831" spans="2:3" x14ac:dyDescent="0.35">
      <c r="B1831" s="818">
        <v>46165</v>
      </c>
      <c r="C1831" s="819">
        <v>1431.92</v>
      </c>
    </row>
    <row r="1832" spans="2:3" x14ac:dyDescent="0.35">
      <c r="B1832" s="818">
        <v>46166</v>
      </c>
      <c r="C1832" s="819">
        <v>1431.92</v>
      </c>
    </row>
    <row r="1833" spans="2:3" x14ac:dyDescent="0.35">
      <c r="B1833" s="818">
        <v>46167</v>
      </c>
      <c r="C1833" s="819">
        <v>1431.92</v>
      </c>
    </row>
    <row r="1834" spans="2:3" x14ac:dyDescent="0.35">
      <c r="B1834" s="818">
        <v>46168</v>
      </c>
      <c r="C1834" s="819">
        <v>1432.61</v>
      </c>
    </row>
    <row r="1835" spans="2:3" x14ac:dyDescent="0.35">
      <c r="B1835" s="818">
        <v>46169</v>
      </c>
      <c r="C1835" s="819">
        <v>1429.73</v>
      </c>
    </row>
    <row r="1836" spans="2:3" x14ac:dyDescent="0.35">
      <c r="B1836" s="818">
        <v>46170</v>
      </c>
      <c r="C1836" s="819">
        <v>1432.63</v>
      </c>
    </row>
    <row r="1837" spans="2:3" x14ac:dyDescent="0.35">
      <c r="B1837" s="818">
        <v>46171</v>
      </c>
      <c r="C1837" s="819">
        <v>1434.42</v>
      </c>
    </row>
    <row r="1838" spans="2:3" x14ac:dyDescent="0.35">
      <c r="B1838" s="818">
        <v>46172</v>
      </c>
      <c r="C1838" s="819">
        <v>1434.42</v>
      </c>
    </row>
    <row r="1839" spans="2:3" x14ac:dyDescent="0.35">
      <c r="B1839" s="818">
        <v>46173</v>
      </c>
      <c r="C1839" s="819">
        <v>1434.42</v>
      </c>
    </row>
    <row r="1840" spans="2:3" x14ac:dyDescent="0.35">
      <c r="B1840" s="818"/>
      <c r="C1840" s="819"/>
    </row>
    <row r="1841" spans="2:3" x14ac:dyDescent="0.35">
      <c r="B1841" s="818"/>
      <c r="C1841" s="819"/>
    </row>
    <row r="1842" spans="2:3" x14ac:dyDescent="0.35">
      <c r="B1842" s="818"/>
      <c r="C1842" s="819"/>
    </row>
    <row r="1843" spans="2:3" x14ac:dyDescent="0.35">
      <c r="B1843" s="818"/>
      <c r="C1843" s="819"/>
    </row>
    <row r="1844" spans="2:3" x14ac:dyDescent="0.35">
      <c r="B1844" s="818"/>
      <c r="C1844" s="819"/>
    </row>
    <row r="1845" spans="2:3" x14ac:dyDescent="0.35">
      <c r="B1845" s="818"/>
      <c r="C1845" s="819"/>
    </row>
    <row r="1846" spans="2:3" x14ac:dyDescent="0.35">
      <c r="B1846" s="818"/>
      <c r="C1846" s="819"/>
    </row>
    <row r="1847" spans="2:3" x14ac:dyDescent="0.35">
      <c r="B1847" s="818"/>
      <c r="C1847" s="819"/>
    </row>
    <row r="1848" spans="2:3" x14ac:dyDescent="0.35">
      <c r="B1848" s="818"/>
      <c r="C1848" s="819"/>
    </row>
    <row r="1849" spans="2:3" x14ac:dyDescent="0.35">
      <c r="B1849" s="818"/>
      <c r="C1849" s="819"/>
    </row>
  </sheetData>
  <mergeCells count="1">
    <mergeCell ref="B2:C3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15</vt:i4>
      </vt:variant>
    </vt:vector>
  </HeadingPairs>
  <TitlesOfParts>
    <vt:vector size="34" baseType="lpstr">
      <vt:lpstr>Resumen General</vt:lpstr>
      <vt:lpstr>Resumen Pto #1</vt:lpstr>
      <vt:lpstr>Resumen Pto #2</vt:lpstr>
      <vt:lpstr>Facturacion</vt:lpstr>
      <vt:lpstr>Certificados</vt:lpstr>
      <vt:lpstr>Contratistas</vt:lpstr>
      <vt:lpstr>Horm M.O.</vt:lpstr>
      <vt:lpstr>Alba M.O. </vt:lpstr>
      <vt:lpstr>Elect M.O.</vt:lpstr>
      <vt:lpstr>GGBB</vt:lpstr>
      <vt:lpstr>Preventivo Vta CH2171 </vt:lpstr>
      <vt:lpstr>Preventivo Costo CH2171 </vt:lpstr>
      <vt:lpstr>01</vt:lpstr>
      <vt:lpstr>AING Gtos Desarrollo</vt:lpstr>
      <vt:lpstr>Indice CAC</vt:lpstr>
      <vt:lpstr>C. Gestión Pto #1</vt:lpstr>
      <vt:lpstr>C. Gestión Pto #2</vt:lpstr>
      <vt:lpstr>Cert. Ppto 1</vt:lpstr>
      <vt:lpstr>TC USD MEP</vt:lpstr>
      <vt:lpstr>'01'!Print_Area</vt:lpstr>
      <vt:lpstr>'AING Gtos Desarrollo'!Print_Area</vt:lpstr>
      <vt:lpstr>'Alba M.O. '!Print_Area</vt:lpstr>
      <vt:lpstr>'Cert. Ppto 1'!Print_Area</vt:lpstr>
      <vt:lpstr>Certificados!Print_Area</vt:lpstr>
      <vt:lpstr>'Elect M.O.'!Print_Area</vt:lpstr>
      <vt:lpstr>Facturacion!Print_Area</vt:lpstr>
      <vt:lpstr>'Horm M.O.'!Print_Area</vt:lpstr>
      <vt:lpstr>'Preventivo Costo CH2171 '!Print_Area</vt:lpstr>
      <vt:lpstr>'Preventivo Vta CH2171 '!Print_Area</vt:lpstr>
      <vt:lpstr>'01'!Print_Titles</vt:lpstr>
      <vt:lpstr>'AING Gtos Desarrollo'!Print_Titles</vt:lpstr>
      <vt:lpstr>'Cert. Ppto 1'!Print_Titles</vt:lpstr>
      <vt:lpstr>'Preventivo Costo CH2171 '!Print_Titles</vt:lpstr>
      <vt:lpstr>'Preventivo Vta CH2171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Casalla</dc:creator>
  <cp:lastModifiedBy>Pedro Pagliaricci</cp:lastModifiedBy>
  <dcterms:created xsi:type="dcterms:W3CDTF">2026-03-02T14:15:51Z</dcterms:created>
  <dcterms:modified xsi:type="dcterms:W3CDTF">2026-06-18T11:14:02Z</dcterms:modified>
</cp:coreProperties>
</file>