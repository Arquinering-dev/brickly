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dro Pagliaricci\Downloads\"/>
    </mc:Choice>
  </mc:AlternateContent>
  <xr:revisionPtr revIDLastSave="0" documentId="8_{E31EA871-1B17-4C94-9BC1-9B27CEC75ABD}" xr6:coauthVersionLast="47" xr6:coauthVersionMax="47" xr10:uidLastSave="{00000000-0000-0000-0000-000000000000}"/>
  <bookViews>
    <workbookView xWindow="-110" yWindow="-110" windowWidth="19420" windowHeight="11500" firstSheet="12" activeTab="14" xr2:uid="{FDD88255-9A10-4DC5-B8B3-DB6B384874D9}"/>
  </bookViews>
  <sheets>
    <sheet name="GDR 3760_Pto. 02_Cert. 01" sheetId="2" r:id="rId1"/>
    <sheet name="GDR 3760_Pto. 02_Cert. 02" sheetId="3" r:id="rId2"/>
    <sheet name="GDR 3760_Pto. 02_Cert. 03" sheetId="4" r:id="rId3"/>
    <sheet name="GDR 3760_Pto. 02_Cert. 04" sheetId="5" r:id="rId4"/>
    <sheet name="GDR 3760_Pto. 02_Cert. 05" sheetId="6" r:id="rId5"/>
    <sheet name="GDR 3760_Pto. 02_Cert. 06" sheetId="7" r:id="rId6"/>
    <sheet name="GDR 3760_Pto. 02_Cert. 07" sheetId="8" r:id="rId7"/>
    <sheet name="GDR 3760_Pto. 02_Cert. 08" sheetId="9" r:id="rId8"/>
    <sheet name="GDR 3760_Pto. 02_Cert. 09)" sheetId="10" r:id="rId9"/>
    <sheet name="GDR 3760_Pto. 02_Cert. 10" sheetId="11" r:id="rId10"/>
    <sheet name="GDR 3760_Pto. 02_Cert. 11" sheetId="12" r:id="rId11"/>
    <sheet name="GDR 3760_Pto. 02_Cert. 12" sheetId="13" r:id="rId12"/>
    <sheet name="GDR 3760_Pto. 02_Cert. 13" sheetId="14" r:id="rId13"/>
    <sheet name="GDR 3760_Pto. 02_Cert. 14" sheetId="15" r:id="rId14"/>
    <sheet name="GDR 3760_Pto. 02_Cert. 15" sheetId="16" r:id="rId15"/>
  </sheets>
  <definedNames>
    <definedName name="\0">#REF!</definedName>
    <definedName name="\c">#REF!</definedName>
    <definedName name="\E">#REF!</definedName>
    <definedName name="\i">#REF!</definedName>
    <definedName name="\j">#REF!</definedName>
    <definedName name="\m">#REF!</definedName>
    <definedName name="\P" localSheetId="0">#REF!</definedName>
    <definedName name="\P" localSheetId="1">#REF!</definedName>
    <definedName name="\P" localSheetId="2">#REF!</definedName>
    <definedName name="\P" localSheetId="3">#REF!</definedName>
    <definedName name="\P" localSheetId="4">#REF!</definedName>
    <definedName name="\P" localSheetId="5">#REF!</definedName>
    <definedName name="\P" localSheetId="6">#REF!</definedName>
    <definedName name="\P" localSheetId="7">#REF!</definedName>
    <definedName name="\P" localSheetId="8">#REF!</definedName>
    <definedName name="\P" localSheetId="9">#REF!</definedName>
    <definedName name="\P" localSheetId="10">#REF!</definedName>
    <definedName name="\P" localSheetId="11">#REF!</definedName>
    <definedName name="\P" localSheetId="12">#REF!</definedName>
    <definedName name="\P" localSheetId="13">#REF!</definedName>
    <definedName name="\P" localSheetId="14">#REF!</definedName>
    <definedName name="\P">#REF!</definedName>
    <definedName name="\r">#N/A</definedName>
    <definedName name="\x">#REF!</definedName>
    <definedName name="\z">#REF!</definedName>
    <definedName name="__________ben1" localSheetId="0">#REF!</definedName>
    <definedName name="__________ben1" localSheetId="1">#REF!</definedName>
    <definedName name="__________ben1" localSheetId="2">#REF!</definedName>
    <definedName name="__________ben1" localSheetId="3">#REF!</definedName>
    <definedName name="__________ben1" localSheetId="4">#REF!</definedName>
    <definedName name="__________ben1" localSheetId="5">#REF!</definedName>
    <definedName name="__________ben1" localSheetId="6">#REF!</definedName>
    <definedName name="__________ben1" localSheetId="7">#REF!</definedName>
    <definedName name="__________ben1" localSheetId="8">#REF!</definedName>
    <definedName name="__________ben1" localSheetId="9">#REF!</definedName>
    <definedName name="__________ben1" localSheetId="10">#REF!</definedName>
    <definedName name="__________ben1" localSheetId="11">#REF!</definedName>
    <definedName name="__________ben1" localSheetId="12">#REF!</definedName>
    <definedName name="__________ben1" localSheetId="13">#REF!</definedName>
    <definedName name="__________ben1" localSheetId="14">#REF!</definedName>
    <definedName name="__________ben1">#REF!</definedName>
    <definedName name="__________ben10" localSheetId="0">#REF!</definedName>
    <definedName name="__________ben10" localSheetId="1">#REF!</definedName>
    <definedName name="__________ben10" localSheetId="2">#REF!</definedName>
    <definedName name="__________ben10" localSheetId="3">#REF!</definedName>
    <definedName name="__________ben10" localSheetId="4">#REF!</definedName>
    <definedName name="__________ben10" localSheetId="5">#REF!</definedName>
    <definedName name="__________ben10" localSheetId="6">#REF!</definedName>
    <definedName name="__________ben10" localSheetId="7">#REF!</definedName>
    <definedName name="__________ben10" localSheetId="8">#REF!</definedName>
    <definedName name="__________ben10" localSheetId="9">#REF!</definedName>
    <definedName name="__________ben10" localSheetId="10">#REF!</definedName>
    <definedName name="__________ben10" localSheetId="11">#REF!</definedName>
    <definedName name="__________ben10" localSheetId="12">#REF!</definedName>
    <definedName name="__________ben10" localSheetId="13">#REF!</definedName>
    <definedName name="__________ben10" localSheetId="14">#REF!</definedName>
    <definedName name="__________ben10">#REF!</definedName>
    <definedName name="__________ben15" localSheetId="0">#REF!</definedName>
    <definedName name="__________ben15" localSheetId="1">#REF!</definedName>
    <definedName name="__________ben15" localSheetId="2">#REF!</definedName>
    <definedName name="__________ben15" localSheetId="3">#REF!</definedName>
    <definedName name="__________ben15" localSheetId="4">#REF!</definedName>
    <definedName name="__________ben15" localSheetId="5">#REF!</definedName>
    <definedName name="__________ben15" localSheetId="6">#REF!</definedName>
    <definedName name="__________ben15" localSheetId="7">#REF!</definedName>
    <definedName name="__________ben15" localSheetId="8">#REF!</definedName>
    <definedName name="__________ben15" localSheetId="9">#REF!</definedName>
    <definedName name="__________ben15" localSheetId="10">#REF!</definedName>
    <definedName name="__________ben15" localSheetId="11">#REF!</definedName>
    <definedName name="__________ben15" localSheetId="12">#REF!</definedName>
    <definedName name="__________ben15" localSheetId="13">#REF!</definedName>
    <definedName name="__________ben15" localSheetId="14">#REF!</definedName>
    <definedName name="__________ben15">#REF!</definedName>
    <definedName name="__________BEN2">#REF!</definedName>
    <definedName name="__________ben20" localSheetId="0">#REF!</definedName>
    <definedName name="__________ben20" localSheetId="1">#REF!</definedName>
    <definedName name="__________ben20" localSheetId="2">#REF!</definedName>
    <definedName name="__________ben20" localSheetId="3">#REF!</definedName>
    <definedName name="__________ben20" localSheetId="4">#REF!</definedName>
    <definedName name="__________ben20" localSheetId="5">#REF!</definedName>
    <definedName name="__________ben20" localSheetId="6">#REF!</definedName>
    <definedName name="__________ben20" localSheetId="7">#REF!</definedName>
    <definedName name="__________ben20" localSheetId="8">#REF!</definedName>
    <definedName name="__________ben20" localSheetId="9">#REF!</definedName>
    <definedName name="__________ben20" localSheetId="10">#REF!</definedName>
    <definedName name="__________ben20" localSheetId="11">#REF!</definedName>
    <definedName name="__________ben20" localSheetId="12">#REF!</definedName>
    <definedName name="__________ben20" localSheetId="13">#REF!</definedName>
    <definedName name="__________ben20" localSheetId="14">#REF!</definedName>
    <definedName name="__________ben20">#REF!</definedName>
    <definedName name="__________ben25" localSheetId="0">#REF!</definedName>
    <definedName name="__________ben25" localSheetId="1">#REF!</definedName>
    <definedName name="__________ben25" localSheetId="2">#REF!</definedName>
    <definedName name="__________ben25" localSheetId="3">#REF!</definedName>
    <definedName name="__________ben25" localSheetId="4">#REF!</definedName>
    <definedName name="__________ben25" localSheetId="5">#REF!</definedName>
    <definedName name="__________ben25" localSheetId="6">#REF!</definedName>
    <definedName name="__________ben25" localSheetId="7">#REF!</definedName>
    <definedName name="__________ben25" localSheetId="8">#REF!</definedName>
    <definedName name="__________ben25" localSheetId="9">#REF!</definedName>
    <definedName name="__________ben25" localSheetId="10">#REF!</definedName>
    <definedName name="__________ben25" localSheetId="11">#REF!</definedName>
    <definedName name="__________ben25" localSheetId="12">#REF!</definedName>
    <definedName name="__________ben25" localSheetId="13">#REF!</definedName>
    <definedName name="__________ben25" localSheetId="14">#REF!</definedName>
    <definedName name="__________ben25">#REF!</definedName>
    <definedName name="__________BEN3" localSheetId="0">#REF!</definedName>
    <definedName name="__________BEN3" localSheetId="1">#REF!</definedName>
    <definedName name="__________BEN3" localSheetId="2">#REF!</definedName>
    <definedName name="__________BEN3" localSheetId="3">#REF!</definedName>
    <definedName name="__________BEN3" localSheetId="4">#REF!</definedName>
    <definedName name="__________BEN3" localSheetId="5">#REF!</definedName>
    <definedName name="__________BEN3" localSheetId="6">#REF!</definedName>
    <definedName name="__________BEN3" localSheetId="7">#REF!</definedName>
    <definedName name="__________BEN3" localSheetId="8">#REF!</definedName>
    <definedName name="__________BEN3" localSheetId="9">#REF!</definedName>
    <definedName name="__________BEN3" localSheetId="10">#REF!</definedName>
    <definedName name="__________BEN3" localSheetId="11">#REF!</definedName>
    <definedName name="__________BEN3" localSheetId="12">#REF!</definedName>
    <definedName name="__________BEN3" localSheetId="13">#REF!</definedName>
    <definedName name="__________BEN3" localSheetId="14">#REF!</definedName>
    <definedName name="__________BEN3">#REF!</definedName>
    <definedName name="__________BEN4" localSheetId="0">#REF!</definedName>
    <definedName name="__________BEN4" localSheetId="1">#REF!</definedName>
    <definedName name="__________BEN4" localSheetId="2">#REF!</definedName>
    <definedName name="__________BEN4" localSheetId="3">#REF!</definedName>
    <definedName name="__________BEN4" localSheetId="4">#REF!</definedName>
    <definedName name="__________BEN4" localSheetId="5">#REF!</definedName>
    <definedName name="__________BEN4" localSheetId="6">#REF!</definedName>
    <definedName name="__________BEN4" localSheetId="7">#REF!</definedName>
    <definedName name="__________BEN4" localSheetId="8">#REF!</definedName>
    <definedName name="__________BEN4" localSheetId="9">#REF!</definedName>
    <definedName name="__________BEN4" localSheetId="10">#REF!</definedName>
    <definedName name="__________BEN4" localSheetId="11">#REF!</definedName>
    <definedName name="__________BEN4" localSheetId="12">#REF!</definedName>
    <definedName name="__________BEN4" localSheetId="13">#REF!</definedName>
    <definedName name="__________BEN4" localSheetId="14">#REF!</definedName>
    <definedName name="__________BEN4">#REF!</definedName>
    <definedName name="__________ben5" localSheetId="0">#REF!</definedName>
    <definedName name="__________ben5" localSheetId="1">#REF!</definedName>
    <definedName name="__________ben5" localSheetId="2">#REF!</definedName>
    <definedName name="__________ben5" localSheetId="3">#REF!</definedName>
    <definedName name="__________ben5" localSheetId="4">#REF!</definedName>
    <definedName name="__________ben5" localSheetId="5">#REF!</definedName>
    <definedName name="__________ben5" localSheetId="6">#REF!</definedName>
    <definedName name="__________ben5" localSheetId="7">#REF!</definedName>
    <definedName name="__________ben5" localSheetId="8">#REF!</definedName>
    <definedName name="__________ben5" localSheetId="9">#REF!</definedName>
    <definedName name="__________ben5" localSheetId="10">#REF!</definedName>
    <definedName name="__________ben5" localSheetId="11">#REF!</definedName>
    <definedName name="__________ben5" localSheetId="12">#REF!</definedName>
    <definedName name="__________ben5" localSheetId="13">#REF!</definedName>
    <definedName name="__________ben5" localSheetId="14">#REF!</definedName>
    <definedName name="__________ben5">#REF!</definedName>
    <definedName name="_________ben1" localSheetId="0">#REF!</definedName>
    <definedName name="_________ben1" localSheetId="1">#REF!</definedName>
    <definedName name="_________ben1" localSheetId="2">#REF!</definedName>
    <definedName name="_________ben1" localSheetId="3">#REF!</definedName>
    <definedName name="_________ben1" localSheetId="4">#REF!</definedName>
    <definedName name="_________ben1" localSheetId="5">#REF!</definedName>
    <definedName name="_________ben1" localSheetId="6">#REF!</definedName>
    <definedName name="_________ben1" localSheetId="7">#REF!</definedName>
    <definedName name="_________ben1" localSheetId="8">#REF!</definedName>
    <definedName name="_________ben1" localSheetId="9">#REF!</definedName>
    <definedName name="_________ben1" localSheetId="10">#REF!</definedName>
    <definedName name="_________ben1" localSheetId="11">#REF!</definedName>
    <definedName name="_________ben1" localSheetId="12">#REF!</definedName>
    <definedName name="_________ben1" localSheetId="13">#REF!</definedName>
    <definedName name="_________ben1" localSheetId="14">#REF!</definedName>
    <definedName name="_________ben1">#REF!</definedName>
    <definedName name="_________ben10" localSheetId="0">#REF!</definedName>
    <definedName name="_________ben10" localSheetId="1">#REF!</definedName>
    <definedName name="_________ben10" localSheetId="2">#REF!</definedName>
    <definedName name="_________ben10" localSheetId="3">#REF!</definedName>
    <definedName name="_________ben10" localSheetId="4">#REF!</definedName>
    <definedName name="_________ben10" localSheetId="5">#REF!</definedName>
    <definedName name="_________ben10" localSheetId="6">#REF!</definedName>
    <definedName name="_________ben10" localSheetId="7">#REF!</definedName>
    <definedName name="_________ben10" localSheetId="8">#REF!</definedName>
    <definedName name="_________ben10" localSheetId="9">#REF!</definedName>
    <definedName name="_________ben10" localSheetId="10">#REF!</definedName>
    <definedName name="_________ben10" localSheetId="11">#REF!</definedName>
    <definedName name="_________ben10" localSheetId="12">#REF!</definedName>
    <definedName name="_________ben10" localSheetId="13">#REF!</definedName>
    <definedName name="_________ben10" localSheetId="14">#REF!</definedName>
    <definedName name="_________ben10">#REF!</definedName>
    <definedName name="_________ben15" localSheetId="0">#REF!</definedName>
    <definedName name="_________ben15" localSheetId="1">#REF!</definedName>
    <definedName name="_________ben15" localSheetId="2">#REF!</definedName>
    <definedName name="_________ben15" localSheetId="3">#REF!</definedName>
    <definedName name="_________ben15" localSheetId="4">#REF!</definedName>
    <definedName name="_________ben15" localSheetId="5">#REF!</definedName>
    <definedName name="_________ben15" localSheetId="6">#REF!</definedName>
    <definedName name="_________ben15" localSheetId="7">#REF!</definedName>
    <definedName name="_________ben15" localSheetId="8">#REF!</definedName>
    <definedName name="_________ben15" localSheetId="9">#REF!</definedName>
    <definedName name="_________ben15" localSheetId="10">#REF!</definedName>
    <definedName name="_________ben15" localSheetId="11">#REF!</definedName>
    <definedName name="_________ben15" localSheetId="12">#REF!</definedName>
    <definedName name="_________ben15" localSheetId="13">#REF!</definedName>
    <definedName name="_________ben15" localSheetId="14">#REF!</definedName>
    <definedName name="_________ben15">#REF!</definedName>
    <definedName name="_________BEN2">#REF!</definedName>
    <definedName name="_________ben20" localSheetId="0">#REF!</definedName>
    <definedName name="_________ben20" localSheetId="1">#REF!</definedName>
    <definedName name="_________ben20" localSheetId="2">#REF!</definedName>
    <definedName name="_________ben20" localSheetId="3">#REF!</definedName>
    <definedName name="_________ben20" localSheetId="4">#REF!</definedName>
    <definedName name="_________ben20" localSheetId="5">#REF!</definedName>
    <definedName name="_________ben20" localSheetId="6">#REF!</definedName>
    <definedName name="_________ben20" localSheetId="7">#REF!</definedName>
    <definedName name="_________ben20" localSheetId="8">#REF!</definedName>
    <definedName name="_________ben20" localSheetId="9">#REF!</definedName>
    <definedName name="_________ben20" localSheetId="10">#REF!</definedName>
    <definedName name="_________ben20" localSheetId="11">#REF!</definedName>
    <definedName name="_________ben20" localSheetId="12">#REF!</definedName>
    <definedName name="_________ben20" localSheetId="13">#REF!</definedName>
    <definedName name="_________ben20" localSheetId="14">#REF!</definedName>
    <definedName name="_________ben20">#REF!</definedName>
    <definedName name="_________ben25" localSheetId="0">#REF!</definedName>
    <definedName name="_________ben25" localSheetId="1">#REF!</definedName>
    <definedName name="_________ben25" localSheetId="2">#REF!</definedName>
    <definedName name="_________ben25" localSheetId="3">#REF!</definedName>
    <definedName name="_________ben25" localSheetId="4">#REF!</definedName>
    <definedName name="_________ben25" localSheetId="5">#REF!</definedName>
    <definedName name="_________ben25" localSheetId="6">#REF!</definedName>
    <definedName name="_________ben25" localSheetId="7">#REF!</definedName>
    <definedName name="_________ben25" localSheetId="8">#REF!</definedName>
    <definedName name="_________ben25" localSheetId="9">#REF!</definedName>
    <definedName name="_________ben25" localSheetId="10">#REF!</definedName>
    <definedName name="_________ben25" localSheetId="11">#REF!</definedName>
    <definedName name="_________ben25" localSheetId="12">#REF!</definedName>
    <definedName name="_________ben25" localSheetId="13">#REF!</definedName>
    <definedName name="_________ben25" localSheetId="14">#REF!</definedName>
    <definedName name="_________ben25">#REF!</definedName>
    <definedName name="_________BEN3" localSheetId="0">#REF!</definedName>
    <definedName name="_________BEN3" localSheetId="1">#REF!</definedName>
    <definedName name="_________BEN3" localSheetId="2">#REF!</definedName>
    <definedName name="_________BEN3" localSheetId="3">#REF!</definedName>
    <definedName name="_________BEN3" localSheetId="4">#REF!</definedName>
    <definedName name="_________BEN3" localSheetId="5">#REF!</definedName>
    <definedName name="_________BEN3" localSheetId="6">#REF!</definedName>
    <definedName name="_________BEN3" localSheetId="7">#REF!</definedName>
    <definedName name="_________BEN3" localSheetId="8">#REF!</definedName>
    <definedName name="_________BEN3" localSheetId="9">#REF!</definedName>
    <definedName name="_________BEN3" localSheetId="10">#REF!</definedName>
    <definedName name="_________BEN3" localSheetId="11">#REF!</definedName>
    <definedName name="_________BEN3" localSheetId="12">#REF!</definedName>
    <definedName name="_________BEN3" localSheetId="13">#REF!</definedName>
    <definedName name="_________BEN3" localSheetId="14">#REF!</definedName>
    <definedName name="_________BEN3">#REF!</definedName>
    <definedName name="_________BEN4" localSheetId="0">#REF!</definedName>
    <definedName name="_________BEN4" localSheetId="1">#REF!</definedName>
    <definedName name="_________BEN4" localSheetId="2">#REF!</definedName>
    <definedName name="_________BEN4" localSheetId="3">#REF!</definedName>
    <definedName name="_________BEN4" localSheetId="4">#REF!</definedName>
    <definedName name="_________BEN4" localSheetId="5">#REF!</definedName>
    <definedName name="_________BEN4" localSheetId="6">#REF!</definedName>
    <definedName name="_________BEN4" localSheetId="7">#REF!</definedName>
    <definedName name="_________BEN4" localSheetId="8">#REF!</definedName>
    <definedName name="_________BEN4" localSheetId="9">#REF!</definedName>
    <definedName name="_________BEN4" localSheetId="10">#REF!</definedName>
    <definedName name="_________BEN4" localSheetId="11">#REF!</definedName>
    <definedName name="_________BEN4" localSheetId="12">#REF!</definedName>
    <definedName name="_________BEN4" localSheetId="13">#REF!</definedName>
    <definedName name="_________BEN4" localSheetId="14">#REF!</definedName>
    <definedName name="_________BEN4">#REF!</definedName>
    <definedName name="_________ben5" localSheetId="0">#REF!</definedName>
    <definedName name="_________ben5" localSheetId="1">#REF!</definedName>
    <definedName name="_________ben5" localSheetId="2">#REF!</definedName>
    <definedName name="_________ben5" localSheetId="3">#REF!</definedName>
    <definedName name="_________ben5" localSheetId="4">#REF!</definedName>
    <definedName name="_________ben5" localSheetId="5">#REF!</definedName>
    <definedName name="_________ben5" localSheetId="6">#REF!</definedName>
    <definedName name="_________ben5" localSheetId="7">#REF!</definedName>
    <definedName name="_________ben5" localSheetId="8">#REF!</definedName>
    <definedName name="_________ben5" localSheetId="9">#REF!</definedName>
    <definedName name="_________ben5" localSheetId="10">#REF!</definedName>
    <definedName name="_________ben5" localSheetId="11">#REF!</definedName>
    <definedName name="_________ben5" localSheetId="12">#REF!</definedName>
    <definedName name="_________ben5" localSheetId="13">#REF!</definedName>
    <definedName name="_________ben5" localSheetId="14">#REF!</definedName>
    <definedName name="_________ben5">#REF!</definedName>
    <definedName name="________ben1" localSheetId="0">#REF!</definedName>
    <definedName name="________ben1" localSheetId="1">#REF!</definedName>
    <definedName name="________ben1" localSheetId="2">#REF!</definedName>
    <definedName name="________ben1" localSheetId="3">#REF!</definedName>
    <definedName name="________ben1" localSheetId="4">#REF!</definedName>
    <definedName name="________ben1" localSheetId="5">#REF!</definedName>
    <definedName name="________ben1" localSheetId="6">#REF!</definedName>
    <definedName name="________ben1" localSheetId="7">#REF!</definedName>
    <definedName name="________ben1" localSheetId="8">#REF!</definedName>
    <definedName name="________ben1" localSheetId="9">#REF!</definedName>
    <definedName name="________ben1" localSheetId="10">#REF!</definedName>
    <definedName name="________ben1" localSheetId="11">#REF!</definedName>
    <definedName name="________ben1" localSheetId="12">#REF!</definedName>
    <definedName name="________ben1" localSheetId="13">#REF!</definedName>
    <definedName name="________ben1" localSheetId="14">#REF!</definedName>
    <definedName name="________ben1">#REF!</definedName>
    <definedName name="________ben10" localSheetId="0">#REF!</definedName>
    <definedName name="________ben10" localSheetId="1">#REF!</definedName>
    <definedName name="________ben10" localSheetId="2">#REF!</definedName>
    <definedName name="________ben10" localSheetId="3">#REF!</definedName>
    <definedName name="________ben10" localSheetId="4">#REF!</definedName>
    <definedName name="________ben10" localSheetId="5">#REF!</definedName>
    <definedName name="________ben10" localSheetId="6">#REF!</definedName>
    <definedName name="________ben10" localSheetId="7">#REF!</definedName>
    <definedName name="________ben10" localSheetId="8">#REF!</definedName>
    <definedName name="________ben10" localSheetId="9">#REF!</definedName>
    <definedName name="________ben10" localSheetId="10">#REF!</definedName>
    <definedName name="________ben10" localSheetId="11">#REF!</definedName>
    <definedName name="________ben10" localSheetId="12">#REF!</definedName>
    <definedName name="________ben10" localSheetId="13">#REF!</definedName>
    <definedName name="________ben10" localSheetId="14">#REF!</definedName>
    <definedName name="________ben10">#REF!</definedName>
    <definedName name="________ben15" localSheetId="0">#REF!</definedName>
    <definedName name="________ben15" localSheetId="1">#REF!</definedName>
    <definedName name="________ben15" localSheetId="2">#REF!</definedName>
    <definedName name="________ben15" localSheetId="3">#REF!</definedName>
    <definedName name="________ben15" localSheetId="4">#REF!</definedName>
    <definedName name="________ben15" localSheetId="5">#REF!</definedName>
    <definedName name="________ben15" localSheetId="6">#REF!</definedName>
    <definedName name="________ben15" localSheetId="7">#REF!</definedName>
    <definedName name="________ben15" localSheetId="8">#REF!</definedName>
    <definedName name="________ben15" localSheetId="9">#REF!</definedName>
    <definedName name="________ben15" localSheetId="10">#REF!</definedName>
    <definedName name="________ben15" localSheetId="11">#REF!</definedName>
    <definedName name="________ben15" localSheetId="12">#REF!</definedName>
    <definedName name="________ben15" localSheetId="13">#REF!</definedName>
    <definedName name="________ben15" localSheetId="14">#REF!</definedName>
    <definedName name="________ben15">#REF!</definedName>
    <definedName name="________BEN2">#REF!</definedName>
    <definedName name="________ben20" localSheetId="0">#REF!</definedName>
    <definedName name="________ben20" localSheetId="1">#REF!</definedName>
    <definedName name="________ben20" localSheetId="2">#REF!</definedName>
    <definedName name="________ben20" localSheetId="3">#REF!</definedName>
    <definedName name="________ben20" localSheetId="4">#REF!</definedName>
    <definedName name="________ben20" localSheetId="5">#REF!</definedName>
    <definedName name="________ben20" localSheetId="6">#REF!</definedName>
    <definedName name="________ben20" localSheetId="7">#REF!</definedName>
    <definedName name="________ben20" localSheetId="8">#REF!</definedName>
    <definedName name="________ben20" localSheetId="9">#REF!</definedName>
    <definedName name="________ben20" localSheetId="10">#REF!</definedName>
    <definedName name="________ben20" localSheetId="11">#REF!</definedName>
    <definedName name="________ben20" localSheetId="12">#REF!</definedName>
    <definedName name="________ben20" localSheetId="13">#REF!</definedName>
    <definedName name="________ben20" localSheetId="14">#REF!</definedName>
    <definedName name="________ben20">#REF!</definedName>
    <definedName name="________ben25" localSheetId="0">#REF!</definedName>
    <definedName name="________ben25" localSheetId="1">#REF!</definedName>
    <definedName name="________ben25" localSheetId="2">#REF!</definedName>
    <definedName name="________ben25" localSheetId="3">#REF!</definedName>
    <definedName name="________ben25" localSheetId="4">#REF!</definedName>
    <definedName name="________ben25" localSheetId="5">#REF!</definedName>
    <definedName name="________ben25" localSheetId="6">#REF!</definedName>
    <definedName name="________ben25" localSheetId="7">#REF!</definedName>
    <definedName name="________ben25" localSheetId="8">#REF!</definedName>
    <definedName name="________ben25" localSheetId="9">#REF!</definedName>
    <definedName name="________ben25" localSheetId="10">#REF!</definedName>
    <definedName name="________ben25" localSheetId="11">#REF!</definedName>
    <definedName name="________ben25" localSheetId="12">#REF!</definedName>
    <definedName name="________ben25" localSheetId="13">#REF!</definedName>
    <definedName name="________ben25" localSheetId="14">#REF!</definedName>
    <definedName name="________ben25">#REF!</definedName>
    <definedName name="________BEN3" localSheetId="0">#REF!</definedName>
    <definedName name="________BEN3" localSheetId="1">#REF!</definedName>
    <definedName name="________BEN3" localSheetId="2">#REF!</definedName>
    <definedName name="________BEN3" localSheetId="3">#REF!</definedName>
    <definedName name="________BEN3" localSheetId="4">#REF!</definedName>
    <definedName name="________BEN3" localSheetId="5">#REF!</definedName>
    <definedName name="________BEN3" localSheetId="6">#REF!</definedName>
    <definedName name="________BEN3" localSheetId="7">#REF!</definedName>
    <definedName name="________BEN3" localSheetId="8">#REF!</definedName>
    <definedName name="________BEN3" localSheetId="9">#REF!</definedName>
    <definedName name="________BEN3" localSheetId="10">#REF!</definedName>
    <definedName name="________BEN3" localSheetId="11">#REF!</definedName>
    <definedName name="________BEN3" localSheetId="12">#REF!</definedName>
    <definedName name="________BEN3" localSheetId="13">#REF!</definedName>
    <definedName name="________BEN3" localSheetId="14">#REF!</definedName>
    <definedName name="________BEN3">#REF!</definedName>
    <definedName name="________BEN4" localSheetId="0">#REF!</definedName>
    <definedName name="________BEN4" localSheetId="1">#REF!</definedName>
    <definedName name="________BEN4" localSheetId="2">#REF!</definedName>
    <definedName name="________BEN4" localSheetId="3">#REF!</definedName>
    <definedName name="________BEN4" localSheetId="4">#REF!</definedName>
    <definedName name="________BEN4" localSheetId="5">#REF!</definedName>
    <definedName name="________BEN4" localSheetId="6">#REF!</definedName>
    <definedName name="________BEN4" localSheetId="7">#REF!</definedName>
    <definedName name="________BEN4" localSheetId="8">#REF!</definedName>
    <definedName name="________BEN4" localSheetId="9">#REF!</definedName>
    <definedName name="________BEN4" localSheetId="10">#REF!</definedName>
    <definedName name="________BEN4" localSheetId="11">#REF!</definedName>
    <definedName name="________BEN4" localSheetId="12">#REF!</definedName>
    <definedName name="________BEN4" localSheetId="13">#REF!</definedName>
    <definedName name="________BEN4" localSheetId="14">#REF!</definedName>
    <definedName name="________BEN4">#REF!</definedName>
    <definedName name="________ben5" localSheetId="0">#REF!</definedName>
    <definedName name="________ben5" localSheetId="1">#REF!</definedName>
    <definedName name="________ben5" localSheetId="2">#REF!</definedName>
    <definedName name="________ben5" localSheetId="3">#REF!</definedName>
    <definedName name="________ben5" localSheetId="4">#REF!</definedName>
    <definedName name="________ben5" localSheetId="5">#REF!</definedName>
    <definedName name="________ben5" localSheetId="6">#REF!</definedName>
    <definedName name="________ben5" localSheetId="7">#REF!</definedName>
    <definedName name="________ben5" localSheetId="8">#REF!</definedName>
    <definedName name="________ben5" localSheetId="9">#REF!</definedName>
    <definedName name="________ben5" localSheetId="10">#REF!</definedName>
    <definedName name="________ben5" localSheetId="11">#REF!</definedName>
    <definedName name="________ben5" localSheetId="12">#REF!</definedName>
    <definedName name="________ben5" localSheetId="13">#REF!</definedName>
    <definedName name="________ben5" localSheetId="14">#REF!</definedName>
    <definedName name="________ben5">#REF!</definedName>
    <definedName name="________tu3" localSheetId="0">#REF!</definedName>
    <definedName name="________tu3" localSheetId="1">#REF!</definedName>
    <definedName name="________tu3" localSheetId="2">#REF!</definedName>
    <definedName name="________tu3" localSheetId="3">#REF!</definedName>
    <definedName name="________tu3" localSheetId="4">#REF!</definedName>
    <definedName name="________tu3" localSheetId="5">#REF!</definedName>
    <definedName name="________tu3" localSheetId="6">#REF!</definedName>
    <definedName name="________tu3" localSheetId="7">#REF!</definedName>
    <definedName name="________tu3" localSheetId="8">#REF!</definedName>
    <definedName name="________tu3" localSheetId="9">#REF!</definedName>
    <definedName name="________tu3" localSheetId="10">#REF!</definedName>
    <definedName name="________tu3" localSheetId="11">#REF!</definedName>
    <definedName name="________tu3" localSheetId="12">#REF!</definedName>
    <definedName name="________tu3" localSheetId="13">#REF!</definedName>
    <definedName name="________tu3" localSheetId="14">#REF!</definedName>
    <definedName name="________tu3">#REF!</definedName>
    <definedName name="_______ben1" localSheetId="0">#REF!</definedName>
    <definedName name="_______ben1" localSheetId="1">#REF!</definedName>
    <definedName name="_______ben1" localSheetId="2">#REF!</definedName>
    <definedName name="_______ben1" localSheetId="3">#REF!</definedName>
    <definedName name="_______ben1" localSheetId="4">#REF!</definedName>
    <definedName name="_______ben1" localSheetId="5">#REF!</definedName>
    <definedName name="_______ben1" localSheetId="6">#REF!</definedName>
    <definedName name="_______ben1" localSheetId="7">#REF!</definedName>
    <definedName name="_______ben1" localSheetId="8">#REF!</definedName>
    <definedName name="_______ben1" localSheetId="9">#REF!</definedName>
    <definedName name="_______ben1" localSheetId="10">#REF!</definedName>
    <definedName name="_______ben1" localSheetId="11">#REF!</definedName>
    <definedName name="_______ben1" localSheetId="12">#REF!</definedName>
    <definedName name="_______ben1" localSheetId="13">#REF!</definedName>
    <definedName name="_______ben1" localSheetId="14">#REF!</definedName>
    <definedName name="_______ben1">#REF!</definedName>
    <definedName name="_______ben10" localSheetId="0">#REF!</definedName>
    <definedName name="_______ben10" localSheetId="1">#REF!</definedName>
    <definedName name="_______ben10" localSheetId="2">#REF!</definedName>
    <definedName name="_______ben10" localSheetId="3">#REF!</definedName>
    <definedName name="_______ben10" localSheetId="4">#REF!</definedName>
    <definedName name="_______ben10" localSheetId="5">#REF!</definedName>
    <definedName name="_______ben10" localSheetId="6">#REF!</definedName>
    <definedName name="_______ben10" localSheetId="7">#REF!</definedName>
    <definedName name="_______ben10" localSheetId="8">#REF!</definedName>
    <definedName name="_______ben10" localSheetId="9">#REF!</definedName>
    <definedName name="_______ben10" localSheetId="10">#REF!</definedName>
    <definedName name="_______ben10" localSheetId="11">#REF!</definedName>
    <definedName name="_______ben10" localSheetId="12">#REF!</definedName>
    <definedName name="_______ben10" localSheetId="13">#REF!</definedName>
    <definedName name="_______ben10" localSheetId="14">#REF!</definedName>
    <definedName name="_______ben10">#REF!</definedName>
    <definedName name="_______ben15" localSheetId="0">#REF!</definedName>
    <definedName name="_______ben15" localSheetId="1">#REF!</definedName>
    <definedName name="_______ben15" localSheetId="2">#REF!</definedName>
    <definedName name="_______ben15" localSheetId="3">#REF!</definedName>
    <definedName name="_______ben15" localSheetId="4">#REF!</definedName>
    <definedName name="_______ben15" localSheetId="5">#REF!</definedName>
    <definedName name="_______ben15" localSheetId="6">#REF!</definedName>
    <definedName name="_______ben15" localSheetId="7">#REF!</definedName>
    <definedName name="_______ben15" localSheetId="8">#REF!</definedName>
    <definedName name="_______ben15" localSheetId="9">#REF!</definedName>
    <definedName name="_______ben15" localSheetId="10">#REF!</definedName>
    <definedName name="_______ben15" localSheetId="11">#REF!</definedName>
    <definedName name="_______ben15" localSheetId="12">#REF!</definedName>
    <definedName name="_______ben15" localSheetId="13">#REF!</definedName>
    <definedName name="_______ben15" localSheetId="14">#REF!</definedName>
    <definedName name="_______ben15">#REF!</definedName>
    <definedName name="_______BEN2">#REF!</definedName>
    <definedName name="_______ben20" localSheetId="0">#REF!</definedName>
    <definedName name="_______ben20" localSheetId="1">#REF!</definedName>
    <definedName name="_______ben20" localSheetId="2">#REF!</definedName>
    <definedName name="_______ben20" localSheetId="3">#REF!</definedName>
    <definedName name="_______ben20" localSheetId="4">#REF!</definedName>
    <definedName name="_______ben20" localSheetId="5">#REF!</definedName>
    <definedName name="_______ben20" localSheetId="6">#REF!</definedName>
    <definedName name="_______ben20" localSheetId="7">#REF!</definedName>
    <definedName name="_______ben20" localSheetId="8">#REF!</definedName>
    <definedName name="_______ben20" localSheetId="9">#REF!</definedName>
    <definedName name="_______ben20" localSheetId="10">#REF!</definedName>
    <definedName name="_______ben20" localSheetId="11">#REF!</definedName>
    <definedName name="_______ben20" localSheetId="12">#REF!</definedName>
    <definedName name="_______ben20" localSheetId="13">#REF!</definedName>
    <definedName name="_______ben20" localSheetId="14">#REF!</definedName>
    <definedName name="_______ben20">#REF!</definedName>
    <definedName name="_______ben25" localSheetId="0">#REF!</definedName>
    <definedName name="_______ben25" localSheetId="1">#REF!</definedName>
    <definedName name="_______ben25" localSheetId="2">#REF!</definedName>
    <definedName name="_______ben25" localSheetId="3">#REF!</definedName>
    <definedName name="_______ben25" localSheetId="4">#REF!</definedName>
    <definedName name="_______ben25" localSheetId="5">#REF!</definedName>
    <definedName name="_______ben25" localSheetId="6">#REF!</definedName>
    <definedName name="_______ben25" localSheetId="7">#REF!</definedName>
    <definedName name="_______ben25" localSheetId="8">#REF!</definedName>
    <definedName name="_______ben25" localSheetId="9">#REF!</definedName>
    <definedName name="_______ben25" localSheetId="10">#REF!</definedName>
    <definedName name="_______ben25" localSheetId="11">#REF!</definedName>
    <definedName name="_______ben25" localSheetId="12">#REF!</definedName>
    <definedName name="_______ben25" localSheetId="13">#REF!</definedName>
    <definedName name="_______ben25" localSheetId="14">#REF!</definedName>
    <definedName name="_______ben25">#REF!</definedName>
    <definedName name="_______BEN3" localSheetId="0">#REF!</definedName>
    <definedName name="_______BEN3" localSheetId="1">#REF!</definedName>
    <definedName name="_______BEN3" localSheetId="2">#REF!</definedName>
    <definedName name="_______BEN3" localSheetId="3">#REF!</definedName>
    <definedName name="_______BEN3" localSheetId="4">#REF!</definedName>
    <definedName name="_______BEN3" localSheetId="5">#REF!</definedName>
    <definedName name="_______BEN3" localSheetId="6">#REF!</definedName>
    <definedName name="_______BEN3" localSheetId="7">#REF!</definedName>
    <definedName name="_______BEN3" localSheetId="8">#REF!</definedName>
    <definedName name="_______BEN3" localSheetId="9">#REF!</definedName>
    <definedName name="_______BEN3" localSheetId="10">#REF!</definedName>
    <definedName name="_______BEN3" localSheetId="11">#REF!</definedName>
    <definedName name="_______BEN3" localSheetId="12">#REF!</definedName>
    <definedName name="_______BEN3" localSheetId="13">#REF!</definedName>
    <definedName name="_______BEN3" localSheetId="14">#REF!</definedName>
    <definedName name="_______BEN3">#REF!</definedName>
    <definedName name="_______BEN4" localSheetId="0">#REF!</definedName>
    <definedName name="_______BEN4" localSheetId="1">#REF!</definedName>
    <definedName name="_______BEN4" localSheetId="2">#REF!</definedName>
    <definedName name="_______BEN4" localSheetId="3">#REF!</definedName>
    <definedName name="_______BEN4" localSheetId="4">#REF!</definedName>
    <definedName name="_______BEN4" localSheetId="5">#REF!</definedName>
    <definedName name="_______BEN4" localSheetId="6">#REF!</definedName>
    <definedName name="_______BEN4" localSheetId="7">#REF!</definedName>
    <definedName name="_______BEN4" localSheetId="8">#REF!</definedName>
    <definedName name="_______BEN4" localSheetId="9">#REF!</definedName>
    <definedName name="_______BEN4" localSheetId="10">#REF!</definedName>
    <definedName name="_______BEN4" localSheetId="11">#REF!</definedName>
    <definedName name="_______BEN4" localSheetId="12">#REF!</definedName>
    <definedName name="_______BEN4" localSheetId="13">#REF!</definedName>
    <definedName name="_______BEN4" localSheetId="14">#REF!</definedName>
    <definedName name="_______BEN4">#REF!</definedName>
    <definedName name="_______ben5" localSheetId="0">#REF!</definedName>
    <definedName name="_______ben5" localSheetId="1">#REF!</definedName>
    <definedName name="_______ben5" localSheetId="2">#REF!</definedName>
    <definedName name="_______ben5" localSheetId="3">#REF!</definedName>
    <definedName name="_______ben5" localSheetId="4">#REF!</definedName>
    <definedName name="_______ben5" localSheetId="5">#REF!</definedName>
    <definedName name="_______ben5" localSheetId="6">#REF!</definedName>
    <definedName name="_______ben5" localSheetId="7">#REF!</definedName>
    <definedName name="_______ben5" localSheetId="8">#REF!</definedName>
    <definedName name="_______ben5" localSheetId="9">#REF!</definedName>
    <definedName name="_______ben5" localSheetId="10">#REF!</definedName>
    <definedName name="_______ben5" localSheetId="11">#REF!</definedName>
    <definedName name="_______ben5" localSheetId="12">#REF!</definedName>
    <definedName name="_______ben5" localSheetId="13">#REF!</definedName>
    <definedName name="_______ben5" localSheetId="14">#REF!</definedName>
    <definedName name="_______ben5">#REF!</definedName>
    <definedName name="_______tu3" localSheetId="0">#REF!</definedName>
    <definedName name="_______tu3" localSheetId="1">#REF!</definedName>
    <definedName name="_______tu3" localSheetId="2">#REF!</definedName>
    <definedName name="_______tu3" localSheetId="3">#REF!</definedName>
    <definedName name="_______tu3" localSheetId="4">#REF!</definedName>
    <definedName name="_______tu3" localSheetId="5">#REF!</definedName>
    <definedName name="_______tu3" localSheetId="6">#REF!</definedName>
    <definedName name="_______tu3" localSheetId="7">#REF!</definedName>
    <definedName name="_______tu3" localSheetId="8">#REF!</definedName>
    <definedName name="_______tu3" localSheetId="9">#REF!</definedName>
    <definedName name="_______tu3" localSheetId="10">#REF!</definedName>
    <definedName name="_______tu3" localSheetId="11">#REF!</definedName>
    <definedName name="_______tu3" localSheetId="12">#REF!</definedName>
    <definedName name="_______tu3" localSheetId="13">#REF!</definedName>
    <definedName name="_______tu3" localSheetId="14">#REF!</definedName>
    <definedName name="_______tu3">#REF!</definedName>
    <definedName name="______ben1" localSheetId="0">#REF!</definedName>
    <definedName name="______ben1" localSheetId="1">#REF!</definedName>
    <definedName name="______ben1" localSheetId="2">#REF!</definedName>
    <definedName name="______ben1" localSheetId="3">#REF!</definedName>
    <definedName name="______ben1" localSheetId="4">#REF!</definedName>
    <definedName name="______ben1" localSheetId="5">#REF!</definedName>
    <definedName name="______ben1" localSheetId="6">#REF!</definedName>
    <definedName name="______ben1" localSheetId="7">#REF!</definedName>
    <definedName name="______ben1" localSheetId="8">#REF!</definedName>
    <definedName name="______ben1" localSheetId="9">#REF!</definedName>
    <definedName name="______ben1" localSheetId="10">#REF!</definedName>
    <definedName name="______ben1" localSheetId="11">#REF!</definedName>
    <definedName name="______ben1" localSheetId="12">#REF!</definedName>
    <definedName name="______ben1" localSheetId="13">#REF!</definedName>
    <definedName name="______ben1" localSheetId="14">#REF!</definedName>
    <definedName name="______ben1">#REF!</definedName>
    <definedName name="______ben10" localSheetId="0">#REF!</definedName>
    <definedName name="______ben10" localSheetId="1">#REF!</definedName>
    <definedName name="______ben10" localSheetId="2">#REF!</definedName>
    <definedName name="______ben10" localSheetId="3">#REF!</definedName>
    <definedName name="______ben10" localSheetId="4">#REF!</definedName>
    <definedName name="______ben10" localSheetId="5">#REF!</definedName>
    <definedName name="______ben10" localSheetId="6">#REF!</definedName>
    <definedName name="______ben10" localSheetId="7">#REF!</definedName>
    <definedName name="______ben10" localSheetId="8">#REF!</definedName>
    <definedName name="______ben10" localSheetId="9">#REF!</definedName>
    <definedName name="______ben10" localSheetId="10">#REF!</definedName>
    <definedName name="______ben10" localSheetId="11">#REF!</definedName>
    <definedName name="______ben10" localSheetId="12">#REF!</definedName>
    <definedName name="______ben10" localSheetId="13">#REF!</definedName>
    <definedName name="______ben10" localSheetId="14">#REF!</definedName>
    <definedName name="______ben10">#REF!</definedName>
    <definedName name="______ben15" localSheetId="0">#REF!</definedName>
    <definedName name="______ben15" localSheetId="1">#REF!</definedName>
    <definedName name="______ben15" localSheetId="2">#REF!</definedName>
    <definedName name="______ben15" localSheetId="3">#REF!</definedName>
    <definedName name="______ben15" localSheetId="4">#REF!</definedName>
    <definedName name="______ben15" localSheetId="5">#REF!</definedName>
    <definedName name="______ben15" localSheetId="6">#REF!</definedName>
    <definedName name="______ben15" localSheetId="7">#REF!</definedName>
    <definedName name="______ben15" localSheetId="8">#REF!</definedName>
    <definedName name="______ben15" localSheetId="9">#REF!</definedName>
    <definedName name="______ben15" localSheetId="10">#REF!</definedName>
    <definedName name="______ben15" localSheetId="11">#REF!</definedName>
    <definedName name="______ben15" localSheetId="12">#REF!</definedName>
    <definedName name="______ben15" localSheetId="13">#REF!</definedName>
    <definedName name="______ben15" localSheetId="14">#REF!</definedName>
    <definedName name="______ben15">#REF!</definedName>
    <definedName name="______BEN2">#REF!</definedName>
    <definedName name="______ben20" localSheetId="0">#REF!</definedName>
    <definedName name="______ben20" localSheetId="1">#REF!</definedName>
    <definedName name="______ben20" localSheetId="2">#REF!</definedName>
    <definedName name="______ben20" localSheetId="3">#REF!</definedName>
    <definedName name="______ben20" localSheetId="4">#REF!</definedName>
    <definedName name="______ben20" localSheetId="5">#REF!</definedName>
    <definedName name="______ben20" localSheetId="6">#REF!</definedName>
    <definedName name="______ben20" localSheetId="7">#REF!</definedName>
    <definedName name="______ben20" localSheetId="8">#REF!</definedName>
    <definedName name="______ben20" localSheetId="9">#REF!</definedName>
    <definedName name="______ben20" localSheetId="10">#REF!</definedName>
    <definedName name="______ben20" localSheetId="11">#REF!</definedName>
    <definedName name="______ben20" localSheetId="12">#REF!</definedName>
    <definedName name="______ben20" localSheetId="13">#REF!</definedName>
    <definedName name="______ben20" localSheetId="14">#REF!</definedName>
    <definedName name="______ben20">#REF!</definedName>
    <definedName name="______ben25" localSheetId="0">#REF!</definedName>
    <definedName name="______ben25" localSheetId="1">#REF!</definedName>
    <definedName name="______ben25" localSheetId="2">#REF!</definedName>
    <definedName name="______ben25" localSheetId="3">#REF!</definedName>
    <definedName name="______ben25" localSheetId="4">#REF!</definedName>
    <definedName name="______ben25" localSheetId="5">#REF!</definedName>
    <definedName name="______ben25" localSheetId="6">#REF!</definedName>
    <definedName name="______ben25" localSheetId="7">#REF!</definedName>
    <definedName name="______ben25" localSheetId="8">#REF!</definedName>
    <definedName name="______ben25" localSheetId="9">#REF!</definedName>
    <definedName name="______ben25" localSheetId="10">#REF!</definedName>
    <definedName name="______ben25" localSheetId="11">#REF!</definedName>
    <definedName name="______ben25" localSheetId="12">#REF!</definedName>
    <definedName name="______ben25" localSheetId="13">#REF!</definedName>
    <definedName name="______ben25" localSheetId="14">#REF!</definedName>
    <definedName name="______ben25">#REF!</definedName>
    <definedName name="______BEN3" localSheetId="0">#REF!</definedName>
    <definedName name="______BEN3" localSheetId="1">#REF!</definedName>
    <definedName name="______BEN3" localSheetId="2">#REF!</definedName>
    <definedName name="______BEN3" localSheetId="3">#REF!</definedName>
    <definedName name="______BEN3" localSheetId="4">#REF!</definedName>
    <definedName name="______BEN3" localSheetId="5">#REF!</definedName>
    <definedName name="______BEN3" localSheetId="6">#REF!</definedName>
    <definedName name="______BEN3" localSheetId="7">#REF!</definedName>
    <definedName name="______BEN3" localSheetId="8">#REF!</definedName>
    <definedName name="______BEN3" localSheetId="9">#REF!</definedName>
    <definedName name="______BEN3" localSheetId="10">#REF!</definedName>
    <definedName name="______BEN3" localSheetId="11">#REF!</definedName>
    <definedName name="______BEN3" localSheetId="12">#REF!</definedName>
    <definedName name="______BEN3" localSheetId="13">#REF!</definedName>
    <definedName name="______BEN3" localSheetId="14">#REF!</definedName>
    <definedName name="______BEN3">#REF!</definedName>
    <definedName name="______BEN4" localSheetId="0">#REF!</definedName>
    <definedName name="______BEN4" localSheetId="1">#REF!</definedName>
    <definedName name="______BEN4" localSheetId="2">#REF!</definedName>
    <definedName name="______BEN4" localSheetId="3">#REF!</definedName>
    <definedName name="______BEN4" localSheetId="4">#REF!</definedName>
    <definedName name="______BEN4" localSheetId="5">#REF!</definedName>
    <definedName name="______BEN4" localSheetId="6">#REF!</definedName>
    <definedName name="______BEN4" localSheetId="7">#REF!</definedName>
    <definedName name="______BEN4" localSheetId="8">#REF!</definedName>
    <definedName name="______BEN4" localSheetId="9">#REF!</definedName>
    <definedName name="______BEN4" localSheetId="10">#REF!</definedName>
    <definedName name="______BEN4" localSheetId="11">#REF!</definedName>
    <definedName name="______BEN4" localSheetId="12">#REF!</definedName>
    <definedName name="______BEN4" localSheetId="13">#REF!</definedName>
    <definedName name="______BEN4" localSheetId="14">#REF!</definedName>
    <definedName name="______BEN4">#REF!</definedName>
    <definedName name="______ben5" localSheetId="0">#REF!</definedName>
    <definedName name="______ben5" localSheetId="1">#REF!</definedName>
    <definedName name="______ben5" localSheetId="2">#REF!</definedName>
    <definedName name="______ben5" localSheetId="3">#REF!</definedName>
    <definedName name="______ben5" localSheetId="4">#REF!</definedName>
    <definedName name="______ben5" localSheetId="5">#REF!</definedName>
    <definedName name="______ben5" localSheetId="6">#REF!</definedName>
    <definedName name="______ben5" localSheetId="7">#REF!</definedName>
    <definedName name="______ben5" localSheetId="8">#REF!</definedName>
    <definedName name="______ben5" localSheetId="9">#REF!</definedName>
    <definedName name="______ben5" localSheetId="10">#REF!</definedName>
    <definedName name="______ben5" localSheetId="11">#REF!</definedName>
    <definedName name="______ben5" localSheetId="12">#REF!</definedName>
    <definedName name="______ben5" localSheetId="13">#REF!</definedName>
    <definedName name="______ben5" localSheetId="14">#REF!</definedName>
    <definedName name="______ben5">#REF!</definedName>
    <definedName name="______tu3" localSheetId="0">#REF!</definedName>
    <definedName name="______tu3" localSheetId="1">#REF!</definedName>
    <definedName name="______tu3" localSheetId="2">#REF!</definedName>
    <definedName name="______tu3" localSheetId="3">#REF!</definedName>
    <definedName name="______tu3" localSheetId="4">#REF!</definedName>
    <definedName name="______tu3" localSheetId="5">#REF!</definedName>
    <definedName name="______tu3" localSheetId="6">#REF!</definedName>
    <definedName name="______tu3" localSheetId="7">#REF!</definedName>
    <definedName name="______tu3" localSheetId="8">#REF!</definedName>
    <definedName name="______tu3" localSheetId="9">#REF!</definedName>
    <definedName name="______tu3" localSheetId="10">#REF!</definedName>
    <definedName name="______tu3" localSheetId="11">#REF!</definedName>
    <definedName name="______tu3" localSheetId="12">#REF!</definedName>
    <definedName name="______tu3" localSheetId="13">#REF!</definedName>
    <definedName name="______tu3" localSheetId="14">#REF!</definedName>
    <definedName name="______tu3">#REF!</definedName>
    <definedName name="_____ben1" localSheetId="0">#REF!</definedName>
    <definedName name="_____ben1" localSheetId="1">#REF!</definedName>
    <definedName name="_____ben1" localSheetId="2">#REF!</definedName>
    <definedName name="_____ben1" localSheetId="3">#REF!</definedName>
    <definedName name="_____ben1" localSheetId="4">#REF!</definedName>
    <definedName name="_____ben1" localSheetId="5">#REF!</definedName>
    <definedName name="_____ben1" localSheetId="6">#REF!</definedName>
    <definedName name="_____ben1" localSheetId="7">#REF!</definedName>
    <definedName name="_____ben1" localSheetId="8">#REF!</definedName>
    <definedName name="_____ben1" localSheetId="9">#REF!</definedName>
    <definedName name="_____ben1" localSheetId="10">#REF!</definedName>
    <definedName name="_____ben1" localSheetId="11">#REF!</definedName>
    <definedName name="_____ben1" localSheetId="12">#REF!</definedName>
    <definedName name="_____ben1" localSheetId="13">#REF!</definedName>
    <definedName name="_____ben1" localSheetId="14">#REF!</definedName>
    <definedName name="_____ben1">#REF!</definedName>
    <definedName name="_____ben10" localSheetId="0">#REF!</definedName>
    <definedName name="_____ben10" localSheetId="1">#REF!</definedName>
    <definedName name="_____ben10" localSheetId="2">#REF!</definedName>
    <definedName name="_____ben10" localSheetId="3">#REF!</definedName>
    <definedName name="_____ben10" localSheetId="4">#REF!</definedName>
    <definedName name="_____ben10" localSheetId="5">#REF!</definedName>
    <definedName name="_____ben10" localSheetId="6">#REF!</definedName>
    <definedName name="_____ben10" localSheetId="7">#REF!</definedName>
    <definedName name="_____ben10" localSheetId="8">#REF!</definedName>
    <definedName name="_____ben10" localSheetId="9">#REF!</definedName>
    <definedName name="_____ben10" localSheetId="10">#REF!</definedName>
    <definedName name="_____ben10" localSheetId="11">#REF!</definedName>
    <definedName name="_____ben10" localSheetId="12">#REF!</definedName>
    <definedName name="_____ben10" localSheetId="13">#REF!</definedName>
    <definedName name="_____ben10" localSheetId="14">#REF!</definedName>
    <definedName name="_____ben10">#REF!</definedName>
    <definedName name="_____ben15" localSheetId="0">#REF!</definedName>
    <definedName name="_____ben15" localSheetId="1">#REF!</definedName>
    <definedName name="_____ben15" localSheetId="2">#REF!</definedName>
    <definedName name="_____ben15" localSheetId="3">#REF!</definedName>
    <definedName name="_____ben15" localSheetId="4">#REF!</definedName>
    <definedName name="_____ben15" localSheetId="5">#REF!</definedName>
    <definedName name="_____ben15" localSheetId="6">#REF!</definedName>
    <definedName name="_____ben15" localSheetId="7">#REF!</definedName>
    <definedName name="_____ben15" localSheetId="8">#REF!</definedName>
    <definedName name="_____ben15" localSheetId="9">#REF!</definedName>
    <definedName name="_____ben15" localSheetId="10">#REF!</definedName>
    <definedName name="_____ben15" localSheetId="11">#REF!</definedName>
    <definedName name="_____ben15" localSheetId="12">#REF!</definedName>
    <definedName name="_____ben15" localSheetId="13">#REF!</definedName>
    <definedName name="_____ben15" localSheetId="14">#REF!</definedName>
    <definedName name="_____ben15">#REF!</definedName>
    <definedName name="_____BEN2">#REF!</definedName>
    <definedName name="_____ben20" localSheetId="0">#REF!</definedName>
    <definedName name="_____ben20" localSheetId="1">#REF!</definedName>
    <definedName name="_____ben20" localSheetId="2">#REF!</definedName>
    <definedName name="_____ben20" localSheetId="3">#REF!</definedName>
    <definedName name="_____ben20" localSheetId="4">#REF!</definedName>
    <definedName name="_____ben20" localSheetId="5">#REF!</definedName>
    <definedName name="_____ben20" localSheetId="6">#REF!</definedName>
    <definedName name="_____ben20" localSheetId="7">#REF!</definedName>
    <definedName name="_____ben20" localSheetId="8">#REF!</definedName>
    <definedName name="_____ben20" localSheetId="9">#REF!</definedName>
    <definedName name="_____ben20" localSheetId="10">#REF!</definedName>
    <definedName name="_____ben20" localSheetId="11">#REF!</definedName>
    <definedName name="_____ben20" localSheetId="12">#REF!</definedName>
    <definedName name="_____ben20" localSheetId="13">#REF!</definedName>
    <definedName name="_____ben20" localSheetId="14">#REF!</definedName>
    <definedName name="_____ben20">#REF!</definedName>
    <definedName name="_____ben25" localSheetId="0">#REF!</definedName>
    <definedName name="_____ben25" localSheetId="1">#REF!</definedName>
    <definedName name="_____ben25" localSheetId="2">#REF!</definedName>
    <definedName name="_____ben25" localSheetId="3">#REF!</definedName>
    <definedName name="_____ben25" localSheetId="4">#REF!</definedName>
    <definedName name="_____ben25" localSheetId="5">#REF!</definedName>
    <definedName name="_____ben25" localSheetId="6">#REF!</definedName>
    <definedName name="_____ben25" localSheetId="7">#REF!</definedName>
    <definedName name="_____ben25" localSheetId="8">#REF!</definedName>
    <definedName name="_____ben25" localSheetId="9">#REF!</definedName>
    <definedName name="_____ben25" localSheetId="10">#REF!</definedName>
    <definedName name="_____ben25" localSheetId="11">#REF!</definedName>
    <definedName name="_____ben25" localSheetId="12">#REF!</definedName>
    <definedName name="_____ben25" localSheetId="13">#REF!</definedName>
    <definedName name="_____ben25" localSheetId="14">#REF!</definedName>
    <definedName name="_____ben25">#REF!</definedName>
    <definedName name="_____BEN3" localSheetId="0">#REF!</definedName>
    <definedName name="_____BEN3" localSheetId="1">#REF!</definedName>
    <definedName name="_____BEN3" localSheetId="2">#REF!</definedName>
    <definedName name="_____BEN3" localSheetId="3">#REF!</definedName>
    <definedName name="_____BEN3" localSheetId="4">#REF!</definedName>
    <definedName name="_____BEN3" localSheetId="5">#REF!</definedName>
    <definedName name="_____BEN3" localSheetId="6">#REF!</definedName>
    <definedName name="_____BEN3" localSheetId="7">#REF!</definedName>
    <definedName name="_____BEN3" localSheetId="8">#REF!</definedName>
    <definedName name="_____BEN3" localSheetId="9">#REF!</definedName>
    <definedName name="_____BEN3" localSheetId="10">#REF!</definedName>
    <definedName name="_____BEN3" localSheetId="11">#REF!</definedName>
    <definedName name="_____BEN3" localSheetId="12">#REF!</definedName>
    <definedName name="_____BEN3" localSheetId="13">#REF!</definedName>
    <definedName name="_____BEN3" localSheetId="14">#REF!</definedName>
    <definedName name="_____BEN3">#REF!</definedName>
    <definedName name="_____BEN4" localSheetId="0">#REF!</definedName>
    <definedName name="_____BEN4" localSheetId="1">#REF!</definedName>
    <definedName name="_____BEN4" localSheetId="2">#REF!</definedName>
    <definedName name="_____BEN4" localSheetId="3">#REF!</definedName>
    <definedName name="_____BEN4" localSheetId="4">#REF!</definedName>
    <definedName name="_____BEN4" localSheetId="5">#REF!</definedName>
    <definedName name="_____BEN4" localSheetId="6">#REF!</definedName>
    <definedName name="_____BEN4" localSheetId="7">#REF!</definedName>
    <definedName name="_____BEN4" localSheetId="8">#REF!</definedName>
    <definedName name="_____BEN4" localSheetId="9">#REF!</definedName>
    <definedName name="_____BEN4" localSheetId="10">#REF!</definedName>
    <definedName name="_____BEN4" localSheetId="11">#REF!</definedName>
    <definedName name="_____BEN4" localSheetId="12">#REF!</definedName>
    <definedName name="_____BEN4" localSheetId="13">#REF!</definedName>
    <definedName name="_____BEN4" localSheetId="14">#REF!</definedName>
    <definedName name="_____BEN4">#REF!</definedName>
    <definedName name="_____ben5" localSheetId="0">#REF!</definedName>
    <definedName name="_____ben5" localSheetId="1">#REF!</definedName>
    <definedName name="_____ben5" localSheetId="2">#REF!</definedName>
    <definedName name="_____ben5" localSheetId="3">#REF!</definedName>
    <definedName name="_____ben5" localSheetId="4">#REF!</definedName>
    <definedName name="_____ben5" localSheetId="5">#REF!</definedName>
    <definedName name="_____ben5" localSheetId="6">#REF!</definedName>
    <definedName name="_____ben5" localSheetId="7">#REF!</definedName>
    <definedName name="_____ben5" localSheetId="8">#REF!</definedName>
    <definedName name="_____ben5" localSheetId="9">#REF!</definedName>
    <definedName name="_____ben5" localSheetId="10">#REF!</definedName>
    <definedName name="_____ben5" localSheetId="11">#REF!</definedName>
    <definedName name="_____ben5" localSheetId="12">#REF!</definedName>
    <definedName name="_____ben5" localSheetId="13">#REF!</definedName>
    <definedName name="_____ben5" localSheetId="14">#REF!</definedName>
    <definedName name="_____ben5">#REF!</definedName>
    <definedName name="_____tu3" localSheetId="0">#REF!</definedName>
    <definedName name="_____tu3" localSheetId="1">#REF!</definedName>
    <definedName name="_____tu3" localSheetId="2">#REF!</definedName>
    <definedName name="_____tu3" localSheetId="3">#REF!</definedName>
    <definedName name="_____tu3" localSheetId="4">#REF!</definedName>
    <definedName name="_____tu3" localSheetId="5">#REF!</definedName>
    <definedName name="_____tu3" localSheetId="6">#REF!</definedName>
    <definedName name="_____tu3" localSheetId="7">#REF!</definedName>
    <definedName name="_____tu3" localSheetId="8">#REF!</definedName>
    <definedName name="_____tu3" localSheetId="9">#REF!</definedName>
    <definedName name="_____tu3" localSheetId="10">#REF!</definedName>
    <definedName name="_____tu3" localSheetId="11">#REF!</definedName>
    <definedName name="_____tu3" localSheetId="12">#REF!</definedName>
    <definedName name="_____tu3" localSheetId="13">#REF!</definedName>
    <definedName name="_____tu3" localSheetId="14">#REF!</definedName>
    <definedName name="_____tu3">#REF!</definedName>
    <definedName name="____ben1" localSheetId="0">#REF!</definedName>
    <definedName name="____ben1" localSheetId="1">#REF!</definedName>
    <definedName name="____ben1" localSheetId="2">#REF!</definedName>
    <definedName name="____ben1" localSheetId="3">#REF!</definedName>
    <definedName name="____ben1" localSheetId="4">#REF!</definedName>
    <definedName name="____ben1" localSheetId="5">#REF!</definedName>
    <definedName name="____ben1" localSheetId="6">#REF!</definedName>
    <definedName name="____ben1" localSheetId="7">#REF!</definedName>
    <definedName name="____ben1" localSheetId="8">#REF!</definedName>
    <definedName name="____ben1" localSheetId="9">#REF!</definedName>
    <definedName name="____ben1" localSheetId="10">#REF!</definedName>
    <definedName name="____ben1" localSheetId="11">#REF!</definedName>
    <definedName name="____ben1" localSheetId="12">#REF!</definedName>
    <definedName name="____ben1" localSheetId="13">#REF!</definedName>
    <definedName name="____ben1" localSheetId="14">#REF!</definedName>
    <definedName name="____ben1">#REF!</definedName>
    <definedName name="____ben10" localSheetId="0">#REF!</definedName>
    <definedName name="____ben10" localSheetId="1">#REF!</definedName>
    <definedName name="____ben10" localSheetId="2">#REF!</definedName>
    <definedName name="____ben10" localSheetId="3">#REF!</definedName>
    <definedName name="____ben10" localSheetId="4">#REF!</definedName>
    <definedName name="____ben10" localSheetId="5">#REF!</definedName>
    <definedName name="____ben10" localSheetId="6">#REF!</definedName>
    <definedName name="____ben10" localSheetId="7">#REF!</definedName>
    <definedName name="____ben10" localSheetId="8">#REF!</definedName>
    <definedName name="____ben10" localSheetId="9">#REF!</definedName>
    <definedName name="____ben10" localSheetId="10">#REF!</definedName>
    <definedName name="____ben10" localSheetId="11">#REF!</definedName>
    <definedName name="____ben10" localSheetId="12">#REF!</definedName>
    <definedName name="____ben10" localSheetId="13">#REF!</definedName>
    <definedName name="____ben10" localSheetId="14">#REF!</definedName>
    <definedName name="____ben10">#REF!</definedName>
    <definedName name="____ben15" localSheetId="0">#REF!</definedName>
    <definedName name="____ben15" localSheetId="1">#REF!</definedName>
    <definedName name="____ben15" localSheetId="2">#REF!</definedName>
    <definedName name="____ben15" localSheetId="3">#REF!</definedName>
    <definedName name="____ben15" localSheetId="4">#REF!</definedName>
    <definedName name="____ben15" localSheetId="5">#REF!</definedName>
    <definedName name="____ben15" localSheetId="6">#REF!</definedName>
    <definedName name="____ben15" localSheetId="7">#REF!</definedName>
    <definedName name="____ben15" localSheetId="8">#REF!</definedName>
    <definedName name="____ben15" localSheetId="9">#REF!</definedName>
    <definedName name="____ben15" localSheetId="10">#REF!</definedName>
    <definedName name="____ben15" localSheetId="11">#REF!</definedName>
    <definedName name="____ben15" localSheetId="12">#REF!</definedName>
    <definedName name="____ben15" localSheetId="13">#REF!</definedName>
    <definedName name="____ben15" localSheetId="14">#REF!</definedName>
    <definedName name="____ben15">#REF!</definedName>
    <definedName name="____BEN2">#REF!</definedName>
    <definedName name="____ben20" localSheetId="0">#REF!</definedName>
    <definedName name="____ben20" localSheetId="1">#REF!</definedName>
    <definedName name="____ben20" localSheetId="2">#REF!</definedName>
    <definedName name="____ben20" localSheetId="3">#REF!</definedName>
    <definedName name="____ben20" localSheetId="4">#REF!</definedName>
    <definedName name="____ben20" localSheetId="5">#REF!</definedName>
    <definedName name="____ben20" localSheetId="6">#REF!</definedName>
    <definedName name="____ben20" localSheetId="7">#REF!</definedName>
    <definedName name="____ben20" localSheetId="8">#REF!</definedName>
    <definedName name="____ben20" localSheetId="9">#REF!</definedName>
    <definedName name="____ben20" localSheetId="10">#REF!</definedName>
    <definedName name="____ben20" localSheetId="11">#REF!</definedName>
    <definedName name="____ben20" localSheetId="12">#REF!</definedName>
    <definedName name="____ben20" localSheetId="13">#REF!</definedName>
    <definedName name="____ben20" localSheetId="14">#REF!</definedName>
    <definedName name="____ben20">#REF!</definedName>
    <definedName name="____ben25" localSheetId="0">#REF!</definedName>
    <definedName name="____ben25" localSheetId="1">#REF!</definedName>
    <definedName name="____ben25" localSheetId="2">#REF!</definedName>
    <definedName name="____ben25" localSheetId="3">#REF!</definedName>
    <definedName name="____ben25" localSheetId="4">#REF!</definedName>
    <definedName name="____ben25" localSheetId="5">#REF!</definedName>
    <definedName name="____ben25" localSheetId="6">#REF!</definedName>
    <definedName name="____ben25" localSheetId="7">#REF!</definedName>
    <definedName name="____ben25" localSheetId="8">#REF!</definedName>
    <definedName name="____ben25" localSheetId="9">#REF!</definedName>
    <definedName name="____ben25" localSheetId="10">#REF!</definedName>
    <definedName name="____ben25" localSheetId="11">#REF!</definedName>
    <definedName name="____ben25" localSheetId="12">#REF!</definedName>
    <definedName name="____ben25" localSheetId="13">#REF!</definedName>
    <definedName name="____ben25" localSheetId="14">#REF!</definedName>
    <definedName name="____ben25">#REF!</definedName>
    <definedName name="____BEN3" localSheetId="0">#REF!</definedName>
    <definedName name="____BEN3" localSheetId="1">#REF!</definedName>
    <definedName name="____BEN3" localSheetId="2">#REF!</definedName>
    <definedName name="____BEN3" localSheetId="3">#REF!</definedName>
    <definedName name="____BEN3" localSheetId="4">#REF!</definedName>
    <definedName name="____BEN3" localSheetId="5">#REF!</definedName>
    <definedName name="____BEN3" localSheetId="6">#REF!</definedName>
    <definedName name="____BEN3" localSheetId="7">#REF!</definedName>
    <definedName name="____BEN3" localSheetId="8">#REF!</definedName>
    <definedName name="____BEN3" localSheetId="9">#REF!</definedName>
    <definedName name="____BEN3" localSheetId="10">#REF!</definedName>
    <definedName name="____BEN3" localSheetId="11">#REF!</definedName>
    <definedName name="____BEN3" localSheetId="12">#REF!</definedName>
    <definedName name="____BEN3" localSheetId="13">#REF!</definedName>
    <definedName name="____BEN3" localSheetId="14">#REF!</definedName>
    <definedName name="____BEN3">#REF!</definedName>
    <definedName name="____BEN4" localSheetId="0">#REF!</definedName>
    <definedName name="____BEN4" localSheetId="1">#REF!</definedName>
    <definedName name="____BEN4" localSheetId="2">#REF!</definedName>
    <definedName name="____BEN4" localSheetId="3">#REF!</definedName>
    <definedName name="____BEN4" localSheetId="4">#REF!</definedName>
    <definedName name="____BEN4" localSheetId="5">#REF!</definedName>
    <definedName name="____BEN4" localSheetId="6">#REF!</definedName>
    <definedName name="____BEN4" localSheetId="7">#REF!</definedName>
    <definedName name="____BEN4" localSheetId="8">#REF!</definedName>
    <definedName name="____BEN4" localSheetId="9">#REF!</definedName>
    <definedName name="____BEN4" localSheetId="10">#REF!</definedName>
    <definedName name="____BEN4" localSheetId="11">#REF!</definedName>
    <definedName name="____BEN4" localSheetId="12">#REF!</definedName>
    <definedName name="____BEN4" localSheetId="13">#REF!</definedName>
    <definedName name="____BEN4" localSheetId="14">#REF!</definedName>
    <definedName name="____BEN4">#REF!</definedName>
    <definedName name="____ben5" localSheetId="0">#REF!</definedName>
    <definedName name="____ben5" localSheetId="1">#REF!</definedName>
    <definedName name="____ben5" localSheetId="2">#REF!</definedName>
    <definedName name="____ben5" localSheetId="3">#REF!</definedName>
    <definedName name="____ben5" localSheetId="4">#REF!</definedName>
    <definedName name="____ben5" localSheetId="5">#REF!</definedName>
    <definedName name="____ben5" localSheetId="6">#REF!</definedName>
    <definedName name="____ben5" localSheetId="7">#REF!</definedName>
    <definedName name="____ben5" localSheetId="8">#REF!</definedName>
    <definedName name="____ben5" localSheetId="9">#REF!</definedName>
    <definedName name="____ben5" localSheetId="10">#REF!</definedName>
    <definedName name="____ben5" localSheetId="11">#REF!</definedName>
    <definedName name="____ben5" localSheetId="12">#REF!</definedName>
    <definedName name="____ben5" localSheetId="13">#REF!</definedName>
    <definedName name="____ben5" localSheetId="14">#REF!</definedName>
    <definedName name="____ben5">#REF!</definedName>
    <definedName name="____tu3" localSheetId="0">#REF!</definedName>
    <definedName name="____tu3" localSheetId="1">#REF!</definedName>
    <definedName name="____tu3" localSheetId="2">#REF!</definedName>
    <definedName name="____tu3" localSheetId="3">#REF!</definedName>
    <definedName name="____tu3" localSheetId="4">#REF!</definedName>
    <definedName name="____tu3" localSheetId="5">#REF!</definedName>
    <definedName name="____tu3" localSheetId="6">#REF!</definedName>
    <definedName name="____tu3" localSheetId="7">#REF!</definedName>
    <definedName name="____tu3" localSheetId="8">#REF!</definedName>
    <definedName name="____tu3" localSheetId="9">#REF!</definedName>
    <definedName name="____tu3" localSheetId="10">#REF!</definedName>
    <definedName name="____tu3" localSheetId="11">#REF!</definedName>
    <definedName name="____tu3" localSheetId="12">#REF!</definedName>
    <definedName name="____tu3" localSheetId="13">#REF!</definedName>
    <definedName name="____tu3" localSheetId="14">#REF!</definedName>
    <definedName name="____tu3">#REF!</definedName>
    <definedName name="___ben1" localSheetId="0">#REF!</definedName>
    <definedName name="___ben1" localSheetId="1">#REF!</definedName>
    <definedName name="___ben1" localSheetId="2">#REF!</definedName>
    <definedName name="___ben1" localSheetId="3">#REF!</definedName>
    <definedName name="___ben1" localSheetId="4">#REF!</definedName>
    <definedName name="___ben1" localSheetId="5">#REF!</definedName>
    <definedName name="___ben1" localSheetId="6">#REF!</definedName>
    <definedName name="___ben1" localSheetId="7">#REF!</definedName>
    <definedName name="___ben1" localSheetId="8">#REF!</definedName>
    <definedName name="___ben1" localSheetId="9">#REF!</definedName>
    <definedName name="___ben1" localSheetId="10">#REF!</definedName>
    <definedName name="___ben1" localSheetId="11">#REF!</definedName>
    <definedName name="___ben1" localSheetId="12">#REF!</definedName>
    <definedName name="___ben1" localSheetId="13">#REF!</definedName>
    <definedName name="___ben1" localSheetId="14">#REF!</definedName>
    <definedName name="___ben1">#REF!</definedName>
    <definedName name="___ben10" localSheetId="0">#REF!</definedName>
    <definedName name="___ben10" localSheetId="1">#REF!</definedName>
    <definedName name="___ben10" localSheetId="2">#REF!</definedName>
    <definedName name="___ben10" localSheetId="3">#REF!</definedName>
    <definedName name="___ben10" localSheetId="4">#REF!</definedName>
    <definedName name="___ben10" localSheetId="5">#REF!</definedName>
    <definedName name="___ben10" localSheetId="6">#REF!</definedName>
    <definedName name="___ben10" localSheetId="7">#REF!</definedName>
    <definedName name="___ben10" localSheetId="8">#REF!</definedName>
    <definedName name="___ben10" localSheetId="9">#REF!</definedName>
    <definedName name="___ben10" localSheetId="10">#REF!</definedName>
    <definedName name="___ben10" localSheetId="11">#REF!</definedName>
    <definedName name="___ben10" localSheetId="12">#REF!</definedName>
    <definedName name="___ben10" localSheetId="13">#REF!</definedName>
    <definedName name="___ben10" localSheetId="14">#REF!</definedName>
    <definedName name="___ben10">#REF!</definedName>
    <definedName name="___ben15" localSheetId="0">#REF!</definedName>
    <definedName name="___ben15" localSheetId="1">#REF!</definedName>
    <definedName name="___ben15" localSheetId="2">#REF!</definedName>
    <definedName name="___ben15" localSheetId="3">#REF!</definedName>
    <definedName name="___ben15" localSheetId="4">#REF!</definedName>
    <definedName name="___ben15" localSheetId="5">#REF!</definedName>
    <definedName name="___ben15" localSheetId="6">#REF!</definedName>
    <definedName name="___ben15" localSheetId="7">#REF!</definedName>
    <definedName name="___ben15" localSheetId="8">#REF!</definedName>
    <definedName name="___ben15" localSheetId="9">#REF!</definedName>
    <definedName name="___ben15" localSheetId="10">#REF!</definedName>
    <definedName name="___ben15" localSheetId="11">#REF!</definedName>
    <definedName name="___ben15" localSheetId="12">#REF!</definedName>
    <definedName name="___ben15" localSheetId="13">#REF!</definedName>
    <definedName name="___ben15" localSheetId="14">#REF!</definedName>
    <definedName name="___ben15">#REF!</definedName>
    <definedName name="___BEN2">#REF!</definedName>
    <definedName name="___ben20" localSheetId="0">#REF!</definedName>
    <definedName name="___ben20" localSheetId="1">#REF!</definedName>
    <definedName name="___ben20" localSheetId="2">#REF!</definedName>
    <definedName name="___ben20" localSheetId="3">#REF!</definedName>
    <definedName name="___ben20" localSheetId="4">#REF!</definedName>
    <definedName name="___ben20" localSheetId="5">#REF!</definedName>
    <definedName name="___ben20" localSheetId="6">#REF!</definedName>
    <definedName name="___ben20" localSheetId="7">#REF!</definedName>
    <definedName name="___ben20" localSheetId="8">#REF!</definedName>
    <definedName name="___ben20" localSheetId="9">#REF!</definedName>
    <definedName name="___ben20" localSheetId="10">#REF!</definedName>
    <definedName name="___ben20" localSheetId="11">#REF!</definedName>
    <definedName name="___ben20" localSheetId="12">#REF!</definedName>
    <definedName name="___ben20" localSheetId="13">#REF!</definedName>
    <definedName name="___ben20" localSheetId="14">#REF!</definedName>
    <definedName name="___ben20">#REF!</definedName>
    <definedName name="___ben25" localSheetId="0">#REF!</definedName>
    <definedName name="___ben25" localSheetId="1">#REF!</definedName>
    <definedName name="___ben25" localSheetId="2">#REF!</definedName>
    <definedName name="___ben25" localSheetId="3">#REF!</definedName>
    <definedName name="___ben25" localSheetId="4">#REF!</definedName>
    <definedName name="___ben25" localSheetId="5">#REF!</definedName>
    <definedName name="___ben25" localSheetId="6">#REF!</definedName>
    <definedName name="___ben25" localSheetId="7">#REF!</definedName>
    <definedName name="___ben25" localSheetId="8">#REF!</definedName>
    <definedName name="___ben25" localSheetId="9">#REF!</definedName>
    <definedName name="___ben25" localSheetId="10">#REF!</definedName>
    <definedName name="___ben25" localSheetId="11">#REF!</definedName>
    <definedName name="___ben25" localSheetId="12">#REF!</definedName>
    <definedName name="___ben25" localSheetId="13">#REF!</definedName>
    <definedName name="___ben25" localSheetId="14">#REF!</definedName>
    <definedName name="___ben25">#REF!</definedName>
    <definedName name="___BEN3" localSheetId="0">#REF!</definedName>
    <definedName name="___BEN3" localSheetId="1">#REF!</definedName>
    <definedName name="___BEN3" localSheetId="2">#REF!</definedName>
    <definedName name="___BEN3" localSheetId="3">#REF!</definedName>
    <definedName name="___BEN3" localSheetId="4">#REF!</definedName>
    <definedName name="___BEN3" localSheetId="5">#REF!</definedName>
    <definedName name="___BEN3" localSheetId="6">#REF!</definedName>
    <definedName name="___BEN3" localSheetId="7">#REF!</definedName>
    <definedName name="___BEN3" localSheetId="8">#REF!</definedName>
    <definedName name="___BEN3" localSheetId="9">#REF!</definedName>
    <definedName name="___BEN3" localSheetId="10">#REF!</definedName>
    <definedName name="___BEN3" localSheetId="11">#REF!</definedName>
    <definedName name="___BEN3" localSheetId="12">#REF!</definedName>
    <definedName name="___BEN3" localSheetId="13">#REF!</definedName>
    <definedName name="___BEN3" localSheetId="14">#REF!</definedName>
    <definedName name="___BEN3">#REF!</definedName>
    <definedName name="___BEN4" localSheetId="0">#REF!</definedName>
    <definedName name="___BEN4" localSheetId="1">#REF!</definedName>
    <definedName name="___BEN4" localSheetId="2">#REF!</definedName>
    <definedName name="___BEN4" localSheetId="3">#REF!</definedName>
    <definedName name="___BEN4" localSheetId="4">#REF!</definedName>
    <definedName name="___BEN4" localSheetId="5">#REF!</definedName>
    <definedName name="___BEN4" localSheetId="6">#REF!</definedName>
    <definedName name="___BEN4" localSheetId="7">#REF!</definedName>
    <definedName name="___BEN4" localSheetId="8">#REF!</definedName>
    <definedName name="___BEN4" localSheetId="9">#REF!</definedName>
    <definedName name="___BEN4" localSheetId="10">#REF!</definedName>
    <definedName name="___BEN4" localSheetId="11">#REF!</definedName>
    <definedName name="___BEN4" localSheetId="12">#REF!</definedName>
    <definedName name="___BEN4" localSheetId="13">#REF!</definedName>
    <definedName name="___BEN4" localSheetId="14">#REF!</definedName>
    <definedName name="___BEN4">#REF!</definedName>
    <definedName name="___ben5" localSheetId="0">#REF!</definedName>
    <definedName name="___ben5" localSheetId="1">#REF!</definedName>
    <definedName name="___ben5" localSheetId="2">#REF!</definedName>
    <definedName name="___ben5" localSheetId="3">#REF!</definedName>
    <definedName name="___ben5" localSheetId="4">#REF!</definedName>
    <definedName name="___ben5" localSheetId="5">#REF!</definedName>
    <definedName name="___ben5" localSheetId="6">#REF!</definedName>
    <definedName name="___ben5" localSheetId="7">#REF!</definedName>
    <definedName name="___ben5" localSheetId="8">#REF!</definedName>
    <definedName name="___ben5" localSheetId="9">#REF!</definedName>
    <definedName name="___ben5" localSheetId="10">#REF!</definedName>
    <definedName name="___ben5" localSheetId="11">#REF!</definedName>
    <definedName name="___ben5" localSheetId="12">#REF!</definedName>
    <definedName name="___ben5" localSheetId="13">#REF!</definedName>
    <definedName name="___ben5" localSheetId="14">#REF!</definedName>
    <definedName name="___ben5">#REF!</definedName>
    <definedName name="___tu3" localSheetId="0">#REF!</definedName>
    <definedName name="___tu3" localSheetId="1">#REF!</definedName>
    <definedName name="___tu3" localSheetId="2">#REF!</definedName>
    <definedName name="___tu3" localSheetId="3">#REF!</definedName>
    <definedName name="___tu3" localSheetId="4">#REF!</definedName>
    <definedName name="___tu3" localSheetId="5">#REF!</definedName>
    <definedName name="___tu3" localSheetId="6">#REF!</definedName>
    <definedName name="___tu3" localSheetId="7">#REF!</definedName>
    <definedName name="___tu3" localSheetId="8">#REF!</definedName>
    <definedName name="___tu3" localSheetId="9">#REF!</definedName>
    <definedName name="___tu3" localSheetId="10">#REF!</definedName>
    <definedName name="___tu3" localSheetId="11">#REF!</definedName>
    <definedName name="___tu3" localSheetId="12">#REF!</definedName>
    <definedName name="___tu3" localSheetId="13">#REF!</definedName>
    <definedName name="___tu3" localSheetId="14">#REF!</definedName>
    <definedName name="___tu3">#REF!</definedName>
    <definedName name="__ben1" localSheetId="0">#REF!</definedName>
    <definedName name="__ben1" localSheetId="1">#REF!</definedName>
    <definedName name="__ben1" localSheetId="2">#REF!</definedName>
    <definedName name="__ben1" localSheetId="3">#REF!</definedName>
    <definedName name="__ben1" localSheetId="4">#REF!</definedName>
    <definedName name="__ben1" localSheetId="5">#REF!</definedName>
    <definedName name="__ben1" localSheetId="6">#REF!</definedName>
    <definedName name="__ben1" localSheetId="7">#REF!</definedName>
    <definedName name="__ben1" localSheetId="8">#REF!</definedName>
    <definedName name="__ben1" localSheetId="9">#REF!</definedName>
    <definedName name="__ben1" localSheetId="10">#REF!</definedName>
    <definedName name="__ben1" localSheetId="11">#REF!</definedName>
    <definedName name="__ben1" localSheetId="12">#REF!</definedName>
    <definedName name="__ben1" localSheetId="13">#REF!</definedName>
    <definedName name="__ben1" localSheetId="14">#REF!</definedName>
    <definedName name="__ben1">#REF!</definedName>
    <definedName name="__ben10" localSheetId="0">#REF!</definedName>
    <definedName name="__ben10" localSheetId="1">#REF!</definedName>
    <definedName name="__ben10" localSheetId="2">#REF!</definedName>
    <definedName name="__ben10" localSheetId="3">#REF!</definedName>
    <definedName name="__ben10" localSheetId="4">#REF!</definedName>
    <definedName name="__ben10" localSheetId="5">#REF!</definedName>
    <definedName name="__ben10" localSheetId="6">#REF!</definedName>
    <definedName name="__ben10" localSheetId="7">#REF!</definedName>
    <definedName name="__ben10" localSheetId="8">#REF!</definedName>
    <definedName name="__ben10" localSheetId="9">#REF!</definedName>
    <definedName name="__ben10" localSheetId="10">#REF!</definedName>
    <definedName name="__ben10" localSheetId="11">#REF!</definedName>
    <definedName name="__ben10" localSheetId="12">#REF!</definedName>
    <definedName name="__ben10" localSheetId="13">#REF!</definedName>
    <definedName name="__ben10" localSheetId="14">#REF!</definedName>
    <definedName name="__ben10">#REF!</definedName>
    <definedName name="__ben15" localSheetId="0">#REF!</definedName>
    <definedName name="__ben15" localSheetId="1">#REF!</definedName>
    <definedName name="__ben15" localSheetId="2">#REF!</definedName>
    <definedName name="__ben15" localSheetId="3">#REF!</definedName>
    <definedName name="__ben15" localSheetId="4">#REF!</definedName>
    <definedName name="__ben15" localSheetId="5">#REF!</definedName>
    <definedName name="__ben15" localSheetId="6">#REF!</definedName>
    <definedName name="__ben15" localSheetId="7">#REF!</definedName>
    <definedName name="__ben15" localSheetId="8">#REF!</definedName>
    <definedName name="__ben15" localSheetId="9">#REF!</definedName>
    <definedName name="__ben15" localSheetId="10">#REF!</definedName>
    <definedName name="__ben15" localSheetId="11">#REF!</definedName>
    <definedName name="__ben15" localSheetId="12">#REF!</definedName>
    <definedName name="__ben15" localSheetId="13">#REF!</definedName>
    <definedName name="__ben15" localSheetId="14">#REF!</definedName>
    <definedName name="__ben15">#REF!</definedName>
    <definedName name="__BEN2">#REF!</definedName>
    <definedName name="__ben20" localSheetId="0">#REF!</definedName>
    <definedName name="__ben20" localSheetId="1">#REF!</definedName>
    <definedName name="__ben20" localSheetId="2">#REF!</definedName>
    <definedName name="__ben20" localSheetId="3">#REF!</definedName>
    <definedName name="__ben20" localSheetId="4">#REF!</definedName>
    <definedName name="__ben20" localSheetId="5">#REF!</definedName>
    <definedName name="__ben20" localSheetId="6">#REF!</definedName>
    <definedName name="__ben20" localSheetId="7">#REF!</definedName>
    <definedName name="__ben20" localSheetId="8">#REF!</definedName>
    <definedName name="__ben20" localSheetId="9">#REF!</definedName>
    <definedName name="__ben20" localSheetId="10">#REF!</definedName>
    <definedName name="__ben20" localSheetId="11">#REF!</definedName>
    <definedName name="__ben20" localSheetId="12">#REF!</definedName>
    <definedName name="__ben20" localSheetId="13">#REF!</definedName>
    <definedName name="__ben20" localSheetId="14">#REF!</definedName>
    <definedName name="__ben20">#REF!</definedName>
    <definedName name="__ben25" localSheetId="0">#REF!</definedName>
    <definedName name="__ben25" localSheetId="1">#REF!</definedName>
    <definedName name="__ben25" localSheetId="2">#REF!</definedName>
    <definedName name="__ben25" localSheetId="3">#REF!</definedName>
    <definedName name="__ben25" localSheetId="4">#REF!</definedName>
    <definedName name="__ben25" localSheetId="5">#REF!</definedName>
    <definedName name="__ben25" localSheetId="6">#REF!</definedName>
    <definedName name="__ben25" localSheetId="7">#REF!</definedName>
    <definedName name="__ben25" localSheetId="8">#REF!</definedName>
    <definedName name="__ben25" localSheetId="9">#REF!</definedName>
    <definedName name="__ben25" localSheetId="10">#REF!</definedName>
    <definedName name="__ben25" localSheetId="11">#REF!</definedName>
    <definedName name="__ben25" localSheetId="12">#REF!</definedName>
    <definedName name="__ben25" localSheetId="13">#REF!</definedName>
    <definedName name="__ben25" localSheetId="14">#REF!</definedName>
    <definedName name="__ben25">#REF!</definedName>
    <definedName name="__BEN3" localSheetId="0">#REF!</definedName>
    <definedName name="__BEN3" localSheetId="1">#REF!</definedName>
    <definedName name="__BEN3" localSheetId="2">#REF!</definedName>
    <definedName name="__BEN3" localSheetId="3">#REF!</definedName>
    <definedName name="__BEN3" localSheetId="4">#REF!</definedName>
    <definedName name="__BEN3" localSheetId="5">#REF!</definedName>
    <definedName name="__BEN3" localSheetId="6">#REF!</definedName>
    <definedName name="__BEN3" localSheetId="7">#REF!</definedName>
    <definedName name="__BEN3" localSheetId="8">#REF!</definedName>
    <definedName name="__BEN3" localSheetId="9">#REF!</definedName>
    <definedName name="__BEN3" localSheetId="10">#REF!</definedName>
    <definedName name="__BEN3" localSheetId="11">#REF!</definedName>
    <definedName name="__BEN3" localSheetId="12">#REF!</definedName>
    <definedName name="__BEN3" localSheetId="13">#REF!</definedName>
    <definedName name="__BEN3" localSheetId="14">#REF!</definedName>
    <definedName name="__BEN3">#REF!</definedName>
    <definedName name="__BEN4" localSheetId="0">#REF!</definedName>
    <definedName name="__BEN4" localSheetId="1">#REF!</definedName>
    <definedName name="__BEN4" localSheetId="2">#REF!</definedName>
    <definedName name="__BEN4" localSheetId="3">#REF!</definedName>
    <definedName name="__BEN4" localSheetId="4">#REF!</definedName>
    <definedName name="__BEN4" localSheetId="5">#REF!</definedName>
    <definedName name="__BEN4" localSheetId="6">#REF!</definedName>
    <definedName name="__BEN4" localSheetId="7">#REF!</definedName>
    <definedName name="__BEN4" localSheetId="8">#REF!</definedName>
    <definedName name="__BEN4" localSheetId="9">#REF!</definedName>
    <definedName name="__BEN4" localSheetId="10">#REF!</definedName>
    <definedName name="__BEN4" localSheetId="11">#REF!</definedName>
    <definedName name="__BEN4" localSheetId="12">#REF!</definedName>
    <definedName name="__BEN4" localSheetId="13">#REF!</definedName>
    <definedName name="__BEN4" localSheetId="14">#REF!</definedName>
    <definedName name="__BEN4">#REF!</definedName>
    <definedName name="__ben5" localSheetId="0">#REF!</definedName>
    <definedName name="__ben5" localSheetId="1">#REF!</definedName>
    <definedName name="__ben5" localSheetId="2">#REF!</definedName>
    <definedName name="__ben5" localSheetId="3">#REF!</definedName>
    <definedName name="__ben5" localSheetId="4">#REF!</definedName>
    <definedName name="__ben5" localSheetId="5">#REF!</definedName>
    <definedName name="__ben5" localSheetId="6">#REF!</definedName>
    <definedName name="__ben5" localSheetId="7">#REF!</definedName>
    <definedName name="__ben5" localSheetId="8">#REF!</definedName>
    <definedName name="__ben5" localSheetId="9">#REF!</definedName>
    <definedName name="__ben5" localSheetId="10">#REF!</definedName>
    <definedName name="__ben5" localSheetId="11">#REF!</definedName>
    <definedName name="__ben5" localSheetId="12">#REF!</definedName>
    <definedName name="__ben5" localSheetId="13">#REF!</definedName>
    <definedName name="__ben5" localSheetId="14">#REF!</definedName>
    <definedName name="__ben5">#REF!</definedName>
    <definedName name="__HJJ2">#REF!</definedName>
    <definedName name="__tu3" localSheetId="0">#REF!</definedName>
    <definedName name="__tu3" localSheetId="1">#REF!</definedName>
    <definedName name="__tu3" localSheetId="2">#REF!</definedName>
    <definedName name="__tu3" localSheetId="3">#REF!</definedName>
    <definedName name="__tu3" localSheetId="4">#REF!</definedName>
    <definedName name="__tu3" localSheetId="5">#REF!</definedName>
    <definedName name="__tu3" localSheetId="6">#REF!</definedName>
    <definedName name="__tu3" localSheetId="7">#REF!</definedName>
    <definedName name="__tu3" localSheetId="8">#REF!</definedName>
    <definedName name="__tu3" localSheetId="9">#REF!</definedName>
    <definedName name="__tu3" localSheetId="10">#REF!</definedName>
    <definedName name="__tu3" localSheetId="11">#REF!</definedName>
    <definedName name="__tu3" localSheetId="12">#REF!</definedName>
    <definedName name="__tu3" localSheetId="13">#REF!</definedName>
    <definedName name="__tu3" localSheetId="14">#REF!</definedName>
    <definedName name="__tu3">#REF!</definedName>
    <definedName name="_3FLE">#REF!</definedName>
    <definedName name="_6PRINT_AREA">#REF!</definedName>
    <definedName name="_ben1" localSheetId="0">#REF!</definedName>
    <definedName name="_ben1" localSheetId="1">#REF!</definedName>
    <definedName name="_ben1" localSheetId="2">#REF!</definedName>
    <definedName name="_ben1" localSheetId="3">#REF!</definedName>
    <definedName name="_ben1" localSheetId="4">#REF!</definedName>
    <definedName name="_ben1" localSheetId="5">#REF!</definedName>
    <definedName name="_ben1" localSheetId="6">#REF!</definedName>
    <definedName name="_ben1" localSheetId="7">#REF!</definedName>
    <definedName name="_ben1" localSheetId="8">#REF!</definedName>
    <definedName name="_ben1" localSheetId="9">#REF!</definedName>
    <definedName name="_ben1" localSheetId="10">#REF!</definedName>
    <definedName name="_ben1" localSheetId="11">#REF!</definedName>
    <definedName name="_ben1" localSheetId="12">#REF!</definedName>
    <definedName name="_ben1" localSheetId="13">#REF!</definedName>
    <definedName name="_ben1" localSheetId="14">#REF!</definedName>
    <definedName name="_ben1">#REF!</definedName>
    <definedName name="_ben10" localSheetId="0">#REF!</definedName>
    <definedName name="_ben10" localSheetId="1">#REF!</definedName>
    <definedName name="_ben10" localSheetId="2">#REF!</definedName>
    <definedName name="_ben10" localSheetId="3">#REF!</definedName>
    <definedName name="_ben10" localSheetId="4">#REF!</definedName>
    <definedName name="_ben10" localSheetId="5">#REF!</definedName>
    <definedName name="_ben10" localSheetId="6">#REF!</definedName>
    <definedName name="_ben10" localSheetId="7">#REF!</definedName>
    <definedName name="_ben10" localSheetId="8">#REF!</definedName>
    <definedName name="_ben10" localSheetId="9">#REF!</definedName>
    <definedName name="_ben10" localSheetId="10">#REF!</definedName>
    <definedName name="_ben10" localSheetId="11">#REF!</definedName>
    <definedName name="_ben10" localSheetId="12">#REF!</definedName>
    <definedName name="_ben10" localSheetId="13">#REF!</definedName>
    <definedName name="_ben10" localSheetId="14">#REF!</definedName>
    <definedName name="_ben10">#REF!</definedName>
    <definedName name="_ben15" localSheetId="0">#REF!</definedName>
    <definedName name="_ben15" localSheetId="1">#REF!</definedName>
    <definedName name="_ben15" localSheetId="2">#REF!</definedName>
    <definedName name="_ben15" localSheetId="3">#REF!</definedName>
    <definedName name="_ben15" localSheetId="4">#REF!</definedName>
    <definedName name="_ben15" localSheetId="5">#REF!</definedName>
    <definedName name="_ben15" localSheetId="6">#REF!</definedName>
    <definedName name="_ben15" localSheetId="7">#REF!</definedName>
    <definedName name="_ben15" localSheetId="8">#REF!</definedName>
    <definedName name="_ben15" localSheetId="9">#REF!</definedName>
    <definedName name="_ben15" localSheetId="10">#REF!</definedName>
    <definedName name="_ben15" localSheetId="11">#REF!</definedName>
    <definedName name="_ben15" localSheetId="12">#REF!</definedName>
    <definedName name="_ben15" localSheetId="13">#REF!</definedName>
    <definedName name="_ben15" localSheetId="14">#REF!</definedName>
    <definedName name="_ben15">#REF!</definedName>
    <definedName name="_BEN2">#REF!</definedName>
    <definedName name="_ben20" localSheetId="0">#REF!</definedName>
    <definedName name="_ben20" localSheetId="1">#REF!</definedName>
    <definedName name="_ben20" localSheetId="2">#REF!</definedName>
    <definedName name="_ben20" localSheetId="3">#REF!</definedName>
    <definedName name="_ben20" localSheetId="4">#REF!</definedName>
    <definedName name="_ben20" localSheetId="5">#REF!</definedName>
    <definedName name="_ben20" localSheetId="6">#REF!</definedName>
    <definedName name="_ben20" localSheetId="7">#REF!</definedName>
    <definedName name="_ben20" localSheetId="8">#REF!</definedName>
    <definedName name="_ben20" localSheetId="9">#REF!</definedName>
    <definedName name="_ben20" localSheetId="10">#REF!</definedName>
    <definedName name="_ben20" localSheetId="11">#REF!</definedName>
    <definedName name="_ben20" localSheetId="12">#REF!</definedName>
    <definedName name="_ben20" localSheetId="13">#REF!</definedName>
    <definedName name="_ben20" localSheetId="14">#REF!</definedName>
    <definedName name="_ben20">#REF!</definedName>
    <definedName name="_ben21" localSheetId="0">#REF!</definedName>
    <definedName name="_ben21" localSheetId="1">#REF!</definedName>
    <definedName name="_ben21" localSheetId="2">#REF!</definedName>
    <definedName name="_ben21" localSheetId="3">#REF!</definedName>
    <definedName name="_ben21" localSheetId="4">#REF!</definedName>
    <definedName name="_ben21" localSheetId="5">#REF!</definedName>
    <definedName name="_ben21" localSheetId="6">#REF!</definedName>
    <definedName name="_ben21" localSheetId="7">#REF!</definedName>
    <definedName name="_ben21" localSheetId="8">#REF!</definedName>
    <definedName name="_ben21" localSheetId="9">#REF!</definedName>
    <definedName name="_ben21" localSheetId="10">#REF!</definedName>
    <definedName name="_ben21" localSheetId="11">#REF!</definedName>
    <definedName name="_ben21" localSheetId="12">#REF!</definedName>
    <definedName name="_ben21" localSheetId="13">#REF!</definedName>
    <definedName name="_ben21" localSheetId="14">#REF!</definedName>
    <definedName name="_ben21">#REF!</definedName>
    <definedName name="_ben25" localSheetId="0">#REF!</definedName>
    <definedName name="_ben25" localSheetId="1">#REF!</definedName>
    <definedName name="_ben25" localSheetId="2">#REF!</definedName>
    <definedName name="_ben25" localSheetId="3">#REF!</definedName>
    <definedName name="_ben25" localSheetId="4">#REF!</definedName>
    <definedName name="_ben25" localSheetId="5">#REF!</definedName>
    <definedName name="_ben25" localSheetId="6">#REF!</definedName>
    <definedName name="_ben25" localSheetId="7">#REF!</definedName>
    <definedName name="_ben25" localSheetId="8">#REF!</definedName>
    <definedName name="_ben25" localSheetId="9">#REF!</definedName>
    <definedName name="_ben25" localSheetId="10">#REF!</definedName>
    <definedName name="_ben25" localSheetId="11">#REF!</definedName>
    <definedName name="_ben25" localSheetId="12">#REF!</definedName>
    <definedName name="_ben25" localSheetId="13">#REF!</definedName>
    <definedName name="_ben25" localSheetId="14">#REF!</definedName>
    <definedName name="_ben25">#REF!</definedName>
    <definedName name="_ben29" localSheetId="0">#REF!</definedName>
    <definedName name="_ben29" localSheetId="1">#REF!</definedName>
    <definedName name="_ben29" localSheetId="2">#REF!</definedName>
    <definedName name="_ben29" localSheetId="3">#REF!</definedName>
    <definedName name="_ben29" localSheetId="4">#REF!</definedName>
    <definedName name="_ben29" localSheetId="5">#REF!</definedName>
    <definedName name="_ben29" localSheetId="6">#REF!</definedName>
    <definedName name="_ben29" localSheetId="7">#REF!</definedName>
    <definedName name="_ben29" localSheetId="8">#REF!</definedName>
    <definedName name="_ben29" localSheetId="9">#REF!</definedName>
    <definedName name="_ben29" localSheetId="10">#REF!</definedName>
    <definedName name="_ben29" localSheetId="11">#REF!</definedName>
    <definedName name="_ben29" localSheetId="12">#REF!</definedName>
    <definedName name="_ben29" localSheetId="13">#REF!</definedName>
    <definedName name="_ben29" localSheetId="14">#REF!</definedName>
    <definedName name="_ben29">#REF!</definedName>
    <definedName name="_BEN3" localSheetId="0">#REF!</definedName>
    <definedName name="_BEN3" localSheetId="1">#REF!</definedName>
    <definedName name="_BEN3" localSheetId="2">#REF!</definedName>
    <definedName name="_BEN3" localSheetId="3">#REF!</definedName>
    <definedName name="_BEN3" localSheetId="4">#REF!</definedName>
    <definedName name="_BEN3" localSheetId="5">#REF!</definedName>
    <definedName name="_BEN3" localSheetId="6">#REF!</definedName>
    <definedName name="_BEN3" localSheetId="7">#REF!</definedName>
    <definedName name="_BEN3" localSheetId="8">#REF!</definedName>
    <definedName name="_BEN3" localSheetId="9">#REF!</definedName>
    <definedName name="_BEN3" localSheetId="10">#REF!</definedName>
    <definedName name="_BEN3" localSheetId="11">#REF!</definedName>
    <definedName name="_BEN3" localSheetId="12">#REF!</definedName>
    <definedName name="_BEN3" localSheetId="13">#REF!</definedName>
    <definedName name="_BEN3" localSheetId="14">#REF!</definedName>
    <definedName name="_BEN3">#REF!</definedName>
    <definedName name="_ben30" localSheetId="0">#REF!</definedName>
    <definedName name="_ben30" localSheetId="1">#REF!</definedName>
    <definedName name="_ben30" localSheetId="2">#REF!</definedName>
    <definedName name="_ben30" localSheetId="3">#REF!</definedName>
    <definedName name="_ben30" localSheetId="4">#REF!</definedName>
    <definedName name="_ben30" localSheetId="5">#REF!</definedName>
    <definedName name="_ben30" localSheetId="6">#REF!</definedName>
    <definedName name="_ben30" localSheetId="7">#REF!</definedName>
    <definedName name="_ben30" localSheetId="8">#REF!</definedName>
    <definedName name="_ben30" localSheetId="9">#REF!</definedName>
    <definedName name="_ben30" localSheetId="10">#REF!</definedName>
    <definedName name="_ben30" localSheetId="11">#REF!</definedName>
    <definedName name="_ben30" localSheetId="12">#REF!</definedName>
    <definedName name="_ben30" localSheetId="13">#REF!</definedName>
    <definedName name="_ben30" localSheetId="14">#REF!</definedName>
    <definedName name="_ben30">#REF!</definedName>
    <definedName name="_BEN4" localSheetId="0">#REF!</definedName>
    <definedName name="_BEN4" localSheetId="1">#REF!</definedName>
    <definedName name="_BEN4" localSheetId="2">#REF!</definedName>
    <definedName name="_BEN4" localSheetId="3">#REF!</definedName>
    <definedName name="_BEN4" localSheetId="4">#REF!</definedName>
    <definedName name="_BEN4" localSheetId="5">#REF!</definedName>
    <definedName name="_BEN4" localSheetId="6">#REF!</definedName>
    <definedName name="_BEN4" localSheetId="7">#REF!</definedName>
    <definedName name="_BEN4" localSheetId="8">#REF!</definedName>
    <definedName name="_BEN4" localSheetId="9">#REF!</definedName>
    <definedName name="_BEN4" localSheetId="10">#REF!</definedName>
    <definedName name="_BEN4" localSheetId="11">#REF!</definedName>
    <definedName name="_BEN4" localSheetId="12">#REF!</definedName>
    <definedName name="_BEN4" localSheetId="13">#REF!</definedName>
    <definedName name="_BEN4" localSheetId="14">#REF!</definedName>
    <definedName name="_BEN4">#REF!</definedName>
    <definedName name="_ben5" localSheetId="0">#REF!</definedName>
    <definedName name="_ben5" localSheetId="1">#REF!</definedName>
    <definedName name="_ben5" localSheetId="2">#REF!</definedName>
    <definedName name="_ben5" localSheetId="3">#REF!</definedName>
    <definedName name="_ben5" localSheetId="4">#REF!</definedName>
    <definedName name="_ben5" localSheetId="5">#REF!</definedName>
    <definedName name="_ben5" localSheetId="6">#REF!</definedName>
    <definedName name="_ben5" localSheetId="7">#REF!</definedName>
    <definedName name="_ben5" localSheetId="8">#REF!</definedName>
    <definedName name="_ben5" localSheetId="9">#REF!</definedName>
    <definedName name="_ben5" localSheetId="10">#REF!</definedName>
    <definedName name="_ben5" localSheetId="11">#REF!</definedName>
    <definedName name="_ben5" localSheetId="12">#REF!</definedName>
    <definedName name="_ben5" localSheetId="13">#REF!</definedName>
    <definedName name="_ben5" localSheetId="14">#REF!</definedName>
    <definedName name="_ben5">#REF!</definedName>
    <definedName name="_ben52" localSheetId="0">#REF!</definedName>
    <definedName name="_ben52" localSheetId="1">#REF!</definedName>
    <definedName name="_ben52" localSheetId="2">#REF!</definedName>
    <definedName name="_ben52" localSheetId="3">#REF!</definedName>
    <definedName name="_ben52" localSheetId="4">#REF!</definedName>
    <definedName name="_ben52" localSheetId="5">#REF!</definedName>
    <definedName name="_ben52" localSheetId="6">#REF!</definedName>
    <definedName name="_ben52" localSheetId="7">#REF!</definedName>
    <definedName name="_ben52" localSheetId="8">#REF!</definedName>
    <definedName name="_ben52" localSheetId="9">#REF!</definedName>
    <definedName name="_ben52" localSheetId="10">#REF!</definedName>
    <definedName name="_ben52" localSheetId="11">#REF!</definedName>
    <definedName name="_ben52" localSheetId="12">#REF!</definedName>
    <definedName name="_ben52" localSheetId="13">#REF!</definedName>
    <definedName name="_ben52" localSheetId="14">#REF!</definedName>
    <definedName name="_ben52">#REF!</definedName>
    <definedName name="_d2" localSheetId="0" hidden="1">{"NORMAL",#N/A,FALSE,"02"}</definedName>
    <definedName name="_d2" localSheetId="1" hidden="1">{"NORMAL",#N/A,FALSE,"02"}</definedName>
    <definedName name="_d2" localSheetId="2" hidden="1">{"NORMAL",#N/A,FALSE,"02"}</definedName>
    <definedName name="_d2" localSheetId="3" hidden="1">{"NORMAL",#N/A,FALSE,"02"}</definedName>
    <definedName name="_d2" localSheetId="4" hidden="1">{"NORMAL",#N/A,FALSE,"02"}</definedName>
    <definedName name="_d2" localSheetId="5" hidden="1">{"NORMAL",#N/A,FALSE,"02"}</definedName>
    <definedName name="_d2" localSheetId="6" hidden="1">{"NORMAL",#N/A,FALSE,"02"}</definedName>
    <definedName name="_d2" localSheetId="7" hidden="1">{"NORMAL",#N/A,FALSE,"02"}</definedName>
    <definedName name="_d2" localSheetId="8" hidden="1">{"NORMAL",#N/A,FALSE,"02"}</definedName>
    <definedName name="_d2" localSheetId="9" hidden="1">{"NORMAL",#N/A,FALSE,"02"}</definedName>
    <definedName name="_d2" localSheetId="10" hidden="1">{"NORMAL",#N/A,FALSE,"02"}</definedName>
    <definedName name="_d2" localSheetId="11" hidden="1">{"NORMAL",#N/A,FALSE,"02"}</definedName>
    <definedName name="_d2" localSheetId="12" hidden="1">{"NORMAL",#N/A,FALSE,"02"}</definedName>
    <definedName name="_d2" localSheetId="13" hidden="1">{"NORMAL",#N/A,FALSE,"02"}</definedName>
    <definedName name="_d2" localSheetId="14" hidden="1">{"NORMAL",#N/A,FALSE,"02"}</definedName>
    <definedName name="_d2" hidden="1">{"NORMAL",#N/A,FALSE,"02"}</definedName>
    <definedName name="_f" localSheetId="0" hidden="1">{"DECIMAL",#N/A,FALSE,"02"}</definedName>
    <definedName name="_f" localSheetId="1" hidden="1">{"DECIMAL",#N/A,FALSE,"02"}</definedName>
    <definedName name="_f" localSheetId="2" hidden="1">{"DECIMAL",#N/A,FALSE,"02"}</definedName>
    <definedName name="_f" localSheetId="3" hidden="1">{"DECIMAL",#N/A,FALSE,"02"}</definedName>
    <definedName name="_f" localSheetId="4" hidden="1">{"DECIMAL",#N/A,FALSE,"02"}</definedName>
    <definedName name="_f" localSheetId="5" hidden="1">{"DECIMAL",#N/A,FALSE,"02"}</definedName>
    <definedName name="_f" localSheetId="6" hidden="1">{"DECIMAL",#N/A,FALSE,"02"}</definedName>
    <definedName name="_f" localSheetId="7" hidden="1">{"DECIMAL",#N/A,FALSE,"02"}</definedName>
    <definedName name="_f" localSheetId="8" hidden="1">{"DECIMAL",#N/A,FALSE,"02"}</definedName>
    <definedName name="_f" localSheetId="9" hidden="1">{"DECIMAL",#N/A,FALSE,"02"}</definedName>
    <definedName name="_f" localSheetId="10" hidden="1">{"DECIMAL",#N/A,FALSE,"02"}</definedName>
    <definedName name="_f" localSheetId="11" hidden="1">{"DECIMAL",#N/A,FALSE,"02"}</definedName>
    <definedName name="_f" localSheetId="12" hidden="1">{"DECIMAL",#N/A,FALSE,"02"}</definedName>
    <definedName name="_f" localSheetId="13" hidden="1">{"DECIMAL",#N/A,FALSE,"02"}</definedName>
    <definedName name="_f" localSheetId="14" hidden="1">{"DECIMAL",#N/A,FALSE,"02"}</definedName>
    <definedName name="_f" hidden="1">{"DECIMAL",#N/A,FALSE,"02"}</definedName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localSheetId="4" hidden="1">#REF!</definedName>
    <definedName name="_Fill" localSheetId="5" hidden="1">#REF!</definedName>
    <definedName name="_Fill" localSheetId="6" hidden="1">#REF!</definedName>
    <definedName name="_Fill" localSheetId="7" hidden="1">#REF!</definedName>
    <definedName name="_Fill" localSheetId="8" hidden="1">#REF!</definedName>
    <definedName name="_Fill" localSheetId="9" hidden="1">#REF!</definedName>
    <definedName name="_Fill" localSheetId="10" hidden="1">#REF!</definedName>
    <definedName name="_Fill" localSheetId="11" hidden="1">#REF!</definedName>
    <definedName name="_Fill" localSheetId="12" hidden="1">#REF!</definedName>
    <definedName name="_Fill" localSheetId="13" hidden="1">#REF!</definedName>
    <definedName name="_Fill" localSheetId="14" hidden="1">#REF!</definedName>
    <definedName name="_Fill" hidden="1">#REF!</definedName>
    <definedName name="_xlnm._FilterDatabase" localSheetId="0" hidden="1">'GDR 3760_Pto. 02_Cert. 01'!$A$9:$F$198</definedName>
    <definedName name="_xlnm._FilterDatabase" localSheetId="1" hidden="1">'GDR 3760_Pto. 02_Cert. 02'!$A$9:$F$198</definedName>
    <definedName name="_xlnm._FilterDatabase" localSheetId="2" hidden="1">'GDR 3760_Pto. 02_Cert. 03'!$A$9:$F$198</definedName>
    <definedName name="_xlnm._FilterDatabase" localSheetId="3" hidden="1">'GDR 3760_Pto. 02_Cert. 04'!$A$9:$F$198</definedName>
    <definedName name="_xlnm._FilterDatabase" localSheetId="4" hidden="1">'GDR 3760_Pto. 02_Cert. 05'!$A$9:$F$198</definedName>
    <definedName name="_xlnm._FilterDatabase" localSheetId="5" hidden="1">'GDR 3760_Pto. 02_Cert. 06'!$A$9:$F$198</definedName>
    <definedName name="_xlnm._FilterDatabase" localSheetId="6" hidden="1">'GDR 3760_Pto. 02_Cert. 07'!$A$9:$F$198</definedName>
    <definedName name="_xlnm._FilterDatabase" localSheetId="7" hidden="1">'GDR 3760_Pto. 02_Cert. 08'!$A$9:$F$198</definedName>
    <definedName name="_xlnm._FilterDatabase" localSheetId="8" hidden="1">'GDR 3760_Pto. 02_Cert. 09)'!$A$9:$F$198</definedName>
    <definedName name="_xlnm._FilterDatabase" localSheetId="9" hidden="1">'GDR 3760_Pto. 02_Cert. 10'!$A$9:$F$198</definedName>
    <definedName name="_xlnm._FilterDatabase" localSheetId="10" hidden="1">'GDR 3760_Pto. 02_Cert. 11'!$A$9:$F$215</definedName>
    <definedName name="_xlnm._FilterDatabase" localSheetId="11" hidden="1">'GDR 3760_Pto. 02_Cert. 12'!$A$9:$F$215</definedName>
    <definedName name="_xlnm._FilterDatabase" localSheetId="12" hidden="1">'GDR 3760_Pto. 02_Cert. 13'!$A$9:$F$215</definedName>
    <definedName name="_xlnm._FilterDatabase" localSheetId="13" hidden="1">'GDR 3760_Pto. 02_Cert. 14'!$A$9:$F$215</definedName>
    <definedName name="_xlnm._FilterDatabase" localSheetId="14" hidden="1">'GDR 3760_Pto. 02_Cert. 15'!$A$9:$F$215</definedName>
    <definedName name="_GoBack" localSheetId="0">'GDR 3760_Pto. 02_Cert. 01'!#REF!</definedName>
    <definedName name="_GoBack" localSheetId="1">'GDR 3760_Pto. 02_Cert. 02'!#REF!</definedName>
    <definedName name="_GoBack" localSheetId="2">'GDR 3760_Pto. 02_Cert. 03'!#REF!</definedName>
    <definedName name="_GoBack" localSheetId="3">'GDR 3760_Pto. 02_Cert. 04'!#REF!</definedName>
    <definedName name="_GoBack" localSheetId="4">'GDR 3760_Pto. 02_Cert. 05'!#REF!</definedName>
    <definedName name="_GoBack" localSheetId="5">'GDR 3760_Pto. 02_Cert. 06'!#REF!</definedName>
    <definedName name="_GoBack" localSheetId="6">'GDR 3760_Pto. 02_Cert. 07'!#REF!</definedName>
    <definedName name="_GoBack" localSheetId="7">'GDR 3760_Pto. 02_Cert. 08'!#REF!</definedName>
    <definedName name="_GoBack" localSheetId="8">'GDR 3760_Pto. 02_Cert. 09)'!#REF!</definedName>
    <definedName name="_GoBack" localSheetId="9">'GDR 3760_Pto. 02_Cert. 10'!#REF!</definedName>
    <definedName name="_GoBack" localSheetId="10">'GDR 3760_Pto. 02_Cert. 11'!#REF!</definedName>
    <definedName name="_GoBack" localSheetId="11">'GDR 3760_Pto. 02_Cert. 12'!#REF!</definedName>
    <definedName name="_GoBack" localSheetId="12">'GDR 3760_Pto. 02_Cert. 13'!#REF!</definedName>
    <definedName name="_GoBack" localSheetId="13">'GDR 3760_Pto. 02_Cert. 14'!#REF!</definedName>
    <definedName name="_GoBack" localSheetId="14">'GDR 3760_Pto. 02_Cert. 15'!#REF!</definedName>
    <definedName name="_HJJ2">#REF!</definedName>
    <definedName name="_Key1" hidden="1">#REF!</definedName>
    <definedName name="_KH170">#REF!</definedName>
    <definedName name="_MatMult_A" localSheetId="0" hidden="1">#REF!</definedName>
    <definedName name="_MatMult_A" localSheetId="1" hidden="1">#REF!</definedName>
    <definedName name="_MatMult_A" localSheetId="2" hidden="1">#REF!</definedName>
    <definedName name="_MatMult_A" localSheetId="3" hidden="1">#REF!</definedName>
    <definedName name="_MatMult_A" localSheetId="4" hidden="1">#REF!</definedName>
    <definedName name="_MatMult_A" localSheetId="5" hidden="1">#REF!</definedName>
    <definedName name="_MatMult_A" localSheetId="6" hidden="1">#REF!</definedName>
    <definedName name="_MatMult_A" localSheetId="7" hidden="1">#REF!</definedName>
    <definedName name="_MatMult_A" localSheetId="8" hidden="1">#REF!</definedName>
    <definedName name="_MatMult_A" localSheetId="9" hidden="1">#REF!</definedName>
    <definedName name="_MatMult_A" localSheetId="10" hidden="1">#REF!</definedName>
    <definedName name="_MatMult_A" localSheetId="11" hidden="1">#REF!</definedName>
    <definedName name="_MatMult_A" localSheetId="12" hidden="1">#REF!</definedName>
    <definedName name="_MatMult_A" localSheetId="13" hidden="1">#REF!</definedName>
    <definedName name="_MatMult_A" localSheetId="14" hidden="1">#REF!</definedName>
    <definedName name="_MatMult_A" hidden="1">#REF!</definedName>
    <definedName name="_Order1">255</definedName>
    <definedName name="_Order2">255</definedName>
    <definedName name="_prc6">#REF!</definedName>
    <definedName name="_R">#REF!</definedName>
    <definedName name="_RAN1">#REF!</definedName>
    <definedName name="_RAN2">#N/A</definedName>
    <definedName name="_RAN3">#REF!</definedName>
    <definedName name="_Sort" hidden="1">#REF!</definedName>
    <definedName name="_to11">#REF!</definedName>
    <definedName name="_to12">#REF!</definedName>
    <definedName name="_to2">#REF!</definedName>
    <definedName name="_to3">#REF!</definedName>
    <definedName name="_to30">#REF!</definedName>
    <definedName name="_Toc502326724" localSheetId="0">'GDR 3760_Pto. 02_Cert. 01'!#REF!</definedName>
    <definedName name="_Toc502326724" localSheetId="1">'GDR 3760_Pto. 02_Cert. 02'!#REF!</definedName>
    <definedName name="_Toc502326724" localSheetId="2">'GDR 3760_Pto. 02_Cert. 03'!#REF!</definedName>
    <definedName name="_Toc502326724" localSheetId="3">'GDR 3760_Pto. 02_Cert. 04'!#REF!</definedName>
    <definedName name="_Toc502326724" localSheetId="4">'GDR 3760_Pto. 02_Cert. 05'!#REF!</definedName>
    <definedName name="_Toc502326724" localSheetId="5">'GDR 3760_Pto. 02_Cert. 06'!#REF!</definedName>
    <definedName name="_Toc502326724" localSheetId="6">'GDR 3760_Pto. 02_Cert. 07'!#REF!</definedName>
    <definedName name="_Toc502326724" localSheetId="7">'GDR 3760_Pto. 02_Cert. 08'!#REF!</definedName>
    <definedName name="_Toc502326724" localSheetId="8">'GDR 3760_Pto. 02_Cert. 09)'!#REF!</definedName>
    <definedName name="_Toc502326724" localSheetId="9">'GDR 3760_Pto. 02_Cert. 10'!#REF!</definedName>
    <definedName name="_Toc502326724" localSheetId="10">'GDR 3760_Pto. 02_Cert. 11'!#REF!</definedName>
    <definedName name="_Toc502326724" localSheetId="11">'GDR 3760_Pto. 02_Cert. 12'!#REF!</definedName>
    <definedName name="_Toc502326724" localSheetId="12">'GDR 3760_Pto. 02_Cert. 13'!#REF!</definedName>
    <definedName name="_Toc502326724" localSheetId="13">'GDR 3760_Pto. 02_Cert. 14'!#REF!</definedName>
    <definedName name="_Toc502326724" localSheetId="14">'GDR 3760_Pto. 02_Cert. 15'!#REF!</definedName>
    <definedName name="_Toc502326725" localSheetId="0">'GDR 3760_Pto. 02_Cert. 01'!#REF!</definedName>
    <definedName name="_Toc502326725" localSheetId="1">'GDR 3760_Pto. 02_Cert. 02'!#REF!</definedName>
    <definedName name="_Toc502326725" localSheetId="2">'GDR 3760_Pto. 02_Cert. 03'!#REF!</definedName>
    <definedName name="_Toc502326725" localSheetId="3">'GDR 3760_Pto. 02_Cert. 04'!#REF!</definedName>
    <definedName name="_Toc502326725" localSheetId="4">'GDR 3760_Pto. 02_Cert. 05'!#REF!</definedName>
    <definedName name="_Toc502326725" localSheetId="5">'GDR 3760_Pto. 02_Cert. 06'!#REF!</definedName>
    <definedName name="_Toc502326725" localSheetId="6">'GDR 3760_Pto. 02_Cert. 07'!#REF!</definedName>
    <definedName name="_Toc502326725" localSheetId="7">'GDR 3760_Pto. 02_Cert. 08'!#REF!</definedName>
    <definedName name="_Toc502326725" localSheetId="8">'GDR 3760_Pto. 02_Cert. 09)'!#REF!</definedName>
    <definedName name="_Toc502326725" localSheetId="9">'GDR 3760_Pto. 02_Cert. 10'!#REF!</definedName>
    <definedName name="_Toc502326725" localSheetId="10">'GDR 3760_Pto. 02_Cert. 11'!#REF!</definedName>
    <definedName name="_Toc502326725" localSheetId="11">'GDR 3760_Pto. 02_Cert. 12'!#REF!</definedName>
    <definedName name="_Toc502326725" localSheetId="12">'GDR 3760_Pto. 02_Cert. 13'!#REF!</definedName>
    <definedName name="_Toc502326725" localSheetId="13">'GDR 3760_Pto. 02_Cert. 14'!#REF!</definedName>
    <definedName name="_Toc502326725" localSheetId="14">'GDR 3760_Pto. 02_Cert. 15'!#REF!</definedName>
    <definedName name="_Toc502326726" localSheetId="0">'GDR 3760_Pto. 02_Cert. 01'!#REF!</definedName>
    <definedName name="_Toc502326726" localSheetId="1">'GDR 3760_Pto. 02_Cert. 02'!#REF!</definedName>
    <definedName name="_Toc502326726" localSheetId="2">'GDR 3760_Pto. 02_Cert. 03'!#REF!</definedName>
    <definedName name="_Toc502326726" localSheetId="3">'GDR 3760_Pto. 02_Cert. 04'!#REF!</definedName>
    <definedName name="_Toc502326726" localSheetId="4">'GDR 3760_Pto. 02_Cert. 05'!#REF!</definedName>
    <definedName name="_Toc502326726" localSheetId="5">'GDR 3760_Pto. 02_Cert. 06'!#REF!</definedName>
    <definedName name="_Toc502326726" localSheetId="6">'GDR 3760_Pto. 02_Cert. 07'!#REF!</definedName>
    <definedName name="_Toc502326726" localSheetId="7">'GDR 3760_Pto. 02_Cert. 08'!#REF!</definedName>
    <definedName name="_Toc502326726" localSheetId="8">'GDR 3760_Pto. 02_Cert. 09)'!#REF!</definedName>
    <definedName name="_Toc502326726" localSheetId="9">'GDR 3760_Pto. 02_Cert. 10'!#REF!</definedName>
    <definedName name="_Toc502326726" localSheetId="10">'GDR 3760_Pto. 02_Cert. 11'!#REF!</definedName>
    <definedName name="_Toc502326726" localSheetId="11">'GDR 3760_Pto. 02_Cert. 12'!#REF!</definedName>
    <definedName name="_Toc502326726" localSheetId="12">'GDR 3760_Pto. 02_Cert. 13'!#REF!</definedName>
    <definedName name="_Toc502326726" localSheetId="13">'GDR 3760_Pto. 02_Cert. 14'!#REF!</definedName>
    <definedName name="_Toc502326726" localSheetId="14">'GDR 3760_Pto. 02_Cert. 15'!#REF!</definedName>
    <definedName name="_tu3" localSheetId="0">#REF!</definedName>
    <definedName name="_tu3" localSheetId="1">#REF!</definedName>
    <definedName name="_tu3" localSheetId="2">#REF!</definedName>
    <definedName name="_tu3" localSheetId="3">#REF!</definedName>
    <definedName name="_tu3" localSheetId="4">#REF!</definedName>
    <definedName name="_tu3" localSheetId="5">#REF!</definedName>
    <definedName name="_tu3" localSheetId="6">#REF!</definedName>
    <definedName name="_tu3" localSheetId="7">#REF!</definedName>
    <definedName name="_tu3" localSheetId="8">#REF!</definedName>
    <definedName name="_tu3" localSheetId="9">#REF!</definedName>
    <definedName name="_tu3" localSheetId="10">#REF!</definedName>
    <definedName name="_tu3" localSheetId="11">#REF!</definedName>
    <definedName name="_tu3" localSheetId="12">#REF!</definedName>
    <definedName name="_tu3" localSheetId="13">#REF!</definedName>
    <definedName name="_tu3" localSheetId="14">#REF!</definedName>
    <definedName name="_tu3">#REF!</definedName>
    <definedName name="_VS2">#REF!</definedName>
    <definedName name="_VS3">#REF!</definedName>
    <definedName name="a">#REF!</definedName>
    <definedName name="A.1">#REF!</definedName>
    <definedName name="A.2">#REF!</definedName>
    <definedName name="A_impresión_IM" localSheetId="0">#REF!</definedName>
    <definedName name="A_impresión_IM" localSheetId="1">#REF!</definedName>
    <definedName name="A_impresión_IM" localSheetId="2">#REF!</definedName>
    <definedName name="A_impresión_IM" localSheetId="3">#REF!</definedName>
    <definedName name="A_impresión_IM" localSheetId="4">#REF!</definedName>
    <definedName name="A_impresión_IM" localSheetId="5">#REF!</definedName>
    <definedName name="A_impresión_IM" localSheetId="6">#REF!</definedName>
    <definedName name="A_impresión_IM" localSheetId="7">#REF!</definedName>
    <definedName name="A_impresión_IM" localSheetId="8">#REF!</definedName>
    <definedName name="A_impresión_IM" localSheetId="9">#REF!</definedName>
    <definedName name="A_impresión_IM" localSheetId="10">#REF!</definedName>
    <definedName name="A_impresión_IM" localSheetId="11">#REF!</definedName>
    <definedName name="A_impresión_IM" localSheetId="12">#REF!</definedName>
    <definedName name="A_impresión_IM" localSheetId="13">#REF!</definedName>
    <definedName name="A_impresión_IM" localSheetId="14">#REF!</definedName>
    <definedName name="A_impresión_IM">#REF!</definedName>
    <definedName name="ABA15A">#REF!</definedName>
    <definedName name="ABA15B">#REF!</definedName>
    <definedName name="ABELSON">#REF!</definedName>
    <definedName name="acdul">#REF!</definedName>
    <definedName name="Acero">#REF!</definedName>
    <definedName name="acero1200">#REF!</definedName>
    <definedName name="acesp">#REF!</definedName>
    <definedName name="acindec">#REF!</definedName>
    <definedName name="aCLaccesoreadec">#REF!</definedName>
    <definedName name="aCLacondct">#REF!</definedName>
    <definedName name="aCLalcantarilla">#REF!</definedName>
    <definedName name="aCLalteo">#REF!</definedName>
    <definedName name="aCLalteoreadec">#REF!</definedName>
    <definedName name="aclam">#REF!</definedName>
    <definedName name="aCLApartido">#REF!</definedName>
    <definedName name="aCLapoyos">#REF!</definedName>
    <definedName name="aCLbacheo">#REF!</definedName>
    <definedName name="aCLbacheosan">#REF!</definedName>
    <definedName name="aCLbandason">#REF!</definedName>
    <definedName name="aCLbanquina">#REF!</definedName>
    <definedName name="aCLbaranda">#REF!</definedName>
    <definedName name="aCLbase">#REF!</definedName>
    <definedName name="aCLcabezales">#REF!</definedName>
    <definedName name="aCLcalzadas">#REF!</definedName>
    <definedName name="aCLcarpeta">#REF!</definedName>
    <definedName name="aCLcarpetariego">#REF!</definedName>
    <definedName name="aCLCCura">#REF!</definedName>
    <definedName name="aCLCCurareadec">#REF!</definedName>
    <definedName name="aCLciclovía">#REF!</definedName>
    <definedName name="aCLciclovíareadec">#REF!</definedName>
    <definedName name="aCLcolumnas">#REF!</definedName>
    <definedName name="aCLcortepasto">#REF!</definedName>
    <definedName name="aCLdemolicion">#REF!</definedName>
    <definedName name="aCLdesembanque">#REF!</definedName>
    <definedName name="aCLdren">#REF!</definedName>
    <definedName name="aCLescarifbanq">#REF!</definedName>
    <definedName name="aCLescarificado">#REF!</definedName>
    <definedName name="aCLestribos">#REF!</definedName>
    <definedName name="aCLexcavacion">#REF!</definedName>
    <definedName name="aCLexcavacionreadec">#REF!</definedName>
    <definedName name="aCLgaviones">#REF!</definedName>
    <definedName name="aCLhorC">#REF!</definedName>
    <definedName name="aCLhormigon">#REF!</definedName>
    <definedName name="aCLimprimacion">#REF!</definedName>
    <definedName name="aCLimprimacionreadec">#REF!</definedName>
    <definedName name="aCLimprimrefor">#REF!</definedName>
    <definedName name="aCLinvernal">#REF!</definedName>
    <definedName name="aCLjunta">#REF!</definedName>
    <definedName name="aCLjuntadil">#REF!</definedName>
    <definedName name="aCLjuntas">#REF!</definedName>
    <definedName name="aCLlimpieza">#REF!</definedName>
    <definedName name="aCLlimpseñales">#REF!</definedName>
    <definedName name="aCLlimptransp">#REF!</definedName>
    <definedName name="aCLlosa">#REF!</definedName>
    <definedName name="aCLmicroaglom">#REF!</definedName>
    <definedName name="aCLmicroaglomreadec">#REF!</definedName>
    <definedName name="aCLmicroreadec">#REF!</definedName>
    <definedName name="aCLmontaje">#REF!</definedName>
    <definedName name="aCLpasamano">#REF!</definedName>
    <definedName name="aCLperfilado">#REF!</definedName>
    <definedName name="aCLpilotes">#REF!</definedName>
    <definedName name="aCLpintado">#REF!</definedName>
    <definedName name="aCLpretiles">#REF!</definedName>
    <definedName name="aCLpretilesreadec">#REF!</definedName>
    <definedName name="aCLprolongacion">#REF!</definedName>
    <definedName name="aCLproteccion">#REF!</definedName>
    <definedName name="aCLrelleno">#REF!</definedName>
    <definedName name="aCLrellenoreadec">#REF!</definedName>
    <definedName name="aCLrep8026">#REF!</definedName>
    <definedName name="aCLrep8026readec">#REF!</definedName>
    <definedName name="aCLrepalc">#REF!</definedName>
    <definedName name="aCLrestdrenaje">#REF!</definedName>
    <definedName name="aCLretderrumbe">#REF!</definedName>
    <definedName name="aCLretrecolbaranda">#REF!</definedName>
    <definedName name="aCLRHermoso">#REF!</definedName>
    <definedName name="aCLRHermosoreadec">#REF!</definedName>
    <definedName name="aCLriego">#REF!</definedName>
    <definedName name="aCLrotondas">#REF!</definedName>
    <definedName name="aCLsandef">#REF!</definedName>
    <definedName name="aCLsellado">#REF!</definedName>
    <definedName name="aCLsenda">#REF!</definedName>
    <definedName name="aCLsendareadec">#REF!</definedName>
    <definedName name="aCLseñalamiento">#REF!</definedName>
    <definedName name="aCLseñalextrusion">#REF!</definedName>
    <definedName name="aCLseñalizacion">#REF!</definedName>
    <definedName name="aCLseñalvertreadec">#REF!</definedName>
    <definedName name="aCLsistdren1071">#REF!</definedName>
    <definedName name="aCLsubbase">#REF!</definedName>
    <definedName name="aCLterraplen">#REF!</definedName>
    <definedName name="aCLterrapreadec">#REF!</definedName>
    <definedName name="aCLterrsincomp">#REF!</definedName>
    <definedName name="aCLtravesia">#REF!</definedName>
    <definedName name="aCLvigas">#REF!</definedName>
    <definedName name="ACUEDUCTO_A_LOS_FRENTONES_Y_H._CAMPO">#REF!</definedName>
    <definedName name="ACUEDUCTO_A_PAMPA_DEL_INDIO">#REF!</definedName>
    <definedName name="ACUEDUCTO_A_S._SYLVINA_Y_v._BERTHET">#REF!</definedName>
    <definedName name="ACUMULADA">#REF!</definedName>
    <definedName name="ACUMULADO">#REF!</definedName>
    <definedName name="Adecuación" localSheetId="0">L2C1:L372C15</definedName>
    <definedName name="Adecuación" localSheetId="1">L2C1:L372C15</definedName>
    <definedName name="Adecuación" localSheetId="2">L2C1:L372C15</definedName>
    <definedName name="Adecuación" localSheetId="3">L2C1:L372C15</definedName>
    <definedName name="Adecuación" localSheetId="4">L2C1:L372C15</definedName>
    <definedName name="Adecuación" localSheetId="5">L2C1:L372C15</definedName>
    <definedName name="Adecuación" localSheetId="6">L2C1:L372C15</definedName>
    <definedName name="Adecuación" localSheetId="7">L2C1:L372C15</definedName>
    <definedName name="Adecuación" localSheetId="8">L2C1:L372C15</definedName>
    <definedName name="Adecuación" localSheetId="9">L2C1:L372C15</definedName>
    <definedName name="Adecuación" localSheetId="10">L2C1:L372C15</definedName>
    <definedName name="Adecuación" localSheetId="11">L2C1:L372C15</definedName>
    <definedName name="Adecuación" localSheetId="12">L2C1:L372C15</definedName>
    <definedName name="Adecuación" localSheetId="13">L2C1:L372C15</definedName>
    <definedName name="Adecuación" localSheetId="14">L2C1:L372C15</definedName>
    <definedName name="Adecuación">L2C1:L372C15</definedName>
    <definedName name="ADICT">#REF!</definedName>
    <definedName name="ADICT1">#REF!</definedName>
    <definedName name="aeir">#REF!</definedName>
    <definedName name="AIML">#REF!</definedName>
    <definedName name="AISS">#REF!</definedName>
    <definedName name="ALFA">#REF!</definedName>
    <definedName name="alfa_s">#REF!</definedName>
    <definedName name="alfa_s_c">#REF!</definedName>
    <definedName name="ALTR">#REF!</definedName>
    <definedName name="am1cañodren">#REF!</definedName>
    <definedName name="am1cemento">#REF!</definedName>
    <definedName name="am1hierro">#REF!</definedName>
    <definedName name="aMacceso">#REF!</definedName>
    <definedName name="aMaccesoreadec">#REF!</definedName>
    <definedName name="aMacondct">#REF!</definedName>
    <definedName name="aMalcantarilla">#REF!</definedName>
    <definedName name="aMalteo">#REF!</definedName>
    <definedName name="aMalteoreadec">#REF!</definedName>
    <definedName name="aMApartido">#REF!</definedName>
    <definedName name="aMapoyos">#REF!</definedName>
    <definedName name="aMbacheo">#REF!</definedName>
    <definedName name="aMbacheosan">#REF!</definedName>
    <definedName name="aMbandason">#REF!</definedName>
    <definedName name="aMbanquina">#REF!</definedName>
    <definedName name="aMbaranda">#REF!</definedName>
    <definedName name="aMbase">#REF!</definedName>
    <definedName name="aMcabezales">#REF!</definedName>
    <definedName name="aMcalzadas">#REF!</definedName>
    <definedName name="aMcarpeta">#REF!</definedName>
    <definedName name="aMcarpetariego">#REF!</definedName>
    <definedName name="aMCCura">#REF!</definedName>
    <definedName name="aMCCurareadec">#REF!</definedName>
    <definedName name="aMciclovía">#REF!</definedName>
    <definedName name="aMciclovíareadec">#REF!</definedName>
    <definedName name="aMcolumnas">#REF!</definedName>
    <definedName name="aMcortepasto">#REF!</definedName>
    <definedName name="aMdemolicion">#REF!</definedName>
    <definedName name="aMdesembanque">#REF!</definedName>
    <definedName name="aMdren">#REF!</definedName>
    <definedName name="AMEA">#REF!</definedName>
    <definedName name="aMEacceso">#REF!</definedName>
    <definedName name="aMEaccesoreadec">#REF!</definedName>
    <definedName name="aMEacondct">#REF!</definedName>
    <definedName name="aMEalcantarilla">#REF!</definedName>
    <definedName name="aMEalteo">#REF!</definedName>
    <definedName name="aMEalteoreadec">#REF!</definedName>
    <definedName name="aMEApartido">#REF!</definedName>
    <definedName name="aMEapoyos">#REF!</definedName>
    <definedName name="aMEbacheo">#REF!</definedName>
    <definedName name="aMEbacheosan">#REF!</definedName>
    <definedName name="aMEbandason">#REF!</definedName>
    <definedName name="aMEbanquina">#REF!</definedName>
    <definedName name="aMEbaranda">#REF!</definedName>
    <definedName name="AMEC">#REF!</definedName>
    <definedName name="aMEcabezales">#REF!</definedName>
    <definedName name="aMEcalzadas">#REF!</definedName>
    <definedName name="aMEcarpeta">#REF!</definedName>
    <definedName name="aMEcarpetariego">#REF!</definedName>
    <definedName name="aMECCura">#REF!</definedName>
    <definedName name="aMECCurareadec">#REF!</definedName>
    <definedName name="aMEciclovía">#REF!</definedName>
    <definedName name="aMEciclovíareadec">#REF!</definedName>
    <definedName name="AMECL">#REF!</definedName>
    <definedName name="aMEcolumnas">#REF!</definedName>
    <definedName name="aMEcortepasto">#REF!</definedName>
    <definedName name="AMECT">#REF!</definedName>
    <definedName name="aMEdemolicion">#REF!</definedName>
    <definedName name="aMEdesembanque">#REF!</definedName>
    <definedName name="aMEdren">#REF!</definedName>
    <definedName name="AMEE">#REF!</definedName>
    <definedName name="aMEescarifbanq">#REF!</definedName>
    <definedName name="aMEescarificado">#REF!</definedName>
    <definedName name="aMEescarificadoreadec">#REF!</definedName>
    <definedName name="aMEestribos">#REF!</definedName>
    <definedName name="aMEexcavacion">#REF!</definedName>
    <definedName name="aMEexcavacionreadec">#REF!</definedName>
    <definedName name="AMEF">#REF!</definedName>
    <definedName name="AMEG">#REF!</definedName>
    <definedName name="aMEgaviones">#REF!</definedName>
    <definedName name="aMEHermosoreadec">#REF!</definedName>
    <definedName name="aMEhorC">#REF!</definedName>
    <definedName name="aMEhormigon">#REF!</definedName>
    <definedName name="aMEimprimacion">#REF!</definedName>
    <definedName name="aMEimprimacionreadec">#REF!</definedName>
    <definedName name="aMEimprimrefor">#REF!</definedName>
    <definedName name="aMEinvernal">#REF!</definedName>
    <definedName name="aMEjunta">#REF!</definedName>
    <definedName name="aMEjuntadil">#REF!</definedName>
    <definedName name="aMEjuntas">#REF!</definedName>
    <definedName name="aMElimpieza">#REF!</definedName>
    <definedName name="aMElimpseñales">#REF!</definedName>
    <definedName name="aMElimptransp">#REF!</definedName>
    <definedName name="aMElosa">#REF!</definedName>
    <definedName name="aMEmicroaglom">#REF!</definedName>
    <definedName name="aMEmicroaglomreadec">#REF!</definedName>
    <definedName name="aMEmicroreadec">#REF!</definedName>
    <definedName name="aMEmontaje">#REF!</definedName>
    <definedName name="aMEpasamano">#REF!</definedName>
    <definedName name="aMEperfilado">#REF!</definedName>
    <definedName name="aMEpilotes">#REF!</definedName>
    <definedName name="aMEpintado">#REF!</definedName>
    <definedName name="aMEpretiles">#REF!</definedName>
    <definedName name="aMEpretilesreadec">#REF!</definedName>
    <definedName name="aMEprolongacion">#REF!</definedName>
    <definedName name="aMEprolongacionreadec">#REF!</definedName>
    <definedName name="aMEproteccion">#REF!</definedName>
    <definedName name="aMErelleno">#REF!</definedName>
    <definedName name="aMErellenoreadec">#REF!</definedName>
    <definedName name="aMErep8026">#REF!</definedName>
    <definedName name="aMErep8026readec">#REF!</definedName>
    <definedName name="aMErepalc">#REF!</definedName>
    <definedName name="aMErestdrenaje">#REF!</definedName>
    <definedName name="aMErestdrenajereadec">#REF!</definedName>
    <definedName name="aMEretderrumbe">#REF!</definedName>
    <definedName name="aMEretrecolbaranda">#REF!</definedName>
    <definedName name="aMERHermoso">#REF!</definedName>
    <definedName name="aMEriego">#REF!</definedName>
    <definedName name="aMErotondas">#REF!</definedName>
    <definedName name="aMEsandef">#REF!</definedName>
    <definedName name="aMescarifbanq">#REF!</definedName>
    <definedName name="aMescarificado">#REF!</definedName>
    <definedName name="aMEsellado">#REF!</definedName>
    <definedName name="aMEsenda">#REF!</definedName>
    <definedName name="aMEsendareadec">#REF!</definedName>
    <definedName name="aMEseñalamiento">#REF!</definedName>
    <definedName name="aMEseñalamientoreadec">#REF!</definedName>
    <definedName name="aMEseñalextrusion">#REF!</definedName>
    <definedName name="aMEseñalextrusionreadec">#REF!</definedName>
    <definedName name="aMEseñalizacion">#REF!</definedName>
    <definedName name="aMEseñalizacionreadec">#REF!</definedName>
    <definedName name="aMEseñalvertreadec">#REF!</definedName>
    <definedName name="aMEsistdren1071">#REF!</definedName>
    <definedName name="aMestribos">#REF!</definedName>
    <definedName name="aMEsubbase">#REF!</definedName>
    <definedName name="aMEterraplen">#REF!</definedName>
    <definedName name="aMEterrapreadec">#REF!</definedName>
    <definedName name="aMEterrsincomp">#REF!</definedName>
    <definedName name="aMEtravesia">#REF!</definedName>
    <definedName name="aMEvigas">#REF!</definedName>
    <definedName name="aMexcavacion">#REF!</definedName>
    <definedName name="aMexcavacionreadec">#REF!</definedName>
    <definedName name="aMgaviones">#REF!</definedName>
    <definedName name="aMHermosoreadec">#REF!</definedName>
    <definedName name="aMhorC">#REF!</definedName>
    <definedName name="aMhormigon">#REF!</definedName>
    <definedName name="aMimprimacion">#REF!</definedName>
    <definedName name="aMimprimacionreadec">#REF!</definedName>
    <definedName name="aMimprimrefor">#REF!</definedName>
    <definedName name="aMinvernal">#REF!</definedName>
    <definedName name="aMjunta">#REF!</definedName>
    <definedName name="aMjuntadil">#REF!</definedName>
    <definedName name="aMjuntas">#REF!</definedName>
    <definedName name="aMlimpieza">#REF!</definedName>
    <definedName name="aMlimpseñales">#REF!</definedName>
    <definedName name="aMlimptransp">#REF!</definedName>
    <definedName name="aMlosa">#REF!</definedName>
    <definedName name="aMmatbase">#REF!</definedName>
    <definedName name="aMmicroaglem">#REF!</definedName>
    <definedName name="aMmicroaglom">#REF!</definedName>
    <definedName name="aMmicroaglomreadec">#REF!</definedName>
    <definedName name="aMmicroreadec">#REF!</definedName>
    <definedName name="aMmontaje">#REF!</definedName>
    <definedName name="aMOacceso">#REF!</definedName>
    <definedName name="aMOaccesoreadec">#REF!</definedName>
    <definedName name="aMOacondct">#REF!</definedName>
    <definedName name="aMOalcantarilla">#REF!</definedName>
    <definedName name="aMOalcantarillareadec">#REF!</definedName>
    <definedName name="aMOalteo">#REF!</definedName>
    <definedName name="aMOalteoreadec">#REF!</definedName>
    <definedName name="aMOApartido">#REF!</definedName>
    <definedName name="aMOapoyos">#REF!</definedName>
    <definedName name="aMObacheo">#REF!</definedName>
    <definedName name="aMObacheosan">#REF!</definedName>
    <definedName name="aMObandason">#REF!</definedName>
    <definedName name="aMObanquina">#REF!</definedName>
    <definedName name="aMObaranda">#REF!</definedName>
    <definedName name="aMObarandareadec">#REF!</definedName>
    <definedName name="aMObase">#REF!</definedName>
    <definedName name="aMOcabezales">#REF!</definedName>
    <definedName name="aMOcalzadahorm">#REF!</definedName>
    <definedName name="aMOcalzadas">#REF!</definedName>
    <definedName name="aMOcarpeta">#REF!</definedName>
    <definedName name="aMOcarpetariego">#REF!</definedName>
    <definedName name="aMOCCura">#REF!</definedName>
    <definedName name="aMOCCurareadec">#REF!</definedName>
    <definedName name="aMOciclovía">#REF!</definedName>
    <definedName name="aMOciclovíareadec">#REF!</definedName>
    <definedName name="aMOcolumnas">#REF!</definedName>
    <definedName name="aMOcortepasto">#REF!</definedName>
    <definedName name="aMOdemolicion">#REF!</definedName>
    <definedName name="aMOdesembanque">#REF!</definedName>
    <definedName name="aMOdren">#REF!</definedName>
    <definedName name="aMOescarifbanq">#REF!</definedName>
    <definedName name="aMOescarificado">#REF!</definedName>
    <definedName name="aMOestribos">#REF!</definedName>
    <definedName name="aMOexcavacion">#REF!</definedName>
    <definedName name="aMOexcavacionreadec">#REF!</definedName>
    <definedName name="aMOgaviones">#REF!</definedName>
    <definedName name="aMOHermosoreadec">#REF!</definedName>
    <definedName name="aMOhorC">#REF!</definedName>
    <definedName name="aMOhormigon">#REF!</definedName>
    <definedName name="aMOimprimacion">#REF!</definedName>
    <definedName name="aMOimprimacionreadec">#REF!</definedName>
    <definedName name="aMOimprimrefor">#REF!</definedName>
    <definedName name="aMOinvernal">#REF!</definedName>
    <definedName name="aMOjunta">#REF!</definedName>
    <definedName name="aMOjuntadil">#REF!</definedName>
    <definedName name="aMOjuntas">#REF!</definedName>
    <definedName name="aMOlimpieza">#REF!</definedName>
    <definedName name="aMOlimpseñales">#REF!</definedName>
    <definedName name="aMOlimptransp">#REF!</definedName>
    <definedName name="aMOlosa">#REF!</definedName>
    <definedName name="aMOmatbase">#REF!</definedName>
    <definedName name="aMOmicroaglom">#REF!</definedName>
    <definedName name="aMOmicroaglomreadec">#REF!</definedName>
    <definedName name="aMOmicroreadec">#REF!</definedName>
    <definedName name="aMOmontaje">#REF!</definedName>
    <definedName name="aMOpasamano">#REF!</definedName>
    <definedName name="aMOperfilado">#REF!</definedName>
    <definedName name="aMOpintado">#REF!</definedName>
    <definedName name="aMOpretiles">#REF!</definedName>
    <definedName name="aMOpretilesreadec">#REF!</definedName>
    <definedName name="aMOprolongacion">#REF!</definedName>
    <definedName name="aMOprolongacionreadec">#REF!</definedName>
    <definedName name="aMOproteccion">#REF!</definedName>
    <definedName name="aMOrelleno">#REF!</definedName>
    <definedName name="aMOrellenoreadec">#REF!</definedName>
    <definedName name="aMOrep8026">#REF!</definedName>
    <definedName name="aMOrep8026readec">#REF!</definedName>
    <definedName name="aMOrepalc">#REF!</definedName>
    <definedName name="aMOrestdrenaje">#REF!</definedName>
    <definedName name="aMOrestdrenajereadec">#REF!</definedName>
    <definedName name="aMOretderrumbe">#REF!</definedName>
    <definedName name="aMOretrecolbaranda">#REF!</definedName>
    <definedName name="aMOrexcavacion">#REF!</definedName>
    <definedName name="aMORHermoso">#REF!</definedName>
    <definedName name="aMOriego">#REF!</definedName>
    <definedName name="aMOrotondas">#REF!</definedName>
    <definedName name="aMOsandef">#REF!</definedName>
    <definedName name="aMOsellado">#REF!</definedName>
    <definedName name="aMOsenda">#REF!</definedName>
    <definedName name="aMOsendareadec">#REF!</definedName>
    <definedName name="aMOseñalamiento">#REF!</definedName>
    <definedName name="aMOseñalamientoreadec">#REF!</definedName>
    <definedName name="aMOseñalextrusion">#REF!</definedName>
    <definedName name="aMOseñalextrusionreadec">#REF!</definedName>
    <definedName name="aMOseñalizacion">#REF!</definedName>
    <definedName name="aMOseñalizacionreadec">#REF!</definedName>
    <definedName name="aMOseñalvertreadec">#REF!</definedName>
    <definedName name="aMOsistdren1071">#REF!</definedName>
    <definedName name="aMOsubbase">#REF!</definedName>
    <definedName name="aMOterraplen">#REF!</definedName>
    <definedName name="aMOterrapreadec">#REF!</definedName>
    <definedName name="aMOterrsincomp">#REF!</definedName>
    <definedName name="aMOtravesia">#REF!</definedName>
    <definedName name="aMOvigas">#REF!</definedName>
    <definedName name="aMpasamano">#REF!</definedName>
    <definedName name="aMperfilado">#REF!</definedName>
    <definedName name="aMpilotes">#REF!</definedName>
    <definedName name="aMpintado">#REF!</definedName>
    <definedName name="aMpretiles">#REF!</definedName>
    <definedName name="aMpretilesreadec">#REF!</definedName>
    <definedName name="aMprolongacion">#REF!</definedName>
    <definedName name="aMprolongacionreadec">#REF!</definedName>
    <definedName name="aMproteccion">#REF!</definedName>
    <definedName name="aMrelleno">#REF!</definedName>
    <definedName name="aMrellenoreadec">#REF!</definedName>
    <definedName name="aMrep8026">#REF!</definedName>
    <definedName name="aMrep8026readec">#REF!</definedName>
    <definedName name="aMrepalc">#REF!</definedName>
    <definedName name="aMrestdrenaje">#REF!</definedName>
    <definedName name="aMrestdrenajereadec">#REF!</definedName>
    <definedName name="aMretderrumbe">#REF!</definedName>
    <definedName name="aMretrecolbaranda">#REF!</definedName>
    <definedName name="aMRHermoso">#REF!</definedName>
    <definedName name="aMriego">#REF!</definedName>
    <definedName name="aMrotondas">#REF!</definedName>
    <definedName name="aMsandef">#REF!</definedName>
    <definedName name="aMsellado">#REF!</definedName>
    <definedName name="aMsenda">#REF!</definedName>
    <definedName name="aMsendareadec">#REF!</definedName>
    <definedName name="aMseñalamiento">#REF!</definedName>
    <definedName name="aMseñalamientoreadec">#REF!</definedName>
    <definedName name="aMseñalextrusion">#REF!</definedName>
    <definedName name="aMseñalextrusionreadec">#REF!</definedName>
    <definedName name="aMseñalizacion">#REF!</definedName>
    <definedName name="aMseñalizacionreadec">#REF!</definedName>
    <definedName name="aMseñalvertreadec">#REF!</definedName>
    <definedName name="aMsistdren1071">#REF!</definedName>
    <definedName name="aMsubbase">#REF!</definedName>
    <definedName name="AMTE">#REF!</definedName>
    <definedName name="aMterraplen">#REF!</definedName>
    <definedName name="aMterrapreadec">#REF!</definedName>
    <definedName name="aMterrsincomp">#REF!</definedName>
    <definedName name="aMtravesia">#REF!</definedName>
    <definedName name="aMvigas">#REF!</definedName>
    <definedName name="Ana_Cent_Com">#REF!</definedName>
    <definedName name="Ana_Ed_3">#REF!</definedName>
    <definedName name="Ana_Edi_1">#REF!</definedName>
    <definedName name="Ana_Edi_2">#REF!</definedName>
    <definedName name="Ana_Edi_2_Var">#REF!</definedName>
    <definedName name="Ana_Edi_3_Var">#REF!</definedName>
    <definedName name="Ana_OEX">#REF!</definedName>
    <definedName name="Ana_Resumen">#REF!</definedName>
    <definedName name="ANAE1">#REF!</definedName>
    <definedName name="analiprecios" localSheetId="0">#REF!</definedName>
    <definedName name="analiprecios" localSheetId="1">#REF!</definedName>
    <definedName name="analiprecios" localSheetId="2">#REF!</definedName>
    <definedName name="analiprecios" localSheetId="3">#REF!</definedName>
    <definedName name="analiprecios" localSheetId="4">#REF!</definedName>
    <definedName name="analiprecios" localSheetId="5">#REF!</definedName>
    <definedName name="analiprecios" localSheetId="6">#REF!</definedName>
    <definedName name="analiprecios" localSheetId="7">#REF!</definedName>
    <definedName name="analiprecios" localSheetId="8">#REF!</definedName>
    <definedName name="analiprecios" localSheetId="9">#REF!</definedName>
    <definedName name="analiprecios" localSheetId="10">#REF!</definedName>
    <definedName name="analiprecios" localSheetId="11">#REF!</definedName>
    <definedName name="analiprecios" localSheetId="12">#REF!</definedName>
    <definedName name="analiprecios" localSheetId="13">#REF!</definedName>
    <definedName name="analiprecios" localSheetId="14">#REF!</definedName>
    <definedName name="analiprecios">#REF!</definedName>
    <definedName name="ANALISIS">#REF!</definedName>
    <definedName name="AnalisisA">#REF!</definedName>
    <definedName name="AnalisisB">#REF!</definedName>
    <definedName name="AnalisisC">#REF!</definedName>
    <definedName name="analisisequipo" localSheetId="0">#REF!</definedName>
    <definedName name="analisisequipo" localSheetId="1">#REF!</definedName>
    <definedName name="analisisequipo" localSheetId="2">#REF!</definedName>
    <definedName name="analisisequipo" localSheetId="3">#REF!</definedName>
    <definedName name="analisisequipo" localSheetId="4">#REF!</definedName>
    <definedName name="analisisequipo" localSheetId="5">#REF!</definedName>
    <definedName name="analisisequipo" localSheetId="6">#REF!</definedName>
    <definedName name="analisisequipo" localSheetId="7">#REF!</definedName>
    <definedName name="analisisequipo" localSheetId="8">#REF!</definedName>
    <definedName name="analisisequipo" localSheetId="9">#REF!</definedName>
    <definedName name="analisisequipo" localSheetId="10">#REF!</definedName>
    <definedName name="analisisequipo" localSheetId="11">#REF!</definedName>
    <definedName name="analisisequipo" localSheetId="12">#REF!</definedName>
    <definedName name="analisisequipo" localSheetId="13">#REF!</definedName>
    <definedName name="analisisequipo" localSheetId="14">#REF!</definedName>
    <definedName name="analisisequipo">#REF!</definedName>
    <definedName name="analizado">#REF!</definedName>
    <definedName name="angulo">#REF!</definedName>
    <definedName name="angulo_lim">#REF!</definedName>
    <definedName name="angulolim">#REF!</definedName>
    <definedName name="angulolim_c">#REF!</definedName>
    <definedName name="ANTICIPO">#REF!</definedName>
    <definedName name="AR">#REF!</definedName>
    <definedName name="Arand.">#REF!</definedName>
    <definedName name="ardos">#REF!</definedName>
    <definedName name="AREA_DE_IMPRESION">#REF!</definedName>
    <definedName name="AREA1">#REF!</definedName>
    <definedName name="AREA2">#REF!</definedName>
    <definedName name="arena">#REF!</definedName>
    <definedName name="AReq">#REF!</definedName>
    <definedName name="Armadura">#REF!</definedName>
    <definedName name="armco">#REF!</definedName>
    <definedName name="armdis">#REF!</definedName>
    <definedName name="ARR">#N/A</definedName>
    <definedName name="ARRA">#REF!</definedName>
    <definedName name="ARRC">#REF!</definedName>
    <definedName name="ARREM">#REF!</definedName>
    <definedName name="ARREP">#REF!</definedName>
    <definedName name="arriba">#REF!</definedName>
    <definedName name="ARRRR">#REF!</definedName>
    <definedName name="ARSC">#REF!</definedName>
    <definedName name="ARSCE">#REF!</definedName>
    <definedName name="ARSDA">#REF!</definedName>
    <definedName name="ARSEC">#REF!</definedName>
    <definedName name="ARSED">#REF!</definedName>
    <definedName name="ARSEM">#REF!</definedName>
    <definedName name="ARSEP">#REF!</definedName>
    <definedName name="ARSLE">#REF!</definedName>
    <definedName name="ARSNA">#REF!</definedName>
    <definedName name="ART">#REF!</definedName>
    <definedName name="ART_Cargo_Fijo">#REF!</definedName>
    <definedName name="aruno">#REF!</definedName>
    <definedName name="as">#REF!</definedName>
    <definedName name="asd" localSheetId="0">L2C1:L372C15</definedName>
    <definedName name="asd" localSheetId="1">L2C1:L372C15</definedName>
    <definedName name="asd" localSheetId="2">L2C1:L372C15</definedName>
    <definedName name="asd" localSheetId="3">L2C1:L372C15</definedName>
    <definedName name="asd" localSheetId="4">L2C1:L372C15</definedName>
    <definedName name="asd" localSheetId="5">L2C1:L372C15</definedName>
    <definedName name="asd" localSheetId="6">L2C1:L372C15</definedName>
    <definedName name="asd" localSheetId="7">L2C1:L372C15</definedName>
    <definedName name="asd" localSheetId="8">L2C1:L372C15</definedName>
    <definedName name="asd" localSheetId="9">L2C1:L372C15</definedName>
    <definedName name="asd" localSheetId="10">L2C1:L372C15</definedName>
    <definedName name="asd" localSheetId="11">L2C1:L372C15</definedName>
    <definedName name="asd" localSheetId="12">L2C1:L372C15</definedName>
    <definedName name="asd" localSheetId="13">L2C1:L372C15</definedName>
    <definedName name="asd" localSheetId="14">L2C1:L372C15</definedName>
    <definedName name="asd">L2C1:L372C15</definedName>
    <definedName name="asdaaa">#REF!</definedName>
    <definedName name="ASDAASD" localSheetId="0">L2C1:L372C15</definedName>
    <definedName name="ASDAASD" localSheetId="1">L2C1:L372C15</definedName>
    <definedName name="ASDAASD" localSheetId="2">L2C1:L372C15</definedName>
    <definedName name="ASDAASD" localSheetId="3">L2C1:L372C15</definedName>
    <definedName name="ASDAASD" localSheetId="4">L2C1:L372C15</definedName>
    <definedName name="ASDAASD" localSheetId="5">L2C1:L372C15</definedName>
    <definedName name="ASDAASD" localSheetId="6">L2C1:L372C15</definedName>
    <definedName name="ASDAASD" localSheetId="7">L2C1:L372C15</definedName>
    <definedName name="ASDAASD" localSheetId="8">L2C1:L372C15</definedName>
    <definedName name="ASDAASD" localSheetId="9">L2C1:L372C15</definedName>
    <definedName name="ASDAASD" localSheetId="10">L2C1:L372C15</definedName>
    <definedName name="ASDAASD" localSheetId="11">L2C1:L372C15</definedName>
    <definedName name="ASDAASD" localSheetId="12">L2C1:L372C15</definedName>
    <definedName name="ASDAASD" localSheetId="13">L2C1:L372C15</definedName>
    <definedName name="ASDAASD" localSheetId="14">L2C1:L372C15</definedName>
    <definedName name="ASDAASD">L2C1:L372C15</definedName>
    <definedName name="asdis">#REF!</definedName>
    <definedName name="asew">#REF!</definedName>
    <definedName name="Asistencia">#REF!</definedName>
    <definedName name="at1cañodren">#REF!</definedName>
    <definedName name="at1cemento">#REF!</definedName>
    <definedName name="at1hierro">#REF!</definedName>
    <definedName name="aTacceso">#REF!</definedName>
    <definedName name="aTaccesoreadec">#REF!</definedName>
    <definedName name="aTacondct">#REF!</definedName>
    <definedName name="aTalcantarilla">#REF!</definedName>
    <definedName name="aTalcantarillareadec">#REF!</definedName>
    <definedName name="aTalteo">#REF!</definedName>
    <definedName name="aTalteoreadec">#REF!</definedName>
    <definedName name="aTApartido">#REF!</definedName>
    <definedName name="aTbacheo">#REF!</definedName>
    <definedName name="aTbacheosan">#REF!</definedName>
    <definedName name="aTbandason">#REF!</definedName>
    <definedName name="aTbanquina">#REF!</definedName>
    <definedName name="aTbaranda">#REF!</definedName>
    <definedName name="aTbarandareadec">#REF!</definedName>
    <definedName name="aTbase">#REF!</definedName>
    <definedName name="aTcabezales">#REF!</definedName>
    <definedName name="aTcalzadahorm">#REF!</definedName>
    <definedName name="aTcalzadas">#REF!</definedName>
    <definedName name="aTcarpeta">#REF!</definedName>
    <definedName name="aTcarpetariego">#REF!</definedName>
    <definedName name="aTCCura">#REF!</definedName>
    <definedName name="aTCCurareadec">#REF!</definedName>
    <definedName name="aTciclovía">#REF!</definedName>
    <definedName name="aTciclovíareadec">#REF!</definedName>
    <definedName name="aTcolumnas">#REF!</definedName>
    <definedName name="aTcortepasto">#REF!</definedName>
    <definedName name="aTdemolicion">#REF!</definedName>
    <definedName name="aTdesembanque">#REF!</definedName>
    <definedName name="aTdren">#REF!</definedName>
    <definedName name="aTescarifbanq">#REF!</definedName>
    <definedName name="aTescarificado">#REF!</definedName>
    <definedName name="aTestribos">#REF!</definedName>
    <definedName name="aTexcavacion">#REF!</definedName>
    <definedName name="aTexcavacionreadec">#REF!</definedName>
    <definedName name="aTgaviones">#REF!</definedName>
    <definedName name="aTHermosoreadec">#REF!</definedName>
    <definedName name="aThorC">#REF!</definedName>
    <definedName name="aThormigon">#REF!</definedName>
    <definedName name="aTimprimacion">#REF!</definedName>
    <definedName name="aTimprimacionreadec">#REF!</definedName>
    <definedName name="aTimprimrefor">#REF!</definedName>
    <definedName name="aTinvernal">#REF!</definedName>
    <definedName name="aTjunta">#REF!</definedName>
    <definedName name="aTjuntadil">#REF!</definedName>
    <definedName name="aTjuntas">#REF!</definedName>
    <definedName name="aTlimpieza">#REF!</definedName>
    <definedName name="aTlimpseñales">#REF!</definedName>
    <definedName name="aTlimptransp">#REF!</definedName>
    <definedName name="aTlosa">#REF!</definedName>
    <definedName name="aTmatbase">#REF!</definedName>
    <definedName name="aTmicroaglom">#REF!</definedName>
    <definedName name="aTmicroaglomreadec">#REF!</definedName>
    <definedName name="aTmicroreadec">#REF!</definedName>
    <definedName name="aTmontaje">#REF!</definedName>
    <definedName name="aTpasamano">#REF!</definedName>
    <definedName name="aTperfilado">#REF!</definedName>
    <definedName name="aTpilotes">#REF!</definedName>
    <definedName name="aTpintado">#REF!</definedName>
    <definedName name="aTpretiles">#REF!</definedName>
    <definedName name="aTpretilesreadec">#REF!</definedName>
    <definedName name="aTprolongacion">#REF!</definedName>
    <definedName name="aTprolongacionreadec">#REF!</definedName>
    <definedName name="aTproteccion">#REF!</definedName>
    <definedName name="aTrelleno">#REF!</definedName>
    <definedName name="aTrellenoreadec">#REF!</definedName>
    <definedName name="aTrep8026">#REF!</definedName>
    <definedName name="aTrep8026readec">#REF!</definedName>
    <definedName name="aTrepalc">#REF!</definedName>
    <definedName name="aTrepalcreadec">#REF!</definedName>
    <definedName name="aTrestdrenaje">#REF!</definedName>
    <definedName name="aTrestdrenajereadec">#REF!</definedName>
    <definedName name="aTretderrumbe">#REF!</definedName>
    <definedName name="aTretrecolbaranda">#REF!</definedName>
    <definedName name="aTRHermoso">#REF!</definedName>
    <definedName name="aTriego">#REF!</definedName>
    <definedName name="aTrotondas">#REF!</definedName>
    <definedName name="aTsandef">#REF!</definedName>
    <definedName name="aTsellado">#REF!</definedName>
    <definedName name="aTsenda">#REF!</definedName>
    <definedName name="aTsendareadec">#REF!</definedName>
    <definedName name="aTseñalamiento">#REF!</definedName>
    <definedName name="aTseñalamientoreadec">#REF!</definedName>
    <definedName name="aTseñalextrusion">#REF!</definedName>
    <definedName name="aTseñalextrusionreadec">#REF!</definedName>
    <definedName name="aTseñalizacion">#REF!</definedName>
    <definedName name="aTseñalizacionreadec">#REF!</definedName>
    <definedName name="aTseñalvertreadec">#REF!</definedName>
    <definedName name="aTsistdren1071">#REF!</definedName>
    <definedName name="aTsubbase">#REF!</definedName>
    <definedName name="aTterraplen">#REF!</definedName>
    <definedName name="aTterrapreadec">#REF!</definedName>
    <definedName name="aTterrsincomp">#REF!</definedName>
    <definedName name="aTtravesia">#REF!</definedName>
    <definedName name="aTvigas">#REF!</definedName>
    <definedName name="AUSENTISMO">#REF!</definedName>
    <definedName name="AUSENTISMO1">#REF!</definedName>
    <definedName name="AUT">#REF!</definedName>
    <definedName name="Aux_Ana">#REF!</definedName>
    <definedName name="Avance" localSheetId="0" hidden="1">{#N/A,#N/A,FALSE,"Monthly report";#N/A,#N/A,FALSE,"M.R. UEM";#N/A,#N/A,FALSE,"M.R. VCM"}</definedName>
    <definedName name="Avance" localSheetId="1" hidden="1">{#N/A,#N/A,FALSE,"Monthly report";#N/A,#N/A,FALSE,"M.R. UEM";#N/A,#N/A,FALSE,"M.R. VCM"}</definedName>
    <definedName name="Avance" localSheetId="2" hidden="1">{#N/A,#N/A,FALSE,"Monthly report";#N/A,#N/A,FALSE,"M.R. UEM";#N/A,#N/A,FALSE,"M.R. VCM"}</definedName>
    <definedName name="Avance" localSheetId="3" hidden="1">{#N/A,#N/A,FALSE,"Monthly report";#N/A,#N/A,FALSE,"M.R. UEM";#N/A,#N/A,FALSE,"M.R. VCM"}</definedName>
    <definedName name="Avance" localSheetId="4" hidden="1">{#N/A,#N/A,FALSE,"Monthly report";#N/A,#N/A,FALSE,"M.R. UEM";#N/A,#N/A,FALSE,"M.R. VCM"}</definedName>
    <definedName name="Avance" localSheetId="5" hidden="1">{#N/A,#N/A,FALSE,"Monthly report";#N/A,#N/A,FALSE,"M.R. UEM";#N/A,#N/A,FALSE,"M.R. VCM"}</definedName>
    <definedName name="Avance" localSheetId="6" hidden="1">{#N/A,#N/A,FALSE,"Monthly report";#N/A,#N/A,FALSE,"M.R. UEM";#N/A,#N/A,FALSE,"M.R. VCM"}</definedName>
    <definedName name="Avance" localSheetId="7" hidden="1">{#N/A,#N/A,FALSE,"Monthly report";#N/A,#N/A,FALSE,"M.R. UEM";#N/A,#N/A,FALSE,"M.R. VCM"}</definedName>
    <definedName name="Avance" localSheetId="8" hidden="1">{#N/A,#N/A,FALSE,"Monthly report";#N/A,#N/A,FALSE,"M.R. UEM";#N/A,#N/A,FALSE,"M.R. VCM"}</definedName>
    <definedName name="Avance" localSheetId="9" hidden="1">{#N/A,#N/A,FALSE,"Monthly report";#N/A,#N/A,FALSE,"M.R. UEM";#N/A,#N/A,FALSE,"M.R. VCM"}</definedName>
    <definedName name="Avance" localSheetId="10" hidden="1">{#N/A,#N/A,FALSE,"Monthly report";#N/A,#N/A,FALSE,"M.R. UEM";#N/A,#N/A,FALSE,"M.R. VCM"}</definedName>
    <definedName name="Avance" localSheetId="11" hidden="1">{#N/A,#N/A,FALSE,"Monthly report";#N/A,#N/A,FALSE,"M.R. UEM";#N/A,#N/A,FALSE,"M.R. VCM"}</definedName>
    <definedName name="Avance" localSheetId="12" hidden="1">{#N/A,#N/A,FALSE,"Monthly report";#N/A,#N/A,FALSE,"M.R. UEM";#N/A,#N/A,FALSE,"M.R. VCM"}</definedName>
    <definedName name="Avance" localSheetId="13" hidden="1">{#N/A,#N/A,FALSE,"Monthly report";#N/A,#N/A,FALSE,"M.R. UEM";#N/A,#N/A,FALSE,"M.R. VCM"}</definedName>
    <definedName name="Avance" localSheetId="14" hidden="1">{#N/A,#N/A,FALSE,"Monthly report";#N/A,#N/A,FALSE,"M.R. UEM";#N/A,#N/A,FALSE,"M.R. VCM"}</definedName>
    <definedName name="Avance" hidden="1">{#N/A,#N/A,FALSE,"Monthly report";#N/A,#N/A,FALSE,"M.R. UEM";#N/A,#N/A,FALSE,"M.R. VCM"}</definedName>
    <definedName name="Avance2" localSheetId="0" hidden="1">{#N/A,#N/A,FALSE,"Monthly report";#N/A,#N/A,FALSE,"M.R. UEM";#N/A,#N/A,FALSE,"M.R. VCM"}</definedName>
    <definedName name="Avance2" localSheetId="1" hidden="1">{#N/A,#N/A,FALSE,"Monthly report";#N/A,#N/A,FALSE,"M.R. UEM";#N/A,#N/A,FALSE,"M.R. VCM"}</definedName>
    <definedName name="Avance2" localSheetId="2" hidden="1">{#N/A,#N/A,FALSE,"Monthly report";#N/A,#N/A,FALSE,"M.R. UEM";#N/A,#N/A,FALSE,"M.R. VCM"}</definedName>
    <definedName name="Avance2" localSheetId="3" hidden="1">{#N/A,#N/A,FALSE,"Monthly report";#N/A,#N/A,FALSE,"M.R. UEM";#N/A,#N/A,FALSE,"M.R. VCM"}</definedName>
    <definedName name="Avance2" localSheetId="4" hidden="1">{#N/A,#N/A,FALSE,"Monthly report";#N/A,#N/A,FALSE,"M.R. UEM";#N/A,#N/A,FALSE,"M.R. VCM"}</definedName>
    <definedName name="Avance2" localSheetId="5" hidden="1">{#N/A,#N/A,FALSE,"Monthly report";#N/A,#N/A,FALSE,"M.R. UEM";#N/A,#N/A,FALSE,"M.R. VCM"}</definedName>
    <definedName name="Avance2" localSheetId="6" hidden="1">{#N/A,#N/A,FALSE,"Monthly report";#N/A,#N/A,FALSE,"M.R. UEM";#N/A,#N/A,FALSE,"M.R. VCM"}</definedName>
    <definedName name="Avance2" localSheetId="7" hidden="1">{#N/A,#N/A,FALSE,"Monthly report";#N/A,#N/A,FALSE,"M.R. UEM";#N/A,#N/A,FALSE,"M.R. VCM"}</definedName>
    <definedName name="Avance2" localSheetId="8" hidden="1">{#N/A,#N/A,FALSE,"Monthly report";#N/A,#N/A,FALSE,"M.R. UEM";#N/A,#N/A,FALSE,"M.R. VCM"}</definedName>
    <definedName name="Avance2" localSheetId="9" hidden="1">{#N/A,#N/A,FALSE,"Monthly report";#N/A,#N/A,FALSE,"M.R. UEM";#N/A,#N/A,FALSE,"M.R. VCM"}</definedName>
    <definedName name="Avance2" localSheetId="10" hidden="1">{#N/A,#N/A,FALSE,"Monthly report";#N/A,#N/A,FALSE,"M.R. UEM";#N/A,#N/A,FALSE,"M.R. VCM"}</definedName>
    <definedName name="Avance2" localSheetId="11" hidden="1">{#N/A,#N/A,FALSE,"Monthly report";#N/A,#N/A,FALSE,"M.R. UEM";#N/A,#N/A,FALSE,"M.R. VCM"}</definedName>
    <definedName name="Avance2" localSheetId="12" hidden="1">{#N/A,#N/A,FALSE,"Monthly report";#N/A,#N/A,FALSE,"M.R. UEM";#N/A,#N/A,FALSE,"M.R. VCM"}</definedName>
    <definedName name="Avance2" localSheetId="13" hidden="1">{#N/A,#N/A,FALSE,"Monthly report";#N/A,#N/A,FALSE,"M.R. UEM";#N/A,#N/A,FALSE,"M.R. VCM"}</definedName>
    <definedName name="Avance2" localSheetId="14" hidden="1">{#N/A,#N/A,FALSE,"Monthly report";#N/A,#N/A,FALSE,"M.R. UEM";#N/A,#N/A,FALSE,"M.R. VCM"}</definedName>
    <definedName name="Avance2" hidden="1">{#N/A,#N/A,FALSE,"Monthly report";#N/A,#N/A,FALSE,"M.R. UEM";#N/A,#N/A,FALSE,"M.R. VCM"}</definedName>
    <definedName name="AVOL">#REF!</definedName>
    <definedName name="ayudante">#REF!</definedName>
    <definedName name="ayudante4">#REF!</definedName>
    <definedName name="ayudante6">#REF!</definedName>
    <definedName name="ayudante8">#REF!</definedName>
    <definedName name="ayudr">#REF!</definedName>
    <definedName name="b">#REF!</definedName>
    <definedName name="B.1">#REF!</definedName>
    <definedName name="B.2">#N/A</definedName>
    <definedName name="b_rec_h">#REF!</definedName>
    <definedName name="b_rec_v">#REF!</definedName>
    <definedName name="BASE">#REF!</definedName>
    <definedName name="base_insumos">#REF!</definedName>
    <definedName name="BASEABELSON">#REF!</definedName>
    <definedName name="BASEINSU" localSheetId="0">L2C1:L372C15</definedName>
    <definedName name="BASEINSU" localSheetId="1">L2C1:L372C15</definedName>
    <definedName name="BASEINSU" localSheetId="2">L2C1:L372C15</definedName>
    <definedName name="BASEINSU" localSheetId="3">L2C1:L372C15</definedName>
    <definedName name="BASEINSU" localSheetId="4">L2C1:L372C15</definedName>
    <definedName name="BASEINSU" localSheetId="5">L2C1:L372C15</definedName>
    <definedName name="BASEINSU" localSheetId="6">L2C1:L372C15</definedName>
    <definedName name="BASEINSU" localSheetId="7">L2C1:L372C15</definedName>
    <definedName name="BASEINSU" localSheetId="8">L2C1:L372C15</definedName>
    <definedName name="BASEINSU" localSheetId="9">L2C1:L372C15</definedName>
    <definedName name="BASEINSU" localSheetId="10">L2C1:L372C15</definedName>
    <definedName name="BASEINSU" localSheetId="11">L2C1:L372C15</definedName>
    <definedName name="BASEINSU" localSheetId="12">L2C1:L372C15</definedName>
    <definedName name="BASEINSU" localSheetId="13">L2C1:L372C15</definedName>
    <definedName name="BASEINSU" localSheetId="14">L2C1:L372C15</definedName>
    <definedName name="BASEINSU">L2C1:L372C15</definedName>
    <definedName name="baseinsumos" localSheetId="0">L2C1:L372C15</definedName>
    <definedName name="baseinsumos" localSheetId="1">L2C1:L372C15</definedName>
    <definedName name="baseinsumos" localSheetId="2">L2C1:L372C15</definedName>
    <definedName name="baseinsumos" localSheetId="3">L2C1:L372C15</definedName>
    <definedName name="baseinsumos" localSheetId="4">L2C1:L372C15</definedName>
    <definedName name="baseinsumos" localSheetId="5">L2C1:L372C15</definedName>
    <definedName name="baseinsumos" localSheetId="6">L2C1:L372C15</definedName>
    <definedName name="baseinsumos" localSheetId="7">L2C1:L372C15</definedName>
    <definedName name="baseinsumos" localSheetId="8">L2C1:L372C15</definedName>
    <definedName name="baseinsumos" localSheetId="9">L2C1:L372C15</definedName>
    <definedName name="baseinsumos" localSheetId="10">L2C1:L372C15</definedName>
    <definedName name="baseinsumos" localSheetId="11">L2C1:L372C15</definedName>
    <definedName name="baseinsumos" localSheetId="12">L2C1:L372C15</definedName>
    <definedName name="baseinsumos" localSheetId="13">L2C1:L372C15</definedName>
    <definedName name="baseinsumos" localSheetId="14">L2C1:L372C15</definedName>
    <definedName name="baseinsumos">L2C1:L372C15</definedName>
    <definedName name="be">#REF!</definedName>
    <definedName name="Beg_Bal">#REF!</definedName>
    <definedName name="bene" localSheetId="0">#REF!</definedName>
    <definedName name="bene" localSheetId="1">#REF!</definedName>
    <definedName name="bene" localSheetId="2">#REF!</definedName>
    <definedName name="bene" localSheetId="3">#REF!</definedName>
    <definedName name="bene" localSheetId="4">#REF!</definedName>
    <definedName name="bene" localSheetId="5">#REF!</definedName>
    <definedName name="bene" localSheetId="6">#REF!</definedName>
    <definedName name="bene" localSheetId="7">#REF!</definedName>
    <definedName name="bene" localSheetId="8">#REF!</definedName>
    <definedName name="bene" localSheetId="9">#REF!</definedName>
    <definedName name="bene" localSheetId="10">#REF!</definedName>
    <definedName name="bene" localSheetId="11">#REF!</definedName>
    <definedName name="bene" localSheetId="12">#REF!</definedName>
    <definedName name="bene" localSheetId="13">#REF!</definedName>
    <definedName name="bene" localSheetId="14">#REF!</definedName>
    <definedName name="bene">#REF!</definedName>
    <definedName name="BENEFICIO">#REF!</definedName>
    <definedName name="BETA">#N/A</definedName>
    <definedName name="betar">#REF!</definedName>
    <definedName name="betar_c">#REF!</definedName>
    <definedName name="betas">#REF!</definedName>
    <definedName name="betas_c">#REF!</definedName>
    <definedName name="BETON">#REF!</definedName>
    <definedName name="bettar">#REF!</definedName>
    <definedName name="BI" localSheetId="0">L2C1:L372C15</definedName>
    <definedName name="BI" localSheetId="1">L2C1:L372C15</definedName>
    <definedName name="BI" localSheetId="2">L2C1:L372C15</definedName>
    <definedName name="BI" localSheetId="3">L2C1:L372C15</definedName>
    <definedName name="BI" localSheetId="4">L2C1:L372C15</definedName>
    <definedName name="BI" localSheetId="5">L2C1:L372C15</definedName>
    <definedName name="BI" localSheetId="6">L2C1:L372C15</definedName>
    <definedName name="BI" localSheetId="7">L2C1:L372C15</definedName>
    <definedName name="BI" localSheetId="8">L2C1:L372C15</definedName>
    <definedName name="BI" localSheetId="9">L2C1:L372C15</definedName>
    <definedName name="BI" localSheetId="10">L2C1:L372C15</definedName>
    <definedName name="BI" localSheetId="11">L2C1:L372C15</definedName>
    <definedName name="BI" localSheetId="12">L2C1:L372C15</definedName>
    <definedName name="BI" localSheetId="13">L2C1:L372C15</definedName>
    <definedName name="BI" localSheetId="14">L2C1:L372C15</definedName>
    <definedName name="BI">L2C1:L372C15</definedName>
    <definedName name="bloque20x20x40">#REF!</definedName>
    <definedName name="br">#REF!</definedName>
    <definedName name="BRAZ">#REF!</definedName>
    <definedName name="BRAZO">#REF!</definedName>
    <definedName name="bs">#REF!</definedName>
    <definedName name="BSociales">#REF!</definedName>
    <definedName name="bss">#REF!</definedName>
    <definedName name="bsss">#REF!</definedName>
    <definedName name="C_">#REF!</definedName>
    <definedName name="ca">#REF!</definedName>
    <definedName name="Caeacceso">#REF!</definedName>
    <definedName name="Caeacondct">#REF!</definedName>
    <definedName name="Caealcantarilla">#REF!</definedName>
    <definedName name="Caealcantarillareadec">#REF!</definedName>
    <definedName name="Caealteomyg">#REF!</definedName>
    <definedName name="CaeApartido">#REF!</definedName>
    <definedName name="Caeapoyos">#REF!</definedName>
    <definedName name="Caebacheo">#REF!</definedName>
    <definedName name="Caebandason">#REF!</definedName>
    <definedName name="Caebandasonreadec">#REF!</definedName>
    <definedName name="Caebanquina">#REF!</definedName>
    <definedName name="Caebaranda">#REF!</definedName>
    <definedName name="Caebarandareadec">#REF!</definedName>
    <definedName name="Caebase">#REF!</definedName>
    <definedName name="Caecabezales">#REF!</definedName>
    <definedName name="Caecalzadahorm">#REF!</definedName>
    <definedName name="Caecalzadas">#REF!</definedName>
    <definedName name="Caecarpeta">#REF!</definedName>
    <definedName name="Caecarpetariego">#REF!</definedName>
    <definedName name="CaeCCura">#REF!</definedName>
    <definedName name="Caeciclovía">#REF!</definedName>
    <definedName name="Caecolumnas">#REF!</definedName>
    <definedName name="Caecortepasto">#REF!</definedName>
    <definedName name="Caedemolicion">#REF!</definedName>
    <definedName name="Caedesembanque">#REF!</definedName>
    <definedName name="Caeescarifbanq">#REF!</definedName>
    <definedName name="Caeescarificado">#REF!</definedName>
    <definedName name="Caeestribos">#REF!</definedName>
    <definedName name="Caeexcavacion">#REF!</definedName>
    <definedName name="Caeexcavacionreadec">#REF!</definedName>
    <definedName name="Caegaviones">#REF!</definedName>
    <definedName name="Caehor">#REF!</definedName>
    <definedName name="CaehorC">#REF!</definedName>
    <definedName name="CaehorCreadec">#REF!</definedName>
    <definedName name="Caeimprimacion">#REF!</definedName>
    <definedName name="Caeimprimrefor">#REF!</definedName>
    <definedName name="Caeinvernal">#REF!</definedName>
    <definedName name="Caejunta">#REF!</definedName>
    <definedName name="Caejuntadil">#REF!</definedName>
    <definedName name="Caejuntas">#REF!</definedName>
    <definedName name="Caelimpieza">#REF!</definedName>
    <definedName name="Caelimpseñales">#REF!</definedName>
    <definedName name="Caelimptransp">#REF!</definedName>
    <definedName name="Caelosa">#REF!</definedName>
    <definedName name="Caematbase">#REF!</definedName>
    <definedName name="Caemicroaglom">#REF!</definedName>
    <definedName name="Caemicroaglomreadec">#REF!</definedName>
    <definedName name="Caepasamano">#REF!</definedName>
    <definedName name="Caeperfilado">#REF!</definedName>
    <definedName name="Caepintado">#REF!</definedName>
    <definedName name="Caepretiles">#REF!</definedName>
    <definedName name="Caeprolongacion">#REF!</definedName>
    <definedName name="Caeprolongacionreadec">#REF!</definedName>
    <definedName name="Caeproteccion">#REF!</definedName>
    <definedName name="Caereadsistdren1071">#REF!</definedName>
    <definedName name="Caerelleno">#REF!</definedName>
    <definedName name="CaeRep8026">#REF!</definedName>
    <definedName name="Caerepalc">#REF!</definedName>
    <definedName name="Caerestdrenajereadec">#REF!</definedName>
    <definedName name="Caeretderrumbe">#REF!</definedName>
    <definedName name="Caeretrecolbaranda">#REF!</definedName>
    <definedName name="CaeRHermoso">#REF!</definedName>
    <definedName name="Caeriego">#REF!</definedName>
    <definedName name="Caerotondas">#REF!</definedName>
    <definedName name="Caesandef">#REF!</definedName>
    <definedName name="Caesellado">#REF!</definedName>
    <definedName name="Caesenda">#REF!</definedName>
    <definedName name="Caeseñalamiento">#REF!</definedName>
    <definedName name="Caeseñalamientoreadec">#REF!</definedName>
    <definedName name="Caeseñalextrusion">#REF!</definedName>
    <definedName name="Caeseñalextrusionreadec">#REF!</definedName>
    <definedName name="Caeseñalizacion">#REF!</definedName>
    <definedName name="Caeseñalizacionreadec">#REF!</definedName>
    <definedName name="Caeseñalvertreadec">#REF!</definedName>
    <definedName name="Caesistdren">#REF!</definedName>
    <definedName name="Caesistdrenreadec">#REF!</definedName>
    <definedName name="Caesubbase">#REF!</definedName>
    <definedName name="Caeterraplen">#REF!</definedName>
    <definedName name="Caeterraplenreadec">#REF!</definedName>
    <definedName name="Caeterrsincomp">#REF!</definedName>
    <definedName name="Caetravesia">#REF!</definedName>
    <definedName name="Caevigas">#REF!</definedName>
    <definedName name="caga">#REF!</definedName>
    <definedName name="CalcAux">#REF!</definedName>
    <definedName name="Cálculo_de_Canales_en_Movimiento_Uniforme">#REF!</definedName>
    <definedName name="Cálculo_de_Canaleta_Parshall__A._Netto">#REF!</definedName>
    <definedName name="Cálculo_de_Canaleta_Parshall__Richter_y_A._Valencia">#REF!</definedName>
    <definedName name="Cálculo_de_f_de_Darcy_Weisbach__C_de_Williams_y_Hazen_y_n_de_Manning">#REF!</definedName>
    <definedName name="Cálculo_de_la_Potencia_de_una_Bomba.">#REF!</definedName>
    <definedName name="Cálculo_del_Gradiente_de_Velocidad">#REF!</definedName>
    <definedName name="CALCULOS">#REF!</definedName>
    <definedName name="calHidr">#REF!</definedName>
    <definedName name="CalidadAcero">#REF!</definedName>
    <definedName name="campocodigoanalisis">#REF!</definedName>
    <definedName name="CAÑERIA_DE_IMPULSION__P._LAVALLE_SAENZ_PEÑA">#REF!</definedName>
    <definedName name="Caracteres_del_Alfabeto_Griego">#REF!</definedName>
    <definedName name="CARGAS">#REF!</definedName>
    <definedName name="Cargas_Sociales">#REF!</definedName>
    <definedName name="carlosa">#REF!</definedName>
    <definedName name="carlosar">#REF!</definedName>
    <definedName name="cascada">#REF!</definedName>
    <definedName name="CAT">#REF!</definedName>
    <definedName name="CC">#REF!</definedName>
    <definedName name="cd">#REF!</definedName>
    <definedName name="cddos">#REF!</definedName>
    <definedName name="CDT">#REF!</definedName>
    <definedName name="CE0">#REF!</definedName>
    <definedName name="CE1_">#REF!</definedName>
    <definedName name="CE2_">#REF!</definedName>
    <definedName name="CE3_">#REF!</definedName>
    <definedName name="CEBE">#REF!</definedName>
    <definedName name="CECF">#REF!</definedName>
    <definedName name="CEGG">#REF!</definedName>
    <definedName name="CEIM">#REF!</definedName>
    <definedName name="ceme">#REF!</definedName>
    <definedName name="cemento">#REF!</definedName>
    <definedName name="CEMR">#REF!</definedName>
    <definedName name="CEo">#REF!</definedName>
    <definedName name="Certificado2" localSheetId="0">#REF!</definedName>
    <definedName name="Certificado2" localSheetId="1">#REF!</definedName>
    <definedName name="Certificado2" localSheetId="2">#REF!</definedName>
    <definedName name="Certificado2" localSheetId="3">#REF!</definedName>
    <definedName name="Certificado2" localSheetId="4">#REF!</definedName>
    <definedName name="Certificado2" localSheetId="5">#REF!</definedName>
    <definedName name="Certificado2" localSheetId="6">#REF!</definedName>
    <definedName name="Certificado2" localSheetId="7">#REF!</definedName>
    <definedName name="Certificado2" localSheetId="8">#REF!</definedName>
    <definedName name="Certificado2" localSheetId="9">#REF!</definedName>
    <definedName name="Certificado2" localSheetId="10">#REF!</definedName>
    <definedName name="Certificado2" localSheetId="11">#REF!</definedName>
    <definedName name="Certificado2" localSheetId="12">#REF!</definedName>
    <definedName name="Certificado2" localSheetId="13">#REF!</definedName>
    <definedName name="Certificado2" localSheetId="14">#REF!</definedName>
    <definedName name="Certificado2">#REF!</definedName>
    <definedName name="Ch.Tech">#REF!</definedName>
    <definedName name="Chapa">#REF!</definedName>
    <definedName name="CHAPEAU">#REF!</definedName>
    <definedName name="CHORRO_CAIDA_LIBRE">#REF!</definedName>
    <definedName name="ci">#REF!</definedName>
    <definedName name="CICVH">#REF!</definedName>
    <definedName name="CIEA">#REF!</definedName>
    <definedName name="CIEE">#REF!</definedName>
    <definedName name="CIEF">#REF!</definedName>
    <definedName name="CIEG">#REF!</definedName>
    <definedName name="CISTERNA_Y_E.E._EN_SAENZ_PEÑA">#REF!</definedName>
    <definedName name="clase">#REF!</definedName>
    <definedName name="Clases_Edificios">#REF!</definedName>
    <definedName name="clav">#REF!</definedName>
    <definedName name="clavos">#REF!</definedName>
    <definedName name="CM0">#REF!</definedName>
    <definedName name="CM1_">#REF!</definedName>
    <definedName name="CM3_">#REF!</definedName>
    <definedName name="CM4_">#REF!</definedName>
    <definedName name="CMA">#REF!</definedName>
    <definedName name="CMAX">#REF!</definedName>
    <definedName name="CMMO">#REF!</definedName>
    <definedName name="CMO">#REF!</definedName>
    <definedName name="CMOE">#REF!</definedName>
    <definedName name="CMP">#REF!</definedName>
    <definedName name="CMZ">#REF!</definedName>
    <definedName name="codigoanalisis">#REF!</definedName>
    <definedName name="codigoformulas">#REF!</definedName>
    <definedName name="codigoinsumos">#REF!</definedName>
    <definedName name="codigoitems">#REF!</definedName>
    <definedName name="codigomat">#REF!</definedName>
    <definedName name="CodigoParametrico">#REF!</definedName>
    <definedName name="coef" localSheetId="0">#REF!</definedName>
    <definedName name="coef" localSheetId="1">#REF!</definedName>
    <definedName name="coef" localSheetId="2">#REF!</definedName>
    <definedName name="coef" localSheetId="3">#REF!</definedName>
    <definedName name="coef" localSheetId="4">#REF!</definedName>
    <definedName name="coef" localSheetId="5">#REF!</definedName>
    <definedName name="coef" localSheetId="6">#REF!</definedName>
    <definedName name="coef" localSheetId="7">#REF!</definedName>
    <definedName name="coef" localSheetId="8">#REF!</definedName>
    <definedName name="coef" localSheetId="9">#REF!</definedName>
    <definedName name="coef" localSheetId="10">#REF!</definedName>
    <definedName name="coef" localSheetId="11">#REF!</definedName>
    <definedName name="coef" localSheetId="12">#REF!</definedName>
    <definedName name="coef" localSheetId="13">#REF!</definedName>
    <definedName name="coef" localSheetId="14">#REF!</definedName>
    <definedName name="coef">#REF!</definedName>
    <definedName name="Coef_GG_B_I">#REF!</definedName>
    <definedName name="columna">#REF!</definedName>
    <definedName name="COLUMNAS">#REF!</definedName>
    <definedName name="Comb">#REF!</definedName>
    <definedName name="Combinaciones_cargas">#REF!</definedName>
    <definedName name="COMPANIA">#REF!</definedName>
    <definedName name="COMPUTO">#REF!</definedName>
    <definedName name="COMPUTOS">#REF!</definedName>
    <definedName name="Constante_de_los_Gases">#REF!</definedName>
    <definedName name="constantes">#REF!</definedName>
    <definedName name="Consumo">#REF!</definedName>
    <definedName name="Contribucion_Patronal_s_Decreto_2641">#REF!</definedName>
    <definedName name="copete">#REF!</definedName>
    <definedName name="COPIA">#REF!</definedName>
    <definedName name="Correa">#REF!</definedName>
    <definedName name="COSTO">#N/A</definedName>
    <definedName name="COSTO_DIRECTO">#REF!</definedName>
    <definedName name="COSTO_INDIRECTO">#REF!</definedName>
    <definedName name="CostoEquipos">#REF!</definedName>
    <definedName name="coti3">#REF!</definedName>
    <definedName name="coti4">#REF!</definedName>
    <definedName name="Cotizador_automatico_del_pedido.">#REF!</definedName>
    <definedName name="cotizador2">#REF!</definedName>
    <definedName name="CreditoFiscal">#REF!</definedName>
    <definedName name="_xlnm.Criteria">#REF!</definedName>
    <definedName name="Crracceso">#REF!</definedName>
    <definedName name="Crracondct">#REF!</definedName>
    <definedName name="Crralcantarilla">#REF!</definedName>
    <definedName name="Crralcantarillareadec">#REF!</definedName>
    <definedName name="Crralteomyg">#REF!</definedName>
    <definedName name="CrrApartido">#REF!</definedName>
    <definedName name="Crrapoyos">#REF!</definedName>
    <definedName name="Crrbacheo">#REF!</definedName>
    <definedName name="Crrbandason">#REF!</definedName>
    <definedName name="Crrbandasonreadec">#REF!</definedName>
    <definedName name="Crrbanquina">#REF!</definedName>
    <definedName name="Crrbaranda">#REF!</definedName>
    <definedName name="Crrbarandareadec">#REF!</definedName>
    <definedName name="Crrbase">#REF!</definedName>
    <definedName name="Crrcabezales">#REF!</definedName>
    <definedName name="Crrcalzadahorm">#REF!</definedName>
    <definedName name="Crrcalzadas">#REF!</definedName>
    <definedName name="Crrcarpeta">#REF!</definedName>
    <definedName name="Crrcarpetariego">#REF!</definedName>
    <definedName name="CrrCCura">#REF!</definedName>
    <definedName name="Crrciclovía">#REF!</definedName>
    <definedName name="Crrcolumnas">#REF!</definedName>
    <definedName name="crrcortepasto">#REF!</definedName>
    <definedName name="Crrdemolicion">#REF!</definedName>
    <definedName name="crrdesembanque">#REF!</definedName>
    <definedName name="Crrescarifbanq">#REF!</definedName>
    <definedName name="Crrescarificado">#REF!</definedName>
    <definedName name="Crrestribos">#REF!</definedName>
    <definedName name="Crrexcavacion">#REF!</definedName>
    <definedName name="Crrexcavacionreadec">#REF!</definedName>
    <definedName name="Crrgaviones">#REF!</definedName>
    <definedName name="Crrhor">#REF!</definedName>
    <definedName name="CrrhorC">#REF!</definedName>
    <definedName name="CrrhorCreadec">#REF!</definedName>
    <definedName name="Crrimprimacion">#REF!</definedName>
    <definedName name="Crrimprimrefor">#REF!</definedName>
    <definedName name="Crrinvernal">#REF!</definedName>
    <definedName name="Crrjunta">#REF!</definedName>
    <definedName name="Crrjuntadil">#REF!</definedName>
    <definedName name="Crrjuntas">#REF!</definedName>
    <definedName name="Crrlimpieza">#REF!</definedName>
    <definedName name="Crrlimpseñales">#REF!</definedName>
    <definedName name="Crrlimptransp">#REF!</definedName>
    <definedName name="Crrlosa">#REF!</definedName>
    <definedName name="Crrmatbase">#REF!</definedName>
    <definedName name="Crrmicroaglom">#REF!</definedName>
    <definedName name="Crrmicroaglomreadec">#REF!</definedName>
    <definedName name="Crrmontaje">#REF!</definedName>
    <definedName name="Crrpasamano">#REF!</definedName>
    <definedName name="Crrperfilado">#REF!</definedName>
    <definedName name="Crrpilotes">#REF!</definedName>
    <definedName name="Crrpintado">#REF!</definedName>
    <definedName name="Crrpretiles">#REF!</definedName>
    <definedName name="Crrprolongacion">#REF!</definedName>
    <definedName name="Crrprolongacionreadec">#REF!</definedName>
    <definedName name="Crrproteccion">#REF!</definedName>
    <definedName name="Crrreadsistdren1071">#REF!</definedName>
    <definedName name="Crrrelleno">#REF!</definedName>
    <definedName name="Crrrep8026">#REF!</definedName>
    <definedName name="Crrrepalc">#REF!</definedName>
    <definedName name="Crrrestdrenajereadec">#REF!</definedName>
    <definedName name="Crrretderrumbe">#REF!</definedName>
    <definedName name="Crrretrecolbaranda">#REF!</definedName>
    <definedName name="CrrRHermoso">#REF!</definedName>
    <definedName name="Crrriego">#REF!</definedName>
    <definedName name="Crrrotondas">#REF!</definedName>
    <definedName name="Crrsandef">#REF!</definedName>
    <definedName name="Crrsellado">#REF!</definedName>
    <definedName name="Crrsenda">#REF!</definedName>
    <definedName name="Crrseñalamientoreadec">#REF!</definedName>
    <definedName name="Crrseñalextrusion">#REF!</definedName>
    <definedName name="Crrseñalextrusionreadec">#REF!</definedName>
    <definedName name="Crrseñalizacion">#REF!</definedName>
    <definedName name="Crrseñalizacionreadec">#REF!</definedName>
    <definedName name="Crrseñalvertreadec">#REF!</definedName>
    <definedName name="Crrsistdren">#REF!</definedName>
    <definedName name="Crrsistdrenreadec">#REF!</definedName>
    <definedName name="Crrsubbase">#REF!</definedName>
    <definedName name="Crrterraplen">#REF!</definedName>
    <definedName name="Crrterraplenreadec">#REF!</definedName>
    <definedName name="Crrterrsincomp">#REF!</definedName>
    <definedName name="Crrtravesia">#REF!</definedName>
    <definedName name="Crrvigas">#REF!</definedName>
    <definedName name="Cuad.">#REF!</definedName>
    <definedName name="CUANT">#N/A</definedName>
    <definedName name="cub">#REF!</definedName>
    <definedName name="cucu">#REF!</definedName>
    <definedName name="Cus">#REF!</definedName>
    <definedName name="d" localSheetId="0">#REF!</definedName>
    <definedName name="d" localSheetId="1">#REF!</definedName>
    <definedName name="d" localSheetId="2">#REF!</definedName>
    <definedName name="d" localSheetId="3">#REF!</definedName>
    <definedName name="d" localSheetId="4">#REF!</definedName>
    <definedName name="d" localSheetId="5">#REF!</definedName>
    <definedName name="d" localSheetId="6">#REF!</definedName>
    <definedName name="d" localSheetId="7">#REF!</definedName>
    <definedName name="d" localSheetId="8">#REF!</definedName>
    <definedName name="d" localSheetId="9">#REF!</definedName>
    <definedName name="d" localSheetId="10">#REF!</definedName>
    <definedName name="d" localSheetId="11">#REF!</definedName>
    <definedName name="d" localSheetId="12">#REF!</definedName>
    <definedName name="d" localSheetId="13">#REF!</definedName>
    <definedName name="d" localSheetId="14">#REF!</definedName>
    <definedName name="d">#REF!</definedName>
    <definedName name="d.10">#REF!</definedName>
    <definedName name="d.12">#REF!</definedName>
    <definedName name="d.16">#REF!</definedName>
    <definedName name="d.20">#REF!</definedName>
    <definedName name="d.25">#REF!</definedName>
    <definedName name="d.6">#REF!</definedName>
    <definedName name="d.8">#REF!</definedName>
    <definedName name="Data">#REF!</definedName>
    <definedName name="_xlnm.Database">#REF!</definedName>
    <definedName name="DATOS">#REF!</definedName>
    <definedName name="DCC">#REF!</definedName>
    <definedName name="ddlim">#REF!</definedName>
    <definedName name="decimal" localSheetId="0" hidden="1">{"DECIMAL",#N/A,FALSE,"02"}</definedName>
    <definedName name="decimal" localSheetId="1" hidden="1">{"DECIMAL",#N/A,FALSE,"02"}</definedName>
    <definedName name="decimal" localSheetId="2" hidden="1">{"DECIMAL",#N/A,FALSE,"02"}</definedName>
    <definedName name="decimal" localSheetId="3" hidden="1">{"DECIMAL",#N/A,FALSE,"02"}</definedName>
    <definedName name="decimal" localSheetId="4" hidden="1">{"DECIMAL",#N/A,FALSE,"02"}</definedName>
    <definedName name="decimal" localSheetId="5" hidden="1">{"DECIMAL",#N/A,FALSE,"02"}</definedName>
    <definedName name="decimal" localSheetId="6" hidden="1">{"DECIMAL",#N/A,FALSE,"02"}</definedName>
    <definedName name="decimal" localSheetId="7" hidden="1">{"DECIMAL",#N/A,FALSE,"02"}</definedName>
    <definedName name="decimal" localSheetId="8" hidden="1">{"DECIMAL",#N/A,FALSE,"02"}</definedName>
    <definedName name="decimal" localSheetId="9" hidden="1">{"DECIMAL",#N/A,FALSE,"02"}</definedName>
    <definedName name="decimal" localSheetId="10" hidden="1">{"DECIMAL",#N/A,FALSE,"02"}</definedName>
    <definedName name="decimal" localSheetId="11" hidden="1">{"DECIMAL",#N/A,FALSE,"02"}</definedName>
    <definedName name="decimal" localSheetId="12" hidden="1">{"DECIMAL",#N/A,FALSE,"02"}</definedName>
    <definedName name="decimal" localSheetId="13" hidden="1">{"DECIMAL",#N/A,FALSE,"02"}</definedName>
    <definedName name="decimal" localSheetId="14" hidden="1">{"DECIMAL",#N/A,FALSE,"02"}</definedName>
    <definedName name="decimal" hidden="1">{"DECIMAL",#N/A,FALSE,"02"}</definedName>
    <definedName name="Decreto_2641_02">#REF!</definedName>
    <definedName name="DEESP">#REF!</definedName>
    <definedName name="DELTA">#N/A</definedName>
    <definedName name="DenominacionAcero">#REF!</definedName>
    <definedName name="DenominacioPerfiles">#REF!</definedName>
    <definedName name="Descuentos">#REF!</definedName>
    <definedName name="Descuentos2">#REF!</definedName>
    <definedName name="Desperdicio_Armadura">#REF!</definedName>
    <definedName name="Destino_Edificio">#REF!</definedName>
    <definedName name="Detalle" localSheetId="0" hidden="1">{"NORMAL",#N/A,FALSE,"02"}</definedName>
    <definedName name="Detalle" localSheetId="1" hidden="1">{"NORMAL",#N/A,FALSE,"02"}</definedName>
    <definedName name="Detalle" localSheetId="2" hidden="1">{"NORMAL",#N/A,FALSE,"02"}</definedName>
    <definedName name="Detalle" localSheetId="3" hidden="1">{"NORMAL",#N/A,FALSE,"02"}</definedName>
    <definedName name="Detalle" localSheetId="4" hidden="1">{"NORMAL",#N/A,FALSE,"02"}</definedName>
    <definedName name="Detalle" localSheetId="5" hidden="1">{"NORMAL",#N/A,FALSE,"02"}</definedName>
    <definedName name="Detalle" localSheetId="6" hidden="1">{"NORMAL",#N/A,FALSE,"02"}</definedName>
    <definedName name="Detalle" localSheetId="7" hidden="1">{"NORMAL",#N/A,FALSE,"02"}</definedName>
    <definedName name="Detalle" localSheetId="8" hidden="1">{"NORMAL",#N/A,FALSE,"02"}</definedName>
    <definedName name="Detalle" localSheetId="9" hidden="1">{"NORMAL",#N/A,FALSE,"02"}</definedName>
    <definedName name="Detalle" localSheetId="10" hidden="1">{"NORMAL",#N/A,FALSE,"02"}</definedName>
    <definedName name="Detalle" localSheetId="11" hidden="1">{"NORMAL",#N/A,FALSE,"02"}</definedName>
    <definedName name="Detalle" localSheetId="12" hidden="1">{"NORMAL",#N/A,FALSE,"02"}</definedName>
    <definedName name="Detalle" localSheetId="13" hidden="1">{"NORMAL",#N/A,FALSE,"02"}</definedName>
    <definedName name="Detalle" localSheetId="14" hidden="1">{"NORMAL",#N/A,FALSE,"02"}</definedName>
    <definedName name="Detalle" hidden="1">{"NORMAL",#N/A,FALSE,"02"}</definedName>
    <definedName name="dF">#REF!</definedName>
    <definedName name="dfgsgsg">#REF!</definedName>
    <definedName name="DHDAM">#REF!</definedName>
    <definedName name="DHDD">#REF!</definedName>
    <definedName name="DHDDA">#REF!</definedName>
    <definedName name="DHDDB">#REF!</definedName>
    <definedName name="DHDDE">#REF!</definedName>
    <definedName name="DHDEM">#REF!</definedName>
    <definedName name="DHDPO">#REF!</definedName>
    <definedName name="DHMPO">#REF!</definedName>
    <definedName name="DIAMETROS">#REF!</definedName>
    <definedName name="Diámetros_y_Espesores_de_P.V.C.">#REF!</definedName>
    <definedName name="Dias_Enfermedad">#REF!</definedName>
    <definedName name="Diesel">#REF!</definedName>
    <definedName name="dil">#REF!</definedName>
    <definedName name="DINTS">#REF!</definedName>
    <definedName name="dlim">#REF!</definedName>
    <definedName name="DMPGR">#REF!</definedName>
    <definedName name="DMPGRAM">#REF!</definedName>
    <definedName name="docum">#REF!</definedName>
    <definedName name="DOLAR">#REF!</definedName>
    <definedName name="Dólar">#REF!</definedName>
    <definedName name="Dollar">#REF!</definedName>
    <definedName name="DR">#REF!</definedName>
    <definedName name="DRdos">#REF!</definedName>
    <definedName name="DReq">#REF!</definedName>
    <definedName name="DReqdos">#REF!</definedName>
    <definedName name="DRuno">#REF!</definedName>
    <definedName name="drwtr">#REF!</definedName>
    <definedName name="DTHBMPG">#REF!</definedName>
    <definedName name="DTHDABM">#REF!</definedName>
    <definedName name="DTHDAPM">#REF!</definedName>
    <definedName name="DTHDBPM">#REF!</definedName>
    <definedName name="DTHPDCO">#REF!</definedName>
    <definedName name="DTHPDDA">#REF!</definedName>
    <definedName name="DTHPDDB">#REF!</definedName>
    <definedName name="DTHPGCO">#REF!</definedName>
    <definedName name="DTHPMBM">#REF!</definedName>
    <definedName name="DVDD">#REF!</definedName>
    <definedName name="DVDEM">#REF!</definedName>
    <definedName name="DVEM">#REF!</definedName>
    <definedName name="E">#N/A</definedName>
    <definedName name="EASP">#REF!</definedName>
    <definedName name="Ee">#REF!</definedName>
    <definedName name="Ef">#REF!</definedName>
    <definedName name="Ei">#REF!</definedName>
    <definedName name="EINC">#REF!</definedName>
    <definedName name="Eléctrica">#REF!</definedName>
    <definedName name="Em">#REF!</definedName>
    <definedName name="EMSP">#REF!</definedName>
    <definedName name="EncabezadoAnalisis">#REF!</definedName>
    <definedName name="End_Bal">#REF!</definedName>
    <definedName name="ENERGIA">#REF!</definedName>
    <definedName name="ENREUTAB">#REF!</definedName>
    <definedName name="ENREUTIR">#REF!</definedName>
    <definedName name="Eo">#REF!</definedName>
    <definedName name="eq">#REF!</definedName>
    <definedName name="eqimp">#REF!</definedName>
    <definedName name="eqnac">#REF!</definedName>
    <definedName name="EQS">#REF!</definedName>
    <definedName name="equipo">#REF!</definedName>
    <definedName name="EQUIPOS">#REF!</definedName>
    <definedName name="ES">#REF!</definedName>
    <definedName name="escala">#REF!</definedName>
    <definedName name="Escenarios">#REF!</definedName>
    <definedName name="espera_del_pago">#REF!</definedName>
    <definedName name="Et">#REF!</definedName>
    <definedName name="etapaII">#REF!</definedName>
    <definedName name="etapaIII">#REF!</definedName>
    <definedName name="EX">#N/A</definedName>
    <definedName name="EXAP">#REF!</definedName>
    <definedName name="EXAPI">#REF!</definedName>
    <definedName name="EXAS">#REF!</definedName>
    <definedName name="EXAZ">#REF!</definedName>
    <definedName name="EXBE">#REF!</definedName>
    <definedName name="EXCD">#REF!</definedName>
    <definedName name="EXCM">#REF!</definedName>
    <definedName name="EXCT">#REF!</definedName>
    <definedName name="EXESP">#REF!</definedName>
    <definedName name="EXLP">#REF!</definedName>
    <definedName name="EXLS">#REF!</definedName>
    <definedName name="EXNC">#REF!</definedName>
    <definedName name="EXNP">#REF!</definedName>
    <definedName name="EXPOSICION">#REF!</definedName>
    <definedName name="EXPZ">#REF!</definedName>
    <definedName name="EXSP">#REF!</definedName>
    <definedName name="Extra_Pay">#REF!</definedName>
    <definedName name="EY">#N/A</definedName>
    <definedName name="FASES">#N/A</definedName>
    <definedName name="FCT">#REF!</definedName>
    <definedName name="Fe">#REF!</definedName>
    <definedName name="Fecha">#REF!</definedName>
    <definedName name="FF">#REF!</definedName>
    <definedName name="ffdfsd">#REF!</definedName>
    <definedName name="fi">#REF!</definedName>
    <definedName name="fin">#REF!</definedName>
    <definedName name="finor">#REF!</definedName>
    <definedName name="FL">#REF!</definedName>
    <definedName name="FLECHA">#REF!</definedName>
    <definedName name="Flete">#REF!</definedName>
    <definedName name="FleteReal">#REF!</definedName>
    <definedName name="flex">#REF!</definedName>
    <definedName name="flexposte">#REF!</definedName>
    <definedName name="fo">#REF!</definedName>
    <definedName name="Fondo_Desempleo">#REF!</definedName>
    <definedName name="formula_analisis">#REF!</definedName>
    <definedName name="formula_formula">#REF!</definedName>
    <definedName name="Fórmula_General_para_Determinación_de_f">#REF!</definedName>
    <definedName name="formula_insumo">#REF!</definedName>
    <definedName name="formula_presupuesto">#REF!</definedName>
    <definedName name="formula_rubro">#REF!</definedName>
    <definedName name="formulapatron">#REF!</definedName>
    <definedName name="formulas">#REF!</definedName>
    <definedName name="formulasenlace">#REF!</definedName>
    <definedName name="FP">#REF!</definedName>
    <definedName name="FP_">#REF!</definedName>
    <definedName name="FP__">#REF!</definedName>
    <definedName name="frame0">#REF!</definedName>
    <definedName name="frameF">#REF!</definedName>
    <definedName name="framevs">#REF!</definedName>
    <definedName name="FT">#REF!</definedName>
    <definedName name="fu">#REF!</definedName>
    <definedName name="Full_Print">#REF!</definedName>
    <definedName name="FX_">#REF!</definedName>
    <definedName name="FY">#REF!</definedName>
    <definedName name="g">#REF!</definedName>
    <definedName name="G0">#REF!</definedName>
    <definedName name="gama">#REF!</definedName>
    <definedName name="gamma">#REF!</definedName>
    <definedName name="gamma_c">#REF!</definedName>
    <definedName name="GAMMAH">#REF!</definedName>
    <definedName name="GAMMAH_">#REF!</definedName>
    <definedName name="GAMMAHC">#N/A</definedName>
    <definedName name="GAMMAT">#N/A</definedName>
    <definedName name="GAMMAT_">#N/A</definedName>
    <definedName name="GAMMATC">#N/A</definedName>
    <definedName name="Garantia">#REF!</definedName>
    <definedName name="GASOIL">#REF!</definedName>
    <definedName name="gaviones">#REF!</definedName>
    <definedName name="gavr">#REF!</definedName>
    <definedName name="gc">#REF!</definedName>
    <definedName name="GE">#REF!</definedName>
    <definedName name="gel">#REF!</definedName>
    <definedName name="geot">#REF!</definedName>
    <definedName name="gfgfgf">#REF!</definedName>
    <definedName name="GFINANCIEROS">#REF!</definedName>
    <definedName name="GGDirecto">#REF!</definedName>
    <definedName name="GGENERALES">#REF!</definedName>
    <definedName name="GGIndirecto">#REF!</definedName>
    <definedName name="Gh">#REF!</definedName>
    <definedName name="GImpositivos">#REF!</definedName>
    <definedName name="GLDP">#REF!</definedName>
    <definedName name="go">#REF!</definedName>
    <definedName name="Gradiente_En__Canales">#REF!</definedName>
    <definedName name="Gradiente_En__Canales_Circulares_a_Sección_Llena">#REF!</definedName>
    <definedName name="Gradiente_En__Orificio_de_Fondo">#REF!</definedName>
    <definedName name="Gradiente_En__Tuberías_en_Presión">#REF!</definedName>
    <definedName name="Gradiente_En_Canaleta_Parshal">#REF!</definedName>
    <definedName name="Gradiente_En_Curva_en_Canales">#REF!</definedName>
    <definedName name="Gradiente_En_Curva_en_Cañerías">#REF!</definedName>
    <definedName name="Gradiente_En_Dispersor_Hidráulico">#REF!</definedName>
    <definedName name="Gradiente_En_Floculador_Hidráulico">#REF!</definedName>
    <definedName name="Gradiente_En_Floculador_Mecánico">#REF!</definedName>
    <definedName name="Gradiente_En_Placa_Orificio">#REF!</definedName>
    <definedName name="Gradiente_En_Vertedero_de_Umbral_Horizontal">#REF!</definedName>
    <definedName name="graf" localSheetId="0" hidden="1">{#N/A,#N/A,TRUE,"Cert.Global";#N/A,#N/A,TRUE,"Cert. M&amp;C";#N/A,#N/A,TRUE,"Cert. Engineering";#N/A,#N/A,TRUE,"Cert. Procurement ";#N/A,#N/A,TRUE,"Cert. Constr. Manag."}</definedName>
    <definedName name="graf" localSheetId="1" hidden="1">{#N/A,#N/A,TRUE,"Cert.Global";#N/A,#N/A,TRUE,"Cert. M&amp;C";#N/A,#N/A,TRUE,"Cert. Engineering";#N/A,#N/A,TRUE,"Cert. Procurement ";#N/A,#N/A,TRUE,"Cert. Constr. Manag."}</definedName>
    <definedName name="graf" localSheetId="2" hidden="1">{#N/A,#N/A,TRUE,"Cert.Global";#N/A,#N/A,TRUE,"Cert. M&amp;C";#N/A,#N/A,TRUE,"Cert. Engineering";#N/A,#N/A,TRUE,"Cert. Procurement ";#N/A,#N/A,TRUE,"Cert. Constr. Manag."}</definedName>
    <definedName name="graf" localSheetId="3" hidden="1">{#N/A,#N/A,TRUE,"Cert.Global";#N/A,#N/A,TRUE,"Cert. M&amp;C";#N/A,#N/A,TRUE,"Cert. Engineering";#N/A,#N/A,TRUE,"Cert. Procurement ";#N/A,#N/A,TRUE,"Cert. Constr. Manag."}</definedName>
    <definedName name="graf" localSheetId="4" hidden="1">{#N/A,#N/A,TRUE,"Cert.Global";#N/A,#N/A,TRUE,"Cert. M&amp;C";#N/A,#N/A,TRUE,"Cert. Engineering";#N/A,#N/A,TRUE,"Cert. Procurement ";#N/A,#N/A,TRUE,"Cert. Constr. Manag."}</definedName>
    <definedName name="graf" localSheetId="5" hidden="1">{#N/A,#N/A,TRUE,"Cert.Global";#N/A,#N/A,TRUE,"Cert. M&amp;C";#N/A,#N/A,TRUE,"Cert. Engineering";#N/A,#N/A,TRUE,"Cert. Procurement ";#N/A,#N/A,TRUE,"Cert. Constr. Manag."}</definedName>
    <definedName name="graf" localSheetId="6" hidden="1">{#N/A,#N/A,TRUE,"Cert.Global";#N/A,#N/A,TRUE,"Cert. M&amp;C";#N/A,#N/A,TRUE,"Cert. Engineering";#N/A,#N/A,TRUE,"Cert. Procurement ";#N/A,#N/A,TRUE,"Cert. Constr. Manag."}</definedName>
    <definedName name="graf" localSheetId="7" hidden="1">{#N/A,#N/A,TRUE,"Cert.Global";#N/A,#N/A,TRUE,"Cert. M&amp;C";#N/A,#N/A,TRUE,"Cert. Engineering";#N/A,#N/A,TRUE,"Cert. Procurement ";#N/A,#N/A,TRUE,"Cert. Constr. Manag."}</definedName>
    <definedName name="graf" localSheetId="8" hidden="1">{#N/A,#N/A,TRUE,"Cert.Global";#N/A,#N/A,TRUE,"Cert. M&amp;C";#N/A,#N/A,TRUE,"Cert. Engineering";#N/A,#N/A,TRUE,"Cert. Procurement ";#N/A,#N/A,TRUE,"Cert. Constr. Manag."}</definedName>
    <definedName name="graf" localSheetId="9" hidden="1">{#N/A,#N/A,TRUE,"Cert.Global";#N/A,#N/A,TRUE,"Cert. M&amp;C";#N/A,#N/A,TRUE,"Cert. Engineering";#N/A,#N/A,TRUE,"Cert. Procurement ";#N/A,#N/A,TRUE,"Cert. Constr. Manag."}</definedName>
    <definedName name="graf" localSheetId="10" hidden="1">{#N/A,#N/A,TRUE,"Cert.Global";#N/A,#N/A,TRUE,"Cert. M&amp;C";#N/A,#N/A,TRUE,"Cert. Engineering";#N/A,#N/A,TRUE,"Cert. Procurement ";#N/A,#N/A,TRUE,"Cert. Constr. Manag."}</definedName>
    <definedName name="graf" localSheetId="11" hidden="1">{#N/A,#N/A,TRUE,"Cert.Global";#N/A,#N/A,TRUE,"Cert. M&amp;C";#N/A,#N/A,TRUE,"Cert. Engineering";#N/A,#N/A,TRUE,"Cert. Procurement ";#N/A,#N/A,TRUE,"Cert. Constr. Manag."}</definedName>
    <definedName name="graf" localSheetId="12" hidden="1">{#N/A,#N/A,TRUE,"Cert.Global";#N/A,#N/A,TRUE,"Cert. M&amp;C";#N/A,#N/A,TRUE,"Cert. Engineering";#N/A,#N/A,TRUE,"Cert. Procurement ";#N/A,#N/A,TRUE,"Cert. Constr. Manag."}</definedName>
    <definedName name="graf" localSheetId="13" hidden="1">{#N/A,#N/A,TRUE,"Cert.Global";#N/A,#N/A,TRUE,"Cert. M&amp;C";#N/A,#N/A,TRUE,"Cert. Engineering";#N/A,#N/A,TRUE,"Cert. Procurement ";#N/A,#N/A,TRUE,"Cert. Constr. Manag."}</definedName>
    <definedName name="graf" localSheetId="14" hidden="1">{#N/A,#N/A,TRUE,"Cert.Global";#N/A,#N/A,TRUE,"Cert. M&amp;C";#N/A,#N/A,TRUE,"Cert. Engineering";#N/A,#N/A,TRUE,"Cert. Procurement ";#N/A,#N/A,TRUE,"Cert. Constr. Manag."}</definedName>
    <definedName name="graf" hidden="1">{#N/A,#N/A,TRUE,"Cert.Global";#N/A,#N/A,TRUE,"Cert. M&amp;C";#N/A,#N/A,TRUE,"Cert. Engineering";#N/A,#N/A,TRUE,"Cert. Procurement ";#N/A,#N/A,TRUE,"Cert. Constr. Manag."}</definedName>
    <definedName name="grr">#REF!</definedName>
    <definedName name="GRUPOS">#REF!</definedName>
    <definedName name="guarderia" localSheetId="0">#REF!</definedName>
    <definedName name="guarderia" localSheetId="1">#REF!</definedName>
    <definedName name="guarderia" localSheetId="2">#REF!</definedName>
    <definedName name="guarderia" localSheetId="3">#REF!</definedName>
    <definedName name="guarderia" localSheetId="4">#REF!</definedName>
    <definedName name="guarderia" localSheetId="5">#REF!</definedName>
    <definedName name="guarderia" localSheetId="6">#REF!</definedName>
    <definedName name="guarderia" localSheetId="7">#REF!</definedName>
    <definedName name="guarderia" localSheetId="8">#REF!</definedName>
    <definedName name="guarderia" localSheetId="9">#REF!</definedName>
    <definedName name="guarderia" localSheetId="10">#REF!</definedName>
    <definedName name="guarderia" localSheetId="11">#REF!</definedName>
    <definedName name="guarderia" localSheetId="12">#REF!</definedName>
    <definedName name="guarderia" localSheetId="13">#REF!</definedName>
    <definedName name="guarderia" localSheetId="14">#REF!</definedName>
    <definedName name="guarderia">#REF!</definedName>
    <definedName name="H">#REF!</definedName>
    <definedName name="H.Cuad.">#REF!</definedName>
    <definedName name="H.Red.">#REF!</definedName>
    <definedName name="Ha">#REF!</definedName>
    <definedName name="HAADB">#REF!</definedName>
    <definedName name="HAADC">#REF!</definedName>
    <definedName name="HAADE">#REF!</definedName>
    <definedName name="HAADL">#REF!</definedName>
    <definedName name="HAADT">#REF!</definedName>
    <definedName name="HAADV">#REF!</definedName>
    <definedName name="HAAP">#REF!</definedName>
    <definedName name="HAAT">#REF!</definedName>
    <definedName name="HAAV">#REF!</definedName>
    <definedName name="HACAB">#REF!</definedName>
    <definedName name="HACABCP">#REF!</definedName>
    <definedName name="HACABE">#REF!</definedName>
    <definedName name="HACABEE">#REF!</definedName>
    <definedName name="HACABLA">#REF!</definedName>
    <definedName name="HACABLB">#REF!</definedName>
    <definedName name="HACAC">#REF!</definedName>
    <definedName name="HACACT">#REF!</definedName>
    <definedName name="HACAE">#REF!</definedName>
    <definedName name="HACAL">#REF!</definedName>
    <definedName name="HACALF">#REF!</definedName>
    <definedName name="HACAP">#REF!</definedName>
    <definedName name="HACAT">#REF!</definedName>
    <definedName name="HACATS">#REF!</definedName>
    <definedName name="HACAV">#REF!</definedName>
    <definedName name="HACAVF">#REF!</definedName>
    <definedName name="HACHE">#N/A</definedName>
    <definedName name="HACLB">#REF!</definedName>
    <definedName name="HACLD">#REF!</definedName>
    <definedName name="HACTLB">#REF!</definedName>
    <definedName name="HACTLD">#REF!</definedName>
    <definedName name="HAEL">#REF!</definedName>
    <definedName name="HAEMPSA">#REF!</definedName>
    <definedName name="HAEMZA">#REF!</definedName>
    <definedName name="HAET">#REF!</definedName>
    <definedName name="HAETBCP">#REF!</definedName>
    <definedName name="HAETS">#REF!</definedName>
    <definedName name="HAEV">#REF!</definedName>
    <definedName name="HAMH">#REF!</definedName>
    <definedName name="HAPC">#REF!</definedName>
    <definedName name="HAPL">#REF!</definedName>
    <definedName name="HAPV">#REF!</definedName>
    <definedName name="HAREM">#REF!</definedName>
    <definedName name="HARHE">#REF!</definedName>
    <definedName name="HATF">#REF!</definedName>
    <definedName name="HAVE">#REF!</definedName>
    <definedName name="HEA">#REF!</definedName>
    <definedName name="HEAA">#REF!</definedName>
    <definedName name="Header_Row">ROW(#REF!)</definedName>
    <definedName name="HEB">#REF!</definedName>
    <definedName name="HEM">#REF!</definedName>
    <definedName name="Hipotesis">#REF!</definedName>
    <definedName name="HJJ">#REF!</definedName>
    <definedName name="HOCI">#REF!</definedName>
    <definedName name="HOCP">#REF!</definedName>
    <definedName name="HOJA1">#REF!</definedName>
    <definedName name="HOJA2">#REF!</definedName>
    <definedName name="HOJA3">#REF!</definedName>
    <definedName name="HOJA4">#REF!</definedName>
    <definedName name="HOJA5">#REF!</definedName>
    <definedName name="HOJA6">#REF!</definedName>
    <definedName name="HOJA7">#REF!</definedName>
    <definedName name="HOJA8">#REF!</definedName>
    <definedName name="HORA">#N/A</definedName>
    <definedName name="Horas_Trabajadas_x_mes">#REF!</definedName>
    <definedName name="HORM">#REF!</definedName>
    <definedName name="HORMA">#REF!</definedName>
    <definedName name="HP">#REF!</definedName>
    <definedName name="HR">#REF!</definedName>
    <definedName name="Hs">#REF!</definedName>
    <definedName name="HTR">#REF!</definedName>
    <definedName name="Huno">#REF!</definedName>
    <definedName name="I.E.R.I.C.">#REF!</definedName>
    <definedName name="ifnc">#REF!</definedName>
    <definedName name="iiiiluminacion">#REF!</definedName>
    <definedName name="iipuentes">#REF!</definedName>
    <definedName name="Imdice_de_rubros">#REF!</definedName>
    <definedName name="impacto">#REF!</definedName>
    <definedName name="IMPREDIAMETRO">#REF!</definedName>
    <definedName name="IMPRESION">#REF!</definedName>
    <definedName name="IMPRIMIR">#REF!</definedName>
    <definedName name="Incap">#REF!</definedName>
    <definedName name="Inenc">#REF!</definedName>
    <definedName name="inicia">#REF!</definedName>
    <definedName name="INSSJP">#REF!</definedName>
    <definedName name="Insumos">#REF!</definedName>
    <definedName name="Insup">#REF!</definedName>
    <definedName name="Int">#REF!</definedName>
    <definedName name="INTERESES">#REF!</definedName>
    <definedName name="Interest_Rate">#REF!</definedName>
    <definedName name="Intop">#REF!</definedName>
    <definedName name="Ip">#REF!</definedName>
    <definedName name="IPE">#REF!</definedName>
    <definedName name="IPEA">#REF!</definedName>
    <definedName name="IPEO">#REF!</definedName>
    <definedName name="IPN">#REF!</definedName>
    <definedName name="it25c">#REF!</definedName>
    <definedName name="it28ac">#REF!</definedName>
    <definedName name="it28bc">#REF!</definedName>
    <definedName name="it29c">#REF!</definedName>
    <definedName name="it30c">#REF!</definedName>
    <definedName name="it31c">#REF!</definedName>
    <definedName name="it32c">#REF!</definedName>
    <definedName name="it33c">#REF!</definedName>
    <definedName name="it34c">#REF!</definedName>
    <definedName name="it35c">#REF!</definedName>
    <definedName name="it36ac">#REF!</definedName>
    <definedName name="it36bc">#REF!</definedName>
    <definedName name="it37c">#REF!</definedName>
    <definedName name="it38c">#REF!</definedName>
    <definedName name="it39c">#REF!</definedName>
    <definedName name="it3ac">#REF!</definedName>
    <definedName name="it3bc">#REF!</definedName>
    <definedName name="it3p">#REF!</definedName>
    <definedName name="it41c1mod">#REF!</definedName>
    <definedName name="it42c1mod">#REF!</definedName>
    <definedName name="it4c">#REF!</definedName>
    <definedName name="it4p">#REF!</definedName>
    <definedName name="it5c">#REF!</definedName>
    <definedName name="it5p">#REF!</definedName>
    <definedName name="it6p">#REF!</definedName>
    <definedName name="it7ac">#REF!</definedName>
    <definedName name="it7bc">#REF!</definedName>
    <definedName name="it7cc">#REF!</definedName>
    <definedName name="it8c">#REF!</definedName>
    <definedName name="it9p">#REF!</definedName>
    <definedName name="Item_Ana">#REF!</definedName>
    <definedName name="item1">#REF!</definedName>
    <definedName name="ITEM30">#REF!</definedName>
    <definedName name="items">#REF!</definedName>
    <definedName name="IVA">#REF!</definedName>
    <definedName name="jj_indice_de_materiales">#REF!</definedName>
    <definedName name="JOINT">#REF!</definedName>
    <definedName name="JOINT0">#REF!</definedName>
    <definedName name="joint10">#REF!</definedName>
    <definedName name="joint2">#REF!</definedName>
    <definedName name="joint6">#REF!</definedName>
    <definedName name="jointI">#REF!</definedName>
    <definedName name="JOR">#REF!</definedName>
    <definedName name="JORNADA">#REF!</definedName>
    <definedName name="JORNADA1">#REF!</definedName>
    <definedName name="Jornal_Basico_Ayudante">#REF!</definedName>
    <definedName name="Jornal_Basico_Oficial">#REF!</definedName>
    <definedName name="Jornal_Basico_Oficial_Especializado">#REF!</definedName>
    <definedName name="JP">#REF!</definedName>
    <definedName name="JT">#REF!</definedName>
    <definedName name="JUBI">#REF!</definedName>
    <definedName name="K" localSheetId="0">#REF!</definedName>
    <definedName name="K" localSheetId="1">#REF!</definedName>
    <definedName name="K" localSheetId="2">#REF!</definedName>
    <definedName name="K" localSheetId="3">#REF!</definedName>
    <definedName name="K" localSheetId="4">#REF!</definedName>
    <definedName name="K" localSheetId="5">#REF!</definedName>
    <definedName name="K" localSheetId="6">#REF!</definedName>
    <definedName name="K" localSheetId="7">#REF!</definedName>
    <definedName name="K" localSheetId="8">#REF!</definedName>
    <definedName name="K" localSheetId="9">#REF!</definedName>
    <definedName name="K" localSheetId="10">#REF!</definedName>
    <definedName name="K" localSheetId="11">#REF!</definedName>
    <definedName name="K" localSheetId="12">#REF!</definedName>
    <definedName name="K" localSheetId="13">#REF!</definedName>
    <definedName name="K" localSheetId="14">#REF!</definedName>
    <definedName name="K">#REF!</definedName>
    <definedName name="kh">#REF!</definedName>
    <definedName name="kha">#REF!</definedName>
    <definedName name="l" localSheetId="0">#REF!</definedName>
    <definedName name="l" localSheetId="1">#REF!</definedName>
    <definedName name="l" localSheetId="2">#REF!</definedName>
    <definedName name="l" localSheetId="3">#REF!</definedName>
    <definedName name="l" localSheetId="4">#REF!</definedName>
    <definedName name="l" localSheetId="5">#REF!</definedName>
    <definedName name="l" localSheetId="6">#REF!</definedName>
    <definedName name="l" localSheetId="7">#REF!</definedName>
    <definedName name="l" localSheetId="8">#REF!</definedName>
    <definedName name="l" localSheetId="9">#REF!</definedName>
    <definedName name="l" localSheetId="10">#REF!</definedName>
    <definedName name="l" localSheetId="11">#REF!</definedName>
    <definedName name="l" localSheetId="12">#REF!</definedName>
    <definedName name="l" localSheetId="13">#REF!</definedName>
    <definedName name="l" localSheetId="14">#REF!</definedName>
    <definedName name="l">#REF!</definedName>
    <definedName name="LA">#N/A</definedName>
    <definedName name="Last_Row">#N/A</definedName>
    <definedName name="LB">#N/A</definedName>
    <definedName name="LCPCB">#REF!</definedName>
    <definedName name="LCPCI06">#REF!</definedName>
    <definedName name="LCPCID12">#REF!</definedName>
    <definedName name="LCPCR">#REF!</definedName>
    <definedName name="LCPCRE">#REF!</definedName>
    <definedName name="LCPCV">#REF!</definedName>
    <definedName name="LCPPA">#REF!</definedName>
    <definedName name="LIC">#REF!</definedName>
    <definedName name="lista" hidden="1">#REF!</definedName>
    <definedName name="Listaperfiles">#REF!</definedName>
    <definedName name="ll_tabla_para_calculo_de_costos">#REF!</definedName>
    <definedName name="llll">#REF!</definedName>
    <definedName name="Lm">#REF!</definedName>
    <definedName name="Lo">#REF!</definedName>
    <definedName name="Loan_Amount">#REF!</definedName>
    <definedName name="Loan_Start">#REF!</definedName>
    <definedName name="Loan_Years">#REF!</definedName>
    <definedName name="loser">#REF!</definedName>
    <definedName name="Lubr">#REF!</definedName>
    <definedName name="Lubricantes">#REF!</definedName>
    <definedName name="M">#REF!</definedName>
    <definedName name="MAABC">#REF!</definedName>
    <definedName name="MAABY">#REF!</definedName>
    <definedName name="MAALC">#REF!</definedName>
    <definedName name="MAALH">#REF!</definedName>
    <definedName name="MAALHP">#REF!</definedName>
    <definedName name="MAALV">#REF!</definedName>
    <definedName name="MAAP">#REF!</definedName>
    <definedName name="MAAPY">#REF!</definedName>
    <definedName name="MABBC">#REF!</definedName>
    <definedName name="MABBY">#REF!</definedName>
    <definedName name="MABLC">#REF!</definedName>
    <definedName name="MABLH">#REF!</definedName>
    <definedName name="MABLHP">#REF!</definedName>
    <definedName name="MABLV">#REF!</definedName>
    <definedName name="MABP">#REF!</definedName>
    <definedName name="MABPY">#REF!</definedName>
    <definedName name="MACBC">#REF!</definedName>
    <definedName name="MACBY">#REF!</definedName>
    <definedName name="MACLC">#REF!</definedName>
    <definedName name="MACLH">#REF!</definedName>
    <definedName name="MACLHP">#REF!</definedName>
    <definedName name="MACLV">#REF!</definedName>
    <definedName name="MACPLY">#REF!</definedName>
    <definedName name="MACPY">#REF!</definedName>
    <definedName name="MACV">#REF!</definedName>
    <definedName name="mad">#REF!</definedName>
    <definedName name="MADLH">#REF!</definedName>
    <definedName name="MAEJ">#REF!</definedName>
    <definedName name="MAENM">#REF!</definedName>
    <definedName name="MAMPOSTERIA">#REF!</definedName>
    <definedName name="MANOBRA">#N/A</definedName>
    <definedName name="manodeo">#REF!</definedName>
    <definedName name="manodeobra" localSheetId="0">#REF!</definedName>
    <definedName name="manodeobra" localSheetId="1">#REF!</definedName>
    <definedName name="manodeobra" localSheetId="2">#REF!</definedName>
    <definedName name="manodeobra" localSheetId="3">#REF!</definedName>
    <definedName name="manodeobra" localSheetId="4">#REF!</definedName>
    <definedName name="manodeobra" localSheetId="5">#REF!</definedName>
    <definedName name="manodeobra" localSheetId="6">#REF!</definedName>
    <definedName name="manodeobra" localSheetId="7">#REF!</definedName>
    <definedName name="manodeobra" localSheetId="8">#REF!</definedName>
    <definedName name="manodeobra" localSheetId="9">#REF!</definedName>
    <definedName name="manodeobra" localSheetId="10">#REF!</definedName>
    <definedName name="manodeobra" localSheetId="11">#REF!</definedName>
    <definedName name="manodeobra" localSheetId="12">#REF!</definedName>
    <definedName name="manodeobra" localSheetId="13">#REF!</definedName>
    <definedName name="manodeobra" localSheetId="14">#REF!</definedName>
    <definedName name="manodeobra">#REF!</definedName>
    <definedName name="MAPBC">#REF!</definedName>
    <definedName name="MAPBY">#REF!</definedName>
    <definedName name="MAPJ">#REF!</definedName>
    <definedName name="MAPLC">#REF!</definedName>
    <definedName name="MAPLH">#REF!</definedName>
    <definedName name="MAPLHP">#REF!</definedName>
    <definedName name="MAPLV">#REF!</definedName>
    <definedName name="MAPPY">#REF!</definedName>
    <definedName name="MAR">#REF!</definedName>
    <definedName name="MARHD">#REF!</definedName>
    <definedName name="MARHH">#REF!</definedName>
    <definedName name="MARHM">#REF!</definedName>
    <definedName name="MARHR">#REF!</definedName>
    <definedName name="MARHT">#REF!</definedName>
    <definedName name="MARLA">#REF!</definedName>
    <definedName name="MARLB">#REF!</definedName>
    <definedName name="MARP">#REF!</definedName>
    <definedName name="mat">#REF!</definedName>
    <definedName name="materiales">#REF!</definedName>
    <definedName name="MATR">#REF!</definedName>
    <definedName name="MATS">#REF!</definedName>
    <definedName name="mb">#REF!</definedName>
    <definedName name="mbs">#REF!</definedName>
    <definedName name="MC">#REF!</definedName>
    <definedName name="Mdespl.">#REF!</definedName>
    <definedName name="MDODNV">#REF!</definedName>
    <definedName name="MDODPV">#REF!</definedName>
    <definedName name="Medio_Oficial">#REF!</definedName>
    <definedName name="medioofr">#REF!</definedName>
    <definedName name="MEDOLAR">#REF!</definedName>
    <definedName name="MENSUAL">#REF!</definedName>
    <definedName name="MENU">#REF!</definedName>
    <definedName name="MES">#REF!</definedName>
    <definedName name="mes_retiro">#REF!</definedName>
    <definedName name="MisAna">#REF!</definedName>
    <definedName name="MMCC">#REF!</definedName>
    <definedName name="MMCCA">#REF!</definedName>
    <definedName name="MMCDE">#REF!</definedName>
    <definedName name="MMDMA">#REF!</definedName>
    <definedName name="MMDMC">#REF!</definedName>
    <definedName name="MMDMD">#REF!</definedName>
    <definedName name="MMDME">#REF!</definedName>
    <definedName name="MMDMP">#REF!</definedName>
    <definedName name="MMDMT">#REF!</definedName>
    <definedName name="MMDMV">#REF!</definedName>
    <definedName name="mmm">#REF!</definedName>
    <definedName name="MMRC">#REF!</definedName>
    <definedName name="MMVC">#REF!</definedName>
    <definedName name="Monto_Certif.">#REF!</definedName>
    <definedName name="MOREGAS">#REF!</definedName>
    <definedName name="mov">#REF!</definedName>
    <definedName name="movilizacion">#REF!</definedName>
    <definedName name="MQ">#REF!</definedName>
    <definedName name="MSAP">#REF!</definedName>
    <definedName name="MSAS">#REF!</definedName>
    <definedName name="MSLS">#REF!</definedName>
    <definedName name="MSNP">#REF!</definedName>
    <definedName name="MU">#REF!</definedName>
    <definedName name="MWx">#REF!</definedName>
    <definedName name="MWz">#REF!</definedName>
    <definedName name="MX">#N/A</definedName>
    <definedName name="mxx_max">#REF!</definedName>
    <definedName name="mxx_min">#REF!</definedName>
    <definedName name="MY">#N/A</definedName>
    <definedName name="myy">#REF!</definedName>
    <definedName name="N">#N/A</definedName>
    <definedName name="NAFTA">#REF!</definedName>
    <definedName name="nago">#REF!</definedName>
    <definedName name="NEW">#REF!</definedName>
    <definedName name="NEW_E1">#REF!</definedName>
    <definedName name="Normal">#REF!</definedName>
    <definedName name="NRO">#REF!</definedName>
    <definedName name="Nro_Pisos">#REF!</definedName>
    <definedName name="NUEVAHOJA">#REF!</definedName>
    <definedName name="Num_Pmt_Per_Year">#REF!</definedName>
    <definedName name="Number_of_Payments" localSheetId="0">MATCH(0.01,End_Bal,-1)+1</definedName>
    <definedName name="Number_of_Payments" localSheetId="1">MATCH(0.01,[0]!End_Bal,-1)+1</definedName>
    <definedName name="Number_of_Payments" localSheetId="2">MATCH(0.01,[0]!End_Bal,-1)+1</definedName>
    <definedName name="Number_of_Payments" localSheetId="3">MATCH(0.01,[0]!End_Bal,-1)+1</definedName>
    <definedName name="Number_of_Payments" localSheetId="4">MATCH(0.01,[0]!End_Bal,-1)+1</definedName>
    <definedName name="Number_of_Payments" localSheetId="5">MATCH(0.01,[0]!End_Bal,-1)+1</definedName>
    <definedName name="Number_of_Payments" localSheetId="6">MATCH(0.01,[0]!End_Bal,-1)+1</definedName>
    <definedName name="Number_of_Payments" localSheetId="7">MATCH(0.01,[0]!End_Bal,-1)+1</definedName>
    <definedName name="Number_of_Payments" localSheetId="8">MATCH(0.01,[0]!End_Bal,-1)+1</definedName>
    <definedName name="Number_of_Payments" localSheetId="9">MATCH(0.01,[0]!End_Bal,-1)+1</definedName>
    <definedName name="Number_of_Payments" localSheetId="10">MATCH(0.01,[0]!End_Bal,-1)+1</definedName>
    <definedName name="Number_of_Payments" localSheetId="11">MATCH(0.01,[0]!End_Bal,-1)+1</definedName>
    <definedName name="Number_of_Payments" localSheetId="12">MATCH(0.01,[0]!End_Bal,-1)+1</definedName>
    <definedName name="Number_of_Payments" localSheetId="13">MATCH(0.01,[0]!End_Bal,-1)+1</definedName>
    <definedName name="Number_of_Payments" localSheetId="14">MATCH(0.01,[0]!End_Bal,-1)+1</definedName>
    <definedName name="Number_of_Payments">MATCH(0.01,End_Bal,-1)+1</definedName>
    <definedName name="Numero_Unidades_Funcionales">#REF!</definedName>
    <definedName name="OBR">#REF!</definedName>
    <definedName name="Obra">#REF!</definedName>
    <definedName name="OBRA__CASA_LOUZAN" localSheetId="0">#REF!</definedName>
    <definedName name="OBRA__CASA_LOUZAN" localSheetId="1">#REF!</definedName>
    <definedName name="OBRA__CASA_LOUZAN" localSheetId="2">#REF!</definedName>
    <definedName name="OBRA__CASA_LOUZAN" localSheetId="3">#REF!</definedName>
    <definedName name="OBRA__CASA_LOUZAN" localSheetId="4">#REF!</definedName>
    <definedName name="OBRA__CASA_LOUZAN" localSheetId="5">#REF!</definedName>
    <definedName name="OBRA__CASA_LOUZAN" localSheetId="6">#REF!</definedName>
    <definedName name="OBRA__CASA_LOUZAN" localSheetId="7">#REF!</definedName>
    <definedName name="OBRA__CASA_LOUZAN" localSheetId="8">#REF!</definedName>
    <definedName name="OBRA__CASA_LOUZAN" localSheetId="9">#REF!</definedName>
    <definedName name="OBRA__CASA_LOUZAN" localSheetId="10">#REF!</definedName>
    <definedName name="OBRA__CASA_LOUZAN" localSheetId="11">#REF!</definedName>
    <definedName name="OBRA__CASA_LOUZAN" localSheetId="12">#REF!</definedName>
    <definedName name="OBRA__CASA_LOUZAN" localSheetId="13">#REF!</definedName>
    <definedName name="OBRA__CASA_LOUZAN" localSheetId="14">#REF!</definedName>
    <definedName name="OBRA__CASA_LOUZAN">#REF!</definedName>
    <definedName name="OBRA_DE_TOMA">#REF!</definedName>
    <definedName name="OFER">#REF!</definedName>
    <definedName name="ofEspecial">#REF!</definedName>
    <definedName name="oficial">#REF!</definedName>
    <definedName name="Oficial_Especializado">#REF!</definedName>
    <definedName name="oficial4">#REF!</definedName>
    <definedName name="oficial6">#REF!</definedName>
    <definedName name="ofies4">#REF!</definedName>
    <definedName name="ofr">#REF!</definedName>
    <definedName name="Organismo1">#REF!</definedName>
    <definedName name="Organismo2">#REF!</definedName>
    <definedName name="OSOC">#REF!</definedName>
    <definedName name="OTRA">#REF!</definedName>
    <definedName name="OTROS">#REF!</definedName>
    <definedName name="OTROS_RUBROS_NO_DESAGREGADOS">#REF!</definedName>
    <definedName name="OTROS1">#REF!</definedName>
    <definedName name="P">#REF!</definedName>
    <definedName name="PANDEO">#REF!</definedName>
    <definedName name="PANDEO1">#REF!</definedName>
    <definedName name="PARC">#N/A</definedName>
    <definedName name="Paridad">#REF!</definedName>
    <definedName name="PASE" localSheetId="0">#REF!</definedName>
    <definedName name="PASE" localSheetId="1">#REF!</definedName>
    <definedName name="PASE" localSheetId="2">#REF!</definedName>
    <definedName name="PASE" localSheetId="3">#REF!</definedName>
    <definedName name="PASE" localSheetId="4">#REF!</definedName>
    <definedName name="PASE" localSheetId="5">#REF!</definedName>
    <definedName name="PASE" localSheetId="6">#REF!</definedName>
    <definedName name="PASE" localSheetId="7">#REF!</definedName>
    <definedName name="PASE" localSheetId="8">#REF!</definedName>
    <definedName name="PASE" localSheetId="9">#REF!</definedName>
    <definedName name="PASE" localSheetId="10">#REF!</definedName>
    <definedName name="PASE" localSheetId="11">#REF!</definedName>
    <definedName name="PASE" localSheetId="12">#REF!</definedName>
    <definedName name="PASE" localSheetId="13">#REF!</definedName>
    <definedName name="PASE" localSheetId="14">#REF!</definedName>
    <definedName name="PASE">#REF!</definedName>
    <definedName name="paso">#REF!</definedName>
    <definedName name="Pay_Date">#REF!</definedName>
    <definedName name="Pay_Num">#REF!</definedName>
    <definedName name="Payment_Date" localSheetId="0">DATE(YEAR([0]!Loan_Start),MONTH([0]!Loan_Start)+Payment_Number,DAY([0]!Loan_Start))</definedName>
    <definedName name="Payment_Date" localSheetId="1">DATE(YEAR([0]!Loan_Start),MONTH([0]!Loan_Start)+Payment_Number,DAY([0]!Loan_Start))</definedName>
    <definedName name="Payment_Date" localSheetId="2">DATE(YEAR([0]!Loan_Start),MONTH([0]!Loan_Start)+Payment_Number,DAY([0]!Loan_Start))</definedName>
    <definedName name="Payment_Date" localSheetId="3">DATE(YEAR([0]!Loan_Start),MONTH([0]!Loan_Start)+Payment_Number,DAY([0]!Loan_Start))</definedName>
    <definedName name="Payment_Date" localSheetId="4">DATE(YEAR([0]!Loan_Start),MONTH([0]!Loan_Start)+Payment_Number,DAY([0]!Loan_Start))</definedName>
    <definedName name="Payment_Date" localSheetId="5">DATE(YEAR([0]!Loan_Start),MONTH([0]!Loan_Start)+Payment_Number,DAY([0]!Loan_Start))</definedName>
    <definedName name="Payment_Date" localSheetId="6">DATE(YEAR([0]!Loan_Start),MONTH([0]!Loan_Start)+Payment_Number,DAY([0]!Loan_Start))</definedName>
    <definedName name="Payment_Date" localSheetId="7">DATE(YEAR([0]!Loan_Start),MONTH([0]!Loan_Start)+Payment_Number,DAY([0]!Loan_Start))</definedName>
    <definedName name="Payment_Date" localSheetId="8">DATE(YEAR([0]!Loan_Start),MONTH([0]!Loan_Start)+Payment_Number,DAY([0]!Loan_Start))</definedName>
    <definedName name="Payment_Date" localSheetId="9">DATE(YEAR([0]!Loan_Start),MONTH([0]!Loan_Start)+Payment_Number,DAY([0]!Loan_Start))</definedName>
    <definedName name="Payment_Date" localSheetId="10">DATE(YEAR([0]!Loan_Start),MONTH([0]!Loan_Start)+Payment_Number,DAY([0]!Loan_Start))</definedName>
    <definedName name="Payment_Date" localSheetId="11">DATE(YEAR([0]!Loan_Start),MONTH([0]!Loan_Start)+Payment_Number,DAY([0]!Loan_Start))</definedName>
    <definedName name="Payment_Date" localSheetId="12">DATE(YEAR([0]!Loan_Start),MONTH([0]!Loan_Start)+Payment_Number,DAY([0]!Loan_Start))</definedName>
    <definedName name="Payment_Date" localSheetId="13">DATE(YEAR([0]!Loan_Start),MONTH([0]!Loan_Start)+Payment_Number,DAY([0]!Loan_Start))</definedName>
    <definedName name="Payment_Date" localSheetId="14">DATE(YEAR([0]!Loan_Start),MONTH([0]!Loan_Start)+Payment_Number,DAY([0]!Loan_Start))</definedName>
    <definedName name="Payment_Date">DATE(YEAR(Loan_Start),MONTH(Loan_Start)+Payment_Number,DAY(Loan_Start))</definedName>
    <definedName name="PEESC">#REF!</definedName>
    <definedName name="pepe">#REF!</definedName>
    <definedName name="PerfilC" comment="PERFIL C">#REF!</definedName>
    <definedName name="perfiles">#REF!</definedName>
    <definedName name="Pern.">#REF!</definedName>
    <definedName name="pf">#REF!</definedName>
    <definedName name="PIAM">#REF!</definedName>
    <definedName name="pibe">#REF!</definedName>
    <definedName name="pintref">#REF!</definedName>
    <definedName name="Pl">#REF!</definedName>
    <definedName name="PLAN">#REF!</definedName>
    <definedName name="PLANTA_DE_TRATAMIENTO">#REF!</definedName>
    <definedName name="plazo">#REF!</definedName>
    <definedName name="plazo.mes">#REF!</definedName>
    <definedName name="Plazo_de_obra">#REF!</definedName>
    <definedName name="Plazo_Obra">#REF!</definedName>
    <definedName name="Plus">#REF!</definedName>
    <definedName name="Plus_No_Remunerativo">#REF!</definedName>
    <definedName name="Plus_No_Remunerativo_Ayudante">#REF!</definedName>
    <definedName name="Plus_No_Remunerativo_Oficial">#REF!</definedName>
    <definedName name="Plus_No_Remunerativo_Oficial_Especializado">#REF!</definedName>
    <definedName name="Pmax">#REF!</definedName>
    <definedName name="PNA">#REF!</definedName>
    <definedName name="PNAV">#REF!</definedName>
    <definedName name="PNL">#REF!</definedName>
    <definedName name="PNP">#REF!</definedName>
    <definedName name="POficial">#REF!</definedName>
    <definedName name="Pp">#REF!</definedName>
    <definedName name="PPA">#REF!</definedName>
    <definedName name="PPCOL">#REF!</definedName>
    <definedName name="praccesoreadec">#REF!</definedName>
    <definedName name="praceroptereadec">#REF!</definedName>
    <definedName name="pracondct">#REF!</definedName>
    <definedName name="praguareadec">#REF!</definedName>
    <definedName name="pralcantreadec">#REF!</definedName>
    <definedName name="pralteo">#REF!</definedName>
    <definedName name="pralteomyg">#REF!</definedName>
    <definedName name="pralteoreadec">#REF!</definedName>
    <definedName name="prapoyos">#REF!</definedName>
    <definedName name="prarena">#REF!</definedName>
    <definedName name="prarenatrit">#REF!</definedName>
    <definedName name="prb">#REF!</definedName>
    <definedName name="prbacheo">#REF!</definedName>
    <definedName name="prbacheosan">#REF!</definedName>
    <definedName name="prbacheosanreadec">#REF!</definedName>
    <definedName name="prbandas">#REF!</definedName>
    <definedName name="prbandassonoras">#REF!</definedName>
    <definedName name="prbandassonorasreadec">#REF!</definedName>
    <definedName name="prbandassonreadec">#REF!</definedName>
    <definedName name="prbanq">#REF!</definedName>
    <definedName name="prbanqreadec">#REF!</definedName>
    <definedName name="prbanquina">#REF!</definedName>
    <definedName name="prbanquinasreadec">#REF!</definedName>
    <definedName name="prbaranda">#REF!</definedName>
    <definedName name="prbarandareadec">#REF!</definedName>
    <definedName name="prbarpasareadec">#REF!</definedName>
    <definedName name="prbase">#REF!</definedName>
    <definedName name="prbasereadec">#REF!</definedName>
    <definedName name="prbflexreadec">#REF!</definedName>
    <definedName name="prc5readec">#REF!</definedName>
    <definedName name="prc6readec">#REF!</definedName>
    <definedName name="prca70100readec">#REF!</definedName>
    <definedName name="prcabezales">#REF!</definedName>
    <definedName name="prcalesreadec">#REF!</definedName>
    <definedName name="prcalzadahorm">#REF!</definedName>
    <definedName name="prcalzadas">#REF!</definedName>
    <definedName name="prcemreadec">#REF!</definedName>
    <definedName name="prciclovía">#REF!</definedName>
    <definedName name="prcicloviareadec">#REF!</definedName>
    <definedName name="prcolocacionalc">#REF!</definedName>
    <definedName name="prcolocacionalcreadec">#REF!</definedName>
    <definedName name="prcolumnas">#REF!</definedName>
    <definedName name="prcortepasto">#REF!</definedName>
    <definedName name="prcortepastoreadec">#REF!</definedName>
    <definedName name="prdemalcantarilla">#REF!</definedName>
    <definedName name="prdemalcantarillareadec">#REF!</definedName>
    <definedName name="prdesembanque">#REF!</definedName>
    <definedName name="prdesembanquereadec">#REF!</definedName>
    <definedName name="prdren">#REF!</definedName>
    <definedName name="pre">#REF!</definedName>
    <definedName name="PRECIO">#REF!</definedName>
    <definedName name="PRECIO_TOTAL">#REF!</definedName>
    <definedName name="premerreadec">#REF!</definedName>
    <definedName name="PRENUEVO">#REF!</definedName>
    <definedName name="prescarif">#REF!</definedName>
    <definedName name="prescarifbanq">#REF!</definedName>
    <definedName name="prescarifbanqreadec">#REF!</definedName>
    <definedName name="prescarifreadec">#REF!</definedName>
    <definedName name="Presión_de_Vapor_del_Agua">#REF!</definedName>
    <definedName name="prestribos">#REF!</definedName>
    <definedName name="PRESUP" localSheetId="0">#REF!</definedName>
    <definedName name="PRESUP" localSheetId="1">#REF!</definedName>
    <definedName name="PRESUP" localSheetId="2">#REF!</definedName>
    <definedName name="PRESUP" localSheetId="3">#REF!</definedName>
    <definedName name="PRESUP" localSheetId="4">#REF!</definedName>
    <definedName name="PRESUP" localSheetId="5">#REF!</definedName>
    <definedName name="PRESUP" localSheetId="6">#REF!</definedName>
    <definedName name="PRESUP" localSheetId="7">#REF!</definedName>
    <definedName name="PRESUP" localSheetId="8">#REF!</definedName>
    <definedName name="PRESUP" localSheetId="9">#REF!</definedName>
    <definedName name="PRESUP" localSheetId="10">#REF!</definedName>
    <definedName name="PRESUP" localSheetId="11">#REF!</definedName>
    <definedName name="PRESUP" localSheetId="12">#REF!</definedName>
    <definedName name="PRESUP" localSheetId="13">#REF!</definedName>
    <definedName name="PRESUP" localSheetId="14">#REF!</definedName>
    <definedName name="PRESUP">#REF!</definedName>
    <definedName name="presuporcentaje" localSheetId="0">#REF!</definedName>
    <definedName name="presuporcentaje" localSheetId="1">#REF!</definedName>
    <definedName name="presuporcentaje" localSheetId="2">#REF!</definedName>
    <definedName name="presuporcentaje" localSheetId="3">#REF!</definedName>
    <definedName name="presuporcentaje" localSheetId="4">#REF!</definedName>
    <definedName name="presuporcentaje" localSheetId="5">#REF!</definedName>
    <definedName name="presuporcentaje" localSheetId="6">#REF!</definedName>
    <definedName name="presuporcentaje" localSheetId="7">#REF!</definedName>
    <definedName name="presuporcentaje" localSheetId="8">#REF!</definedName>
    <definedName name="presuporcentaje" localSheetId="9">#REF!</definedName>
    <definedName name="presuporcentaje" localSheetId="10">#REF!</definedName>
    <definedName name="presuporcentaje" localSheetId="11">#REF!</definedName>
    <definedName name="presuporcentaje" localSheetId="12">#REF!</definedName>
    <definedName name="presuporcentaje" localSheetId="13">#REF!</definedName>
    <definedName name="presuporcentaje" localSheetId="14">#REF!</definedName>
    <definedName name="presuporcentaje">#REF!</definedName>
    <definedName name="PRESUPUESTO">#REF!</definedName>
    <definedName name="prexcavreadec">#REF!</definedName>
    <definedName name="prfereadec">#REF!</definedName>
    <definedName name="prfisuras">#REF!</definedName>
    <definedName name="prfisurasreadec">#REF!</definedName>
    <definedName name="prfresado">#REF!</definedName>
    <definedName name="prfresado22cm">#REF!</definedName>
    <definedName name="prfresadoreadec">#REF!</definedName>
    <definedName name="prhermoso">#REF!</definedName>
    <definedName name="prhermosoreadec">#REF!</definedName>
    <definedName name="prhlosaptereadec">#REF!</definedName>
    <definedName name="prhor">#REF!</definedName>
    <definedName name="prhorcunreadec">#REF!</definedName>
    <definedName name="PRIMERA">#REF!</definedName>
    <definedName name="primpr">#REF!</definedName>
    <definedName name="primpreforzada">#REF!</definedName>
    <definedName name="primpreforzadareadec">#REF!</definedName>
    <definedName name="primprimreadec">#REF!</definedName>
    <definedName name="primprref">#REF!</definedName>
    <definedName name="Princ">#REF!</definedName>
    <definedName name="_xlnm.Print_Area" localSheetId="0">'GDR 3760_Pto. 02_Cert. 01'!$A$1:$H$199</definedName>
    <definedName name="_xlnm.Print_Area" localSheetId="1">'GDR 3760_Pto. 02_Cert. 02'!$A$1:$H$199</definedName>
    <definedName name="_xlnm.Print_Area" localSheetId="2">'GDR 3760_Pto. 02_Cert. 03'!$A$1:$H$199</definedName>
    <definedName name="_xlnm.Print_Area" localSheetId="3">'GDR 3760_Pto. 02_Cert. 04'!$A$1:$H$199</definedName>
    <definedName name="_xlnm.Print_Area" localSheetId="4">'GDR 3760_Pto. 02_Cert. 05'!$A$1:$H$199</definedName>
    <definedName name="_xlnm.Print_Area" localSheetId="5">'GDR 3760_Pto. 02_Cert. 06'!$A$1:$H$199</definedName>
    <definedName name="_xlnm.Print_Area" localSheetId="6">'GDR 3760_Pto. 02_Cert. 07'!$A$1:$H$199</definedName>
    <definedName name="_xlnm.Print_Area" localSheetId="7">'GDR 3760_Pto. 02_Cert. 08'!$A$1:$H$199</definedName>
    <definedName name="_xlnm.Print_Area" localSheetId="8">'GDR 3760_Pto. 02_Cert. 09)'!$A$1:$H$199</definedName>
    <definedName name="_xlnm.Print_Area" localSheetId="9">'GDR 3760_Pto. 02_Cert. 10'!$A$1:$N$205</definedName>
    <definedName name="_xlnm.Print_Area" localSheetId="10">'GDR 3760_Pto. 02_Cert. 11'!$A$1:$N$223</definedName>
    <definedName name="_xlnm.Print_Area" localSheetId="11">'GDR 3760_Pto. 02_Cert. 12'!$A$1:$N$223</definedName>
    <definedName name="_xlnm.Print_Area" localSheetId="12">'GDR 3760_Pto. 02_Cert. 13'!$A$1:$N$223</definedName>
    <definedName name="_xlnm.Print_Area" localSheetId="13">'GDR 3760_Pto. 02_Cert. 14'!$A$1:$N$223</definedName>
    <definedName name="_xlnm.Print_Area" localSheetId="14">'GDR 3760_Pto. 02_Cert. 15'!$A$1:$N$223</definedName>
    <definedName name="_xlnm.Print_Area">#REF!</definedName>
    <definedName name="PRINT_AREA_MI">#REF!</definedName>
    <definedName name="Print_Area_Reset" localSheetId="0">OFFSET(Full_Print,0,0,Last_Row)</definedName>
    <definedName name="Print_Area_Reset" localSheetId="1">OFFSET([0]!Full_Print,0,0,[0]!Last_Row)</definedName>
    <definedName name="Print_Area_Reset" localSheetId="2">OFFSET([0]!Full_Print,0,0,[0]!Last_Row)</definedName>
    <definedName name="Print_Area_Reset" localSheetId="3">OFFSET([0]!Full_Print,0,0,[0]!Last_Row)</definedName>
    <definedName name="Print_Area_Reset" localSheetId="4">OFFSET([0]!Full_Print,0,0,[0]!Last_Row)</definedName>
    <definedName name="Print_Area_Reset" localSheetId="5">OFFSET([0]!Full_Print,0,0,[0]!Last_Row)</definedName>
    <definedName name="Print_Area_Reset" localSheetId="6">OFFSET([0]!Full_Print,0,0,[0]!Last_Row)</definedName>
    <definedName name="Print_Area_Reset" localSheetId="7">OFFSET([0]!Full_Print,0,0,[0]!Last_Row)</definedName>
    <definedName name="Print_Area_Reset" localSheetId="8">OFFSET([0]!Full_Print,0,0,[0]!Last_Row)</definedName>
    <definedName name="Print_Area_Reset" localSheetId="9">OFFSET([0]!Full_Print,0,0,[0]!Last_Row)</definedName>
    <definedName name="Print_Area_Reset" localSheetId="10">OFFSET([0]!Full_Print,0,0,[0]!Last_Row)</definedName>
    <definedName name="Print_Area_Reset" localSheetId="11">OFFSET([0]!Full_Print,0,0,[0]!Last_Row)</definedName>
    <definedName name="Print_Area_Reset" localSheetId="12">OFFSET([0]!Full_Print,0,0,[0]!Last_Row)</definedName>
    <definedName name="Print_Area_Reset" localSheetId="13">OFFSET([0]!Full_Print,0,0,[0]!Last_Row)</definedName>
    <definedName name="Print_Area_Reset" localSheetId="14">OFFSET([0]!Full_Print,0,0,[0]!Last_Row)</definedName>
    <definedName name="Print_Area_Reset">OFFSET(Full_Print,0,0,Last_Row)</definedName>
    <definedName name="_xlnm.Print_Titles" localSheetId="0">'GDR 3760_Pto. 02_Cert. 01'!$8:$8</definedName>
    <definedName name="_xlnm.Print_Titles" localSheetId="1">'GDR 3760_Pto. 02_Cert. 02'!$8:$8</definedName>
    <definedName name="_xlnm.Print_Titles" localSheetId="2">'GDR 3760_Pto. 02_Cert. 03'!$8:$8</definedName>
    <definedName name="_xlnm.Print_Titles" localSheetId="3">'GDR 3760_Pto. 02_Cert. 04'!$8:$8</definedName>
    <definedName name="_xlnm.Print_Titles" localSheetId="4">'GDR 3760_Pto. 02_Cert. 05'!$8:$8</definedName>
    <definedName name="_xlnm.Print_Titles" localSheetId="5">'GDR 3760_Pto. 02_Cert. 06'!$8:$8</definedName>
    <definedName name="_xlnm.Print_Titles" localSheetId="6">'GDR 3760_Pto. 02_Cert. 07'!$8:$8</definedName>
    <definedName name="_xlnm.Print_Titles" localSheetId="7">'GDR 3760_Pto. 02_Cert. 08'!$8:$8</definedName>
    <definedName name="_xlnm.Print_Titles" localSheetId="8">'GDR 3760_Pto. 02_Cert. 09)'!$8:$8</definedName>
    <definedName name="_xlnm.Print_Titles" localSheetId="9">'GDR 3760_Pto. 02_Cert. 10'!$8:$8</definedName>
    <definedName name="_xlnm.Print_Titles" localSheetId="10">'GDR 3760_Pto. 02_Cert. 11'!$8:$8</definedName>
    <definedName name="_xlnm.Print_Titles" localSheetId="11">'GDR 3760_Pto. 02_Cert. 12'!$8:$8</definedName>
    <definedName name="_xlnm.Print_Titles" localSheetId="12">'GDR 3760_Pto. 02_Cert. 13'!$8:$8</definedName>
    <definedName name="_xlnm.Print_Titles" localSheetId="13">'GDR 3760_Pto. 02_Cert. 14'!$8:$8</definedName>
    <definedName name="_xlnm.Print_Titles" localSheetId="14">'GDR 3760_Pto. 02_Cert. 15'!$8:$8</definedName>
    <definedName name="_xlnm.Print_Titles">#REF!</definedName>
    <definedName name="printercanal">#REF!</definedName>
    <definedName name="prinvernal">#REF!</definedName>
    <definedName name="prjunta">#REF!</definedName>
    <definedName name="prjuntas">#REF!</definedName>
    <definedName name="prlechada">#REF!</definedName>
    <definedName name="prlechadareadec">#REF!</definedName>
    <definedName name="prlimpieza">#REF!</definedName>
    <definedName name="prlimpiezareadec">#REF!</definedName>
    <definedName name="prlimpseñales">#REF!</definedName>
    <definedName name="prlimpseñalesreadec">#REF!</definedName>
    <definedName name="prlimptransp">#REF!</definedName>
    <definedName name="prlosa">#REF!</definedName>
    <definedName name="prmatbanquina">#REF!</definedName>
    <definedName name="prmatbanquinareadec">#REF!</definedName>
    <definedName name="prmaterialbase">#REF!</definedName>
    <definedName name="prmicroaglomerado">#REF!</definedName>
    <definedName name="prmicroreadec">#REF!</definedName>
    <definedName name="prmontaje">#REF!</definedName>
    <definedName name="pro" localSheetId="0" hidden="1">{"DECIMAL",#N/A,FALSE,"02"}</definedName>
    <definedName name="pro" localSheetId="1" hidden="1">{"DECIMAL",#N/A,FALSE,"02"}</definedName>
    <definedName name="pro" localSheetId="2" hidden="1">{"DECIMAL",#N/A,FALSE,"02"}</definedName>
    <definedName name="pro" localSheetId="3" hidden="1">{"DECIMAL",#N/A,FALSE,"02"}</definedName>
    <definedName name="pro" localSheetId="4" hidden="1">{"DECIMAL",#N/A,FALSE,"02"}</definedName>
    <definedName name="pro" localSheetId="5" hidden="1">{"DECIMAL",#N/A,FALSE,"02"}</definedName>
    <definedName name="pro" localSheetId="6" hidden="1">{"DECIMAL",#N/A,FALSE,"02"}</definedName>
    <definedName name="pro" localSheetId="7" hidden="1">{"DECIMAL",#N/A,FALSE,"02"}</definedName>
    <definedName name="pro" localSheetId="8" hidden="1">{"DECIMAL",#N/A,FALSE,"02"}</definedName>
    <definedName name="pro" localSheetId="9" hidden="1">{"DECIMAL",#N/A,FALSE,"02"}</definedName>
    <definedName name="pro" localSheetId="10" hidden="1">{"DECIMAL",#N/A,FALSE,"02"}</definedName>
    <definedName name="pro" localSheetId="11" hidden="1">{"DECIMAL",#N/A,FALSE,"02"}</definedName>
    <definedName name="pro" localSheetId="12" hidden="1">{"DECIMAL",#N/A,FALSE,"02"}</definedName>
    <definedName name="pro" localSheetId="13" hidden="1">{"DECIMAL",#N/A,FALSE,"02"}</definedName>
    <definedName name="pro" localSheetId="14" hidden="1">{"DECIMAL",#N/A,FALSE,"02"}</definedName>
    <definedName name="pro" hidden="1">{"DECIMAL",#N/A,FALSE,"02"}</definedName>
    <definedName name="Prof_fund">#REF!</definedName>
    <definedName name="Prof_Tensor">#REF!</definedName>
    <definedName name="Progress" localSheetId="0" hidden="1">{#N/A,#N/A,FALSE,"Monthly report";#N/A,#N/A,FALSE,"M.R. UEM";#N/A,#N/A,FALSE,"M.R. VCM"}</definedName>
    <definedName name="Progress" localSheetId="1" hidden="1">{#N/A,#N/A,FALSE,"Monthly report";#N/A,#N/A,FALSE,"M.R. UEM";#N/A,#N/A,FALSE,"M.R. VCM"}</definedName>
    <definedName name="Progress" localSheetId="2" hidden="1">{#N/A,#N/A,FALSE,"Monthly report";#N/A,#N/A,FALSE,"M.R. UEM";#N/A,#N/A,FALSE,"M.R. VCM"}</definedName>
    <definedName name="Progress" localSheetId="3" hidden="1">{#N/A,#N/A,FALSE,"Monthly report";#N/A,#N/A,FALSE,"M.R. UEM";#N/A,#N/A,FALSE,"M.R. VCM"}</definedName>
    <definedName name="Progress" localSheetId="4" hidden="1">{#N/A,#N/A,FALSE,"Monthly report";#N/A,#N/A,FALSE,"M.R. UEM";#N/A,#N/A,FALSE,"M.R. VCM"}</definedName>
    <definedName name="Progress" localSheetId="5" hidden="1">{#N/A,#N/A,FALSE,"Monthly report";#N/A,#N/A,FALSE,"M.R. UEM";#N/A,#N/A,FALSE,"M.R. VCM"}</definedName>
    <definedName name="Progress" localSheetId="6" hidden="1">{#N/A,#N/A,FALSE,"Monthly report";#N/A,#N/A,FALSE,"M.R. UEM";#N/A,#N/A,FALSE,"M.R. VCM"}</definedName>
    <definedName name="Progress" localSheetId="7" hidden="1">{#N/A,#N/A,FALSE,"Monthly report";#N/A,#N/A,FALSE,"M.R. UEM";#N/A,#N/A,FALSE,"M.R. VCM"}</definedName>
    <definedName name="Progress" localSheetId="8" hidden="1">{#N/A,#N/A,FALSE,"Monthly report";#N/A,#N/A,FALSE,"M.R. UEM";#N/A,#N/A,FALSE,"M.R. VCM"}</definedName>
    <definedName name="Progress" localSheetId="9" hidden="1">{#N/A,#N/A,FALSE,"Monthly report";#N/A,#N/A,FALSE,"M.R. UEM";#N/A,#N/A,FALSE,"M.R. VCM"}</definedName>
    <definedName name="Progress" localSheetId="10" hidden="1">{#N/A,#N/A,FALSE,"Monthly report";#N/A,#N/A,FALSE,"M.R. UEM";#N/A,#N/A,FALSE,"M.R. VCM"}</definedName>
    <definedName name="Progress" localSheetId="11" hidden="1">{#N/A,#N/A,FALSE,"Monthly report";#N/A,#N/A,FALSE,"M.R. UEM";#N/A,#N/A,FALSE,"M.R. VCM"}</definedName>
    <definedName name="Progress" localSheetId="12" hidden="1">{#N/A,#N/A,FALSE,"Monthly report";#N/A,#N/A,FALSE,"M.R. UEM";#N/A,#N/A,FALSE,"M.R. VCM"}</definedName>
    <definedName name="Progress" localSheetId="13" hidden="1">{#N/A,#N/A,FALSE,"Monthly report";#N/A,#N/A,FALSE,"M.R. UEM";#N/A,#N/A,FALSE,"M.R. VCM"}</definedName>
    <definedName name="Progress" localSheetId="14" hidden="1">{#N/A,#N/A,FALSE,"Monthly report";#N/A,#N/A,FALSE,"M.R. UEM";#N/A,#N/A,FALSE,"M.R. VCM"}</definedName>
    <definedName name="Progress" hidden="1">{#N/A,#N/A,FALSE,"Monthly report";#N/A,#N/A,FALSE,"M.R. UEM";#N/A,#N/A,FALSE,"M.R. VCM"}</definedName>
    <definedName name="PROVEEDOR">#REF!</definedName>
    <definedName name="Proyecto1">#REF!</definedName>
    <definedName name="Proyecto2">#REF!</definedName>
    <definedName name="prPartido">#REF!</definedName>
    <definedName name="prPCCura">#REF!</definedName>
    <definedName name="prperfilado">#REF!</definedName>
    <definedName name="prperfiladoreadec">#REF!</definedName>
    <definedName name="prpiedratrit">#REF!</definedName>
    <definedName name="prpilotes">#REF!</definedName>
    <definedName name="prpintado">#REF!</definedName>
    <definedName name="prpintadoreadec">#REF!</definedName>
    <definedName name="prpostereadec">#REF!</definedName>
    <definedName name="prpretiles">#REF!</definedName>
    <definedName name="prpretilesreadec">#REF!</definedName>
    <definedName name="prprolongacion">#REF!</definedName>
    <definedName name="prprolongacionreadec">#REF!</definedName>
    <definedName name="prproteccion">#REF!</definedName>
    <definedName name="prpteccurareadec">#REF!</definedName>
    <definedName name="prrecolprereadec">#REF!</definedName>
    <definedName name="prrefuerzo6">#REF!</definedName>
    <definedName name="prrefuerzo6readec">#REF!</definedName>
    <definedName name="prrefuerzo8">#REF!</definedName>
    <definedName name="prrefuerzo8readec">#REF!</definedName>
    <definedName name="prrelleno">#REF!</definedName>
    <definedName name="prrellenoreadec">#REF!</definedName>
    <definedName name="prrepalc">#REF!</definedName>
    <definedName name="prrepAlcPtes">#REF!</definedName>
    <definedName name="prrepalcreadec">#REF!</definedName>
    <definedName name="prreparacionalc">#REF!</definedName>
    <definedName name="prreparacionalcreadec">#REF!</definedName>
    <definedName name="prrestdrenaje">#REF!</definedName>
    <definedName name="prrestdrenajereadec">#REF!</definedName>
    <definedName name="prretderrumbe">#REF!</definedName>
    <definedName name="prretrecolbaranda">#REF!</definedName>
    <definedName name="prriegoimpreadec">#REF!</definedName>
    <definedName name="prriegoliga">#REF!</definedName>
    <definedName name="prriegoligareadec">#REF!</definedName>
    <definedName name="prrieimpr">#REF!</definedName>
    <definedName name="prrotondas">#REF!</definedName>
    <definedName name="prrotondasreadec">#REF!</definedName>
    <definedName name="prsandef">#REF!</definedName>
    <definedName name="prsb">#REF!</definedName>
    <definedName name="prsellado">#REF!</definedName>
    <definedName name="prselladoreadec">#REF!</definedName>
    <definedName name="prsenda">#REF!</definedName>
    <definedName name="prsendareadec">#REF!</definedName>
    <definedName name="prseñalamiento">#REF!</definedName>
    <definedName name="prseñalamientoreadec">#REF!</definedName>
    <definedName name="prseñalizacion">#REF!</definedName>
    <definedName name="prseñalizacionext">#REF!</definedName>
    <definedName name="prseñalizacionextreadec">#REF!</definedName>
    <definedName name="prseñalizaciónreadec">#REF!</definedName>
    <definedName name="prseñalizreadec">#REF!</definedName>
    <definedName name="prsistdren">#REF!</definedName>
    <definedName name="prsistdren1071">#REF!</definedName>
    <definedName name="prSoc8026">#REF!</definedName>
    <definedName name="prsocavacionreadec">#REF!</definedName>
    <definedName name="prsubbase">#REF!</definedName>
    <definedName name="prsubbasereadec">#REF!</definedName>
    <definedName name="prterr">#REF!</definedName>
    <definedName name="prterrapreadec">#REF!</definedName>
    <definedName name="prterrsincomp">#REF!</definedName>
    <definedName name="prtravsenillosareadec">#REF!</definedName>
    <definedName name="Prueba">#REF!</definedName>
    <definedName name="prvigas">#REF!</definedName>
    <definedName name="pvc">#REF!</definedName>
    <definedName name="q">#REF!</definedName>
    <definedName name="Q0">#REF!</definedName>
    <definedName name="QCAR">#REF!</definedName>
    <definedName name="RANGO">#REF!</definedName>
    <definedName name="rangobase" localSheetId="0">L2C1:L372C15</definedName>
    <definedName name="rangobase" localSheetId="1">L2C1:L372C15</definedName>
    <definedName name="rangobase" localSheetId="2">L2C1:L372C15</definedName>
    <definedName name="rangobase" localSheetId="3">L2C1:L372C15</definedName>
    <definedName name="rangobase" localSheetId="4">L2C1:L372C15</definedName>
    <definedName name="rangobase" localSheetId="5">L2C1:L372C15</definedName>
    <definedName name="rangobase" localSheetId="6">L2C1:L372C15</definedName>
    <definedName name="rangobase" localSheetId="7">L2C1:L372C15</definedName>
    <definedName name="rangobase" localSheetId="8">L2C1:L372C15</definedName>
    <definedName name="rangobase" localSheetId="9">L2C1:L372C15</definedName>
    <definedName name="rangobase" localSheetId="10">L2C1:L372C15</definedName>
    <definedName name="rangobase" localSheetId="11">L2C1:L372C15</definedName>
    <definedName name="rangobase" localSheetId="12">L2C1:L372C15</definedName>
    <definedName name="rangobase" localSheetId="13">L2C1:L372C15</definedName>
    <definedName name="rangobase" localSheetId="14">L2C1:L372C15</definedName>
    <definedName name="rangobase">L2C1:L372C15</definedName>
    <definedName name="rangoformulas">#REF!</definedName>
    <definedName name="RB" localSheetId="0">L2C1:L372C15</definedName>
    <definedName name="RB" localSheetId="1">L2C1:L372C15</definedName>
    <definedName name="RB" localSheetId="2">L2C1:L372C15</definedName>
    <definedName name="RB" localSheetId="3">L2C1:L372C15</definedName>
    <definedName name="RB" localSheetId="4">L2C1:L372C15</definedName>
    <definedName name="RB" localSheetId="5">L2C1:L372C15</definedName>
    <definedName name="RB" localSheetId="6">L2C1:L372C15</definedName>
    <definedName name="RB" localSheetId="7">L2C1:L372C15</definedName>
    <definedName name="RB" localSheetId="8">L2C1:L372C15</definedName>
    <definedName name="RB" localSheetId="9">L2C1:L372C15</definedName>
    <definedName name="RB" localSheetId="10">L2C1:L372C15</definedName>
    <definedName name="RB" localSheetId="11">L2C1:L372C15</definedName>
    <definedName name="RB" localSheetId="12">L2C1:L372C15</definedName>
    <definedName name="RB" localSheetId="13">L2C1:L372C15</definedName>
    <definedName name="RB" localSheetId="14">L2C1:L372C15</definedName>
    <definedName name="RB">L2C1:L372C15</definedName>
    <definedName name="RBASE" localSheetId="0">L2C1:L372C15</definedName>
    <definedName name="RBASE" localSheetId="1">L2C1:L372C15</definedName>
    <definedName name="RBASE" localSheetId="2">L2C1:L372C15</definedName>
    <definedName name="RBASE" localSheetId="3">L2C1:L372C15</definedName>
    <definedName name="RBASE" localSheetId="4">L2C1:L372C15</definedName>
    <definedName name="RBASE" localSheetId="5">L2C1:L372C15</definedName>
    <definedName name="RBASE" localSheetId="6">L2C1:L372C15</definedName>
    <definedName name="RBASE" localSheetId="7">L2C1:L372C15</definedName>
    <definedName name="RBASE" localSheetId="8">L2C1:L372C15</definedName>
    <definedName name="RBASE" localSheetId="9">L2C1:L372C15</definedName>
    <definedName name="RBASE" localSheetId="10">L2C1:L372C15</definedName>
    <definedName name="RBASE" localSheetId="11">L2C1:L372C15</definedName>
    <definedName name="RBASE" localSheetId="12">L2C1:L372C15</definedName>
    <definedName name="RBASE" localSheetId="13">L2C1:L372C15</definedName>
    <definedName name="RBASE" localSheetId="14">L2C1:L372C15</definedName>
    <definedName name="RBASE">L2C1:L372C15</definedName>
    <definedName name="re" localSheetId="0" hidden="1">{#N/A,#N/A,FALSE,"Monthly report";#N/A,#N/A,FALSE,"M.R. UEM";#N/A,#N/A,FALSE,"M.R. VCM"}</definedName>
    <definedName name="re" localSheetId="1" hidden="1">{#N/A,#N/A,FALSE,"Monthly report";#N/A,#N/A,FALSE,"M.R. UEM";#N/A,#N/A,FALSE,"M.R. VCM"}</definedName>
    <definedName name="re" localSheetId="2" hidden="1">{#N/A,#N/A,FALSE,"Monthly report";#N/A,#N/A,FALSE,"M.R. UEM";#N/A,#N/A,FALSE,"M.R. VCM"}</definedName>
    <definedName name="re" localSheetId="3" hidden="1">{#N/A,#N/A,FALSE,"Monthly report";#N/A,#N/A,FALSE,"M.R. UEM";#N/A,#N/A,FALSE,"M.R. VCM"}</definedName>
    <definedName name="re" localSheetId="4" hidden="1">{#N/A,#N/A,FALSE,"Monthly report";#N/A,#N/A,FALSE,"M.R. UEM";#N/A,#N/A,FALSE,"M.R. VCM"}</definedName>
    <definedName name="re" localSheetId="5" hidden="1">{#N/A,#N/A,FALSE,"Monthly report";#N/A,#N/A,FALSE,"M.R. UEM";#N/A,#N/A,FALSE,"M.R. VCM"}</definedName>
    <definedName name="re" localSheetId="6" hidden="1">{#N/A,#N/A,FALSE,"Monthly report";#N/A,#N/A,FALSE,"M.R. UEM";#N/A,#N/A,FALSE,"M.R. VCM"}</definedName>
    <definedName name="re" localSheetId="7" hidden="1">{#N/A,#N/A,FALSE,"Monthly report";#N/A,#N/A,FALSE,"M.R. UEM";#N/A,#N/A,FALSE,"M.R. VCM"}</definedName>
    <definedName name="re" localSheetId="8" hidden="1">{#N/A,#N/A,FALSE,"Monthly report";#N/A,#N/A,FALSE,"M.R. UEM";#N/A,#N/A,FALSE,"M.R. VCM"}</definedName>
    <definedName name="re" localSheetId="9" hidden="1">{#N/A,#N/A,FALSE,"Monthly report";#N/A,#N/A,FALSE,"M.R. UEM";#N/A,#N/A,FALSE,"M.R. VCM"}</definedName>
    <definedName name="re" localSheetId="10" hidden="1">{#N/A,#N/A,FALSE,"Monthly report";#N/A,#N/A,FALSE,"M.R. UEM";#N/A,#N/A,FALSE,"M.R. VCM"}</definedName>
    <definedName name="re" localSheetId="11" hidden="1">{#N/A,#N/A,FALSE,"Monthly report";#N/A,#N/A,FALSE,"M.R. UEM";#N/A,#N/A,FALSE,"M.R. VCM"}</definedName>
    <definedName name="re" localSheetId="12" hidden="1">{#N/A,#N/A,FALSE,"Monthly report";#N/A,#N/A,FALSE,"M.R. UEM";#N/A,#N/A,FALSE,"M.R. VCM"}</definedName>
    <definedName name="re" localSheetId="13" hidden="1">{#N/A,#N/A,FALSE,"Monthly report";#N/A,#N/A,FALSE,"M.R. UEM";#N/A,#N/A,FALSE,"M.R. VCM"}</definedName>
    <definedName name="re" localSheetId="14" hidden="1">{#N/A,#N/A,FALSE,"Monthly report";#N/A,#N/A,FALSE,"M.R. UEM";#N/A,#N/A,FALSE,"M.R. VCM"}</definedName>
    <definedName name="re" hidden="1">{#N/A,#N/A,FALSE,"Monthly report";#N/A,#N/A,FALSE,"M.R. UEM";#N/A,#N/A,FALSE,"M.R. VCM"}</definedName>
    <definedName name="reacc">#REF!</definedName>
    <definedName name="rec">#REF!</definedName>
    <definedName name="rec_c">#REF!</definedName>
    <definedName name="Rejilla">#REF!</definedName>
    <definedName name="rellr">#REF!</definedName>
    <definedName name="rend">#REF!</definedName>
    <definedName name="Reparaciones">#REF!</definedName>
    <definedName name="REPOTENCIACION_ACUEDUCTO_A_V._ANGELA">#REF!</definedName>
    <definedName name="RES">#N/A</definedName>
    <definedName name="Residual">#REF!</definedName>
    <definedName name="RESUMEN">#N/A</definedName>
    <definedName name="RN">#REF!</definedName>
    <definedName name="RR">#REF!</definedName>
    <definedName name="RSAD">#REF!</definedName>
    <definedName name="RSARL">#REF!</definedName>
    <definedName name="RSAZCE">#REF!</definedName>
    <definedName name="RSAZM">#REF!</definedName>
    <definedName name="RSCOL">#REF!</definedName>
    <definedName name="RSLD">#REF!</definedName>
    <definedName name="RSPD">#REF!</definedName>
    <definedName name="RSPZM">#REF!</definedName>
    <definedName name="ryrc">#REF!</definedName>
    <definedName name="ryrr">#REF!</definedName>
    <definedName name="S">#REF!</definedName>
    <definedName name="sa" localSheetId="0" hidden="1">#REF!</definedName>
    <definedName name="sa" localSheetId="1" hidden="1">#REF!</definedName>
    <definedName name="sa" localSheetId="2" hidden="1">#REF!</definedName>
    <definedName name="sa" localSheetId="3" hidden="1">#REF!</definedName>
    <definedName name="sa" localSheetId="4" hidden="1">#REF!</definedName>
    <definedName name="sa" localSheetId="5" hidden="1">#REF!</definedName>
    <definedName name="sa" localSheetId="6" hidden="1">#REF!</definedName>
    <definedName name="sa" localSheetId="7" hidden="1">#REF!</definedName>
    <definedName name="sa" localSheetId="8" hidden="1">#REF!</definedName>
    <definedName name="sa" localSheetId="9" hidden="1">#REF!</definedName>
    <definedName name="sa" localSheetId="10" hidden="1">#REF!</definedName>
    <definedName name="sa" localSheetId="11" hidden="1">#REF!</definedName>
    <definedName name="sa" localSheetId="12" hidden="1">#REF!</definedName>
    <definedName name="sa" localSheetId="13" hidden="1">#REF!</definedName>
    <definedName name="sa" localSheetId="14" hidden="1">#REF!</definedName>
    <definedName name="sa" hidden="1">#REF!</definedName>
    <definedName name="sadDSadsa">#REF!</definedName>
    <definedName name="Sched_Pay">#REF!</definedName>
    <definedName name="Scheduled_Extra_Payments">#REF!</definedName>
    <definedName name="Scheduled_Interest_Rate">#REF!</definedName>
    <definedName name="Scheduled_Monthly_Payment">#REF!</definedName>
    <definedName name="SECCIONES">#REF!</definedName>
    <definedName name="SECCIONES_DIV">#REF!</definedName>
    <definedName name="SEG">#REF!</definedName>
    <definedName name="SEGUNDA">#REF!</definedName>
    <definedName name="Seguro_de_Vida_Obligatorio">#REF!</definedName>
    <definedName name="SIG__">#N/A</definedName>
    <definedName name="SIG2__">#N/A</definedName>
    <definedName name="sigmabk">#REF!</definedName>
    <definedName name="sigmabk_c">#REF!</definedName>
    <definedName name="sigmas">#REF!</definedName>
    <definedName name="sin_reaj">#REF!</definedName>
    <definedName name="sob">#REF!</definedName>
    <definedName name="sob_c">#REF!</definedName>
    <definedName name="SObrero">#REF!</definedName>
    <definedName name="ssdfsdgsdfgfgb">#REF!</definedName>
    <definedName name="ssssssss">#REF!</definedName>
    <definedName name="ssssssssss">#REF!</definedName>
    <definedName name="SUBTOTAL">#REF!</definedName>
    <definedName name="Sueldo_Anual_Complementario">#REF!</definedName>
    <definedName name="Suelo">#REF!</definedName>
    <definedName name="SumaItems">#REF!</definedName>
    <definedName name="Summary">#REF!</definedName>
    <definedName name="Sup_Cubierta">#REF!</definedName>
    <definedName name="Sup_Lote">#REF!</definedName>
    <definedName name="Sup_Proyecto">#REF!</definedName>
    <definedName name="Sup_Terreno">#REF!</definedName>
    <definedName name="Superficie_Cubierta">#REF!</definedName>
    <definedName name="T.Cuad.">#REF!</definedName>
    <definedName name="T.Rect.">#REF!</definedName>
    <definedName name="T.Red.">#REF!</definedName>
    <definedName name="T_2">#REF!</definedName>
    <definedName name="t1000k">#REF!</definedName>
    <definedName name="t15k">#REF!</definedName>
    <definedName name="t400k">#REF!</definedName>
    <definedName name="t490k">#REF!</definedName>
    <definedName name="t90k">#REF!</definedName>
    <definedName name="TABLA2">#REF!</definedName>
    <definedName name="TABLA3">#REF!</definedName>
    <definedName name="TABLA6.2">#REF!</definedName>
    <definedName name="tablas">#REF!</definedName>
    <definedName name="TAC">#REF!</definedName>
    <definedName name="TAREAS">#REF!</definedName>
    <definedName name="TASA">#REF!</definedName>
    <definedName name="tasa_cero">#REF!</definedName>
    <definedName name="tau">#REF!</definedName>
    <definedName name="Tdos">#REF!</definedName>
    <definedName name="te">#REF!</definedName>
    <definedName name="Temperatura_Kelvin">#REF!</definedName>
    <definedName name="TERCERA">#REF!</definedName>
    <definedName name="terramesh">#REF!</definedName>
    <definedName name="ThO">#REF!</definedName>
    <definedName name="ThPH">#REF!</definedName>
    <definedName name="Tip.Conj.">#REF!</definedName>
    <definedName name="TIPIFICACION">#REF!</definedName>
    <definedName name="Tipo.Informe">#REF!</definedName>
    <definedName name="TIRANTE_CRITICO_CANALES">#REF!</definedName>
    <definedName name="TITULO">#REF!</definedName>
    <definedName name="TITULOS">#REF!</definedName>
    <definedName name="TITULOS_A_IMPRIMIR">#REF!</definedName>
    <definedName name="Títulos_a_imprimir_IM" localSheetId="0">#REF!</definedName>
    <definedName name="Títulos_a_imprimir_IM" localSheetId="1">#REF!</definedName>
    <definedName name="Títulos_a_imprimir_IM" localSheetId="2">#REF!</definedName>
    <definedName name="Títulos_a_imprimir_IM" localSheetId="3">#REF!</definedName>
    <definedName name="Títulos_a_imprimir_IM" localSheetId="4">#REF!</definedName>
    <definedName name="Títulos_a_imprimir_IM" localSheetId="5">#REF!</definedName>
    <definedName name="Títulos_a_imprimir_IM" localSheetId="6">#REF!</definedName>
    <definedName name="Títulos_a_imprimir_IM" localSheetId="7">#REF!</definedName>
    <definedName name="Títulos_a_imprimir_IM" localSheetId="8">#REF!</definedName>
    <definedName name="Títulos_a_imprimir_IM" localSheetId="9">#REF!</definedName>
    <definedName name="Títulos_a_imprimir_IM" localSheetId="10">#REF!</definedName>
    <definedName name="Títulos_a_imprimir_IM" localSheetId="11">#REF!</definedName>
    <definedName name="Títulos_a_imprimir_IM" localSheetId="12">#REF!</definedName>
    <definedName name="Títulos_a_imprimir_IM" localSheetId="13">#REF!</definedName>
    <definedName name="Títulos_a_imprimir_IM" localSheetId="14">#REF!</definedName>
    <definedName name="Títulos_a_imprimir_IM">#REF!</definedName>
    <definedName name="TIUF">#REF!</definedName>
    <definedName name="to11_c">#REF!</definedName>
    <definedName name="TOBR1">#REF!</definedName>
    <definedName name="TOBRA">#REF!</definedName>
    <definedName name="tor">#REF!</definedName>
    <definedName name="tota1">#REF!</definedName>
    <definedName name="TOTAL">#REF!</definedName>
    <definedName name="Total_Interest">#REF!</definedName>
    <definedName name="Total_Pay">#REF!</definedName>
    <definedName name="Total_Payment" localSheetId="0">Scheduled_Payment+Extra_Payment</definedName>
    <definedName name="Total_Payment" localSheetId="1">Scheduled_Payment+Extra_Payment</definedName>
    <definedName name="Total_Payment" localSheetId="2">Scheduled_Payment+Extra_Payment</definedName>
    <definedName name="Total_Payment" localSheetId="3">Scheduled_Payment+Extra_Payment</definedName>
    <definedName name="Total_Payment" localSheetId="4">Scheduled_Payment+Extra_Payment</definedName>
    <definedName name="Total_Payment" localSheetId="5">Scheduled_Payment+Extra_Payment</definedName>
    <definedName name="Total_Payment" localSheetId="6">Scheduled_Payment+Extra_Payment</definedName>
    <definedName name="Total_Payment" localSheetId="7">Scheduled_Payment+Extra_Payment</definedName>
    <definedName name="Total_Payment" localSheetId="8">Scheduled_Payment+Extra_Payment</definedName>
    <definedName name="Total_Payment" localSheetId="9">Scheduled_Payment+Extra_Payment</definedName>
    <definedName name="Total_Payment" localSheetId="10">Scheduled_Payment+Extra_Payment</definedName>
    <definedName name="Total_Payment" localSheetId="11">Scheduled_Payment+Extra_Payment</definedName>
    <definedName name="Total_Payment" localSheetId="12">Scheduled_Payment+Extra_Payment</definedName>
    <definedName name="Total_Payment" localSheetId="13">Scheduled_Payment+Extra_Payment</definedName>
    <definedName name="Total_Payment" localSheetId="14">Scheduled_Payment+Extra_Payment</definedName>
    <definedName name="Total_Payment">Scheduled_Payment+Extra_Payment</definedName>
    <definedName name="TOTAL_SISTEMA_DE_ACUEDUCTOS_A_PRECIO_FINAL">#REF!</definedName>
    <definedName name="totalcert">#REF!</definedName>
    <definedName name="TOTALES">#REF!</definedName>
    <definedName name="TPA">#REF!</definedName>
    <definedName name="TRANSPORTE">#N/A</definedName>
    <definedName name="trentiuno">#REF!</definedName>
    <definedName name="TUBERIAS">#REF!</definedName>
    <definedName name="Tuberías_de_P.E.A.D.">#REF!</definedName>
    <definedName name="Tuberías_de_P.R.F.V.">#REF!</definedName>
    <definedName name="Tuberias_de_P.V.C.">#REF!</definedName>
    <definedName name="Tuerc.">#REF!</definedName>
    <definedName name="Tuno">#REF!</definedName>
    <definedName name="u">#REF!</definedName>
    <definedName name="Unidades">#REF!</definedName>
    <definedName name="UOCRA">#REF!</definedName>
    <definedName name="UOCRA_Cargo_Fijo">#REF!</definedName>
    <definedName name="UPN">#REF!</definedName>
    <definedName name="USD">#REF!</definedName>
    <definedName name="USD.BNA">#REF!</definedName>
    <definedName name="V">#REF!</definedName>
    <definedName name="V.R.">#REF!</definedName>
    <definedName name="V.Rosc">#REF!</definedName>
    <definedName name="V0">#REF!</definedName>
    <definedName name="Vacaciones">#REF!</definedName>
    <definedName name="vacdul">#REF!</definedName>
    <definedName name="vacdul1mod">#REF!</definedName>
    <definedName name="vacete">#REF!</definedName>
    <definedName name="vaclam">#REF!</definedName>
    <definedName name="vaclam1mod">#REF!</definedName>
    <definedName name="vadih">#REF!</definedName>
    <definedName name="val">#REF!</definedName>
    <definedName name="valgalv">#REF!</definedName>
    <definedName name="valgalv1mod">#REF!</definedName>
    <definedName name="validez">#REF!</definedName>
    <definedName name="Valor">#REF!</definedName>
    <definedName name="valoresequipo" localSheetId="0">#REF!</definedName>
    <definedName name="valoresequipo" localSheetId="1">#REF!</definedName>
    <definedName name="valoresequipo" localSheetId="2">#REF!</definedName>
    <definedName name="valoresequipo" localSheetId="3">#REF!</definedName>
    <definedName name="valoresequipo" localSheetId="4">#REF!</definedName>
    <definedName name="valoresequipo" localSheetId="5">#REF!</definedName>
    <definedName name="valoresequipo" localSheetId="6">#REF!</definedName>
    <definedName name="valoresequipo" localSheetId="7">#REF!</definedName>
    <definedName name="valoresequipo" localSheetId="8">#REF!</definedName>
    <definedName name="valoresequipo" localSheetId="9">#REF!</definedName>
    <definedName name="valoresequipo" localSheetId="10">#REF!</definedName>
    <definedName name="valoresequipo" localSheetId="11">#REF!</definedName>
    <definedName name="valoresequipo" localSheetId="12">#REF!</definedName>
    <definedName name="valoresequipo" localSheetId="13">#REF!</definedName>
    <definedName name="valoresequipo" localSheetId="14">#REF!</definedName>
    <definedName name="valoresequipo">#REF!</definedName>
    <definedName name="Values_Entered" localSheetId="0">IF(Loan_Amount*Interest_Rate*Loan_Years*Loan_Start&gt;0,1,0)</definedName>
    <definedName name="Values_Entered" localSheetId="1">IF([0]!Loan_Amount*[0]!Interest_Rate*[0]!Loan_Years*[0]!Loan_Start&gt;0,1,0)</definedName>
    <definedName name="Values_Entered" localSheetId="2">IF([0]!Loan_Amount*[0]!Interest_Rate*[0]!Loan_Years*[0]!Loan_Start&gt;0,1,0)</definedName>
    <definedName name="Values_Entered" localSheetId="3">IF([0]!Loan_Amount*[0]!Interest_Rate*[0]!Loan_Years*[0]!Loan_Start&gt;0,1,0)</definedName>
    <definedName name="Values_Entered" localSheetId="4">IF([0]!Loan_Amount*[0]!Interest_Rate*[0]!Loan_Years*[0]!Loan_Start&gt;0,1,0)</definedName>
    <definedName name="Values_Entered" localSheetId="5">IF([0]!Loan_Amount*[0]!Interest_Rate*[0]!Loan_Years*[0]!Loan_Start&gt;0,1,0)</definedName>
    <definedName name="Values_Entered" localSheetId="6">IF([0]!Loan_Amount*[0]!Interest_Rate*[0]!Loan_Years*[0]!Loan_Start&gt;0,1,0)</definedName>
    <definedName name="Values_Entered" localSheetId="7">IF([0]!Loan_Amount*[0]!Interest_Rate*[0]!Loan_Years*[0]!Loan_Start&gt;0,1,0)</definedName>
    <definedName name="Values_Entered" localSheetId="8">IF([0]!Loan_Amount*[0]!Interest_Rate*[0]!Loan_Years*[0]!Loan_Start&gt;0,1,0)</definedName>
    <definedName name="Values_Entered" localSheetId="9">IF([0]!Loan_Amount*[0]!Interest_Rate*[0]!Loan_Years*[0]!Loan_Start&gt;0,1,0)</definedName>
    <definedName name="Values_Entered" localSheetId="10">IF([0]!Loan_Amount*[0]!Interest_Rate*[0]!Loan_Years*[0]!Loan_Start&gt;0,1,0)</definedName>
    <definedName name="Values_Entered" localSheetId="11">IF([0]!Loan_Amount*[0]!Interest_Rate*[0]!Loan_Years*[0]!Loan_Start&gt;0,1,0)</definedName>
    <definedName name="Values_Entered" localSheetId="12">IF([0]!Loan_Amount*[0]!Interest_Rate*[0]!Loan_Years*[0]!Loan_Start&gt;0,1,0)</definedName>
    <definedName name="Values_Entered" localSheetId="13">IF([0]!Loan_Amount*[0]!Interest_Rate*[0]!Loan_Years*[0]!Loan_Start&gt;0,1,0)</definedName>
    <definedName name="Values_Entered" localSheetId="14">IF([0]!Loan_Amount*[0]!Interest_Rate*[0]!Loan_Years*[0]!Loan_Start&gt;0,1,0)</definedName>
    <definedName name="Values_Entered">IF(Loan_Amount*Interest_Rate*Loan_Years*Loan_Start&gt;0,1,0)</definedName>
    <definedName name="vaponeo">#REF!</definedName>
    <definedName name="varmco">#REF!</definedName>
    <definedName name="varmco1mod">#REF!</definedName>
    <definedName name="vbarra">#REF!</definedName>
    <definedName name="vbarra1mod">#REF!</definedName>
    <definedName name="vbroca">#REF!</definedName>
    <definedName name="vbroca1mod">#REF!</definedName>
    <definedName name="vca">#REF!</definedName>
    <definedName name="vca1mod">#REF!</definedName>
    <definedName name="vcem1mod">#REF!</definedName>
    <definedName name="vclav">#REF!</definedName>
    <definedName name="vclav1mod">#REF!</definedName>
    <definedName name="vcub">#REF!</definedName>
    <definedName name="vcub1mod">#REF!</definedName>
    <definedName name="vdil">#REF!</definedName>
    <definedName name="vdil1mod">#REF!</definedName>
    <definedName name="VENTA">#N/A</definedName>
    <definedName name="veqc1mod">#REF!</definedName>
    <definedName name="veqh1mod">#REF!</definedName>
    <definedName name="veqh2mod">#REF!</definedName>
    <definedName name="veqh3mod">#REF!</definedName>
    <definedName name="veqhc">#REF!</definedName>
    <definedName name="veqhc1mod">#REF!</definedName>
    <definedName name="veqimp1mod">#REF!</definedName>
    <definedName name="veqnac1mod">#REF!</definedName>
    <definedName name="veqp1mod">#REF!</definedName>
    <definedName name="VERTEDERO_EN__V">#REF!</definedName>
    <definedName name="VERTEDERO_HORIZONTAL__REHBOCK">#REF!</definedName>
    <definedName name="vfiller">#REF!</definedName>
    <definedName name="vfiller1mod">#REF!</definedName>
    <definedName name="vflex1mod">#REF!</definedName>
    <definedName name="vflexposte">#REF!</definedName>
    <definedName name="vflexposte1mod">#REF!</definedName>
    <definedName name="vfo">#REF!</definedName>
    <definedName name="vfo1mod">#REF!</definedName>
    <definedName name="vgav1mod">#REF!</definedName>
    <definedName name="vgavhex">#REF!</definedName>
    <definedName name="vgavhex1mod">#REF!</definedName>
    <definedName name="vgel">#REF!</definedName>
    <definedName name="vgel1mod">#REF!</definedName>
    <definedName name="vgeot">#REF!</definedName>
    <definedName name="vgeot1mod">#REF!</definedName>
    <definedName name="vgf">#REF!</definedName>
    <definedName name="vgf1mod">#REF!</definedName>
    <definedName name="vgf3mod">#REF!</definedName>
    <definedName name="vggrales">#REF!</definedName>
    <definedName name="vgo">#REF!</definedName>
    <definedName name="vgo1mod">#REF!</definedName>
    <definedName name="VH">#N/A</definedName>
    <definedName name="Vida">#REF!</definedName>
    <definedName name="Viscosidad_Dinámica_y_Cinemática_del_Agua">#REF!</definedName>
    <definedName name="viv">#REF!</definedName>
    <definedName name="vjunexp">#REF!</definedName>
    <definedName name="vjunt">#REF!</definedName>
    <definedName name="vjunt1mod">#REF!</definedName>
    <definedName name="vmad">#REF!</definedName>
    <definedName name="vmad1mod">#REF!</definedName>
    <definedName name="vmas">#REF!</definedName>
    <definedName name="vmdeo1mod">#REF!</definedName>
    <definedName name="vmhex">#REF!</definedName>
    <definedName name="vmhex1mod">#REF!</definedName>
    <definedName name="vmov1mod">#REF!</definedName>
    <definedName name="vnago">#REF!</definedName>
    <definedName name="vnago1mod">#REF!</definedName>
    <definedName name="VOLT">#N/A</definedName>
    <definedName name="vomathap">#REF!</definedName>
    <definedName name="vomathpp">#REF!</definedName>
    <definedName name="votros">#REF!</definedName>
    <definedName name="votros1mod">#REF!</definedName>
    <definedName name="vpintref">#REF!</definedName>
    <definedName name="vpintref1mod">#REF!</definedName>
    <definedName name="vpvc">#REF!</definedName>
    <definedName name="vpvc1mod">#REF!</definedName>
    <definedName name="vrrc1mod">#REF!</definedName>
    <definedName name="vrrp1mod">#REF!</definedName>
    <definedName name="vseñ">#REF!</definedName>
    <definedName name="vseñ1mod">#REF!</definedName>
    <definedName name="VT">#N/A</definedName>
    <definedName name="vt100k">#REF!</definedName>
    <definedName name="vt1400k">#REF!</definedName>
    <definedName name="vt1450k">#REF!</definedName>
    <definedName name="vt50k">#REF!</definedName>
    <definedName name="vtmesh">#REF!</definedName>
    <definedName name="vtmesh1mod">#REF!</definedName>
    <definedName name="vtopes">#REF!</definedName>
    <definedName name="vviv">#REF!</definedName>
    <definedName name="vviv1mod">#REF!</definedName>
    <definedName name="W" localSheetId="0" hidden="1">{"NORMAL",#N/A,FALSE,"02"}</definedName>
    <definedName name="W" localSheetId="1" hidden="1">{"NORMAL",#N/A,FALSE,"02"}</definedName>
    <definedName name="W" localSheetId="2" hidden="1">{"NORMAL",#N/A,FALSE,"02"}</definedName>
    <definedName name="W" localSheetId="3" hidden="1">{"NORMAL",#N/A,FALSE,"02"}</definedName>
    <definedName name="W" localSheetId="4" hidden="1">{"NORMAL",#N/A,FALSE,"02"}</definedName>
    <definedName name="W" localSheetId="5" hidden="1">{"NORMAL",#N/A,FALSE,"02"}</definedName>
    <definedName name="W" localSheetId="6" hidden="1">{"NORMAL",#N/A,FALSE,"02"}</definedName>
    <definedName name="W" localSheetId="7" hidden="1">{"NORMAL",#N/A,FALSE,"02"}</definedName>
    <definedName name="W" localSheetId="8" hidden="1">{"NORMAL",#N/A,FALSE,"02"}</definedName>
    <definedName name="W" localSheetId="9" hidden="1">{"NORMAL",#N/A,FALSE,"02"}</definedName>
    <definedName name="W" localSheetId="10" hidden="1">{"NORMAL",#N/A,FALSE,"02"}</definedName>
    <definedName name="W" localSheetId="11" hidden="1">{"NORMAL",#N/A,FALSE,"02"}</definedName>
    <definedName name="W" localSheetId="12" hidden="1">{"NORMAL",#N/A,FALSE,"02"}</definedName>
    <definedName name="W" localSheetId="13" hidden="1">{"NORMAL",#N/A,FALSE,"02"}</definedName>
    <definedName name="W" localSheetId="14" hidden="1">{"NORMAL",#N/A,FALSE,"02"}</definedName>
    <definedName name="W" hidden="1">{"NORMAL",#N/A,FALSE,"02"}</definedName>
    <definedName name="we" localSheetId="0">#REF!</definedName>
    <definedName name="we" localSheetId="1">#REF!</definedName>
    <definedName name="we" localSheetId="2">#REF!</definedName>
    <definedName name="we" localSheetId="3">#REF!</definedName>
    <definedName name="we" localSheetId="4">#REF!</definedName>
    <definedName name="we" localSheetId="5">#REF!</definedName>
    <definedName name="we" localSheetId="6">#REF!</definedName>
    <definedName name="we" localSheetId="7">#REF!</definedName>
    <definedName name="we" localSheetId="8">#REF!</definedName>
    <definedName name="we" localSheetId="9">#REF!</definedName>
    <definedName name="we" localSheetId="10">#REF!</definedName>
    <definedName name="we" localSheetId="11">#REF!</definedName>
    <definedName name="we" localSheetId="12">#REF!</definedName>
    <definedName name="we" localSheetId="13">#REF!</definedName>
    <definedName name="we" localSheetId="14">#REF!</definedName>
    <definedName name="we">#REF!</definedName>
    <definedName name="wrn.02INFORME." localSheetId="0" hidden="1">{"NORMAL",#N/A,FALSE,"02"}</definedName>
    <definedName name="wrn.02INFORME." localSheetId="1" hidden="1">{"NORMAL",#N/A,FALSE,"02"}</definedName>
    <definedName name="wrn.02INFORME." localSheetId="2" hidden="1">{"NORMAL",#N/A,FALSE,"02"}</definedName>
    <definedName name="wrn.02INFORME." localSheetId="3" hidden="1">{"NORMAL",#N/A,FALSE,"02"}</definedName>
    <definedName name="wrn.02INFORME." localSheetId="4" hidden="1">{"NORMAL",#N/A,FALSE,"02"}</definedName>
    <definedName name="wrn.02INFORME." localSheetId="5" hidden="1">{"NORMAL",#N/A,FALSE,"02"}</definedName>
    <definedName name="wrn.02INFORME." localSheetId="6" hidden="1">{"NORMAL",#N/A,FALSE,"02"}</definedName>
    <definedName name="wrn.02INFORME." localSheetId="7" hidden="1">{"NORMAL",#N/A,FALSE,"02"}</definedName>
    <definedName name="wrn.02INFORME." localSheetId="8" hidden="1">{"NORMAL",#N/A,FALSE,"02"}</definedName>
    <definedName name="wrn.02INFORME." localSheetId="9" hidden="1">{"NORMAL",#N/A,FALSE,"02"}</definedName>
    <definedName name="wrn.02INFORME." localSheetId="10" hidden="1">{"NORMAL",#N/A,FALSE,"02"}</definedName>
    <definedName name="wrn.02INFORME." localSheetId="11" hidden="1">{"NORMAL",#N/A,FALSE,"02"}</definedName>
    <definedName name="wrn.02INFORME." localSheetId="12" hidden="1">{"NORMAL",#N/A,FALSE,"02"}</definedName>
    <definedName name="wrn.02INFORME." localSheetId="13" hidden="1">{"NORMAL",#N/A,FALSE,"02"}</definedName>
    <definedName name="wrn.02INFORME." localSheetId="14" hidden="1">{"NORMAL",#N/A,FALSE,"02"}</definedName>
    <definedName name="wrn.02INFORME." hidden="1">{"NORMAL",#N/A,FALSE,"02"}</definedName>
    <definedName name="wrn.DECIMAL." localSheetId="0" hidden="1">{"DECIMAL",#N/A,FALSE,"02"}</definedName>
    <definedName name="wrn.DECIMAL." localSheetId="1" hidden="1">{"DECIMAL",#N/A,FALSE,"02"}</definedName>
    <definedName name="wrn.DECIMAL." localSheetId="2" hidden="1">{"DECIMAL",#N/A,FALSE,"02"}</definedName>
    <definedName name="wrn.DECIMAL." localSheetId="3" hidden="1">{"DECIMAL",#N/A,FALSE,"02"}</definedName>
    <definedName name="wrn.DECIMAL." localSheetId="4" hidden="1">{"DECIMAL",#N/A,FALSE,"02"}</definedName>
    <definedName name="wrn.DECIMAL." localSheetId="5" hidden="1">{"DECIMAL",#N/A,FALSE,"02"}</definedName>
    <definedName name="wrn.DECIMAL." localSheetId="6" hidden="1">{"DECIMAL",#N/A,FALSE,"02"}</definedName>
    <definedName name="wrn.DECIMAL." localSheetId="7" hidden="1">{"DECIMAL",#N/A,FALSE,"02"}</definedName>
    <definedName name="wrn.DECIMAL." localSheetId="8" hidden="1">{"DECIMAL",#N/A,FALSE,"02"}</definedName>
    <definedName name="wrn.DECIMAL." localSheetId="9" hidden="1">{"DECIMAL",#N/A,FALSE,"02"}</definedName>
    <definedName name="wrn.DECIMAL." localSheetId="10" hidden="1">{"DECIMAL",#N/A,FALSE,"02"}</definedName>
    <definedName name="wrn.DECIMAL." localSheetId="11" hidden="1">{"DECIMAL",#N/A,FALSE,"02"}</definedName>
    <definedName name="wrn.DECIMAL." localSheetId="12" hidden="1">{"DECIMAL",#N/A,FALSE,"02"}</definedName>
    <definedName name="wrn.DECIMAL." localSheetId="13" hidden="1">{"DECIMAL",#N/A,FALSE,"02"}</definedName>
    <definedName name="wrn.DECIMAL." localSheetId="14" hidden="1">{"DECIMAL",#N/A,FALSE,"02"}</definedName>
    <definedName name="wrn.DECIMAL." hidden="1">{"DECIMAL",#N/A,FALSE,"02"}</definedName>
    <definedName name="wrn.Graficos._.CG." localSheetId="0" hidden="1">{#N/A,#N/A,TRUE,"Cert.Global";#N/A,#N/A,TRUE,"Cert. M&amp;C";#N/A,#N/A,TRUE,"Cert. Engineering";#N/A,#N/A,TRUE,"Cert. Procurement ";#N/A,#N/A,TRUE,"Cert. Constr. Manag."}</definedName>
    <definedName name="wrn.Graficos._.CG." localSheetId="1" hidden="1">{#N/A,#N/A,TRUE,"Cert.Global";#N/A,#N/A,TRUE,"Cert. M&amp;C";#N/A,#N/A,TRUE,"Cert. Engineering";#N/A,#N/A,TRUE,"Cert. Procurement ";#N/A,#N/A,TRUE,"Cert. Constr. Manag."}</definedName>
    <definedName name="wrn.Graficos._.CG." localSheetId="2" hidden="1">{#N/A,#N/A,TRUE,"Cert.Global";#N/A,#N/A,TRUE,"Cert. M&amp;C";#N/A,#N/A,TRUE,"Cert. Engineering";#N/A,#N/A,TRUE,"Cert. Procurement ";#N/A,#N/A,TRUE,"Cert. Constr. Manag."}</definedName>
    <definedName name="wrn.Graficos._.CG." localSheetId="3" hidden="1">{#N/A,#N/A,TRUE,"Cert.Global";#N/A,#N/A,TRUE,"Cert. M&amp;C";#N/A,#N/A,TRUE,"Cert. Engineering";#N/A,#N/A,TRUE,"Cert. Procurement ";#N/A,#N/A,TRUE,"Cert. Constr. Manag."}</definedName>
    <definedName name="wrn.Graficos._.CG." localSheetId="4" hidden="1">{#N/A,#N/A,TRUE,"Cert.Global";#N/A,#N/A,TRUE,"Cert. M&amp;C";#N/A,#N/A,TRUE,"Cert. Engineering";#N/A,#N/A,TRUE,"Cert. Procurement ";#N/A,#N/A,TRUE,"Cert. Constr. Manag."}</definedName>
    <definedName name="wrn.Graficos._.CG." localSheetId="5" hidden="1">{#N/A,#N/A,TRUE,"Cert.Global";#N/A,#N/A,TRUE,"Cert. M&amp;C";#N/A,#N/A,TRUE,"Cert. Engineering";#N/A,#N/A,TRUE,"Cert. Procurement ";#N/A,#N/A,TRUE,"Cert. Constr. Manag."}</definedName>
    <definedName name="wrn.Graficos._.CG." localSheetId="6" hidden="1">{#N/A,#N/A,TRUE,"Cert.Global";#N/A,#N/A,TRUE,"Cert. M&amp;C";#N/A,#N/A,TRUE,"Cert. Engineering";#N/A,#N/A,TRUE,"Cert. Procurement ";#N/A,#N/A,TRUE,"Cert. Constr. Manag."}</definedName>
    <definedName name="wrn.Graficos._.CG." localSheetId="7" hidden="1">{#N/A,#N/A,TRUE,"Cert.Global";#N/A,#N/A,TRUE,"Cert. M&amp;C";#N/A,#N/A,TRUE,"Cert. Engineering";#N/A,#N/A,TRUE,"Cert. Procurement ";#N/A,#N/A,TRUE,"Cert. Constr. Manag."}</definedName>
    <definedName name="wrn.Graficos._.CG." localSheetId="8" hidden="1">{#N/A,#N/A,TRUE,"Cert.Global";#N/A,#N/A,TRUE,"Cert. M&amp;C";#N/A,#N/A,TRUE,"Cert. Engineering";#N/A,#N/A,TRUE,"Cert. Procurement ";#N/A,#N/A,TRUE,"Cert. Constr. Manag."}</definedName>
    <definedName name="wrn.Graficos._.CG." localSheetId="9" hidden="1">{#N/A,#N/A,TRUE,"Cert.Global";#N/A,#N/A,TRUE,"Cert. M&amp;C";#N/A,#N/A,TRUE,"Cert. Engineering";#N/A,#N/A,TRUE,"Cert. Procurement ";#N/A,#N/A,TRUE,"Cert. Constr. Manag."}</definedName>
    <definedName name="wrn.Graficos._.CG." localSheetId="10" hidden="1">{#N/A,#N/A,TRUE,"Cert.Global";#N/A,#N/A,TRUE,"Cert. M&amp;C";#N/A,#N/A,TRUE,"Cert. Engineering";#N/A,#N/A,TRUE,"Cert. Procurement ";#N/A,#N/A,TRUE,"Cert. Constr. Manag."}</definedName>
    <definedName name="wrn.Graficos._.CG." localSheetId="11" hidden="1">{#N/A,#N/A,TRUE,"Cert.Global";#N/A,#N/A,TRUE,"Cert. M&amp;C";#N/A,#N/A,TRUE,"Cert. Engineering";#N/A,#N/A,TRUE,"Cert. Procurement ";#N/A,#N/A,TRUE,"Cert. Constr. Manag."}</definedName>
    <definedName name="wrn.Graficos._.CG." localSheetId="12" hidden="1">{#N/A,#N/A,TRUE,"Cert.Global";#N/A,#N/A,TRUE,"Cert. M&amp;C";#N/A,#N/A,TRUE,"Cert. Engineering";#N/A,#N/A,TRUE,"Cert. Procurement ";#N/A,#N/A,TRUE,"Cert. Constr. Manag."}</definedName>
    <definedName name="wrn.Graficos._.CG." localSheetId="13" hidden="1">{#N/A,#N/A,TRUE,"Cert.Global";#N/A,#N/A,TRUE,"Cert. M&amp;C";#N/A,#N/A,TRUE,"Cert. Engineering";#N/A,#N/A,TRUE,"Cert. Procurement ";#N/A,#N/A,TRUE,"Cert. Constr. Manag."}</definedName>
    <definedName name="wrn.Graficos._.CG." localSheetId="14" hidden="1">{#N/A,#N/A,TRUE,"Cert.Global";#N/A,#N/A,TRUE,"Cert. M&amp;C";#N/A,#N/A,TRUE,"Cert. Engineering";#N/A,#N/A,TRUE,"Cert. Procurement ";#N/A,#N/A,TRUE,"Cert. Constr. Manag."}</definedName>
    <definedName name="wrn.Graficos._.CG." hidden="1">{#N/A,#N/A,TRUE,"Cert.Global";#N/A,#N/A,TRUE,"Cert. M&amp;C";#N/A,#N/A,TRUE,"Cert. Engineering";#N/A,#N/A,TRUE,"Cert. Procurement ";#N/A,#N/A,TRUE,"Cert. Constr. Manag."}</definedName>
    <definedName name="wrn.Presentación._.Budget." localSheetId="0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2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3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4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5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6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7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8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9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0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1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2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3" hidden="1">{#N/A,#N/A,FALSE,"CONSOLIDADO HORAS";#N/A,#N/A,FALSE,"Resumen consolidado";#N/A,#N/A,FALSE,"Resumen Disponibilidades";#N/A,#N/A,FALSE,"Análisis Tepge";#N/A,#N/A,FALSE,"Análisis Tepge (por depto)"}</definedName>
    <definedName name="wrn.Presentación._.Budget." localSheetId="14" hidden="1">{#N/A,#N/A,FALSE,"CONSOLIDADO HORAS";#N/A,#N/A,FALSE,"Resumen consolidado";#N/A,#N/A,FALSE,"Resumen Disponibilidades";#N/A,#N/A,FALSE,"Análisis Tepge";#N/A,#N/A,FALSE,"Análisis Tepge (por depto)"}</definedName>
    <definedName name="wrn.Presentación._.Budget." hidden="1">{#N/A,#N/A,FALSE,"CONSOLIDADO HORAS";#N/A,#N/A,FALSE,"Resumen consolidado";#N/A,#N/A,FALSE,"Resumen Disponibilidades";#N/A,#N/A,FALSE,"Análisis Tepge";#N/A,#N/A,FALSE,"Análisis Tepge (por depto)"}</definedName>
    <definedName name="wrn.Report._.Mensual." localSheetId="0" hidden="1">{#N/A,#N/A,FALSE,"Monthly report";#N/A,#N/A,FALSE,"M.R. UEM";#N/A,#N/A,FALSE,"M.R. VCM"}</definedName>
    <definedName name="wrn.Report._.Mensual." localSheetId="1" hidden="1">{#N/A,#N/A,FALSE,"Monthly report";#N/A,#N/A,FALSE,"M.R. UEM";#N/A,#N/A,FALSE,"M.R. VCM"}</definedName>
    <definedName name="wrn.Report._.Mensual." localSheetId="2" hidden="1">{#N/A,#N/A,FALSE,"Monthly report";#N/A,#N/A,FALSE,"M.R. UEM";#N/A,#N/A,FALSE,"M.R. VCM"}</definedName>
    <definedName name="wrn.Report._.Mensual." localSheetId="3" hidden="1">{#N/A,#N/A,FALSE,"Monthly report";#N/A,#N/A,FALSE,"M.R. UEM";#N/A,#N/A,FALSE,"M.R. VCM"}</definedName>
    <definedName name="wrn.Report._.Mensual." localSheetId="4" hidden="1">{#N/A,#N/A,FALSE,"Monthly report";#N/A,#N/A,FALSE,"M.R. UEM";#N/A,#N/A,FALSE,"M.R. VCM"}</definedName>
    <definedName name="wrn.Report._.Mensual." localSheetId="5" hidden="1">{#N/A,#N/A,FALSE,"Monthly report";#N/A,#N/A,FALSE,"M.R. UEM";#N/A,#N/A,FALSE,"M.R. VCM"}</definedName>
    <definedName name="wrn.Report._.Mensual." localSheetId="6" hidden="1">{#N/A,#N/A,FALSE,"Monthly report";#N/A,#N/A,FALSE,"M.R. UEM";#N/A,#N/A,FALSE,"M.R. VCM"}</definedName>
    <definedName name="wrn.Report._.Mensual." localSheetId="7" hidden="1">{#N/A,#N/A,FALSE,"Monthly report";#N/A,#N/A,FALSE,"M.R. UEM";#N/A,#N/A,FALSE,"M.R. VCM"}</definedName>
    <definedName name="wrn.Report._.Mensual." localSheetId="8" hidden="1">{#N/A,#N/A,FALSE,"Monthly report";#N/A,#N/A,FALSE,"M.R. UEM";#N/A,#N/A,FALSE,"M.R. VCM"}</definedName>
    <definedName name="wrn.Report._.Mensual." localSheetId="9" hidden="1">{#N/A,#N/A,FALSE,"Monthly report";#N/A,#N/A,FALSE,"M.R. UEM";#N/A,#N/A,FALSE,"M.R. VCM"}</definedName>
    <definedName name="wrn.Report._.Mensual." localSheetId="10" hidden="1">{#N/A,#N/A,FALSE,"Monthly report";#N/A,#N/A,FALSE,"M.R. UEM";#N/A,#N/A,FALSE,"M.R. VCM"}</definedName>
    <definedName name="wrn.Report._.Mensual." localSheetId="11" hidden="1">{#N/A,#N/A,FALSE,"Monthly report";#N/A,#N/A,FALSE,"M.R. UEM";#N/A,#N/A,FALSE,"M.R. VCM"}</definedName>
    <definedName name="wrn.Report._.Mensual." localSheetId="12" hidden="1">{#N/A,#N/A,FALSE,"Monthly report";#N/A,#N/A,FALSE,"M.R. UEM";#N/A,#N/A,FALSE,"M.R. VCM"}</definedName>
    <definedName name="wrn.Report._.Mensual." localSheetId="13" hidden="1">{#N/A,#N/A,FALSE,"Monthly report";#N/A,#N/A,FALSE,"M.R. UEM";#N/A,#N/A,FALSE,"M.R. VCM"}</definedName>
    <definedName name="wrn.Report._.Mensual." localSheetId="14" hidden="1">{#N/A,#N/A,FALSE,"Monthly report";#N/A,#N/A,FALSE,"M.R. UEM";#N/A,#N/A,FALSE,"M.R. VCM"}</definedName>
    <definedName name="wrn.Report._.Mensual." hidden="1">{#N/A,#N/A,FALSE,"Monthly report";#N/A,#N/A,FALSE,"M.R. UEM";#N/A,#N/A,FALSE,"M.R. VCM"}</definedName>
    <definedName name="Wx">#REF!</definedName>
    <definedName name="WY">#N/A</definedName>
    <definedName name="Wz">#REF!</definedName>
    <definedName name="x" localSheetId="0" hidden="1">{"DECIMAL",#N/A,FALSE,"02"}</definedName>
    <definedName name="x" localSheetId="1" hidden="1">{"DECIMAL",#N/A,FALSE,"02"}</definedName>
    <definedName name="x" localSheetId="2" hidden="1">{"DECIMAL",#N/A,FALSE,"02"}</definedName>
    <definedName name="x" localSheetId="3" hidden="1">{"DECIMAL",#N/A,FALSE,"02"}</definedName>
    <definedName name="x" localSheetId="4" hidden="1">{"DECIMAL",#N/A,FALSE,"02"}</definedName>
    <definedName name="x" localSheetId="5" hidden="1">{"DECIMAL",#N/A,FALSE,"02"}</definedName>
    <definedName name="x" localSheetId="6" hidden="1">{"DECIMAL",#N/A,FALSE,"02"}</definedName>
    <definedName name="x" localSheetId="7" hidden="1">{"DECIMAL",#N/A,FALSE,"02"}</definedName>
    <definedName name="x" localSheetId="8" hidden="1">{"DECIMAL",#N/A,FALSE,"02"}</definedName>
    <definedName name="x" localSheetId="9" hidden="1">{"DECIMAL",#N/A,FALSE,"02"}</definedName>
    <definedName name="x" localSheetId="10" hidden="1">{"DECIMAL",#N/A,FALSE,"02"}</definedName>
    <definedName name="x" localSheetId="11" hidden="1">{"DECIMAL",#N/A,FALSE,"02"}</definedName>
    <definedName name="x" localSheetId="12" hidden="1">{"DECIMAL",#N/A,FALSE,"02"}</definedName>
    <definedName name="x" localSheetId="13" hidden="1">{"DECIMAL",#N/A,FALSE,"02"}</definedName>
    <definedName name="x" localSheetId="14" hidden="1">{"DECIMAL",#N/A,FALSE,"02"}</definedName>
    <definedName name="x" hidden="1">{"DECIMAL",#N/A,FALSE,"02"}</definedName>
    <definedName name="XXX" localSheetId="0" hidden="1">{"NORMAL",#N/A,FALSE,"02"}</definedName>
    <definedName name="XXX" localSheetId="1" hidden="1">{"NORMAL",#N/A,FALSE,"02"}</definedName>
    <definedName name="XXX" localSheetId="2" hidden="1">{"NORMAL",#N/A,FALSE,"02"}</definedName>
    <definedName name="XXX" localSheetId="3" hidden="1">{"NORMAL",#N/A,FALSE,"02"}</definedName>
    <definedName name="XXX" localSheetId="4" hidden="1">{"NORMAL",#N/A,FALSE,"02"}</definedName>
    <definedName name="XXX" localSheetId="5" hidden="1">{"NORMAL",#N/A,FALSE,"02"}</definedName>
    <definedName name="XXX" localSheetId="6" hidden="1">{"NORMAL",#N/A,FALSE,"02"}</definedName>
    <definedName name="XXX" localSheetId="7" hidden="1">{"NORMAL",#N/A,FALSE,"02"}</definedName>
    <definedName name="XXX" localSheetId="8" hidden="1">{"NORMAL",#N/A,FALSE,"02"}</definedName>
    <definedName name="XXX" localSheetId="9" hidden="1">{"NORMAL",#N/A,FALSE,"02"}</definedName>
    <definedName name="XXX" localSheetId="10" hidden="1">{"NORMAL",#N/A,FALSE,"02"}</definedName>
    <definedName name="XXX" localSheetId="11" hidden="1">{"NORMAL",#N/A,FALSE,"02"}</definedName>
    <definedName name="XXX" localSheetId="12" hidden="1">{"NORMAL",#N/A,FALSE,"02"}</definedName>
    <definedName name="XXX" localSheetId="13" hidden="1">{"NORMAL",#N/A,FALSE,"02"}</definedName>
    <definedName name="XXX" localSheetId="14" hidden="1">{"NORMAL",#N/A,FALSE,"02"}</definedName>
    <definedName name="XXX" hidden="1">{"NORMAL",#N/A,FALSE,"02"}</definedName>
    <definedName name="z">#REF!</definedName>
    <definedName name="Z_3EF0D3E3_8069_11D6_A032_005004A43871_.wvu.PrintTitles" hidden="1">#REF!</definedName>
  </definedNames>
  <calcPr calcId="191028" iterateDelta="1E-4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1" i="16" l="1"/>
  <c r="N216" i="16"/>
  <c r="L216" i="16"/>
  <c r="K212" i="16"/>
  <c r="E212" i="16"/>
  <c r="F212" i="16" s="1"/>
  <c r="M211" i="16"/>
  <c r="L211" i="16"/>
  <c r="K211" i="16"/>
  <c r="N211" i="16" s="1"/>
  <c r="F211" i="16"/>
  <c r="E211" i="16"/>
  <c r="K210" i="16"/>
  <c r="E210" i="16"/>
  <c r="F210" i="16" s="1"/>
  <c r="K209" i="16"/>
  <c r="E209" i="16"/>
  <c r="F209" i="16" s="1"/>
  <c r="K207" i="16"/>
  <c r="E207" i="16"/>
  <c r="F207" i="16" s="1"/>
  <c r="K205" i="16"/>
  <c r="E205" i="16"/>
  <c r="F205" i="16" s="1"/>
  <c r="K204" i="16"/>
  <c r="E204" i="16"/>
  <c r="F204" i="16" s="1"/>
  <c r="K202" i="16"/>
  <c r="E202" i="16"/>
  <c r="F202" i="16" s="1"/>
  <c r="K200" i="16"/>
  <c r="F200" i="16"/>
  <c r="N200" i="16" s="1"/>
  <c r="E200" i="16"/>
  <c r="L194" i="16"/>
  <c r="K194" i="16"/>
  <c r="F194" i="16"/>
  <c r="K193" i="16"/>
  <c r="F193" i="16"/>
  <c r="M191" i="16"/>
  <c r="K191" i="16"/>
  <c r="N191" i="16" s="1"/>
  <c r="F191" i="16"/>
  <c r="L191" i="16" s="1"/>
  <c r="K190" i="16"/>
  <c r="F190" i="16"/>
  <c r="N190" i="16" s="1"/>
  <c r="K189" i="16"/>
  <c r="N189" i="16" s="1"/>
  <c r="F189" i="16"/>
  <c r="M189" i="16" s="1"/>
  <c r="M188" i="16"/>
  <c r="L188" i="16"/>
  <c r="K188" i="16"/>
  <c r="F188" i="16"/>
  <c r="N188" i="16" s="1"/>
  <c r="L187" i="16"/>
  <c r="K187" i="16"/>
  <c r="F187" i="16"/>
  <c r="K186" i="16"/>
  <c r="F186" i="16"/>
  <c r="L185" i="16"/>
  <c r="K185" i="16"/>
  <c r="F185" i="16"/>
  <c r="M184" i="16"/>
  <c r="K184" i="16"/>
  <c r="N184" i="16" s="1"/>
  <c r="F184" i="16"/>
  <c r="L184" i="16" s="1"/>
  <c r="M183" i="16"/>
  <c r="K183" i="16"/>
  <c r="F183" i="16"/>
  <c r="N183" i="16" s="1"/>
  <c r="M181" i="16"/>
  <c r="L181" i="16"/>
  <c r="K181" i="16"/>
  <c r="F181" i="16"/>
  <c r="L180" i="16"/>
  <c r="K180" i="16"/>
  <c r="F180" i="16"/>
  <c r="K179" i="16"/>
  <c r="F179" i="16"/>
  <c r="G177" i="16" s="1"/>
  <c r="L178" i="16"/>
  <c r="K178" i="16"/>
  <c r="F178" i="16"/>
  <c r="N178" i="16" s="1"/>
  <c r="L176" i="16"/>
  <c r="K176" i="16"/>
  <c r="F176" i="16"/>
  <c r="L175" i="16"/>
  <c r="K175" i="16"/>
  <c r="N175" i="16" s="1"/>
  <c r="F175" i="16"/>
  <c r="M175" i="16" s="1"/>
  <c r="G174" i="16"/>
  <c r="N173" i="16"/>
  <c r="M173" i="16"/>
  <c r="L173" i="16"/>
  <c r="K173" i="16"/>
  <c r="F173" i="16"/>
  <c r="G172" i="16"/>
  <c r="M171" i="16"/>
  <c r="K171" i="16"/>
  <c r="F171" i="16"/>
  <c r="N171" i="16" s="1"/>
  <c r="K170" i="16"/>
  <c r="N170" i="16" s="1"/>
  <c r="F170" i="16"/>
  <c r="M170" i="16" s="1"/>
  <c r="L168" i="16"/>
  <c r="K168" i="16"/>
  <c r="F168" i="16"/>
  <c r="K167" i="16"/>
  <c r="F167" i="16"/>
  <c r="N167" i="16" s="1"/>
  <c r="L166" i="16"/>
  <c r="K166" i="16"/>
  <c r="F166" i="16"/>
  <c r="K165" i="16"/>
  <c r="F165" i="16"/>
  <c r="M165" i="16" s="1"/>
  <c r="M163" i="16"/>
  <c r="L163" i="16"/>
  <c r="K163" i="16"/>
  <c r="N163" i="16" s="1"/>
  <c r="F163" i="16"/>
  <c r="G162" i="16"/>
  <c r="N161" i="16"/>
  <c r="M161" i="16"/>
  <c r="L161" i="16"/>
  <c r="K161" i="16"/>
  <c r="F161" i="16"/>
  <c r="M160" i="16"/>
  <c r="L160" i="16"/>
  <c r="K160" i="16"/>
  <c r="N160" i="16" s="1"/>
  <c r="F160" i="16"/>
  <c r="G159" i="16"/>
  <c r="K158" i="16"/>
  <c r="N158" i="16" s="1"/>
  <c r="F158" i="16"/>
  <c r="M158" i="16" s="1"/>
  <c r="L156" i="16"/>
  <c r="K156" i="16"/>
  <c r="F156" i="16"/>
  <c r="N156" i="16" s="1"/>
  <c r="K155" i="16"/>
  <c r="F155" i="16"/>
  <c r="L154" i="16"/>
  <c r="K154" i="16"/>
  <c r="F154" i="16"/>
  <c r="K153" i="16"/>
  <c r="F153" i="16"/>
  <c r="M153" i="16" s="1"/>
  <c r="M152" i="16"/>
  <c r="K152" i="16"/>
  <c r="F152" i="16"/>
  <c r="M150" i="16"/>
  <c r="L150" i="16"/>
  <c r="K150" i="16"/>
  <c r="F150" i="16"/>
  <c r="L149" i="16"/>
  <c r="K149" i="16"/>
  <c r="F149" i="16"/>
  <c r="K148" i="16"/>
  <c r="F148" i="16"/>
  <c r="M146" i="16"/>
  <c r="K146" i="16"/>
  <c r="N146" i="16" s="1"/>
  <c r="F146" i="16"/>
  <c r="L146" i="16" s="1"/>
  <c r="L145" i="16"/>
  <c r="K145" i="16"/>
  <c r="F145" i="16"/>
  <c r="M144" i="16"/>
  <c r="L144" i="16"/>
  <c r="K144" i="16"/>
  <c r="N144" i="16" s="1"/>
  <c r="F144" i="16"/>
  <c r="G143" i="16"/>
  <c r="N141" i="16"/>
  <c r="M141" i="16"/>
  <c r="L141" i="16"/>
  <c r="K141" i="16"/>
  <c r="F141" i="16"/>
  <c r="M140" i="16"/>
  <c r="L140" i="16"/>
  <c r="K140" i="16"/>
  <c r="N140" i="16" s="1"/>
  <c r="F140" i="16"/>
  <c r="M139" i="16"/>
  <c r="L139" i="16"/>
  <c r="K139" i="16"/>
  <c r="N139" i="16" s="1"/>
  <c r="F139" i="16"/>
  <c r="N138" i="16"/>
  <c r="M138" i="16"/>
  <c r="K138" i="16"/>
  <c r="F138" i="16"/>
  <c r="L138" i="16" s="1"/>
  <c r="L137" i="16"/>
  <c r="K137" i="16"/>
  <c r="F137" i="16"/>
  <c r="K136" i="16"/>
  <c r="F136" i="16"/>
  <c r="M135" i="16"/>
  <c r="L135" i="16"/>
  <c r="K135" i="16"/>
  <c r="F135" i="16"/>
  <c r="N135" i="16" s="1"/>
  <c r="L134" i="16"/>
  <c r="K134" i="16"/>
  <c r="F134" i="16"/>
  <c r="N134" i="16" s="1"/>
  <c r="K133" i="16"/>
  <c r="F133" i="16"/>
  <c r="L132" i="16"/>
  <c r="K132" i="16"/>
  <c r="N132" i="16" s="1"/>
  <c r="F132" i="16"/>
  <c r="M132" i="16" s="1"/>
  <c r="K131" i="16"/>
  <c r="F131" i="16"/>
  <c r="M131" i="16" s="1"/>
  <c r="M130" i="16"/>
  <c r="K130" i="16"/>
  <c r="F130" i="16"/>
  <c r="M129" i="16"/>
  <c r="K129" i="16"/>
  <c r="N129" i="16" s="1"/>
  <c r="F129" i="16"/>
  <c r="L129" i="16" s="1"/>
  <c r="K128" i="16"/>
  <c r="F128" i="16"/>
  <c r="L128" i="16" s="1"/>
  <c r="L127" i="16"/>
  <c r="K127" i="16"/>
  <c r="N127" i="16" s="1"/>
  <c r="F127" i="16"/>
  <c r="M127" i="16" s="1"/>
  <c r="K126" i="16"/>
  <c r="F126" i="16"/>
  <c r="M126" i="16" s="1"/>
  <c r="M125" i="16"/>
  <c r="L125" i="16"/>
  <c r="K125" i="16"/>
  <c r="N125" i="16" s="1"/>
  <c r="F125" i="16"/>
  <c r="M124" i="16"/>
  <c r="L124" i="16"/>
  <c r="K124" i="16"/>
  <c r="N124" i="16" s="1"/>
  <c r="F124" i="16"/>
  <c r="K123" i="16"/>
  <c r="F123" i="16"/>
  <c r="M122" i="16"/>
  <c r="K122" i="16"/>
  <c r="N122" i="16" s="1"/>
  <c r="F122" i="16"/>
  <c r="L122" i="16" s="1"/>
  <c r="L121" i="16"/>
  <c r="K121" i="16"/>
  <c r="F121" i="16"/>
  <c r="K120" i="16"/>
  <c r="F120" i="16"/>
  <c r="N119" i="16"/>
  <c r="M119" i="16"/>
  <c r="L119" i="16"/>
  <c r="K119" i="16"/>
  <c r="F119" i="16"/>
  <c r="L118" i="16"/>
  <c r="K118" i="16"/>
  <c r="F118" i="16"/>
  <c r="K117" i="16"/>
  <c r="F117" i="16"/>
  <c r="N117" i="16" s="1"/>
  <c r="N116" i="16"/>
  <c r="M116" i="16"/>
  <c r="L116" i="16"/>
  <c r="K116" i="16"/>
  <c r="F116" i="16"/>
  <c r="K115" i="16"/>
  <c r="F115" i="16"/>
  <c r="M115" i="16" s="1"/>
  <c r="M114" i="16"/>
  <c r="K114" i="16"/>
  <c r="F114" i="16"/>
  <c r="M113" i="16"/>
  <c r="L113" i="16"/>
  <c r="K113" i="16"/>
  <c r="N113" i="16" s="1"/>
  <c r="F113" i="16"/>
  <c r="K112" i="16"/>
  <c r="F112" i="16"/>
  <c r="L112" i="16" s="1"/>
  <c r="L111" i="16"/>
  <c r="K111" i="16"/>
  <c r="F111" i="16"/>
  <c r="M111" i="16" s="1"/>
  <c r="K110" i="16"/>
  <c r="F110" i="16"/>
  <c r="L110" i="16" s="1"/>
  <c r="K109" i="16"/>
  <c r="F109" i="16"/>
  <c r="G108" i="16" s="1"/>
  <c r="A109" i="16"/>
  <c r="K107" i="16"/>
  <c r="F107" i="16"/>
  <c r="N107" i="16" s="1"/>
  <c r="M106" i="16"/>
  <c r="L106" i="16"/>
  <c r="K106" i="16"/>
  <c r="N106" i="16" s="1"/>
  <c r="F106" i="16"/>
  <c r="K105" i="16"/>
  <c r="F105" i="16"/>
  <c r="M105" i="16" s="1"/>
  <c r="M104" i="16"/>
  <c r="K104" i="16"/>
  <c r="F104" i="16"/>
  <c r="N104" i="16" s="1"/>
  <c r="A104" i="16"/>
  <c r="G103" i="16"/>
  <c r="N102" i="16"/>
  <c r="M102" i="16"/>
  <c r="K102" i="16"/>
  <c r="F102" i="16"/>
  <c r="L102" i="16" s="1"/>
  <c r="G101" i="16"/>
  <c r="L100" i="16"/>
  <c r="K100" i="16"/>
  <c r="N100" i="16" s="1"/>
  <c r="F100" i="16"/>
  <c r="M100" i="16" s="1"/>
  <c r="K99" i="16"/>
  <c r="F99" i="16"/>
  <c r="M99" i="16" s="1"/>
  <c r="K98" i="16"/>
  <c r="N98" i="16" s="1"/>
  <c r="F98" i="16"/>
  <c r="M98" i="16" s="1"/>
  <c r="M97" i="16"/>
  <c r="L97" i="16"/>
  <c r="K97" i="16"/>
  <c r="N97" i="16" s="1"/>
  <c r="F97" i="16"/>
  <c r="K96" i="16"/>
  <c r="F96" i="16"/>
  <c r="N96" i="16" s="1"/>
  <c r="N95" i="16"/>
  <c r="M95" i="16"/>
  <c r="K95" i="16"/>
  <c r="F95" i="16"/>
  <c r="L95" i="16" s="1"/>
  <c r="L94" i="16"/>
  <c r="K94" i="16"/>
  <c r="F94" i="16"/>
  <c r="M94" i="16" s="1"/>
  <c r="K93" i="16"/>
  <c r="F93" i="16"/>
  <c r="M92" i="16"/>
  <c r="L92" i="16"/>
  <c r="K92" i="16"/>
  <c r="N92" i="16" s="1"/>
  <c r="F92" i="16"/>
  <c r="M91" i="16"/>
  <c r="L91" i="16"/>
  <c r="K91" i="16"/>
  <c r="F91" i="16"/>
  <c r="K90" i="16"/>
  <c r="F90" i="16"/>
  <c r="G88" i="16" s="1"/>
  <c r="N89" i="16"/>
  <c r="M89" i="16"/>
  <c r="L89" i="16"/>
  <c r="K89" i="16"/>
  <c r="F89" i="16"/>
  <c r="L87" i="16"/>
  <c r="K87" i="16"/>
  <c r="F87" i="16"/>
  <c r="M87" i="16" s="1"/>
  <c r="K86" i="16"/>
  <c r="F86" i="16"/>
  <c r="M85" i="16"/>
  <c r="L85" i="16"/>
  <c r="K85" i="16"/>
  <c r="N85" i="16" s="1"/>
  <c r="F85" i="16"/>
  <c r="M84" i="16"/>
  <c r="L84" i="16"/>
  <c r="K84" i="16"/>
  <c r="F84" i="16"/>
  <c r="K83" i="16"/>
  <c r="F83" i="16"/>
  <c r="M82" i="16"/>
  <c r="L82" i="16"/>
  <c r="K82" i="16"/>
  <c r="N82" i="16" s="1"/>
  <c r="F82" i="16"/>
  <c r="K81" i="16"/>
  <c r="F81" i="16"/>
  <c r="M81" i="16" s="1"/>
  <c r="A81" i="16"/>
  <c r="K79" i="16"/>
  <c r="F79" i="16"/>
  <c r="L79" i="16" s="1"/>
  <c r="N78" i="16"/>
  <c r="M78" i="16"/>
  <c r="K78" i="16"/>
  <c r="F78" i="16"/>
  <c r="L78" i="16" s="1"/>
  <c r="L77" i="16"/>
  <c r="K77" i="16"/>
  <c r="F77" i="16"/>
  <c r="M77" i="16" s="1"/>
  <c r="K76" i="16"/>
  <c r="F76" i="16"/>
  <c r="G75" i="16"/>
  <c r="N74" i="16"/>
  <c r="K74" i="16"/>
  <c r="F74" i="16"/>
  <c r="M74" i="16" s="1"/>
  <c r="M73" i="16"/>
  <c r="L73" i="16"/>
  <c r="K73" i="16"/>
  <c r="N73" i="16" s="1"/>
  <c r="F73" i="16"/>
  <c r="K72" i="16"/>
  <c r="F72" i="16"/>
  <c r="L72" i="16" s="1"/>
  <c r="A72" i="16"/>
  <c r="K70" i="16"/>
  <c r="F70" i="16"/>
  <c r="M70" i="16" s="1"/>
  <c r="M69" i="16"/>
  <c r="K69" i="16"/>
  <c r="F69" i="16"/>
  <c r="M68" i="16"/>
  <c r="L68" i="16"/>
  <c r="K68" i="16"/>
  <c r="N68" i="16" s="1"/>
  <c r="F68" i="16"/>
  <c r="K67" i="16"/>
  <c r="F67" i="16"/>
  <c r="L67" i="16" s="1"/>
  <c r="N66" i="16"/>
  <c r="L66" i="16"/>
  <c r="K66" i="16"/>
  <c r="F66" i="16"/>
  <c r="M66" i="16" s="1"/>
  <c r="K65" i="16"/>
  <c r="F65" i="16"/>
  <c r="L65" i="16" s="1"/>
  <c r="K64" i="16"/>
  <c r="N64" i="16" s="1"/>
  <c r="F64" i="16"/>
  <c r="M64" i="16" s="1"/>
  <c r="M63" i="16"/>
  <c r="L63" i="16"/>
  <c r="K63" i="16"/>
  <c r="N63" i="16" s="1"/>
  <c r="F63" i="16"/>
  <c r="K62" i="16"/>
  <c r="F62" i="16"/>
  <c r="M61" i="16"/>
  <c r="K61" i="16"/>
  <c r="N61" i="16" s="1"/>
  <c r="F61" i="16"/>
  <c r="L61" i="16" s="1"/>
  <c r="L60" i="16"/>
  <c r="K60" i="16"/>
  <c r="F60" i="16"/>
  <c r="M60" i="16" s="1"/>
  <c r="K58" i="16"/>
  <c r="F58" i="16"/>
  <c r="M58" i="16" s="1"/>
  <c r="N57" i="16"/>
  <c r="K57" i="16"/>
  <c r="F57" i="16"/>
  <c r="M57" i="16" s="1"/>
  <c r="M56" i="16"/>
  <c r="L56" i="16"/>
  <c r="K56" i="16"/>
  <c r="N56" i="16" s="1"/>
  <c r="F56" i="16"/>
  <c r="K55" i="16"/>
  <c r="F55" i="16"/>
  <c r="L55" i="16" s="1"/>
  <c r="K53" i="16"/>
  <c r="F53" i="16"/>
  <c r="L53" i="16" s="1"/>
  <c r="N52" i="16"/>
  <c r="L52" i="16"/>
  <c r="K52" i="16"/>
  <c r="F52" i="16"/>
  <c r="M52" i="16" s="1"/>
  <c r="K51" i="16"/>
  <c r="F51" i="16"/>
  <c r="L51" i="16" s="1"/>
  <c r="K49" i="16"/>
  <c r="F49" i="16"/>
  <c r="M49" i="16" s="1"/>
  <c r="M48" i="16"/>
  <c r="K48" i="16"/>
  <c r="F48" i="16"/>
  <c r="M47" i="16"/>
  <c r="L47" i="16"/>
  <c r="K47" i="16"/>
  <c r="N47" i="16" s="1"/>
  <c r="F47" i="16"/>
  <c r="K46" i="16"/>
  <c r="F46" i="16"/>
  <c r="L46" i="16" s="1"/>
  <c r="L45" i="16"/>
  <c r="K45" i="16"/>
  <c r="N45" i="16" s="1"/>
  <c r="F45" i="16"/>
  <c r="M45" i="16" s="1"/>
  <c r="K44" i="16"/>
  <c r="F44" i="16"/>
  <c r="L44" i="16" s="1"/>
  <c r="N43" i="16"/>
  <c r="K43" i="16"/>
  <c r="F43" i="16"/>
  <c r="G41" i="16" s="1"/>
  <c r="M42" i="16"/>
  <c r="L42" i="16"/>
  <c r="K42" i="16"/>
  <c r="N42" i="16" s="1"/>
  <c r="F42" i="16"/>
  <c r="M40" i="16"/>
  <c r="L40" i="16"/>
  <c r="K40" i="16"/>
  <c r="N40" i="16" s="1"/>
  <c r="F40" i="16"/>
  <c r="K39" i="16"/>
  <c r="F39" i="16"/>
  <c r="L39" i="16" s="1"/>
  <c r="L38" i="16"/>
  <c r="K38" i="16"/>
  <c r="N38" i="16" s="1"/>
  <c r="F38" i="16"/>
  <c r="M38" i="16" s="1"/>
  <c r="K37" i="16"/>
  <c r="F37" i="16"/>
  <c r="M37" i="16" s="1"/>
  <c r="K36" i="16"/>
  <c r="N36" i="16" s="1"/>
  <c r="F36" i="16"/>
  <c r="G34" i="16" s="1"/>
  <c r="M35" i="16"/>
  <c r="L35" i="16"/>
  <c r="K35" i="16"/>
  <c r="N35" i="16" s="1"/>
  <c r="F35" i="16"/>
  <c r="M33" i="16"/>
  <c r="L33" i="16"/>
  <c r="K33" i="16"/>
  <c r="N33" i="16" s="1"/>
  <c r="F33" i="16"/>
  <c r="G32" i="16" s="1"/>
  <c r="M31" i="16"/>
  <c r="L31" i="16"/>
  <c r="K31" i="16"/>
  <c r="F31" i="16"/>
  <c r="K30" i="16"/>
  <c r="F30" i="16"/>
  <c r="M29" i="16"/>
  <c r="L29" i="16"/>
  <c r="K29" i="16"/>
  <c r="N29" i="16" s="1"/>
  <c r="F29" i="16"/>
  <c r="K28" i="16"/>
  <c r="F28" i="16"/>
  <c r="M28" i="16" s="1"/>
  <c r="M27" i="16"/>
  <c r="K27" i="16"/>
  <c r="F27" i="16"/>
  <c r="N27" i="16" s="1"/>
  <c r="M26" i="16"/>
  <c r="L26" i="16"/>
  <c r="K26" i="16"/>
  <c r="N26" i="16" s="1"/>
  <c r="F26" i="16"/>
  <c r="K25" i="16"/>
  <c r="F25" i="16"/>
  <c r="L25" i="16" s="1"/>
  <c r="K23" i="16"/>
  <c r="F23" i="16"/>
  <c r="M22" i="16"/>
  <c r="L22" i="16"/>
  <c r="K22" i="16"/>
  <c r="N22" i="16" s="1"/>
  <c r="F22" i="16"/>
  <c r="K21" i="16"/>
  <c r="F21" i="16"/>
  <c r="M21" i="16" s="1"/>
  <c r="M20" i="16"/>
  <c r="K20" i="16"/>
  <c r="F20" i="16"/>
  <c r="M19" i="16"/>
  <c r="L19" i="16"/>
  <c r="K19" i="16"/>
  <c r="N19" i="16" s="1"/>
  <c r="F19" i="16"/>
  <c r="K18" i="16"/>
  <c r="F18" i="16"/>
  <c r="L18" i="16" s="1"/>
  <c r="L17" i="16"/>
  <c r="K17" i="16"/>
  <c r="N17" i="16" s="1"/>
  <c r="F17" i="16"/>
  <c r="M17" i="16" s="1"/>
  <c r="K16" i="16"/>
  <c r="F16" i="16"/>
  <c r="M16" i="16" s="1"/>
  <c r="K15" i="16"/>
  <c r="N15" i="16" s="1"/>
  <c r="F15" i="16"/>
  <c r="M15" i="16" s="1"/>
  <c r="M14" i="16"/>
  <c r="L14" i="16"/>
  <c r="K14" i="16"/>
  <c r="N14" i="16" s="1"/>
  <c r="F14" i="16"/>
  <c r="K13" i="16"/>
  <c r="F13" i="16"/>
  <c r="M12" i="16"/>
  <c r="K12" i="16"/>
  <c r="N12" i="16" s="1"/>
  <c r="F12" i="16"/>
  <c r="L12" i="16" s="1"/>
  <c r="L11" i="16"/>
  <c r="K11" i="16"/>
  <c r="F11" i="16"/>
  <c r="M11" i="16" s="1"/>
  <c r="K10" i="16"/>
  <c r="F10" i="16"/>
  <c r="N10" i="16" s="1"/>
  <c r="G9" i="16"/>
  <c r="M221" i="15"/>
  <c r="N216" i="15"/>
  <c r="L216" i="15"/>
  <c r="K212" i="15"/>
  <c r="N212" i="15" s="1"/>
  <c r="F212" i="15"/>
  <c r="M212" i="15" s="1"/>
  <c r="E212" i="15"/>
  <c r="K211" i="15"/>
  <c r="F211" i="15"/>
  <c r="N211" i="15" s="1"/>
  <c r="E211" i="15"/>
  <c r="N210" i="15"/>
  <c r="M210" i="15"/>
  <c r="L210" i="15"/>
  <c r="K210" i="15"/>
  <c r="F210" i="15"/>
  <c r="E210" i="15"/>
  <c r="K209" i="15"/>
  <c r="E209" i="15"/>
  <c r="F209" i="15" s="1"/>
  <c r="K207" i="15"/>
  <c r="E207" i="15"/>
  <c r="F207" i="15" s="1"/>
  <c r="K205" i="15"/>
  <c r="E205" i="15"/>
  <c r="F205" i="15" s="1"/>
  <c r="L204" i="15"/>
  <c r="K204" i="15"/>
  <c r="F204" i="15"/>
  <c r="N204" i="15" s="1"/>
  <c r="E204" i="15"/>
  <c r="M202" i="15"/>
  <c r="L202" i="15"/>
  <c r="K202" i="15"/>
  <c r="N202" i="15" s="1"/>
  <c r="F202" i="15"/>
  <c r="E202" i="15"/>
  <c r="G201" i="15"/>
  <c r="K200" i="15"/>
  <c r="E200" i="15"/>
  <c r="F200" i="15" s="1"/>
  <c r="K194" i="15"/>
  <c r="F194" i="15"/>
  <c r="M194" i="15" s="1"/>
  <c r="M193" i="15"/>
  <c r="L193" i="15"/>
  <c r="K193" i="15"/>
  <c r="F193" i="15"/>
  <c r="K191" i="15"/>
  <c r="F191" i="15"/>
  <c r="M191" i="15" s="1"/>
  <c r="M190" i="15"/>
  <c r="K190" i="15"/>
  <c r="F190" i="15"/>
  <c r="M189" i="15"/>
  <c r="K189" i="15"/>
  <c r="N189" i="15" s="1"/>
  <c r="F189" i="15"/>
  <c r="L189" i="15" s="1"/>
  <c r="M188" i="15"/>
  <c r="L188" i="15"/>
  <c r="K188" i="15"/>
  <c r="N188" i="15" s="1"/>
  <c r="F188" i="15"/>
  <c r="K187" i="15"/>
  <c r="F187" i="15"/>
  <c r="M187" i="15" s="1"/>
  <c r="M186" i="15"/>
  <c r="L186" i="15"/>
  <c r="K186" i="15"/>
  <c r="F186" i="15"/>
  <c r="N186" i="15" s="1"/>
  <c r="M185" i="15"/>
  <c r="L185" i="15"/>
  <c r="K185" i="15"/>
  <c r="N185" i="15" s="1"/>
  <c r="F185" i="15"/>
  <c r="M184" i="15"/>
  <c r="L184" i="15"/>
  <c r="K184" i="15"/>
  <c r="N184" i="15" s="1"/>
  <c r="F184" i="15"/>
  <c r="L183" i="15"/>
  <c r="K183" i="15"/>
  <c r="N183" i="15" s="1"/>
  <c r="F183" i="15"/>
  <c r="M183" i="15" s="1"/>
  <c r="M181" i="15"/>
  <c r="L181" i="15"/>
  <c r="K181" i="15"/>
  <c r="N181" i="15" s="1"/>
  <c r="F181" i="15"/>
  <c r="K180" i="15"/>
  <c r="F180" i="15"/>
  <c r="M180" i="15" s="1"/>
  <c r="M179" i="15"/>
  <c r="L179" i="15"/>
  <c r="K179" i="15"/>
  <c r="F179" i="15"/>
  <c r="M178" i="15"/>
  <c r="L178" i="15"/>
  <c r="K178" i="15"/>
  <c r="N178" i="15" s="1"/>
  <c r="F178" i="15"/>
  <c r="M176" i="15"/>
  <c r="K176" i="15"/>
  <c r="F176" i="15"/>
  <c r="M175" i="15"/>
  <c r="L175" i="15"/>
  <c r="K175" i="15"/>
  <c r="N175" i="15" s="1"/>
  <c r="F175" i="15"/>
  <c r="G174" i="15"/>
  <c r="M173" i="15"/>
  <c r="L173" i="15"/>
  <c r="K173" i="15"/>
  <c r="N173" i="15" s="1"/>
  <c r="F173" i="15"/>
  <c r="G172" i="15"/>
  <c r="N171" i="15"/>
  <c r="L171" i="15"/>
  <c r="K171" i="15"/>
  <c r="F171" i="15"/>
  <c r="M171" i="15" s="1"/>
  <c r="K170" i="15"/>
  <c r="F170" i="15"/>
  <c r="N170" i="15" s="1"/>
  <c r="K168" i="15"/>
  <c r="F168" i="15"/>
  <c r="M168" i="15" s="1"/>
  <c r="M167" i="15"/>
  <c r="L167" i="15"/>
  <c r="K167" i="15"/>
  <c r="F167" i="15"/>
  <c r="N167" i="15" s="1"/>
  <c r="M166" i="15"/>
  <c r="L166" i="15"/>
  <c r="K166" i="15"/>
  <c r="N166" i="15" s="1"/>
  <c r="F166" i="15"/>
  <c r="G164" i="15" s="1"/>
  <c r="M165" i="15"/>
  <c r="K165" i="15"/>
  <c r="N165" i="15" s="1"/>
  <c r="F165" i="15"/>
  <c r="L165" i="15" s="1"/>
  <c r="M163" i="15"/>
  <c r="L163" i="15"/>
  <c r="K163" i="15"/>
  <c r="N163" i="15" s="1"/>
  <c r="F163" i="15"/>
  <c r="G162" i="15"/>
  <c r="M161" i="15"/>
  <c r="L161" i="15"/>
  <c r="K161" i="15"/>
  <c r="N161" i="15" s="1"/>
  <c r="F161" i="15"/>
  <c r="K160" i="15"/>
  <c r="F160" i="15"/>
  <c r="K158" i="15"/>
  <c r="F158" i="15"/>
  <c r="K156" i="15"/>
  <c r="F156" i="15"/>
  <c r="M156" i="15" s="1"/>
  <c r="M155" i="15"/>
  <c r="L155" i="15"/>
  <c r="K155" i="15"/>
  <c r="F155" i="15"/>
  <c r="M154" i="15"/>
  <c r="L154" i="15"/>
  <c r="K154" i="15"/>
  <c r="N154" i="15" s="1"/>
  <c r="F154" i="15"/>
  <c r="M153" i="15"/>
  <c r="K153" i="15"/>
  <c r="N153" i="15" s="1"/>
  <c r="F153" i="15"/>
  <c r="L153" i="15" s="1"/>
  <c r="L152" i="15"/>
  <c r="K152" i="15"/>
  <c r="N152" i="15" s="1"/>
  <c r="F152" i="15"/>
  <c r="M152" i="15" s="1"/>
  <c r="M150" i="15"/>
  <c r="L150" i="15"/>
  <c r="K150" i="15"/>
  <c r="N150" i="15" s="1"/>
  <c r="F150" i="15"/>
  <c r="K149" i="15"/>
  <c r="F149" i="15"/>
  <c r="M149" i="15" s="1"/>
  <c r="M148" i="15"/>
  <c r="L148" i="15"/>
  <c r="K148" i="15"/>
  <c r="F148" i="15"/>
  <c r="K146" i="15"/>
  <c r="F146" i="15"/>
  <c r="M146" i="15" s="1"/>
  <c r="M145" i="15"/>
  <c r="K145" i="15"/>
  <c r="F145" i="15"/>
  <c r="M144" i="15"/>
  <c r="L144" i="15"/>
  <c r="K144" i="15"/>
  <c r="N144" i="15" s="1"/>
  <c r="F144" i="15"/>
  <c r="M141" i="15"/>
  <c r="L141" i="15"/>
  <c r="K141" i="15"/>
  <c r="N141" i="15" s="1"/>
  <c r="F141" i="15"/>
  <c r="K140" i="15"/>
  <c r="F140" i="15"/>
  <c r="N139" i="15"/>
  <c r="M139" i="15"/>
  <c r="K139" i="15"/>
  <c r="F139" i="15"/>
  <c r="L139" i="15" s="1"/>
  <c r="K138" i="15"/>
  <c r="F138" i="15"/>
  <c r="M138" i="15" s="1"/>
  <c r="M137" i="15"/>
  <c r="K137" i="15"/>
  <c r="F137" i="15"/>
  <c r="N137" i="15" s="1"/>
  <c r="M136" i="15"/>
  <c r="L136" i="15"/>
  <c r="K136" i="15"/>
  <c r="N136" i="15" s="1"/>
  <c r="F136" i="15"/>
  <c r="N135" i="15"/>
  <c r="M135" i="15"/>
  <c r="L135" i="15"/>
  <c r="K135" i="15"/>
  <c r="F135" i="15"/>
  <c r="K134" i="15"/>
  <c r="F134" i="15"/>
  <c r="M134" i="15" s="1"/>
  <c r="M133" i="15"/>
  <c r="L133" i="15"/>
  <c r="K133" i="15"/>
  <c r="F133" i="15"/>
  <c r="N133" i="15" s="1"/>
  <c r="M132" i="15"/>
  <c r="L132" i="15"/>
  <c r="K132" i="15"/>
  <c r="N132" i="15" s="1"/>
  <c r="F132" i="15"/>
  <c r="M131" i="15"/>
  <c r="K131" i="15"/>
  <c r="N131" i="15" s="1"/>
  <c r="F131" i="15"/>
  <c r="L131" i="15" s="1"/>
  <c r="L130" i="15"/>
  <c r="K130" i="15"/>
  <c r="N130" i="15" s="1"/>
  <c r="F130" i="15"/>
  <c r="M130" i="15" s="1"/>
  <c r="K129" i="15"/>
  <c r="F129" i="15"/>
  <c r="L128" i="15"/>
  <c r="K128" i="15"/>
  <c r="F128" i="15"/>
  <c r="M127" i="15"/>
  <c r="K127" i="15"/>
  <c r="F127" i="15"/>
  <c r="K126" i="15"/>
  <c r="N126" i="15" s="1"/>
  <c r="F126" i="15"/>
  <c r="M126" i="15" s="1"/>
  <c r="M125" i="15"/>
  <c r="L125" i="15"/>
  <c r="K125" i="15"/>
  <c r="N125" i="15" s="1"/>
  <c r="F125" i="15"/>
  <c r="K124" i="15"/>
  <c r="F124" i="15"/>
  <c r="M123" i="15"/>
  <c r="K123" i="15"/>
  <c r="N123" i="15" s="1"/>
  <c r="F123" i="15"/>
  <c r="L123" i="15" s="1"/>
  <c r="K122" i="15"/>
  <c r="F122" i="15"/>
  <c r="M122" i="15" s="1"/>
  <c r="M121" i="15"/>
  <c r="K121" i="15"/>
  <c r="F121" i="15"/>
  <c r="N121" i="15" s="1"/>
  <c r="M120" i="15"/>
  <c r="L120" i="15"/>
  <c r="K120" i="15"/>
  <c r="N120" i="15" s="1"/>
  <c r="F120" i="15"/>
  <c r="N119" i="15"/>
  <c r="M119" i="15"/>
  <c r="L119" i="15"/>
  <c r="K119" i="15"/>
  <c r="F119" i="15"/>
  <c r="K118" i="15"/>
  <c r="F118" i="15"/>
  <c r="M118" i="15" s="1"/>
  <c r="M117" i="15"/>
  <c r="L117" i="15"/>
  <c r="K117" i="15"/>
  <c r="F117" i="15"/>
  <c r="N117" i="15" s="1"/>
  <c r="M116" i="15"/>
  <c r="L116" i="15"/>
  <c r="K116" i="15"/>
  <c r="N116" i="15" s="1"/>
  <c r="F116" i="15"/>
  <c r="M115" i="15"/>
  <c r="K115" i="15"/>
  <c r="N115" i="15" s="1"/>
  <c r="F115" i="15"/>
  <c r="L115" i="15" s="1"/>
  <c r="L114" i="15"/>
  <c r="K114" i="15"/>
  <c r="N114" i="15" s="1"/>
  <c r="F114" i="15"/>
  <c r="M114" i="15" s="1"/>
  <c r="K113" i="15"/>
  <c r="F113" i="15"/>
  <c r="N113" i="15" s="1"/>
  <c r="L112" i="15"/>
  <c r="K112" i="15"/>
  <c r="F112" i="15"/>
  <c r="N112" i="15" s="1"/>
  <c r="M111" i="15"/>
  <c r="K111" i="15"/>
  <c r="F111" i="15"/>
  <c r="N111" i="15" s="1"/>
  <c r="K110" i="15"/>
  <c r="N110" i="15" s="1"/>
  <c r="F110" i="15"/>
  <c r="M110" i="15" s="1"/>
  <c r="K109" i="15"/>
  <c r="F109" i="15"/>
  <c r="G108" i="15" s="1"/>
  <c r="A109" i="15"/>
  <c r="M107" i="15"/>
  <c r="L107" i="15"/>
  <c r="K107" i="15"/>
  <c r="F107" i="15"/>
  <c r="M106" i="15"/>
  <c r="L106" i="15"/>
  <c r="K106" i="15"/>
  <c r="N106" i="15" s="1"/>
  <c r="F106" i="15"/>
  <c r="M105" i="15"/>
  <c r="L105" i="15"/>
  <c r="K105" i="15"/>
  <c r="N105" i="15" s="1"/>
  <c r="F105" i="15"/>
  <c r="L104" i="15"/>
  <c r="K104" i="15"/>
  <c r="N104" i="15" s="1"/>
  <c r="F104" i="15"/>
  <c r="M104" i="15" s="1"/>
  <c r="A104" i="15"/>
  <c r="K102" i="15"/>
  <c r="F102" i="15"/>
  <c r="G101" i="15" s="1"/>
  <c r="M100" i="15"/>
  <c r="K100" i="15"/>
  <c r="F100" i="15"/>
  <c r="N100" i="15" s="1"/>
  <c r="K99" i="15"/>
  <c r="N99" i="15" s="1"/>
  <c r="F99" i="15"/>
  <c r="M99" i="15" s="1"/>
  <c r="K98" i="15"/>
  <c r="F98" i="15"/>
  <c r="K97" i="15"/>
  <c r="F97" i="15"/>
  <c r="N97" i="15" s="1"/>
  <c r="N96" i="15"/>
  <c r="M96" i="15"/>
  <c r="K96" i="15"/>
  <c r="F96" i="15"/>
  <c r="L96" i="15" s="1"/>
  <c r="K95" i="15"/>
  <c r="F95" i="15"/>
  <c r="M94" i="15"/>
  <c r="K94" i="15"/>
  <c r="N94" i="15" s="1"/>
  <c r="F94" i="15"/>
  <c r="L94" i="15" s="1"/>
  <c r="N93" i="15"/>
  <c r="M93" i="15"/>
  <c r="L93" i="15"/>
  <c r="K93" i="15"/>
  <c r="F93" i="15"/>
  <c r="N92" i="15"/>
  <c r="M92" i="15"/>
  <c r="L92" i="15"/>
  <c r="K92" i="15"/>
  <c r="F92" i="15"/>
  <c r="M91" i="15"/>
  <c r="K91" i="15"/>
  <c r="F91" i="15"/>
  <c r="L91" i="15" s="1"/>
  <c r="M90" i="15"/>
  <c r="L90" i="15"/>
  <c r="K90" i="15"/>
  <c r="F90" i="15"/>
  <c r="N90" i="15" s="1"/>
  <c r="M89" i="15"/>
  <c r="L89" i="15"/>
  <c r="K89" i="15"/>
  <c r="N89" i="15" s="1"/>
  <c r="F89" i="15"/>
  <c r="N87" i="15"/>
  <c r="M87" i="15"/>
  <c r="K87" i="15"/>
  <c r="F87" i="15"/>
  <c r="L87" i="15" s="1"/>
  <c r="M86" i="15"/>
  <c r="L86" i="15"/>
  <c r="K86" i="15"/>
  <c r="N86" i="15" s="1"/>
  <c r="F86" i="15"/>
  <c r="N85" i="15"/>
  <c r="M85" i="15"/>
  <c r="L85" i="15"/>
  <c r="K85" i="15"/>
  <c r="F85" i="15"/>
  <c r="M84" i="15"/>
  <c r="K84" i="15"/>
  <c r="F84" i="15"/>
  <c r="L84" i="15" s="1"/>
  <c r="M83" i="15"/>
  <c r="L83" i="15"/>
  <c r="K83" i="15"/>
  <c r="F83" i="15"/>
  <c r="M82" i="15"/>
  <c r="L82" i="15"/>
  <c r="K82" i="15"/>
  <c r="N82" i="15" s="1"/>
  <c r="F82" i="15"/>
  <c r="M81" i="15"/>
  <c r="L81" i="15"/>
  <c r="K81" i="15"/>
  <c r="N81" i="15" s="1"/>
  <c r="F81" i="15"/>
  <c r="A81" i="15"/>
  <c r="G80" i="15"/>
  <c r="M79" i="15"/>
  <c r="K79" i="15"/>
  <c r="N79" i="15" s="1"/>
  <c r="F79" i="15"/>
  <c r="L79" i="15" s="1"/>
  <c r="K78" i="15"/>
  <c r="F78" i="15"/>
  <c r="M78" i="15" s="1"/>
  <c r="M77" i="15"/>
  <c r="K77" i="15"/>
  <c r="N77" i="15" s="1"/>
  <c r="F77" i="15"/>
  <c r="L77" i="15" s="1"/>
  <c r="N76" i="15"/>
  <c r="M76" i="15"/>
  <c r="L76" i="15"/>
  <c r="K76" i="15"/>
  <c r="F76" i="15"/>
  <c r="K74" i="15"/>
  <c r="F74" i="15"/>
  <c r="K73" i="15"/>
  <c r="F73" i="15"/>
  <c r="M72" i="15"/>
  <c r="K72" i="15"/>
  <c r="N72" i="15" s="1"/>
  <c r="F72" i="15"/>
  <c r="L72" i="15" s="1"/>
  <c r="A72" i="15"/>
  <c r="M70" i="15"/>
  <c r="L70" i="15"/>
  <c r="K70" i="15"/>
  <c r="N70" i="15" s="1"/>
  <c r="F70" i="15"/>
  <c r="N69" i="15"/>
  <c r="L69" i="15"/>
  <c r="K69" i="15"/>
  <c r="F69" i="15"/>
  <c r="M69" i="15" s="1"/>
  <c r="K68" i="15"/>
  <c r="F68" i="15"/>
  <c r="N68" i="15" s="1"/>
  <c r="L67" i="15"/>
  <c r="K67" i="15"/>
  <c r="F67" i="15"/>
  <c r="N67" i="15" s="1"/>
  <c r="M66" i="15"/>
  <c r="K66" i="15"/>
  <c r="F66" i="15"/>
  <c r="K65" i="15"/>
  <c r="N65" i="15" s="1"/>
  <c r="F65" i="15"/>
  <c r="M65" i="15" s="1"/>
  <c r="K64" i="15"/>
  <c r="F64" i="15"/>
  <c r="N64" i="15" s="1"/>
  <c r="K63" i="15"/>
  <c r="F63" i="15"/>
  <c r="N63" i="15" s="1"/>
  <c r="M62" i="15"/>
  <c r="K62" i="15"/>
  <c r="N62" i="15" s="1"/>
  <c r="F62" i="15"/>
  <c r="L62" i="15" s="1"/>
  <c r="K61" i="15"/>
  <c r="F61" i="15"/>
  <c r="G59" i="15" s="1"/>
  <c r="M60" i="15"/>
  <c r="K60" i="15"/>
  <c r="N60" i="15" s="1"/>
  <c r="F60" i="15"/>
  <c r="L60" i="15" s="1"/>
  <c r="K58" i="15"/>
  <c r="N58" i="15" s="1"/>
  <c r="F58" i="15"/>
  <c r="M58" i="15" s="1"/>
  <c r="K57" i="15"/>
  <c r="F57" i="15"/>
  <c r="K56" i="15"/>
  <c r="F56" i="15"/>
  <c r="M55" i="15"/>
  <c r="K55" i="15"/>
  <c r="N55" i="15" s="1"/>
  <c r="F55" i="15"/>
  <c r="L55" i="15" s="1"/>
  <c r="L53" i="15"/>
  <c r="K53" i="15"/>
  <c r="F53" i="15"/>
  <c r="N53" i="15" s="1"/>
  <c r="M52" i="15"/>
  <c r="K52" i="15"/>
  <c r="F52" i="15"/>
  <c r="N52" i="15" s="1"/>
  <c r="K51" i="15"/>
  <c r="N51" i="15" s="1"/>
  <c r="F51" i="15"/>
  <c r="M51" i="15" s="1"/>
  <c r="M49" i="15"/>
  <c r="L49" i="15"/>
  <c r="K49" i="15"/>
  <c r="F49" i="15"/>
  <c r="L48" i="15"/>
  <c r="K48" i="15"/>
  <c r="N48" i="15" s="1"/>
  <c r="F48" i="15"/>
  <c r="M48" i="15" s="1"/>
  <c r="K47" i="15"/>
  <c r="F47" i="15"/>
  <c r="L46" i="15"/>
  <c r="K46" i="15"/>
  <c r="F46" i="15"/>
  <c r="N46" i="15" s="1"/>
  <c r="M45" i="15"/>
  <c r="K45" i="15"/>
  <c r="F45" i="15"/>
  <c r="N45" i="15" s="1"/>
  <c r="K44" i="15"/>
  <c r="N44" i="15" s="1"/>
  <c r="F44" i="15"/>
  <c r="M44" i="15" s="1"/>
  <c r="K43" i="15"/>
  <c r="F43" i="15"/>
  <c r="N43" i="15" s="1"/>
  <c r="K42" i="15"/>
  <c r="F42" i="15"/>
  <c r="K40" i="15"/>
  <c r="F40" i="15"/>
  <c r="L39" i="15"/>
  <c r="K39" i="15"/>
  <c r="F39" i="15"/>
  <c r="M38" i="15"/>
  <c r="K38" i="15"/>
  <c r="F38" i="15"/>
  <c r="N38" i="15" s="1"/>
  <c r="K37" i="15"/>
  <c r="N37" i="15" s="1"/>
  <c r="F37" i="15"/>
  <c r="M37" i="15" s="1"/>
  <c r="K36" i="15"/>
  <c r="F36" i="15"/>
  <c r="K35" i="15"/>
  <c r="F35" i="15"/>
  <c r="K33" i="15"/>
  <c r="F33" i="15"/>
  <c r="N33" i="15" s="1"/>
  <c r="M31" i="15"/>
  <c r="K31" i="15"/>
  <c r="F31" i="15"/>
  <c r="L31" i="15" s="1"/>
  <c r="M30" i="15"/>
  <c r="L30" i="15"/>
  <c r="K30" i="15"/>
  <c r="F30" i="15"/>
  <c r="N30" i="15" s="1"/>
  <c r="M29" i="15"/>
  <c r="L29" i="15"/>
  <c r="K29" i="15"/>
  <c r="F29" i="15"/>
  <c r="M28" i="15"/>
  <c r="L28" i="15"/>
  <c r="K28" i="15"/>
  <c r="F28" i="15"/>
  <c r="L27" i="15"/>
  <c r="K27" i="15"/>
  <c r="N27" i="15" s="1"/>
  <c r="F27" i="15"/>
  <c r="M27" i="15" s="1"/>
  <c r="K26" i="15"/>
  <c r="F26" i="15"/>
  <c r="L25" i="15"/>
  <c r="K25" i="15"/>
  <c r="F25" i="15"/>
  <c r="N25" i="15" s="1"/>
  <c r="G24" i="15"/>
  <c r="M23" i="15"/>
  <c r="L23" i="15"/>
  <c r="K23" i="15"/>
  <c r="N23" i="15" s="1"/>
  <c r="F23" i="15"/>
  <c r="M22" i="15"/>
  <c r="L22" i="15"/>
  <c r="K22" i="15"/>
  <c r="F22" i="15"/>
  <c r="N22" i="15" s="1"/>
  <c r="M21" i="15"/>
  <c r="L21" i="15"/>
  <c r="K21" i="15"/>
  <c r="F21" i="15"/>
  <c r="L20" i="15"/>
  <c r="K20" i="15"/>
  <c r="N20" i="15" s="1"/>
  <c r="F20" i="15"/>
  <c r="M20" i="15" s="1"/>
  <c r="K19" i="15"/>
  <c r="F19" i="15"/>
  <c r="L18" i="15"/>
  <c r="K18" i="15"/>
  <c r="F18" i="15"/>
  <c r="M17" i="15"/>
  <c r="K17" i="15"/>
  <c r="F17" i="15"/>
  <c r="N16" i="15"/>
  <c r="K16" i="15"/>
  <c r="F16" i="15"/>
  <c r="M16" i="15" s="1"/>
  <c r="K15" i="15"/>
  <c r="F15" i="15"/>
  <c r="K14" i="15"/>
  <c r="F14" i="15"/>
  <c r="M13" i="15"/>
  <c r="K13" i="15"/>
  <c r="N13" i="15" s="1"/>
  <c r="F13" i="15"/>
  <c r="L13" i="15" s="1"/>
  <c r="K12" i="15"/>
  <c r="F12" i="15"/>
  <c r="M12" i="15" s="1"/>
  <c r="M11" i="15"/>
  <c r="K11" i="15"/>
  <c r="N11" i="15" s="1"/>
  <c r="F11" i="15"/>
  <c r="L11" i="15" s="1"/>
  <c r="M10" i="15"/>
  <c r="L10" i="15"/>
  <c r="K10" i="15"/>
  <c r="N10" i="15" s="1"/>
  <c r="F10" i="15"/>
  <c r="F195" i="15" s="1"/>
  <c r="M196" i="14"/>
  <c r="M221" i="14"/>
  <c r="N216" i="14"/>
  <c r="L216" i="14"/>
  <c r="K212" i="14"/>
  <c r="E212" i="14"/>
  <c r="F212" i="14" s="1"/>
  <c r="K211" i="14"/>
  <c r="E211" i="14"/>
  <c r="F211" i="14" s="1"/>
  <c r="K210" i="14"/>
  <c r="E210" i="14"/>
  <c r="F210" i="14" s="1"/>
  <c r="K209" i="14"/>
  <c r="E209" i="14"/>
  <c r="F209" i="14" s="1"/>
  <c r="K207" i="14"/>
  <c r="E207" i="14"/>
  <c r="F207" i="14" s="1"/>
  <c r="K205" i="14"/>
  <c r="E205" i="14"/>
  <c r="F205" i="14" s="1"/>
  <c r="K204" i="14"/>
  <c r="E204" i="14"/>
  <c r="F204" i="14" s="1"/>
  <c r="K202" i="14"/>
  <c r="E202" i="14"/>
  <c r="F202" i="14" s="1"/>
  <c r="K200" i="14"/>
  <c r="F200" i="14"/>
  <c r="N200" i="14" s="1"/>
  <c r="E200" i="14"/>
  <c r="K194" i="14"/>
  <c r="F194" i="14"/>
  <c r="N194" i="14" s="1"/>
  <c r="K193" i="14"/>
  <c r="F193" i="14"/>
  <c r="N193" i="14" s="1"/>
  <c r="G192" i="14"/>
  <c r="M191" i="14"/>
  <c r="L191" i="14"/>
  <c r="K191" i="14"/>
  <c r="N191" i="14" s="1"/>
  <c r="F191" i="14"/>
  <c r="K190" i="14"/>
  <c r="F190" i="14"/>
  <c r="K189" i="14"/>
  <c r="F189" i="14"/>
  <c r="K188" i="14"/>
  <c r="F188" i="14"/>
  <c r="N188" i="14" s="1"/>
  <c r="K187" i="14"/>
  <c r="F187" i="14"/>
  <c r="N187" i="14" s="1"/>
  <c r="K186" i="14"/>
  <c r="F186" i="14"/>
  <c r="N186" i="14" s="1"/>
  <c r="K185" i="14"/>
  <c r="F185" i="14"/>
  <c r="N185" i="14" s="1"/>
  <c r="K184" i="14"/>
  <c r="N184" i="14" s="1"/>
  <c r="F184" i="14"/>
  <c r="M184" i="14" s="1"/>
  <c r="N183" i="14"/>
  <c r="M183" i="14"/>
  <c r="K183" i="14"/>
  <c r="F183" i="14"/>
  <c r="L183" i="14" s="1"/>
  <c r="K181" i="14"/>
  <c r="F181" i="14"/>
  <c r="N181" i="14" s="1"/>
  <c r="K180" i="14"/>
  <c r="F180" i="14"/>
  <c r="N180" i="14" s="1"/>
  <c r="K179" i="14"/>
  <c r="F179" i="14"/>
  <c r="N179" i="14" s="1"/>
  <c r="M178" i="14"/>
  <c r="K178" i="14"/>
  <c r="F178" i="14"/>
  <c r="G177" i="14" s="1"/>
  <c r="K176" i="14"/>
  <c r="F176" i="14"/>
  <c r="N176" i="14" s="1"/>
  <c r="K175" i="14"/>
  <c r="F175" i="14"/>
  <c r="N175" i="14" s="1"/>
  <c r="G174" i="14"/>
  <c r="M173" i="14"/>
  <c r="L173" i="14"/>
  <c r="K173" i="14"/>
  <c r="N173" i="14" s="1"/>
  <c r="F173" i="14"/>
  <c r="G172" i="14"/>
  <c r="M171" i="14"/>
  <c r="K171" i="14"/>
  <c r="N171" i="14" s="1"/>
  <c r="F171" i="14"/>
  <c r="L171" i="14" s="1"/>
  <c r="K170" i="14"/>
  <c r="F170" i="14"/>
  <c r="N170" i="14" s="1"/>
  <c r="G169" i="14"/>
  <c r="K168" i="14"/>
  <c r="F168" i="14"/>
  <c r="N168" i="14" s="1"/>
  <c r="K167" i="14"/>
  <c r="F167" i="14"/>
  <c r="K166" i="14"/>
  <c r="F166" i="14"/>
  <c r="G164" i="14" s="1"/>
  <c r="K165" i="14"/>
  <c r="N165" i="14" s="1"/>
  <c r="F165" i="14"/>
  <c r="M165" i="14" s="1"/>
  <c r="K163" i="14"/>
  <c r="F163" i="14"/>
  <c r="N163" i="14" s="1"/>
  <c r="G162" i="14"/>
  <c r="M161" i="14"/>
  <c r="L161" i="14"/>
  <c r="K161" i="14"/>
  <c r="N161" i="14" s="1"/>
  <c r="F161" i="14"/>
  <c r="M160" i="14"/>
  <c r="L160" i="14"/>
  <c r="K160" i="14"/>
  <c r="F160" i="14"/>
  <c r="G159" i="14"/>
  <c r="K158" i="14"/>
  <c r="F158" i="14"/>
  <c r="G157" i="14"/>
  <c r="K156" i="14"/>
  <c r="F156" i="14"/>
  <c r="N156" i="14" s="1"/>
  <c r="K155" i="14"/>
  <c r="F155" i="14"/>
  <c r="N155" i="14" s="1"/>
  <c r="K154" i="14"/>
  <c r="F154" i="14"/>
  <c r="N154" i="14" s="1"/>
  <c r="K153" i="14"/>
  <c r="N153" i="14" s="1"/>
  <c r="F153" i="14"/>
  <c r="M153" i="14" s="1"/>
  <c r="N152" i="14"/>
  <c r="M152" i="14"/>
  <c r="K152" i="14"/>
  <c r="F152" i="14"/>
  <c r="L152" i="14" s="1"/>
  <c r="K150" i="14"/>
  <c r="F150" i="14"/>
  <c r="N150" i="14" s="1"/>
  <c r="K149" i="14"/>
  <c r="F149" i="14"/>
  <c r="N149" i="14" s="1"/>
  <c r="K148" i="14"/>
  <c r="F148" i="14"/>
  <c r="N148" i="14" s="1"/>
  <c r="M146" i="14"/>
  <c r="L146" i="14"/>
  <c r="K146" i="14"/>
  <c r="N146" i="14" s="1"/>
  <c r="F146" i="14"/>
  <c r="K145" i="14"/>
  <c r="F145" i="14"/>
  <c r="N145" i="14" s="1"/>
  <c r="K144" i="14"/>
  <c r="F144" i="14"/>
  <c r="G143" i="14"/>
  <c r="M141" i="14"/>
  <c r="L141" i="14"/>
  <c r="K141" i="14"/>
  <c r="N141" i="14" s="1"/>
  <c r="F141" i="14"/>
  <c r="M140" i="14"/>
  <c r="L140" i="14"/>
  <c r="K140" i="14"/>
  <c r="F140" i="14"/>
  <c r="N140" i="14" s="1"/>
  <c r="K139" i="14"/>
  <c r="F139" i="14"/>
  <c r="L139" i="14" s="1"/>
  <c r="M138" i="14"/>
  <c r="L138" i="14"/>
  <c r="K138" i="14"/>
  <c r="N138" i="14" s="1"/>
  <c r="F138" i="14"/>
  <c r="M137" i="14"/>
  <c r="K137" i="14"/>
  <c r="F137" i="14"/>
  <c r="N137" i="14" s="1"/>
  <c r="K136" i="14"/>
  <c r="F136" i="14"/>
  <c r="N136" i="14" s="1"/>
  <c r="K135" i="14"/>
  <c r="F135" i="14"/>
  <c r="N135" i="14" s="1"/>
  <c r="K134" i="14"/>
  <c r="F134" i="14"/>
  <c r="N134" i="14" s="1"/>
  <c r="K133" i="14"/>
  <c r="F133" i="14"/>
  <c r="N133" i="14" s="1"/>
  <c r="K132" i="14"/>
  <c r="F132" i="14"/>
  <c r="N132" i="14" s="1"/>
  <c r="K131" i="14"/>
  <c r="N131" i="14" s="1"/>
  <c r="F131" i="14"/>
  <c r="M131" i="14" s="1"/>
  <c r="M130" i="14"/>
  <c r="K130" i="14"/>
  <c r="N130" i="14" s="1"/>
  <c r="F130" i="14"/>
  <c r="L130" i="14" s="1"/>
  <c r="K129" i="14"/>
  <c r="F129" i="14"/>
  <c r="M128" i="14"/>
  <c r="K128" i="14"/>
  <c r="N128" i="14" s="1"/>
  <c r="F128" i="14"/>
  <c r="L128" i="14" s="1"/>
  <c r="M127" i="14"/>
  <c r="L127" i="14"/>
  <c r="K127" i="14"/>
  <c r="N127" i="14" s="1"/>
  <c r="F127" i="14"/>
  <c r="K126" i="14"/>
  <c r="F126" i="14"/>
  <c r="M126" i="14" s="1"/>
  <c r="M125" i="14"/>
  <c r="L125" i="14"/>
  <c r="K125" i="14"/>
  <c r="N125" i="14" s="1"/>
  <c r="F125" i="14"/>
  <c r="M124" i="14"/>
  <c r="L124" i="14"/>
  <c r="K124" i="14"/>
  <c r="N124" i="14" s="1"/>
  <c r="F124" i="14"/>
  <c r="M123" i="14"/>
  <c r="K123" i="14"/>
  <c r="F123" i="14"/>
  <c r="L123" i="14" s="1"/>
  <c r="M122" i="14"/>
  <c r="L122" i="14"/>
  <c r="K122" i="14"/>
  <c r="N122" i="14" s="1"/>
  <c r="F122" i="14"/>
  <c r="K121" i="14"/>
  <c r="F121" i="14"/>
  <c r="N121" i="14" s="1"/>
  <c r="K120" i="14"/>
  <c r="F120" i="14"/>
  <c r="L120" i="14" s="1"/>
  <c r="K119" i="14"/>
  <c r="F119" i="14"/>
  <c r="N119" i="14" s="1"/>
  <c r="K118" i="14"/>
  <c r="F118" i="14"/>
  <c r="N118" i="14" s="1"/>
  <c r="K117" i="14"/>
  <c r="F117" i="14"/>
  <c r="N117" i="14" s="1"/>
  <c r="K116" i="14"/>
  <c r="F116" i="14"/>
  <c r="K115" i="14"/>
  <c r="N115" i="14" s="1"/>
  <c r="F115" i="14"/>
  <c r="M115" i="14" s="1"/>
  <c r="K114" i="14"/>
  <c r="F114" i="14"/>
  <c r="K113" i="14"/>
  <c r="F113" i="14"/>
  <c r="N113" i="14" s="1"/>
  <c r="M112" i="14"/>
  <c r="K112" i="14"/>
  <c r="N112" i="14" s="1"/>
  <c r="F112" i="14"/>
  <c r="L112" i="14" s="1"/>
  <c r="M111" i="14"/>
  <c r="L111" i="14"/>
  <c r="K111" i="14"/>
  <c r="N111" i="14" s="1"/>
  <c r="F111" i="14"/>
  <c r="K110" i="14"/>
  <c r="F110" i="14"/>
  <c r="G108" i="14" s="1"/>
  <c r="M109" i="14"/>
  <c r="L109" i="14"/>
  <c r="K109" i="14"/>
  <c r="N109" i="14" s="1"/>
  <c r="F109" i="14"/>
  <c r="A109" i="14"/>
  <c r="K107" i="14"/>
  <c r="F107" i="14"/>
  <c r="N107" i="14" s="1"/>
  <c r="K106" i="14"/>
  <c r="F106" i="14"/>
  <c r="N106" i="14" s="1"/>
  <c r="K105" i="14"/>
  <c r="N105" i="14" s="1"/>
  <c r="F105" i="14"/>
  <c r="M105" i="14" s="1"/>
  <c r="K104" i="14"/>
  <c r="F104" i="14"/>
  <c r="N104" i="14" s="1"/>
  <c r="A104" i="14"/>
  <c r="M102" i="14"/>
  <c r="L102" i="14"/>
  <c r="K102" i="14"/>
  <c r="N102" i="14" s="1"/>
  <c r="F102" i="14"/>
  <c r="G101" i="14"/>
  <c r="M100" i="14"/>
  <c r="L100" i="14"/>
  <c r="K100" i="14"/>
  <c r="N100" i="14" s="1"/>
  <c r="F100" i="14"/>
  <c r="K99" i="14"/>
  <c r="F99" i="14"/>
  <c r="N99" i="14" s="1"/>
  <c r="M98" i="14"/>
  <c r="L98" i="14"/>
  <c r="K98" i="14"/>
  <c r="N98" i="14" s="1"/>
  <c r="F98" i="14"/>
  <c r="M97" i="14"/>
  <c r="L97" i="14"/>
  <c r="K97" i="14"/>
  <c r="N97" i="14" s="1"/>
  <c r="F97" i="14"/>
  <c r="K96" i="14"/>
  <c r="F96" i="14"/>
  <c r="M96" i="14" s="1"/>
  <c r="M95" i="14"/>
  <c r="L95" i="14"/>
  <c r="K95" i="14"/>
  <c r="N95" i="14" s="1"/>
  <c r="F95" i="14"/>
  <c r="K94" i="14"/>
  <c r="F94" i="14"/>
  <c r="N94" i="14" s="1"/>
  <c r="K93" i="14"/>
  <c r="F93" i="14"/>
  <c r="L93" i="14" s="1"/>
  <c r="K92" i="14"/>
  <c r="F92" i="14"/>
  <c r="K91" i="14"/>
  <c r="F91" i="14"/>
  <c r="N91" i="14" s="1"/>
  <c r="K90" i="14"/>
  <c r="F90" i="14"/>
  <c r="N90" i="14" s="1"/>
  <c r="K89" i="14"/>
  <c r="F89" i="14"/>
  <c r="G88" i="14" s="1"/>
  <c r="K87" i="14"/>
  <c r="F87" i="14"/>
  <c r="N87" i="14" s="1"/>
  <c r="K86" i="14"/>
  <c r="F86" i="14"/>
  <c r="L86" i="14" s="1"/>
  <c r="K85" i="14"/>
  <c r="F85" i="14"/>
  <c r="N85" i="14" s="1"/>
  <c r="K84" i="14"/>
  <c r="F84" i="14"/>
  <c r="N84" i="14" s="1"/>
  <c r="K83" i="14"/>
  <c r="F83" i="14"/>
  <c r="K82" i="14"/>
  <c r="F82" i="14"/>
  <c r="K81" i="14"/>
  <c r="N81" i="14" s="1"/>
  <c r="F81" i="14"/>
  <c r="M81" i="14" s="1"/>
  <c r="A81" i="14"/>
  <c r="K79" i="14"/>
  <c r="F79" i="14"/>
  <c r="M79" i="14" s="1"/>
  <c r="M78" i="14"/>
  <c r="L78" i="14"/>
  <c r="K78" i="14"/>
  <c r="N78" i="14" s="1"/>
  <c r="F78" i="14"/>
  <c r="K77" i="14"/>
  <c r="F77" i="14"/>
  <c r="N77" i="14" s="1"/>
  <c r="K76" i="14"/>
  <c r="F76" i="14"/>
  <c r="L76" i="14" s="1"/>
  <c r="G75" i="14"/>
  <c r="M74" i="14"/>
  <c r="L74" i="14"/>
  <c r="K74" i="14"/>
  <c r="N74" i="14" s="1"/>
  <c r="F74" i="14"/>
  <c r="M73" i="14"/>
  <c r="L73" i="14"/>
  <c r="K73" i="14"/>
  <c r="N73" i="14" s="1"/>
  <c r="F73" i="14"/>
  <c r="K72" i="14"/>
  <c r="F72" i="14"/>
  <c r="M72" i="14" s="1"/>
  <c r="A72" i="14"/>
  <c r="G71" i="14"/>
  <c r="N70" i="14"/>
  <c r="K70" i="14"/>
  <c r="F70" i="14"/>
  <c r="M70" i="14" s="1"/>
  <c r="K69" i="14"/>
  <c r="F69" i="14"/>
  <c r="N69" i="14" s="1"/>
  <c r="K68" i="14"/>
  <c r="F68" i="14"/>
  <c r="N68" i="14" s="1"/>
  <c r="M67" i="14"/>
  <c r="K67" i="14"/>
  <c r="N67" i="14" s="1"/>
  <c r="F67" i="14"/>
  <c r="L67" i="14" s="1"/>
  <c r="M66" i="14"/>
  <c r="L66" i="14"/>
  <c r="K66" i="14"/>
  <c r="N66" i="14" s="1"/>
  <c r="F66" i="14"/>
  <c r="K65" i="14"/>
  <c r="F65" i="14"/>
  <c r="M64" i="14"/>
  <c r="L64" i="14"/>
  <c r="K64" i="14"/>
  <c r="N64" i="14" s="1"/>
  <c r="F64" i="14"/>
  <c r="M63" i="14"/>
  <c r="L63" i="14"/>
  <c r="K63" i="14"/>
  <c r="N63" i="14" s="1"/>
  <c r="F63" i="14"/>
  <c r="K62" i="14"/>
  <c r="F62" i="14"/>
  <c r="M62" i="14" s="1"/>
  <c r="M61" i="14"/>
  <c r="L61" i="14"/>
  <c r="K61" i="14"/>
  <c r="N61" i="14" s="1"/>
  <c r="F61" i="14"/>
  <c r="K60" i="14"/>
  <c r="F60" i="14"/>
  <c r="N60" i="14" s="1"/>
  <c r="K58" i="14"/>
  <c r="F58" i="14"/>
  <c r="N58" i="14" s="1"/>
  <c r="M57" i="14"/>
  <c r="L57" i="14"/>
  <c r="K57" i="14"/>
  <c r="N57" i="14" s="1"/>
  <c r="F57" i="14"/>
  <c r="M56" i="14"/>
  <c r="L56" i="14"/>
  <c r="K56" i="14"/>
  <c r="N56" i="14" s="1"/>
  <c r="F56" i="14"/>
  <c r="K55" i="14"/>
  <c r="F55" i="14"/>
  <c r="M55" i="14" s="1"/>
  <c r="G54" i="14"/>
  <c r="M53" i="14"/>
  <c r="K53" i="14"/>
  <c r="N53" i="14" s="1"/>
  <c r="F53" i="14"/>
  <c r="L53" i="14" s="1"/>
  <c r="M52" i="14"/>
  <c r="L52" i="14"/>
  <c r="K52" i="14"/>
  <c r="N52" i="14" s="1"/>
  <c r="F52" i="14"/>
  <c r="K51" i="14"/>
  <c r="F51" i="14"/>
  <c r="N51" i="14" s="1"/>
  <c r="G50" i="14"/>
  <c r="K49" i="14"/>
  <c r="N49" i="14" s="1"/>
  <c r="F49" i="14"/>
  <c r="M49" i="14" s="1"/>
  <c r="K48" i="14"/>
  <c r="F48" i="14"/>
  <c r="K47" i="14"/>
  <c r="F47" i="14"/>
  <c r="M46" i="14"/>
  <c r="K46" i="14"/>
  <c r="N46" i="14" s="1"/>
  <c r="F46" i="14"/>
  <c r="L46" i="14" s="1"/>
  <c r="M45" i="14"/>
  <c r="L45" i="14"/>
  <c r="K45" i="14"/>
  <c r="N45" i="14" s="1"/>
  <c r="F45" i="14"/>
  <c r="K44" i="14"/>
  <c r="F44" i="14"/>
  <c r="N44" i="14" s="1"/>
  <c r="N43" i="14"/>
  <c r="M43" i="14"/>
  <c r="L43" i="14"/>
  <c r="K43" i="14"/>
  <c r="F43" i="14"/>
  <c r="M42" i="14"/>
  <c r="L42" i="14"/>
  <c r="K42" i="14"/>
  <c r="N42" i="14" s="1"/>
  <c r="F42" i="14"/>
  <c r="K40" i="14"/>
  <c r="F40" i="14"/>
  <c r="M39" i="14"/>
  <c r="K39" i="14"/>
  <c r="N39" i="14" s="1"/>
  <c r="F39" i="14"/>
  <c r="L39" i="14" s="1"/>
  <c r="N38" i="14"/>
  <c r="M38" i="14"/>
  <c r="L38" i="14"/>
  <c r="K38" i="14"/>
  <c r="F38" i="14"/>
  <c r="K37" i="14"/>
  <c r="F37" i="14"/>
  <c r="M36" i="14"/>
  <c r="L36" i="14"/>
  <c r="K36" i="14"/>
  <c r="N36" i="14" s="1"/>
  <c r="F36" i="14"/>
  <c r="M35" i="14"/>
  <c r="L35" i="14"/>
  <c r="K35" i="14"/>
  <c r="N35" i="14" s="1"/>
  <c r="F35" i="14"/>
  <c r="K33" i="14"/>
  <c r="F33" i="14"/>
  <c r="N33" i="14" s="1"/>
  <c r="G32" i="14"/>
  <c r="K31" i="14"/>
  <c r="F31" i="14"/>
  <c r="K30" i="14"/>
  <c r="F30" i="14"/>
  <c r="N30" i="14" s="1"/>
  <c r="K29" i="14"/>
  <c r="F29" i="14"/>
  <c r="N29" i="14" s="1"/>
  <c r="K28" i="14"/>
  <c r="N28" i="14" s="1"/>
  <c r="F28" i="14"/>
  <c r="M28" i="14" s="1"/>
  <c r="K27" i="14"/>
  <c r="F27" i="14"/>
  <c r="N27" i="14" s="1"/>
  <c r="K26" i="14"/>
  <c r="F26" i="14"/>
  <c r="G24" i="14" s="1"/>
  <c r="M25" i="14"/>
  <c r="K25" i="14"/>
  <c r="N25" i="14" s="1"/>
  <c r="F25" i="14"/>
  <c r="L25" i="14" s="1"/>
  <c r="K23" i="14"/>
  <c r="F23" i="14"/>
  <c r="K22" i="14"/>
  <c r="F22" i="14"/>
  <c r="N22" i="14" s="1"/>
  <c r="K21" i="14"/>
  <c r="N21" i="14" s="1"/>
  <c r="F21" i="14"/>
  <c r="M21" i="14" s="1"/>
  <c r="K20" i="14"/>
  <c r="F20" i="14"/>
  <c r="N20" i="14" s="1"/>
  <c r="K19" i="14"/>
  <c r="F19" i="14"/>
  <c r="N19" i="14" s="1"/>
  <c r="M18" i="14"/>
  <c r="K18" i="14"/>
  <c r="N18" i="14" s="1"/>
  <c r="F18" i="14"/>
  <c r="L18" i="14" s="1"/>
  <c r="M17" i="14"/>
  <c r="L17" i="14"/>
  <c r="K17" i="14"/>
  <c r="N17" i="14" s="1"/>
  <c r="F17" i="14"/>
  <c r="K16" i="14"/>
  <c r="F16" i="14"/>
  <c r="N16" i="14" s="1"/>
  <c r="M15" i="14"/>
  <c r="L15" i="14"/>
  <c r="K15" i="14"/>
  <c r="N15" i="14" s="1"/>
  <c r="F15" i="14"/>
  <c r="M14" i="14"/>
  <c r="L14" i="14"/>
  <c r="K14" i="14"/>
  <c r="N14" i="14" s="1"/>
  <c r="F14" i="14"/>
  <c r="K13" i="14"/>
  <c r="F13" i="14"/>
  <c r="M13" i="14" s="1"/>
  <c r="M12" i="14"/>
  <c r="L12" i="14"/>
  <c r="K12" i="14"/>
  <c r="N12" i="14" s="1"/>
  <c r="F12" i="14"/>
  <c r="K11" i="14"/>
  <c r="F11" i="14"/>
  <c r="K10" i="14"/>
  <c r="F10" i="14"/>
  <c r="L10" i="14" s="1"/>
  <c r="L20" i="13"/>
  <c r="K22" i="13"/>
  <c r="K23" i="13"/>
  <c r="L25" i="13"/>
  <c r="K26" i="13"/>
  <c r="L39" i="13"/>
  <c r="K40" i="13"/>
  <c r="K43" i="13"/>
  <c r="N43" i="13" s="1"/>
  <c r="K44" i="13"/>
  <c r="K45" i="13"/>
  <c r="K53" i="13"/>
  <c r="K58" i="13"/>
  <c r="K60" i="13"/>
  <c r="L61" i="13"/>
  <c r="K63" i="13"/>
  <c r="K64" i="13"/>
  <c r="K70" i="13"/>
  <c r="K74" i="13"/>
  <c r="K78" i="13"/>
  <c r="K79" i="13"/>
  <c r="K82" i="13"/>
  <c r="K83" i="13"/>
  <c r="K90" i="13"/>
  <c r="N90" i="13" s="1"/>
  <c r="K96" i="13"/>
  <c r="K98" i="13"/>
  <c r="N98" i="13" s="1"/>
  <c r="K99" i="13"/>
  <c r="L100" i="13"/>
  <c r="K109" i="13"/>
  <c r="K112" i="13"/>
  <c r="K114" i="13"/>
  <c r="L115" i="13"/>
  <c r="K117" i="13"/>
  <c r="K119" i="13"/>
  <c r="N119" i="13" s="1"/>
  <c r="L130" i="13"/>
  <c r="K131" i="13"/>
  <c r="K132" i="13"/>
  <c r="K133" i="13"/>
  <c r="K135" i="13"/>
  <c r="L144" i="13"/>
  <c r="K146" i="13"/>
  <c r="K149" i="13"/>
  <c r="N149" i="13" s="1"/>
  <c r="L150" i="13"/>
  <c r="K152" i="13"/>
  <c r="K155" i="13"/>
  <c r="L166" i="13"/>
  <c r="K168" i="13"/>
  <c r="L171" i="13"/>
  <c r="L173" i="13"/>
  <c r="K175" i="13"/>
  <c r="K178" i="13"/>
  <c r="K179" i="13"/>
  <c r="L186" i="13"/>
  <c r="K189" i="13"/>
  <c r="L193" i="13"/>
  <c r="L194" i="13"/>
  <c r="M221" i="13"/>
  <c r="N216" i="13"/>
  <c r="L216" i="13"/>
  <c r="K212" i="13"/>
  <c r="E212" i="13"/>
  <c r="F212" i="13" s="1"/>
  <c r="N212" i="13" s="1"/>
  <c r="K211" i="13"/>
  <c r="E211" i="13"/>
  <c r="F211" i="13" s="1"/>
  <c r="K210" i="13"/>
  <c r="E210" i="13"/>
  <c r="F210" i="13" s="1"/>
  <c r="K209" i="13"/>
  <c r="E209" i="13"/>
  <c r="F209" i="13" s="1"/>
  <c r="N209" i="13" s="1"/>
  <c r="K207" i="13"/>
  <c r="E207" i="13"/>
  <c r="F207" i="13" s="1"/>
  <c r="G206" i="13"/>
  <c r="N205" i="13"/>
  <c r="M205" i="13"/>
  <c r="K205" i="13"/>
  <c r="E205" i="13"/>
  <c r="F205" i="13" s="1"/>
  <c r="L205" i="13" s="1"/>
  <c r="K204" i="13"/>
  <c r="E204" i="13"/>
  <c r="F204" i="13" s="1"/>
  <c r="K202" i="13"/>
  <c r="E202" i="13"/>
  <c r="F202" i="13" s="1"/>
  <c r="K200" i="13"/>
  <c r="E200" i="13"/>
  <c r="F200" i="13" s="1"/>
  <c r="G199" i="13"/>
  <c r="F194" i="13"/>
  <c r="F193" i="13"/>
  <c r="M191" i="13"/>
  <c r="K191" i="13"/>
  <c r="N191" i="13" s="1"/>
  <c r="F191" i="13"/>
  <c r="L191" i="13" s="1"/>
  <c r="K190" i="13"/>
  <c r="F190" i="13"/>
  <c r="F189" i="13"/>
  <c r="L188" i="13"/>
  <c r="K188" i="13"/>
  <c r="F188" i="13"/>
  <c r="N188" i="13" s="1"/>
  <c r="K187" i="13"/>
  <c r="F187" i="13"/>
  <c r="M187" i="13" s="1"/>
  <c r="M186" i="13"/>
  <c r="K186" i="13"/>
  <c r="N186" i="13" s="1"/>
  <c r="F186" i="13"/>
  <c r="K185" i="13"/>
  <c r="F185" i="13"/>
  <c r="K184" i="13"/>
  <c r="N184" i="13" s="1"/>
  <c r="F184" i="13"/>
  <c r="M183" i="13"/>
  <c r="L183" i="13"/>
  <c r="F183" i="13"/>
  <c r="K181" i="13"/>
  <c r="F181" i="13"/>
  <c r="G177" i="13" s="1"/>
  <c r="M180" i="13"/>
  <c r="L180" i="13"/>
  <c r="K180" i="13"/>
  <c r="N180" i="13" s="1"/>
  <c r="F180" i="13"/>
  <c r="F179" i="13"/>
  <c r="F178" i="13"/>
  <c r="M176" i="13"/>
  <c r="L176" i="13"/>
  <c r="K176" i="13"/>
  <c r="F176" i="13"/>
  <c r="F175" i="13"/>
  <c r="M175" i="13" s="1"/>
  <c r="G174" i="13"/>
  <c r="M173" i="13"/>
  <c r="F173" i="13"/>
  <c r="G172" i="13"/>
  <c r="M171" i="13"/>
  <c r="K171" i="13"/>
  <c r="F171" i="13"/>
  <c r="M170" i="13"/>
  <c r="L170" i="13"/>
  <c r="K170" i="13"/>
  <c r="N170" i="13" s="1"/>
  <c r="F170" i="13"/>
  <c r="G169" i="13" s="1"/>
  <c r="F168" i="13"/>
  <c r="M167" i="13"/>
  <c r="L167" i="13"/>
  <c r="K167" i="13"/>
  <c r="N167" i="13" s="1"/>
  <c r="F167" i="13"/>
  <c r="M166" i="13"/>
  <c r="K166" i="13"/>
  <c r="F166" i="13"/>
  <c r="K165" i="13"/>
  <c r="F165" i="13"/>
  <c r="G164" i="13"/>
  <c r="M163" i="13"/>
  <c r="L163" i="13"/>
  <c r="F163" i="13"/>
  <c r="G162" i="13"/>
  <c r="K161" i="13"/>
  <c r="F161" i="13"/>
  <c r="L161" i="13" s="1"/>
  <c r="M160" i="13"/>
  <c r="L160" i="13"/>
  <c r="K160" i="13"/>
  <c r="N160" i="13" s="1"/>
  <c r="F160" i="13"/>
  <c r="G159" i="13" s="1"/>
  <c r="K158" i="13"/>
  <c r="F158" i="13"/>
  <c r="M156" i="13"/>
  <c r="L156" i="13"/>
  <c r="K156" i="13"/>
  <c r="N156" i="13" s="1"/>
  <c r="F156" i="13"/>
  <c r="F155" i="13"/>
  <c r="K154" i="13"/>
  <c r="F154" i="13"/>
  <c r="M153" i="13"/>
  <c r="F153" i="13"/>
  <c r="F152" i="13"/>
  <c r="M150" i="13"/>
  <c r="F150" i="13"/>
  <c r="F149" i="13"/>
  <c r="K148" i="13"/>
  <c r="F148" i="13"/>
  <c r="L148" i="13" s="1"/>
  <c r="G147" i="13"/>
  <c r="M146" i="13"/>
  <c r="L146" i="13"/>
  <c r="F146" i="13"/>
  <c r="M145" i="13"/>
  <c r="L145" i="13"/>
  <c r="K145" i="13"/>
  <c r="F145" i="13"/>
  <c r="M144" i="13"/>
  <c r="K144" i="13"/>
  <c r="N144" i="13" s="1"/>
  <c r="F144" i="13"/>
  <c r="G143" i="13" s="1"/>
  <c r="K141" i="13"/>
  <c r="F141" i="13"/>
  <c r="M140" i="13"/>
  <c r="L140" i="13"/>
  <c r="K140" i="13"/>
  <c r="N140" i="13" s="1"/>
  <c r="F140" i="13"/>
  <c r="M139" i="13"/>
  <c r="L139" i="13"/>
  <c r="K139" i="13"/>
  <c r="F139" i="13"/>
  <c r="N139" i="13" s="1"/>
  <c r="K138" i="13"/>
  <c r="F138" i="13"/>
  <c r="L138" i="13" s="1"/>
  <c r="M137" i="13"/>
  <c r="L137" i="13"/>
  <c r="K137" i="13"/>
  <c r="N137" i="13" s="1"/>
  <c r="F137" i="13"/>
  <c r="K136" i="13"/>
  <c r="F136" i="13"/>
  <c r="F135" i="13"/>
  <c r="M135" i="13" s="1"/>
  <c r="M134" i="13"/>
  <c r="F134" i="13"/>
  <c r="F133" i="13"/>
  <c r="F132" i="13"/>
  <c r="M131" i="13"/>
  <c r="F131" i="13"/>
  <c r="M130" i="13"/>
  <c r="F130" i="13"/>
  <c r="M129" i="13"/>
  <c r="L129" i="13"/>
  <c r="K129" i="13"/>
  <c r="N129" i="13" s="1"/>
  <c r="F129" i="13"/>
  <c r="K128" i="13"/>
  <c r="F128" i="13"/>
  <c r="K127" i="13"/>
  <c r="F127" i="13"/>
  <c r="M126" i="13"/>
  <c r="F126" i="13"/>
  <c r="K125" i="13"/>
  <c r="F125" i="13"/>
  <c r="K124" i="13"/>
  <c r="F124" i="13"/>
  <c r="M123" i="13"/>
  <c r="L123" i="13"/>
  <c r="K123" i="13"/>
  <c r="F123" i="13"/>
  <c r="K122" i="13"/>
  <c r="F122" i="13"/>
  <c r="L122" i="13" s="1"/>
  <c r="M121" i="13"/>
  <c r="L121" i="13"/>
  <c r="K121" i="13"/>
  <c r="N121" i="13" s="1"/>
  <c r="F121" i="13"/>
  <c r="K120" i="13"/>
  <c r="F120" i="13"/>
  <c r="F119" i="13"/>
  <c r="M119" i="13" s="1"/>
  <c r="M118" i="13"/>
  <c r="F118" i="13"/>
  <c r="F117" i="13"/>
  <c r="M116" i="13"/>
  <c r="L116" i="13"/>
  <c r="K116" i="13"/>
  <c r="N116" i="13" s="1"/>
  <c r="F116" i="13"/>
  <c r="M115" i="13"/>
  <c r="F115" i="13"/>
  <c r="F114" i="13"/>
  <c r="M113" i="13"/>
  <c r="L113" i="13"/>
  <c r="K113" i="13"/>
  <c r="N113" i="13" s="1"/>
  <c r="F113" i="13"/>
  <c r="F112" i="13"/>
  <c r="K111" i="13"/>
  <c r="F111" i="13"/>
  <c r="L111" i="13" s="1"/>
  <c r="M110" i="13"/>
  <c r="F110" i="13"/>
  <c r="L109" i="13"/>
  <c r="F109" i="13"/>
  <c r="A109" i="13"/>
  <c r="K107" i="13"/>
  <c r="F107" i="13"/>
  <c r="K106" i="13"/>
  <c r="F106" i="13"/>
  <c r="M105" i="13"/>
  <c r="K105" i="13"/>
  <c r="N105" i="13" s="1"/>
  <c r="F105" i="13"/>
  <c r="L105" i="13" s="1"/>
  <c r="L104" i="13"/>
  <c r="K104" i="13"/>
  <c r="N104" i="13" s="1"/>
  <c r="F104" i="13"/>
  <c r="M104" i="13" s="1"/>
  <c r="A104" i="13"/>
  <c r="M102" i="13"/>
  <c r="L102" i="13"/>
  <c r="K102" i="13"/>
  <c r="N102" i="13" s="1"/>
  <c r="F102" i="13"/>
  <c r="G101" i="13"/>
  <c r="M100" i="13"/>
  <c r="F100" i="13"/>
  <c r="F99" i="13"/>
  <c r="M98" i="13"/>
  <c r="F98" i="13"/>
  <c r="K97" i="13"/>
  <c r="F97" i="13"/>
  <c r="F96" i="13"/>
  <c r="M95" i="13"/>
  <c r="F95" i="13"/>
  <c r="K94" i="13"/>
  <c r="F94" i="13"/>
  <c r="K93" i="13"/>
  <c r="F93" i="13"/>
  <c r="M92" i="13"/>
  <c r="L92" i="13"/>
  <c r="K92" i="13"/>
  <c r="F92" i="13"/>
  <c r="K91" i="13"/>
  <c r="N91" i="13" s="1"/>
  <c r="F91" i="13"/>
  <c r="M91" i="13" s="1"/>
  <c r="M90" i="13"/>
  <c r="L90" i="13"/>
  <c r="F90" i="13"/>
  <c r="K89" i="13"/>
  <c r="F89" i="13"/>
  <c r="G88" i="13"/>
  <c r="K87" i="13"/>
  <c r="F87" i="13"/>
  <c r="M86" i="13"/>
  <c r="L86" i="13"/>
  <c r="K86" i="13"/>
  <c r="F86" i="13"/>
  <c r="N86" i="13" s="1"/>
  <c r="K85" i="13"/>
  <c r="F85" i="13"/>
  <c r="L85" i="13" s="1"/>
  <c r="M84" i="13"/>
  <c r="L84" i="13"/>
  <c r="K84" i="13"/>
  <c r="N84" i="13" s="1"/>
  <c r="F84" i="13"/>
  <c r="F83" i="13"/>
  <c r="F82" i="13"/>
  <c r="M81" i="13"/>
  <c r="F81" i="13"/>
  <c r="A81" i="13"/>
  <c r="F79" i="13"/>
  <c r="F78" i="13"/>
  <c r="K77" i="13"/>
  <c r="F77" i="13"/>
  <c r="K76" i="13"/>
  <c r="F76" i="13"/>
  <c r="N76" i="13" s="1"/>
  <c r="F74" i="13"/>
  <c r="M73" i="13"/>
  <c r="L73" i="13"/>
  <c r="K73" i="13"/>
  <c r="N73" i="13" s="1"/>
  <c r="F73" i="13"/>
  <c r="K72" i="13"/>
  <c r="F72" i="13"/>
  <c r="A72" i="13"/>
  <c r="F70" i="13"/>
  <c r="M69" i="13"/>
  <c r="L69" i="13"/>
  <c r="K69" i="13"/>
  <c r="N69" i="13" s="1"/>
  <c r="F69" i="13"/>
  <c r="K68" i="13"/>
  <c r="F68" i="13"/>
  <c r="K67" i="13"/>
  <c r="F67" i="13"/>
  <c r="M66" i="13"/>
  <c r="F66" i="13"/>
  <c r="K65" i="13"/>
  <c r="F65" i="13"/>
  <c r="L65" i="13" s="1"/>
  <c r="F64" i="13"/>
  <c r="M63" i="13"/>
  <c r="F63" i="13"/>
  <c r="K62" i="13"/>
  <c r="F62" i="13"/>
  <c r="N62" i="13" s="1"/>
  <c r="M61" i="13"/>
  <c r="F61" i="13"/>
  <c r="F60" i="13"/>
  <c r="F58" i="13"/>
  <c r="M57" i="13"/>
  <c r="L57" i="13"/>
  <c r="K57" i="13"/>
  <c r="F57" i="13"/>
  <c r="M56" i="13"/>
  <c r="K56" i="13"/>
  <c r="N56" i="13" s="1"/>
  <c r="F56" i="13"/>
  <c r="M55" i="13"/>
  <c r="L55" i="13"/>
  <c r="K55" i="13"/>
  <c r="N55" i="13" s="1"/>
  <c r="F55" i="13"/>
  <c r="G54" i="13" s="1"/>
  <c r="F53" i="13"/>
  <c r="G50" i="13" s="1"/>
  <c r="M52" i="13"/>
  <c r="L52" i="13"/>
  <c r="K52" i="13"/>
  <c r="N52" i="13" s="1"/>
  <c r="F52" i="13"/>
  <c r="M51" i="13"/>
  <c r="L51" i="13"/>
  <c r="K51" i="13"/>
  <c r="F51" i="13"/>
  <c r="N51" i="13" s="1"/>
  <c r="K49" i="13"/>
  <c r="F49" i="13"/>
  <c r="M48" i="13"/>
  <c r="F48" i="13"/>
  <c r="K47" i="13"/>
  <c r="F47" i="13"/>
  <c r="K46" i="13"/>
  <c r="F46" i="13"/>
  <c r="L46" i="13" s="1"/>
  <c r="M45" i="13"/>
  <c r="F45" i="13"/>
  <c r="F44" i="13"/>
  <c r="M43" i="13"/>
  <c r="F43" i="13"/>
  <c r="K42" i="13"/>
  <c r="N42" i="13" s="1"/>
  <c r="F42" i="13"/>
  <c r="F40" i="13"/>
  <c r="M39" i="13"/>
  <c r="F39" i="13"/>
  <c r="M38" i="13"/>
  <c r="K38" i="13"/>
  <c r="N38" i="13" s="1"/>
  <c r="F38" i="13"/>
  <c r="M37" i="13"/>
  <c r="L37" i="13"/>
  <c r="K37" i="13"/>
  <c r="N37" i="13" s="1"/>
  <c r="F37" i="13"/>
  <c r="K36" i="13"/>
  <c r="F36" i="13"/>
  <c r="K35" i="13"/>
  <c r="F35" i="13"/>
  <c r="M33" i="13"/>
  <c r="L33" i="13"/>
  <c r="K33" i="13"/>
  <c r="F33" i="13"/>
  <c r="G32" i="13"/>
  <c r="K31" i="13"/>
  <c r="F31" i="13"/>
  <c r="M30" i="13"/>
  <c r="F30" i="13"/>
  <c r="K29" i="13"/>
  <c r="F29" i="13"/>
  <c r="K28" i="13"/>
  <c r="F28" i="13"/>
  <c r="L28" i="13" s="1"/>
  <c r="M27" i="13"/>
  <c r="L27" i="13"/>
  <c r="K27" i="13"/>
  <c r="F27" i="13"/>
  <c r="F26" i="13"/>
  <c r="M25" i="13"/>
  <c r="F25" i="13"/>
  <c r="F23" i="13"/>
  <c r="F22" i="13"/>
  <c r="M21" i="13"/>
  <c r="L21" i="13"/>
  <c r="K21" i="13"/>
  <c r="F21" i="13"/>
  <c r="N21" i="13" s="1"/>
  <c r="M20" i="13"/>
  <c r="F20" i="13"/>
  <c r="M19" i="13"/>
  <c r="L19" i="13"/>
  <c r="K19" i="13"/>
  <c r="N19" i="13" s="1"/>
  <c r="F19" i="13"/>
  <c r="K18" i="13"/>
  <c r="F18" i="13"/>
  <c r="K17" i="13"/>
  <c r="F17" i="13"/>
  <c r="M16" i="13"/>
  <c r="F16" i="13"/>
  <c r="K15" i="13"/>
  <c r="F15" i="13"/>
  <c r="K14" i="13"/>
  <c r="F14" i="13"/>
  <c r="M13" i="13"/>
  <c r="L13" i="13"/>
  <c r="K13" i="13"/>
  <c r="F13" i="13"/>
  <c r="K12" i="13"/>
  <c r="F12" i="13"/>
  <c r="M11" i="13"/>
  <c r="L11" i="13"/>
  <c r="K11" i="13"/>
  <c r="N11" i="13" s="1"/>
  <c r="F11" i="13"/>
  <c r="K10" i="13"/>
  <c r="N10" i="13" s="1"/>
  <c r="F10" i="13"/>
  <c r="I33" i="11"/>
  <c r="I173" i="11"/>
  <c r="I11" i="11"/>
  <c r="I12" i="11"/>
  <c r="I13" i="11"/>
  <c r="I14" i="11"/>
  <c r="I15" i="11"/>
  <c r="I16" i="11"/>
  <c r="I17" i="11"/>
  <c r="I18" i="11"/>
  <c r="I19" i="11"/>
  <c r="I20" i="11"/>
  <c r="I21" i="11"/>
  <c r="I22" i="11"/>
  <c r="I23" i="11"/>
  <c r="I25" i="11"/>
  <c r="I26" i="11"/>
  <c r="I27" i="11"/>
  <c r="I28" i="11"/>
  <c r="I29" i="11"/>
  <c r="I30" i="11"/>
  <c r="I31" i="11"/>
  <c r="I35" i="11"/>
  <c r="I36" i="11"/>
  <c r="I37" i="11"/>
  <c r="I38" i="11"/>
  <c r="I39" i="11"/>
  <c r="I40" i="11"/>
  <c r="I42" i="11"/>
  <c r="I43" i="11"/>
  <c r="I44" i="11"/>
  <c r="I45" i="11"/>
  <c r="I46" i="11"/>
  <c r="I47" i="11"/>
  <c r="I48" i="11"/>
  <c r="I49" i="11"/>
  <c r="I51" i="11"/>
  <c r="I52" i="11"/>
  <c r="I53" i="11"/>
  <c r="I55" i="11"/>
  <c r="I56" i="11"/>
  <c r="I57" i="11"/>
  <c r="I58" i="11"/>
  <c r="I60" i="11"/>
  <c r="I61" i="11"/>
  <c r="I62" i="11"/>
  <c r="I63" i="11"/>
  <c r="I64" i="11"/>
  <c r="I65" i="11"/>
  <c r="I66" i="11"/>
  <c r="I67" i="11"/>
  <c r="I68" i="11"/>
  <c r="I69" i="11"/>
  <c r="I70" i="11"/>
  <c r="I72" i="11"/>
  <c r="I73" i="11"/>
  <c r="I74" i="11"/>
  <c r="I76" i="11"/>
  <c r="I77" i="11"/>
  <c r="I78" i="11"/>
  <c r="I79" i="11"/>
  <c r="I81" i="11"/>
  <c r="I82" i="11"/>
  <c r="I83" i="11"/>
  <c r="I84" i="11"/>
  <c r="I85" i="11"/>
  <c r="I86" i="11"/>
  <c r="I87" i="11"/>
  <c r="I89" i="11"/>
  <c r="I90" i="11"/>
  <c r="I91" i="11"/>
  <c r="I92" i="11"/>
  <c r="I93" i="11"/>
  <c r="I94" i="11"/>
  <c r="I95" i="11"/>
  <c r="I96" i="11"/>
  <c r="I97" i="11"/>
  <c r="I98" i="11"/>
  <c r="I99" i="11"/>
  <c r="I100" i="11"/>
  <c r="I102" i="11"/>
  <c r="I104" i="11"/>
  <c r="I105" i="11"/>
  <c r="I106" i="11"/>
  <c r="I107" i="11"/>
  <c r="I109" i="11"/>
  <c r="I110" i="11"/>
  <c r="I111" i="11"/>
  <c r="I112" i="11"/>
  <c r="I113" i="11"/>
  <c r="I114" i="11"/>
  <c r="I115" i="11"/>
  <c r="I116" i="11"/>
  <c r="I117" i="11"/>
  <c r="I118" i="11"/>
  <c r="I119" i="11"/>
  <c r="I120" i="11"/>
  <c r="I121" i="11"/>
  <c r="I122" i="11"/>
  <c r="I123" i="11"/>
  <c r="I124" i="11"/>
  <c r="I125" i="11"/>
  <c r="I126" i="11"/>
  <c r="I127" i="11"/>
  <c r="I128" i="11"/>
  <c r="I129" i="11"/>
  <c r="I130" i="11"/>
  <c r="I131" i="11"/>
  <c r="I132" i="11"/>
  <c r="I133" i="11"/>
  <c r="I134" i="11"/>
  <c r="I135" i="11"/>
  <c r="I136" i="11"/>
  <c r="I137" i="11"/>
  <c r="I138" i="11"/>
  <c r="I139" i="11"/>
  <c r="I140" i="11"/>
  <c r="I141" i="11"/>
  <c r="I144" i="11"/>
  <c r="I145" i="11"/>
  <c r="I146" i="11"/>
  <c r="I148" i="11"/>
  <c r="I149" i="11"/>
  <c r="I150" i="11"/>
  <c r="I152" i="11"/>
  <c r="I153" i="11"/>
  <c r="I154" i="11"/>
  <c r="I155" i="11"/>
  <c r="I156" i="11"/>
  <c r="I158" i="11"/>
  <c r="I160" i="11"/>
  <c r="I161" i="11"/>
  <c r="I163" i="11"/>
  <c r="I165" i="11"/>
  <c r="I166" i="11"/>
  <c r="I167" i="11"/>
  <c r="I168" i="11"/>
  <c r="I170" i="11"/>
  <c r="I171" i="11"/>
  <c r="I175" i="11"/>
  <c r="I176" i="11"/>
  <c r="I178" i="11"/>
  <c r="I179" i="11"/>
  <c r="I180" i="11"/>
  <c r="I181" i="11"/>
  <c r="I183" i="11"/>
  <c r="I184" i="11"/>
  <c r="I185" i="11"/>
  <c r="I186" i="11"/>
  <c r="I187" i="11"/>
  <c r="I188" i="11"/>
  <c r="I189" i="11"/>
  <c r="I190" i="11"/>
  <c r="I191" i="11"/>
  <c r="I193" i="11"/>
  <c r="I194" i="11"/>
  <c r="I10" i="11"/>
  <c r="N111" i="16" l="1"/>
  <c r="N109" i="16"/>
  <c r="N130" i="16"/>
  <c r="N120" i="16"/>
  <c r="N48" i="16"/>
  <c r="N30" i="16"/>
  <c r="N180" i="16"/>
  <c r="N186" i="16"/>
  <c r="N31" i="16"/>
  <c r="N86" i="16"/>
  <c r="N114" i="16"/>
  <c r="N145" i="16"/>
  <c r="N152" i="16"/>
  <c r="N166" i="16"/>
  <c r="N193" i="16"/>
  <c r="N187" i="16"/>
  <c r="N20" i="16"/>
  <c r="N69" i="16"/>
  <c r="N76" i="16"/>
  <c r="N181" i="16"/>
  <c r="N194" i="16"/>
  <c r="N83" i="16"/>
  <c r="N93" i="16"/>
  <c r="N136" i="16"/>
  <c r="N154" i="16"/>
  <c r="N168" i="16"/>
  <c r="N121" i="16"/>
  <c r="N84" i="16"/>
  <c r="N137" i="16"/>
  <c r="N148" i="16"/>
  <c r="N176" i="16"/>
  <c r="N155" i="16"/>
  <c r="N149" i="16"/>
  <c r="N23" i="16"/>
  <c r="N91" i="16"/>
  <c r="N118" i="16"/>
  <c r="N133" i="16"/>
  <c r="N150" i="16"/>
  <c r="N185" i="16"/>
  <c r="N13" i="16"/>
  <c r="N62" i="16"/>
  <c r="N123" i="16"/>
  <c r="G206" i="16"/>
  <c r="N207" i="16"/>
  <c r="M207" i="16"/>
  <c r="L207" i="16"/>
  <c r="N210" i="16"/>
  <c r="M210" i="16"/>
  <c r="L210" i="16"/>
  <c r="G201" i="16"/>
  <c r="N202" i="16"/>
  <c r="N213" i="16" s="1"/>
  <c r="M202" i="16"/>
  <c r="L202" i="16"/>
  <c r="N212" i="16"/>
  <c r="M212" i="16"/>
  <c r="L212" i="16"/>
  <c r="N204" i="16"/>
  <c r="M204" i="16"/>
  <c r="L204" i="16"/>
  <c r="G203" i="16"/>
  <c r="M209" i="16"/>
  <c r="L209" i="16"/>
  <c r="G208" i="16"/>
  <c r="N209" i="16"/>
  <c r="N205" i="16"/>
  <c r="M205" i="16"/>
  <c r="L205" i="16"/>
  <c r="N11" i="16"/>
  <c r="L105" i="16"/>
  <c r="L15" i="16"/>
  <c r="M18" i="16"/>
  <c r="N21" i="16"/>
  <c r="M25" i="16"/>
  <c r="N28" i="16"/>
  <c r="L36" i="16"/>
  <c r="M39" i="16"/>
  <c r="L43" i="16"/>
  <c r="M46" i="16"/>
  <c r="N49" i="16"/>
  <c r="M53" i="16"/>
  <c r="L57" i="16"/>
  <c r="L64" i="16"/>
  <c r="M67" i="16"/>
  <c r="N70" i="16"/>
  <c r="L74" i="16"/>
  <c r="N81" i="16"/>
  <c r="L98" i="16"/>
  <c r="N105" i="16"/>
  <c r="L109" i="16"/>
  <c r="M112" i="16"/>
  <c r="N115" i="16"/>
  <c r="M128" i="16"/>
  <c r="N131" i="16"/>
  <c r="N153" i="16"/>
  <c r="G157" i="16"/>
  <c r="N165" i="16"/>
  <c r="G169" i="16"/>
  <c r="F195" i="16"/>
  <c r="L126" i="16"/>
  <c r="L21" i="16"/>
  <c r="L49" i="16"/>
  <c r="N60" i="16"/>
  <c r="L70" i="16"/>
  <c r="N77" i="16"/>
  <c r="L81" i="16"/>
  <c r="N87" i="16"/>
  <c r="N94" i="16"/>
  <c r="N18" i="16"/>
  <c r="N25" i="16"/>
  <c r="M36" i="16"/>
  <c r="N39" i="16"/>
  <c r="M43" i="16"/>
  <c r="N46" i="16"/>
  <c r="G50" i="16"/>
  <c r="N53" i="16"/>
  <c r="N67" i="16"/>
  <c r="G71" i="16"/>
  <c r="M109" i="16"/>
  <c r="N112" i="16"/>
  <c r="N128" i="16"/>
  <c r="M44" i="16"/>
  <c r="G54" i="16"/>
  <c r="G147" i="16"/>
  <c r="M154" i="16"/>
  <c r="L158" i="16"/>
  <c r="M166" i="16"/>
  <c r="L170" i="16"/>
  <c r="M178" i="16"/>
  <c r="M185" i="16"/>
  <c r="G192" i="16"/>
  <c r="G151" i="16"/>
  <c r="G182" i="16"/>
  <c r="L58" i="16"/>
  <c r="M65" i="16"/>
  <c r="L10" i="16"/>
  <c r="M13" i="16"/>
  <c r="N16" i="16"/>
  <c r="N37" i="16"/>
  <c r="N44" i="16"/>
  <c r="N51" i="16"/>
  <c r="M55" i="16"/>
  <c r="N58" i="16"/>
  <c r="M62" i="16"/>
  <c r="N65" i="16"/>
  <c r="M72" i="16"/>
  <c r="L76" i="16"/>
  <c r="M79" i="16"/>
  <c r="L86" i="16"/>
  <c r="L93" i="16"/>
  <c r="M96" i="16"/>
  <c r="N99" i="16"/>
  <c r="N110" i="16"/>
  <c r="L120" i="16"/>
  <c r="M123" i="16"/>
  <c r="N126" i="16"/>
  <c r="L136" i="16"/>
  <c r="L189" i="16"/>
  <c r="L179" i="16"/>
  <c r="L186" i="16"/>
  <c r="L193" i="16"/>
  <c r="G199" i="16"/>
  <c r="L99" i="16"/>
  <c r="L13" i="16"/>
  <c r="M51" i="16"/>
  <c r="L62" i="16"/>
  <c r="L96" i="16"/>
  <c r="M110" i="16"/>
  <c r="L123" i="16"/>
  <c r="M10" i="16"/>
  <c r="L23" i="16"/>
  <c r="L30" i="16"/>
  <c r="N55" i="16"/>
  <c r="G59" i="16"/>
  <c r="N72" i="16"/>
  <c r="M76" i="16"/>
  <c r="N79" i="16"/>
  <c r="L83" i="16"/>
  <c r="M86" i="16"/>
  <c r="L90" i="16"/>
  <c r="M93" i="16"/>
  <c r="L107" i="16"/>
  <c r="L117" i="16"/>
  <c r="M120" i="16"/>
  <c r="L133" i="16"/>
  <c r="M136" i="16"/>
  <c r="L148" i="16"/>
  <c r="L155" i="16"/>
  <c r="L167" i="16"/>
  <c r="L20" i="16"/>
  <c r="M23" i="16"/>
  <c r="L27" i="16"/>
  <c r="M30" i="16"/>
  <c r="L48" i="16"/>
  <c r="L69" i="16"/>
  <c r="G80" i="16"/>
  <c r="M83" i="16"/>
  <c r="M90" i="16"/>
  <c r="L104" i="16"/>
  <c r="M107" i="16"/>
  <c r="L114" i="16"/>
  <c r="M117" i="16"/>
  <c r="L130" i="16"/>
  <c r="M133" i="16"/>
  <c r="M148" i="16"/>
  <c r="L152" i="16"/>
  <c r="M155" i="16"/>
  <c r="M167" i="16"/>
  <c r="L171" i="16"/>
  <c r="M179" i="16"/>
  <c r="L183" i="16"/>
  <c r="M186" i="16"/>
  <c r="M193" i="16"/>
  <c r="L16" i="16"/>
  <c r="L37" i="16"/>
  <c r="N90" i="16"/>
  <c r="G164" i="16"/>
  <c r="N179" i="16"/>
  <c r="G24" i="16"/>
  <c r="G195" i="16" s="1"/>
  <c r="L190" i="16"/>
  <c r="L200" i="16"/>
  <c r="M121" i="16"/>
  <c r="M137" i="16"/>
  <c r="M145" i="16"/>
  <c r="M176" i="16"/>
  <c r="M190" i="16"/>
  <c r="M200" i="16"/>
  <c r="L115" i="16"/>
  <c r="M118" i="16"/>
  <c r="L131" i="16"/>
  <c r="M134" i="16"/>
  <c r="M149" i="16"/>
  <c r="L153" i="16"/>
  <c r="M156" i="16"/>
  <c r="L165" i="16"/>
  <c r="M168" i="16"/>
  <c r="M180" i="16"/>
  <c r="M187" i="16"/>
  <c r="M194" i="16"/>
  <c r="L28" i="16"/>
  <c r="N15" i="15"/>
  <c r="N14" i="15"/>
  <c r="N158" i="15"/>
  <c r="N128" i="15"/>
  <c r="N127" i="15"/>
  <c r="N40" i="15"/>
  <c r="N39" i="15"/>
  <c r="N17" i="15"/>
  <c r="N21" i="15"/>
  <c r="N26" i="15"/>
  <c r="N107" i="15"/>
  <c r="N190" i="15"/>
  <c r="N66" i="15"/>
  <c r="N95" i="15"/>
  <c r="N155" i="15"/>
  <c r="N47" i="15"/>
  <c r="N83" i="15"/>
  <c r="N176" i="15"/>
  <c r="N28" i="15"/>
  <c r="N42" i="15"/>
  <c r="N129" i="15"/>
  <c r="N193" i="15"/>
  <c r="N18" i="15"/>
  <c r="N35" i="15"/>
  <c r="N73" i="15"/>
  <c r="N124" i="15"/>
  <c r="N145" i="15"/>
  <c r="N36" i="15"/>
  <c r="N49" i="15"/>
  <c r="N74" i="15"/>
  <c r="N19" i="15"/>
  <c r="N29" i="15"/>
  <c r="N56" i="15"/>
  <c r="N98" i="15"/>
  <c r="N160" i="15"/>
  <c r="N179" i="15"/>
  <c r="N57" i="15"/>
  <c r="N140" i="15"/>
  <c r="N148" i="15"/>
  <c r="G203" i="15"/>
  <c r="N205" i="15"/>
  <c r="M205" i="15"/>
  <c r="L205" i="15"/>
  <c r="N207" i="15"/>
  <c r="M207" i="15"/>
  <c r="L207" i="15"/>
  <c r="G206" i="15"/>
  <c r="N200" i="15"/>
  <c r="M200" i="15"/>
  <c r="L200" i="15"/>
  <c r="G199" i="15"/>
  <c r="L209" i="15"/>
  <c r="G208" i="15"/>
  <c r="N209" i="15"/>
  <c r="M209" i="15"/>
  <c r="N31" i="15"/>
  <c r="G88" i="15"/>
  <c r="N91" i="15"/>
  <c r="N118" i="15"/>
  <c r="N149" i="15"/>
  <c r="N156" i="15"/>
  <c r="N168" i="15"/>
  <c r="G177" i="15"/>
  <c r="N180" i="15"/>
  <c r="N187" i="15"/>
  <c r="N194" i="15"/>
  <c r="L15" i="15"/>
  <c r="M18" i="15"/>
  <c r="M25" i="15"/>
  <c r="G32" i="15"/>
  <c r="L36" i="15"/>
  <c r="M39" i="15"/>
  <c r="L43" i="15"/>
  <c r="M46" i="15"/>
  <c r="M53" i="15"/>
  <c r="L57" i="15"/>
  <c r="L64" i="15"/>
  <c r="M67" i="15"/>
  <c r="L74" i="15"/>
  <c r="L98" i="15"/>
  <c r="L109" i="15"/>
  <c r="M112" i="15"/>
  <c r="M128" i="15"/>
  <c r="G157" i="15"/>
  <c r="G169" i="15"/>
  <c r="L212" i="15"/>
  <c r="N84" i="15"/>
  <c r="N134" i="15"/>
  <c r="L12" i="15"/>
  <c r="M15" i="15"/>
  <c r="M36" i="15"/>
  <c r="M43" i="15"/>
  <c r="G50" i="15"/>
  <c r="M57" i="15"/>
  <c r="L61" i="15"/>
  <c r="M64" i="15"/>
  <c r="G71" i="15"/>
  <c r="M74" i="15"/>
  <c r="L78" i="15"/>
  <c r="L95" i="15"/>
  <c r="M98" i="15"/>
  <c r="L102" i="15"/>
  <c r="M109" i="15"/>
  <c r="L122" i="15"/>
  <c r="L138" i="15"/>
  <c r="L146" i="15"/>
  <c r="L191" i="15"/>
  <c r="M95" i="15"/>
  <c r="G9" i="15"/>
  <c r="N12" i="15"/>
  <c r="N61" i="15"/>
  <c r="G75" i="15"/>
  <c r="N78" i="15"/>
  <c r="N102" i="15"/>
  <c r="N122" i="15"/>
  <c r="N138" i="15"/>
  <c r="G143" i="15"/>
  <c r="N146" i="15"/>
  <c r="N191" i="15"/>
  <c r="L19" i="15"/>
  <c r="L26" i="15"/>
  <c r="L33" i="15"/>
  <c r="L40" i="15"/>
  <c r="L47" i="15"/>
  <c r="L68" i="15"/>
  <c r="G103" i="15"/>
  <c r="L113" i="15"/>
  <c r="L129" i="15"/>
  <c r="G147" i="15"/>
  <c r="L158" i="15"/>
  <c r="L170" i="15"/>
  <c r="G192" i="15"/>
  <c r="M102" i="15"/>
  <c r="L16" i="15"/>
  <c r="M19" i="15"/>
  <c r="M26" i="15"/>
  <c r="M33" i="15"/>
  <c r="L37" i="15"/>
  <c r="M40" i="15"/>
  <c r="L44" i="15"/>
  <c r="M47" i="15"/>
  <c r="L51" i="15"/>
  <c r="L58" i="15"/>
  <c r="L65" i="15"/>
  <c r="M68" i="15"/>
  <c r="L99" i="15"/>
  <c r="L110" i="15"/>
  <c r="M113" i="15"/>
  <c r="L126" i="15"/>
  <c r="M129" i="15"/>
  <c r="G151" i="15"/>
  <c r="M158" i="15"/>
  <c r="M170" i="15"/>
  <c r="G182" i="15"/>
  <c r="G54" i="15"/>
  <c r="M61" i="15"/>
  <c r="N109" i="15"/>
  <c r="G159" i="15"/>
  <c r="G34" i="15"/>
  <c r="G41" i="15"/>
  <c r="L17" i="15"/>
  <c r="L38" i="15"/>
  <c r="L45" i="15"/>
  <c r="L52" i="15"/>
  <c r="L66" i="15"/>
  <c r="L100" i="15"/>
  <c r="L111" i="15"/>
  <c r="L127" i="15"/>
  <c r="L211" i="15"/>
  <c r="M204" i="15"/>
  <c r="M211" i="15"/>
  <c r="L14" i="15"/>
  <c r="L35" i="15"/>
  <c r="L42" i="15"/>
  <c r="L56" i="15"/>
  <c r="L73" i="15"/>
  <c r="L124" i="15"/>
  <c r="M14" i="15"/>
  <c r="M35" i="15"/>
  <c r="M42" i="15"/>
  <c r="M56" i="15"/>
  <c r="M63" i="15"/>
  <c r="M73" i="15"/>
  <c r="M97" i="15"/>
  <c r="L121" i="15"/>
  <c r="M124" i="15"/>
  <c r="L137" i="15"/>
  <c r="M140" i="15"/>
  <c r="L145" i="15"/>
  <c r="M160" i="15"/>
  <c r="L176" i="15"/>
  <c r="L190" i="15"/>
  <c r="L63" i="15"/>
  <c r="L97" i="15"/>
  <c r="L140" i="15"/>
  <c r="L160" i="15"/>
  <c r="L118" i="15"/>
  <c r="L134" i="15"/>
  <c r="L149" i="15"/>
  <c r="L156" i="15"/>
  <c r="L168" i="15"/>
  <c r="L180" i="15"/>
  <c r="L187" i="15"/>
  <c r="L194" i="15"/>
  <c r="N158" i="14"/>
  <c r="N129" i="14"/>
  <c r="N116" i="14"/>
  <c r="N40" i="14"/>
  <c r="N37" i="14"/>
  <c r="N11" i="14"/>
  <c r="N23" i="14"/>
  <c r="N47" i="14"/>
  <c r="N82" i="14"/>
  <c r="N114" i="14"/>
  <c r="N189" i="14"/>
  <c r="N31" i="14"/>
  <c r="N160" i="14"/>
  <c r="N65" i="14"/>
  <c r="N83" i="14"/>
  <c r="N92" i="14"/>
  <c r="N144" i="14"/>
  <c r="N167" i="14"/>
  <c r="N190" i="14"/>
  <c r="N210" i="14"/>
  <c r="M210" i="14"/>
  <c r="L210" i="14"/>
  <c r="N205" i="14"/>
  <c r="M205" i="14"/>
  <c r="L205" i="14"/>
  <c r="G206" i="14"/>
  <c r="N207" i="14"/>
  <c r="M207" i="14"/>
  <c r="L207" i="14"/>
  <c r="M209" i="14"/>
  <c r="L209" i="14"/>
  <c r="G208" i="14"/>
  <c r="N209" i="14"/>
  <c r="N211" i="14"/>
  <c r="M211" i="14"/>
  <c r="L211" i="14"/>
  <c r="N212" i="14"/>
  <c r="M212" i="14"/>
  <c r="L212" i="14"/>
  <c r="G201" i="14"/>
  <c r="N202" i="14"/>
  <c r="N213" i="14" s="1"/>
  <c r="M202" i="14"/>
  <c r="L202" i="14"/>
  <c r="N48" i="14"/>
  <c r="M48" i="14"/>
  <c r="F195" i="14"/>
  <c r="L48" i="14"/>
  <c r="N204" i="14"/>
  <c r="M204" i="14"/>
  <c r="L204" i="14"/>
  <c r="G203" i="14"/>
  <c r="N126" i="14"/>
  <c r="L136" i="14"/>
  <c r="M139" i="14"/>
  <c r="L144" i="14"/>
  <c r="L163" i="14"/>
  <c r="L175" i="14"/>
  <c r="L189" i="14"/>
  <c r="M10" i="14"/>
  <c r="N13" i="14"/>
  <c r="L23" i="14"/>
  <c r="L30" i="14"/>
  <c r="N55" i="14"/>
  <c r="G59" i="14"/>
  <c r="N62" i="14"/>
  <c r="N72" i="14"/>
  <c r="M76" i="14"/>
  <c r="N79" i="14"/>
  <c r="L83" i="14"/>
  <c r="M86" i="14"/>
  <c r="L90" i="14"/>
  <c r="M93" i="14"/>
  <c r="N96" i="14"/>
  <c r="L107" i="14"/>
  <c r="L117" i="14"/>
  <c r="M120" i="14"/>
  <c r="N123" i="14"/>
  <c r="L133" i="14"/>
  <c r="M136" i="14"/>
  <c r="N139" i="14"/>
  <c r="M144" i="14"/>
  <c r="L148" i="14"/>
  <c r="L155" i="14"/>
  <c r="M163" i="14"/>
  <c r="L167" i="14"/>
  <c r="M175" i="14"/>
  <c r="L179" i="14"/>
  <c r="L186" i="14"/>
  <c r="M189" i="14"/>
  <c r="L193" i="14"/>
  <c r="G199" i="14"/>
  <c r="G213" i="14" s="1"/>
  <c r="N10" i="14"/>
  <c r="L20" i="14"/>
  <c r="M23" i="14"/>
  <c r="L27" i="14"/>
  <c r="M30" i="14"/>
  <c r="L69" i="14"/>
  <c r="N76" i="14"/>
  <c r="G80" i="14"/>
  <c r="M83" i="14"/>
  <c r="N86" i="14"/>
  <c r="M90" i="14"/>
  <c r="N93" i="14"/>
  <c r="L104" i="14"/>
  <c r="M107" i="14"/>
  <c r="L114" i="14"/>
  <c r="M117" i="14"/>
  <c r="N120" i="14"/>
  <c r="M133" i="14"/>
  <c r="M148" i="14"/>
  <c r="M155" i="14"/>
  <c r="M167" i="14"/>
  <c r="M179" i="14"/>
  <c r="M186" i="14"/>
  <c r="M193" i="14"/>
  <c r="L85" i="14"/>
  <c r="L92" i="14"/>
  <c r="L119" i="14"/>
  <c r="L135" i="14"/>
  <c r="L150" i="14"/>
  <c r="L181" i="14"/>
  <c r="L188" i="14"/>
  <c r="G9" i="14"/>
  <c r="L22" i="14"/>
  <c r="L29" i="14"/>
  <c r="L82" i="14"/>
  <c r="M85" i="14"/>
  <c r="L89" i="14"/>
  <c r="M92" i="14"/>
  <c r="L106" i="14"/>
  <c r="L116" i="14"/>
  <c r="M119" i="14"/>
  <c r="L132" i="14"/>
  <c r="M135" i="14"/>
  <c r="M150" i="14"/>
  <c r="L154" i="14"/>
  <c r="L166" i="14"/>
  <c r="L178" i="14"/>
  <c r="M181" i="14"/>
  <c r="L185" i="14"/>
  <c r="M188" i="14"/>
  <c r="L19" i="14"/>
  <c r="M22" i="14"/>
  <c r="L26" i="14"/>
  <c r="M29" i="14"/>
  <c r="L33" i="14"/>
  <c r="L40" i="14"/>
  <c r="L47" i="14"/>
  <c r="L68" i="14"/>
  <c r="M82" i="14"/>
  <c r="M89" i="14"/>
  <c r="G103" i="14"/>
  <c r="M106" i="14"/>
  <c r="L113" i="14"/>
  <c r="M116" i="14"/>
  <c r="L129" i="14"/>
  <c r="M132" i="14"/>
  <c r="G147" i="14"/>
  <c r="M154" i="14"/>
  <c r="L158" i="14"/>
  <c r="M166" i="14"/>
  <c r="L170" i="14"/>
  <c r="M185" i="14"/>
  <c r="L16" i="14"/>
  <c r="M19" i="14"/>
  <c r="M26" i="14"/>
  <c r="M33" i="14"/>
  <c r="L37" i="14"/>
  <c r="M40" i="14"/>
  <c r="L44" i="14"/>
  <c r="M47" i="14"/>
  <c r="L51" i="14"/>
  <c r="L58" i="14"/>
  <c r="L65" i="14"/>
  <c r="M68" i="14"/>
  <c r="N89" i="14"/>
  <c r="L99" i="14"/>
  <c r="L110" i="14"/>
  <c r="M113" i="14"/>
  <c r="L126" i="14"/>
  <c r="M129" i="14"/>
  <c r="G151" i="14"/>
  <c r="M158" i="14"/>
  <c r="N166" i="14"/>
  <c r="M170" i="14"/>
  <c r="N178" i="14"/>
  <c r="G182" i="14"/>
  <c r="L13" i="14"/>
  <c r="M16" i="14"/>
  <c r="N26" i="14"/>
  <c r="M37" i="14"/>
  <c r="M44" i="14"/>
  <c r="M51" i="14"/>
  <c r="L55" i="14"/>
  <c r="M58" i="14"/>
  <c r="L62" i="14"/>
  <c r="M65" i="14"/>
  <c r="L72" i="14"/>
  <c r="L79" i="14"/>
  <c r="L96" i="14"/>
  <c r="M99" i="14"/>
  <c r="M110" i="14"/>
  <c r="G34" i="14"/>
  <c r="G41" i="14"/>
  <c r="N110" i="14"/>
  <c r="M20" i="14"/>
  <c r="M27" i="14"/>
  <c r="M69" i="14"/>
  <c r="M104" i="14"/>
  <c r="M114" i="14"/>
  <c r="L11" i="14"/>
  <c r="L60" i="14"/>
  <c r="L77" i="14"/>
  <c r="L87" i="14"/>
  <c r="L94" i="14"/>
  <c r="L121" i="14"/>
  <c r="L137" i="14"/>
  <c r="L145" i="14"/>
  <c r="L176" i="14"/>
  <c r="L190" i="14"/>
  <c r="L200" i="14"/>
  <c r="L213" i="14" s="1"/>
  <c r="M11" i="14"/>
  <c r="L31" i="14"/>
  <c r="M60" i="14"/>
  <c r="M77" i="14"/>
  <c r="L84" i="14"/>
  <c r="M87" i="14"/>
  <c r="L91" i="14"/>
  <c r="M94" i="14"/>
  <c r="L118" i="14"/>
  <c r="M121" i="14"/>
  <c r="L134" i="14"/>
  <c r="M145" i="14"/>
  <c r="L149" i="14"/>
  <c r="L156" i="14"/>
  <c r="L168" i="14"/>
  <c r="M176" i="14"/>
  <c r="L180" i="14"/>
  <c r="L187" i="14"/>
  <c r="M190" i="14"/>
  <c r="L194" i="14"/>
  <c r="M200" i="14"/>
  <c r="L21" i="14"/>
  <c r="L28" i="14"/>
  <c r="M31" i="14"/>
  <c r="L49" i="14"/>
  <c r="L70" i="14"/>
  <c r="L81" i="14"/>
  <c r="M84" i="14"/>
  <c r="M91" i="14"/>
  <c r="L105" i="14"/>
  <c r="L115" i="14"/>
  <c r="M118" i="14"/>
  <c r="L131" i="14"/>
  <c r="M134" i="14"/>
  <c r="M149" i="14"/>
  <c r="L153" i="14"/>
  <c r="M156" i="14"/>
  <c r="L165" i="14"/>
  <c r="M168" i="14"/>
  <c r="M180" i="14"/>
  <c r="L184" i="14"/>
  <c r="M187" i="14"/>
  <c r="M194" i="14"/>
  <c r="N22" i="13"/>
  <c r="L63" i="13"/>
  <c r="K193" i="13"/>
  <c r="N166" i="13"/>
  <c r="L72" i="13"/>
  <c r="N93" i="13"/>
  <c r="N131" i="13"/>
  <c r="K150" i="13"/>
  <c r="N150" i="13" s="1"/>
  <c r="K194" i="13"/>
  <c r="N194" i="13" s="1"/>
  <c r="N58" i="13"/>
  <c r="L45" i="13"/>
  <c r="L131" i="13"/>
  <c r="N63" i="13"/>
  <c r="K25" i="13"/>
  <c r="N25" i="13" s="1"/>
  <c r="K100" i="13"/>
  <c r="N100" i="13" s="1"/>
  <c r="N33" i="13"/>
  <c r="K39" i="13"/>
  <c r="N60" i="13"/>
  <c r="N107" i="13"/>
  <c r="L43" i="13"/>
  <c r="N26" i="13"/>
  <c r="L98" i="13"/>
  <c r="K20" i="13"/>
  <c r="N20" i="13" s="1"/>
  <c r="L178" i="13"/>
  <c r="N27" i="13"/>
  <c r="K61" i="13"/>
  <c r="N61" i="13" s="1"/>
  <c r="K115" i="13"/>
  <c r="N115" i="13" s="1"/>
  <c r="N146" i="13"/>
  <c r="L35" i="13"/>
  <c r="N68" i="13"/>
  <c r="L154" i="13"/>
  <c r="N176" i="13"/>
  <c r="N39" i="13"/>
  <c r="N87" i="13"/>
  <c r="N40" i="13"/>
  <c r="N36" i="13"/>
  <c r="N18" i="13"/>
  <c r="N44" i="13"/>
  <c r="N57" i="13"/>
  <c r="N78" i="13"/>
  <c r="N92" i="13"/>
  <c r="N12" i="13"/>
  <c r="N45" i="13"/>
  <c r="N64" i="13"/>
  <c r="N79" i="13"/>
  <c r="N112" i="13"/>
  <c r="N136" i="13"/>
  <c r="N211" i="13"/>
  <c r="M211" i="13"/>
  <c r="L211" i="13"/>
  <c r="L134" i="13"/>
  <c r="K134" i="13"/>
  <c r="N134" i="13" s="1"/>
  <c r="M120" i="13"/>
  <c r="L120" i="13"/>
  <c r="N49" i="13"/>
  <c r="M49" i="13"/>
  <c r="L49" i="13"/>
  <c r="M210" i="13"/>
  <c r="L210" i="13"/>
  <c r="M89" i="13"/>
  <c r="L89" i="13"/>
  <c r="N89" i="13"/>
  <c r="M189" i="13"/>
  <c r="N189" i="13"/>
  <c r="L189" i="13"/>
  <c r="M67" i="13"/>
  <c r="N67" i="13"/>
  <c r="L67" i="13"/>
  <c r="N185" i="13"/>
  <c r="M185" i="13"/>
  <c r="L185" i="13"/>
  <c r="L23" i="13"/>
  <c r="N96" i="13"/>
  <c r="M96" i="13"/>
  <c r="L96" i="13"/>
  <c r="N124" i="13"/>
  <c r="M124" i="13"/>
  <c r="L124" i="13"/>
  <c r="M17" i="13"/>
  <c r="N17" i="13"/>
  <c r="L110" i="13"/>
  <c r="K110" i="13"/>
  <c r="N110" i="13" s="1"/>
  <c r="L17" i="13"/>
  <c r="K130" i="13"/>
  <c r="N130" i="13" s="1"/>
  <c r="L56" i="13"/>
  <c r="N132" i="13"/>
  <c r="N31" i="13"/>
  <c r="M31" i="13"/>
  <c r="L31" i="13"/>
  <c r="N207" i="13"/>
  <c r="L207" i="13"/>
  <c r="M207" i="13"/>
  <c r="M60" i="13"/>
  <c r="L60" i="13"/>
  <c r="G59" i="13"/>
  <c r="L158" i="13"/>
  <c r="N158" i="13"/>
  <c r="M158" i="13"/>
  <c r="G157" i="13"/>
  <c r="L38" i="13"/>
  <c r="G201" i="13"/>
  <c r="G213" i="13" s="1"/>
  <c r="N202" i="13"/>
  <c r="L202" i="13"/>
  <c r="M202" i="13"/>
  <c r="N127" i="13"/>
  <c r="M127" i="13"/>
  <c r="N85" i="13"/>
  <c r="M85" i="13"/>
  <c r="M141" i="13"/>
  <c r="L141" i="13"/>
  <c r="N141" i="13"/>
  <c r="N117" i="13"/>
  <c r="M117" i="13"/>
  <c r="L117" i="13"/>
  <c r="N193" i="13"/>
  <c r="M193" i="13"/>
  <c r="G192" i="13"/>
  <c r="M82" i="13"/>
  <c r="G80" i="13"/>
  <c r="N82" i="13"/>
  <c r="L82" i="13"/>
  <c r="N181" i="13"/>
  <c r="M181" i="13"/>
  <c r="L181" i="13"/>
  <c r="N70" i="13"/>
  <c r="M70" i="13"/>
  <c r="L70" i="13"/>
  <c r="M99" i="13"/>
  <c r="N99" i="13"/>
  <c r="L99" i="13"/>
  <c r="N120" i="13"/>
  <c r="N200" i="13"/>
  <c r="N213" i="13" s="1"/>
  <c r="M200" i="13"/>
  <c r="L200" i="13"/>
  <c r="L78" i="13"/>
  <c r="N210" i="13"/>
  <c r="G34" i="13"/>
  <c r="M35" i="13"/>
  <c r="N35" i="13"/>
  <c r="M78" i="13"/>
  <c r="L95" i="13"/>
  <c r="K95" i="13"/>
  <c r="N95" i="13" s="1"/>
  <c r="N154" i="13"/>
  <c r="G151" i="13"/>
  <c r="M154" i="13"/>
  <c r="N204" i="13"/>
  <c r="L204" i="13"/>
  <c r="M204" i="13"/>
  <c r="G203" i="13"/>
  <c r="M14" i="13"/>
  <c r="L14" i="13"/>
  <c r="N14" i="13"/>
  <c r="N106" i="13"/>
  <c r="M106" i="13"/>
  <c r="L106" i="13"/>
  <c r="G103" i="13"/>
  <c r="L127" i="13"/>
  <c r="M42" i="13"/>
  <c r="L42" i="13"/>
  <c r="G41" i="13"/>
  <c r="N74" i="13"/>
  <c r="L74" i="13"/>
  <c r="M74" i="13"/>
  <c r="M128" i="13"/>
  <c r="L128" i="13"/>
  <c r="N155" i="13"/>
  <c r="M155" i="13"/>
  <c r="L155" i="13"/>
  <c r="L212" i="13"/>
  <c r="L53" i="13"/>
  <c r="M28" i="13"/>
  <c r="L118" i="13"/>
  <c r="K118" i="13"/>
  <c r="N118" i="13" s="1"/>
  <c r="N128" i="13"/>
  <c r="M138" i="13"/>
  <c r="M178" i="13"/>
  <c r="F195" i="13"/>
  <c r="N46" i="13"/>
  <c r="M93" i="13"/>
  <c r="M152" i="13"/>
  <c r="L152" i="13"/>
  <c r="N152" i="13"/>
  <c r="N29" i="13"/>
  <c r="M29" i="13"/>
  <c r="N111" i="13"/>
  <c r="N135" i="13"/>
  <c r="N179" i="13"/>
  <c r="M179" i="13"/>
  <c r="L179" i="13"/>
  <c r="M72" i="13"/>
  <c r="M12" i="13"/>
  <c r="L22" i="13"/>
  <c r="L40" i="13"/>
  <c r="L58" i="13"/>
  <c r="N72" i="13"/>
  <c r="M132" i="13"/>
  <c r="M148" i="13"/>
  <c r="L175" i="13"/>
  <c r="L187" i="13"/>
  <c r="M18" i="13"/>
  <c r="L18" i="13"/>
  <c r="G75" i="13"/>
  <c r="L107" i="13"/>
  <c r="M64" i="13"/>
  <c r="M107" i="13"/>
  <c r="L135" i="13"/>
  <c r="N28" i="13"/>
  <c r="M111" i="13"/>
  <c r="M125" i="13"/>
  <c r="L125" i="13"/>
  <c r="N125" i="13"/>
  <c r="N161" i="13"/>
  <c r="N178" i="13"/>
  <c r="N47" i="13"/>
  <c r="M47" i="13"/>
  <c r="L76" i="13"/>
  <c r="G108" i="13"/>
  <c r="L12" i="13"/>
  <c r="M76" i="13"/>
  <c r="N94" i="13"/>
  <c r="M94" i="13"/>
  <c r="L132" i="13"/>
  <c r="G9" i="13"/>
  <c r="M22" i="13"/>
  <c r="L26" i="13"/>
  <c r="L29" i="13"/>
  <c r="M40" i="13"/>
  <c r="L44" i="13"/>
  <c r="L47" i="13"/>
  <c r="M58" i="13"/>
  <c r="L62" i="13"/>
  <c r="N77" i="13"/>
  <c r="M77" i="13"/>
  <c r="L77" i="13"/>
  <c r="L87" i="13"/>
  <c r="M109" i="13"/>
  <c r="N109" i="13"/>
  <c r="L126" i="13"/>
  <c r="K126" i="13"/>
  <c r="N126" i="13" s="1"/>
  <c r="N145" i="13"/>
  <c r="N148" i="13"/>
  <c r="L153" i="13"/>
  <c r="K153" i="13"/>
  <c r="N153" i="13" s="1"/>
  <c r="M161" i="13"/>
  <c r="N171" i="13"/>
  <c r="N114" i="13"/>
  <c r="M168" i="13"/>
  <c r="N168" i="13"/>
  <c r="L168" i="13"/>
  <c r="M36" i="13"/>
  <c r="L36" i="13"/>
  <c r="M83" i="13"/>
  <c r="L83" i="13"/>
  <c r="N15" i="13"/>
  <c r="M15" i="13"/>
  <c r="M46" i="13"/>
  <c r="M68" i="13"/>
  <c r="L68" i="13"/>
  <c r="L79" i="13"/>
  <c r="L93" i="13"/>
  <c r="M209" i="13"/>
  <c r="L209" i="13"/>
  <c r="G208" i="13"/>
  <c r="M79" i="13"/>
  <c r="N175" i="13"/>
  <c r="N122" i="13"/>
  <c r="M136" i="13"/>
  <c r="L136" i="13"/>
  <c r="G182" i="13"/>
  <c r="N13" i="13"/>
  <c r="M26" i="13"/>
  <c r="M44" i="13"/>
  <c r="M62" i="13"/>
  <c r="L81" i="13"/>
  <c r="K81" i="13"/>
  <c r="N81" i="13" s="1"/>
  <c r="M87" i="13"/>
  <c r="L91" i="13"/>
  <c r="L94" i="13"/>
  <c r="L119" i="13"/>
  <c r="M122" i="13"/>
  <c r="L133" i="13"/>
  <c r="N133" i="13"/>
  <c r="M133" i="13"/>
  <c r="M149" i="13"/>
  <c r="L149" i="13"/>
  <c r="L184" i="13"/>
  <c r="G24" i="13"/>
  <c r="N53" i="13"/>
  <c r="M53" i="13"/>
  <c r="N138" i="13"/>
  <c r="N165" i="13"/>
  <c r="L64" i="13"/>
  <c r="L114" i="13"/>
  <c r="L190" i="13"/>
  <c r="N190" i="13"/>
  <c r="M190" i="13"/>
  <c r="M212" i="13"/>
  <c r="G71" i="13"/>
  <c r="M114" i="13"/>
  <c r="L165" i="13"/>
  <c r="N83" i="13"/>
  <c r="M97" i="13"/>
  <c r="L97" i="13"/>
  <c r="M165" i="13"/>
  <c r="N187" i="13"/>
  <c r="M65" i="13"/>
  <c r="N65" i="13"/>
  <c r="L15" i="13"/>
  <c r="N97" i="13"/>
  <c r="M112" i="13"/>
  <c r="L112" i="13"/>
  <c r="L16" i="13"/>
  <c r="K16" i="13"/>
  <c r="N16" i="13" s="1"/>
  <c r="M10" i="13"/>
  <c r="L10" i="13"/>
  <c r="N23" i="13"/>
  <c r="M23" i="13"/>
  <c r="L30" i="13"/>
  <c r="K30" i="13"/>
  <c r="N30" i="13" s="1"/>
  <c r="L48" i="13"/>
  <c r="K48" i="13"/>
  <c r="N48" i="13" s="1"/>
  <c r="L66" i="13"/>
  <c r="K66" i="13"/>
  <c r="N66" i="13" s="1"/>
  <c r="N123" i="13"/>
  <c r="M184" i="13"/>
  <c r="K163" i="13"/>
  <c r="N163" i="13" s="1"/>
  <c r="K173" i="13"/>
  <c r="N173" i="13" s="1"/>
  <c r="K183" i="13"/>
  <c r="N183" i="13" s="1"/>
  <c r="M188" i="13"/>
  <c r="M194" i="13"/>
  <c r="K210" i="12"/>
  <c r="L210" i="12"/>
  <c r="M210" i="12"/>
  <c r="N210" i="12"/>
  <c r="K211" i="12"/>
  <c r="N211" i="12" s="1"/>
  <c r="M211" i="12"/>
  <c r="L212" i="12"/>
  <c r="M212" i="12"/>
  <c r="M209" i="12"/>
  <c r="L209" i="12"/>
  <c r="M207" i="12"/>
  <c r="L207" i="12"/>
  <c r="K205" i="12"/>
  <c r="N205" i="12" s="1"/>
  <c r="L205" i="12"/>
  <c r="M205" i="12"/>
  <c r="M204" i="12"/>
  <c r="L204" i="12"/>
  <c r="L202" i="12"/>
  <c r="M200" i="12"/>
  <c r="L200" i="12"/>
  <c r="K200" i="12"/>
  <c r="N200" i="12" s="1"/>
  <c r="E212" i="12"/>
  <c r="F205" i="12"/>
  <c r="E200" i="12"/>
  <c r="E202" i="12"/>
  <c r="E204" i="12"/>
  <c r="E205" i="12"/>
  <c r="E207" i="12"/>
  <c r="G208" i="12"/>
  <c r="F200" i="12"/>
  <c r="G199" i="12" s="1"/>
  <c r="F202" i="12"/>
  <c r="G201" i="12" s="1"/>
  <c r="G213" i="12" s="1"/>
  <c r="F204" i="12"/>
  <c r="G203" i="12"/>
  <c r="F207" i="12"/>
  <c r="G206" i="12" s="1"/>
  <c r="F209" i="12"/>
  <c r="F210" i="12"/>
  <c r="F211" i="12"/>
  <c r="F212" i="12"/>
  <c r="E211" i="12"/>
  <c r="E210" i="12"/>
  <c r="E209" i="12"/>
  <c r="N195" i="16" l="1"/>
  <c r="N196" i="16" s="1"/>
  <c r="N218" i="16"/>
  <c r="N219" i="16" s="1"/>
  <c r="H159" i="16"/>
  <c r="H101" i="16"/>
  <c r="H174" i="16"/>
  <c r="H162" i="16"/>
  <c r="H75" i="16"/>
  <c r="H34" i="16"/>
  <c r="H41" i="16"/>
  <c r="H108" i="16"/>
  <c r="H32" i="16"/>
  <c r="H9" i="16"/>
  <c r="H172" i="16"/>
  <c r="H88" i="16"/>
  <c r="H177" i="16"/>
  <c r="H103" i="16"/>
  <c r="H143" i="16"/>
  <c r="M195" i="16"/>
  <c r="H164" i="16"/>
  <c r="L195" i="16"/>
  <c r="H151" i="16"/>
  <c r="M213" i="16"/>
  <c r="N222" i="16" s="1"/>
  <c r="H192" i="16"/>
  <c r="G213" i="16"/>
  <c r="H50" i="16"/>
  <c r="H169" i="16"/>
  <c r="H157" i="16"/>
  <c r="H59" i="16"/>
  <c r="H71" i="16"/>
  <c r="H80" i="16"/>
  <c r="L213" i="16"/>
  <c r="H182" i="16"/>
  <c r="H147" i="16"/>
  <c r="H24" i="16"/>
  <c r="H54" i="16"/>
  <c r="M195" i="15"/>
  <c r="N220" i="15" s="1"/>
  <c r="N195" i="15"/>
  <c r="L195" i="15"/>
  <c r="H151" i="15"/>
  <c r="H32" i="15"/>
  <c r="H143" i="15"/>
  <c r="H169" i="15"/>
  <c r="H192" i="15"/>
  <c r="H157" i="15"/>
  <c r="G213" i="15"/>
  <c r="H159" i="15"/>
  <c r="L213" i="15"/>
  <c r="G195" i="15"/>
  <c r="H9" i="15" s="1"/>
  <c r="N213" i="15"/>
  <c r="M213" i="15"/>
  <c r="N222" i="15" s="1"/>
  <c r="H34" i="15"/>
  <c r="H177" i="15"/>
  <c r="L195" i="14"/>
  <c r="H41" i="14"/>
  <c r="N195" i="14"/>
  <c r="N196" i="14" s="1"/>
  <c r="H34" i="14"/>
  <c r="G195" i="14"/>
  <c r="M195" i="14"/>
  <c r="H103" i="14"/>
  <c r="H151" i="14"/>
  <c r="H80" i="14"/>
  <c r="M213" i="14"/>
  <c r="N222" i="14" s="1"/>
  <c r="H59" i="14"/>
  <c r="H147" i="14"/>
  <c r="N195" i="13"/>
  <c r="M195" i="13"/>
  <c r="G195" i="13"/>
  <c r="H9" i="13" s="1"/>
  <c r="H151" i="13"/>
  <c r="H71" i="13"/>
  <c r="H24" i="13"/>
  <c r="H41" i="13"/>
  <c r="L195" i="13"/>
  <c r="H103" i="13"/>
  <c r="L213" i="13"/>
  <c r="H80" i="13"/>
  <c r="M213" i="13"/>
  <c r="N222" i="13" s="1"/>
  <c r="L211" i="12"/>
  <c r="K212" i="12"/>
  <c r="N212" i="12" s="1"/>
  <c r="L213" i="12"/>
  <c r="M202" i="12"/>
  <c r="M213" i="12" s="1"/>
  <c r="N222" i="12" s="1"/>
  <c r="N223" i="12" s="1"/>
  <c r="K209" i="12"/>
  <c r="N209" i="12" s="1"/>
  <c r="K207" i="12"/>
  <c r="N207" i="12" s="1"/>
  <c r="K204" i="12"/>
  <c r="N204" i="12" s="1"/>
  <c r="K202" i="12"/>
  <c r="N202" i="12" s="1"/>
  <c r="H195" i="16" l="1"/>
  <c r="N220" i="16"/>
  <c r="M196" i="16"/>
  <c r="H75" i="15"/>
  <c r="H41" i="15"/>
  <c r="H88" i="15"/>
  <c r="H182" i="15"/>
  <c r="H50" i="15"/>
  <c r="H71" i="15"/>
  <c r="H54" i="15"/>
  <c r="H147" i="15"/>
  <c r="H103" i="15"/>
  <c r="H172" i="15"/>
  <c r="N218" i="15"/>
  <c r="N219" i="15" s="1"/>
  <c r="H174" i="15"/>
  <c r="H162" i="15"/>
  <c r="H24" i="15"/>
  <c r="H195" i="15" s="1"/>
  <c r="H101" i="15"/>
  <c r="H59" i="15"/>
  <c r="H108" i="15"/>
  <c r="H80" i="15"/>
  <c r="H164" i="15"/>
  <c r="N196" i="15"/>
  <c r="M196" i="15"/>
  <c r="N221" i="15"/>
  <c r="N223" i="15" s="1"/>
  <c r="N220" i="14"/>
  <c r="N218" i="14"/>
  <c r="N219" i="14" s="1"/>
  <c r="H162" i="14"/>
  <c r="H24" i="14"/>
  <c r="H169" i="14"/>
  <c r="H101" i="14"/>
  <c r="H157" i="14"/>
  <c r="H172" i="14"/>
  <c r="H159" i="14"/>
  <c r="H50" i="14"/>
  <c r="H164" i="14"/>
  <c r="H143" i="14"/>
  <c r="H177" i="14"/>
  <c r="H32" i="14"/>
  <c r="H192" i="14"/>
  <c r="H54" i="14"/>
  <c r="H108" i="14"/>
  <c r="H174" i="14"/>
  <c r="H75" i="14"/>
  <c r="H71" i="14"/>
  <c r="H88" i="14"/>
  <c r="H9" i="14"/>
  <c r="H182" i="14"/>
  <c r="N218" i="13"/>
  <c r="N219" i="13" s="1"/>
  <c r="H143" i="13"/>
  <c r="H54" i="13"/>
  <c r="H169" i="13"/>
  <c r="H101" i="13"/>
  <c r="H162" i="13"/>
  <c r="H88" i="13"/>
  <c r="H50" i="13"/>
  <c r="H32" i="13"/>
  <c r="H195" i="13" s="1"/>
  <c r="H172" i="13"/>
  <c r="H174" i="13"/>
  <c r="H147" i="13"/>
  <c r="H177" i="13"/>
  <c r="H159" i="13"/>
  <c r="H164" i="13"/>
  <c r="H75" i="13"/>
  <c r="N220" i="13"/>
  <c r="M196" i="13"/>
  <c r="H157" i="13"/>
  <c r="H34" i="13"/>
  <c r="H182" i="13"/>
  <c r="H59" i="13"/>
  <c r="H192" i="13"/>
  <c r="H108" i="13"/>
  <c r="N196" i="13"/>
  <c r="N213" i="12"/>
  <c r="M221" i="12"/>
  <c r="N216" i="12"/>
  <c r="L216" i="12"/>
  <c r="F194" i="12"/>
  <c r="F193" i="12"/>
  <c r="F191" i="12"/>
  <c r="F190" i="12"/>
  <c r="M190" i="12" s="1"/>
  <c r="F189" i="12"/>
  <c r="F188" i="12"/>
  <c r="F187" i="12"/>
  <c r="F186" i="12"/>
  <c r="F185" i="12"/>
  <c r="F184" i="12"/>
  <c r="F183" i="12"/>
  <c r="M183" i="12" s="1"/>
  <c r="F181" i="12"/>
  <c r="M181" i="12" s="1"/>
  <c r="F180" i="12"/>
  <c r="F179" i="12"/>
  <c r="F178" i="12"/>
  <c r="F176" i="12"/>
  <c r="M176" i="12" s="1"/>
  <c r="F175" i="12"/>
  <c r="F173" i="12"/>
  <c r="G172" i="12" s="1"/>
  <c r="F171" i="12"/>
  <c r="M171" i="12" s="1"/>
  <c r="F170" i="12"/>
  <c r="M170" i="12" s="1"/>
  <c r="F168" i="12"/>
  <c r="F167" i="12"/>
  <c r="F166" i="12"/>
  <c r="F165" i="12"/>
  <c r="F163" i="12"/>
  <c r="G162" i="12" s="1"/>
  <c r="F161" i="12"/>
  <c r="F160" i="12"/>
  <c r="F158" i="12"/>
  <c r="G157" i="12" s="1"/>
  <c r="F156" i="12"/>
  <c r="F155" i="12"/>
  <c r="F154" i="12"/>
  <c r="F153" i="12"/>
  <c r="F152" i="12"/>
  <c r="M152" i="12" s="1"/>
  <c r="F150" i="12"/>
  <c r="M150" i="12" s="1"/>
  <c r="F149" i="12"/>
  <c r="F148" i="12"/>
  <c r="F146" i="12"/>
  <c r="F145" i="12"/>
  <c r="M145" i="12" s="1"/>
  <c r="F144" i="12"/>
  <c r="F141" i="12"/>
  <c r="F140" i="12"/>
  <c r="F139" i="12"/>
  <c r="F138" i="12"/>
  <c r="M138" i="12" s="1"/>
  <c r="F137" i="12"/>
  <c r="M137" i="12" s="1"/>
  <c r="F136" i="12"/>
  <c r="F135" i="12"/>
  <c r="M135" i="12" s="1"/>
  <c r="F134" i="12"/>
  <c r="F133" i="12"/>
  <c r="F132" i="12"/>
  <c r="F131" i="12"/>
  <c r="F130" i="12"/>
  <c r="F129" i="12"/>
  <c r="M129" i="12" s="1"/>
  <c r="F128" i="12"/>
  <c r="M128" i="12" s="1"/>
  <c r="F127" i="12"/>
  <c r="M127" i="12" s="1"/>
  <c r="F126" i="12"/>
  <c r="M126" i="12" s="1"/>
  <c r="F125" i="12"/>
  <c r="F124" i="12"/>
  <c r="M124" i="12" s="1"/>
  <c r="F123" i="12"/>
  <c r="F122" i="12"/>
  <c r="M122" i="12" s="1"/>
  <c r="F121" i="12"/>
  <c r="M121" i="12" s="1"/>
  <c r="F120" i="12"/>
  <c r="F119" i="12"/>
  <c r="M119" i="12" s="1"/>
  <c r="F118" i="12"/>
  <c r="F117" i="12"/>
  <c r="F116" i="12"/>
  <c r="F115" i="12"/>
  <c r="F114" i="12"/>
  <c r="F113" i="12"/>
  <c r="M113" i="12" s="1"/>
  <c r="F112" i="12"/>
  <c r="M112" i="12" s="1"/>
  <c r="F111" i="12"/>
  <c r="M111" i="12" s="1"/>
  <c r="F110" i="12"/>
  <c r="M110" i="12" s="1"/>
  <c r="F109" i="12"/>
  <c r="A109" i="12"/>
  <c r="F107" i="12"/>
  <c r="F106" i="12"/>
  <c r="F105" i="12"/>
  <c r="F104" i="12"/>
  <c r="M104" i="12" s="1"/>
  <c r="A104" i="12"/>
  <c r="F102" i="12"/>
  <c r="M102" i="12" s="1"/>
  <c r="F100" i="12"/>
  <c r="M100" i="12" s="1"/>
  <c r="F99" i="12"/>
  <c r="M99" i="12" s="1"/>
  <c r="F98" i="12"/>
  <c r="F97" i="12"/>
  <c r="M97" i="12" s="1"/>
  <c r="F96" i="12"/>
  <c r="F95" i="12"/>
  <c r="M95" i="12" s="1"/>
  <c r="F94" i="12"/>
  <c r="F93" i="12"/>
  <c r="F92" i="12"/>
  <c r="F91" i="12"/>
  <c r="F90" i="12"/>
  <c r="F89" i="12"/>
  <c r="F87" i="12"/>
  <c r="M87" i="12" s="1"/>
  <c r="F86" i="12"/>
  <c r="F85" i="12"/>
  <c r="M85" i="12" s="1"/>
  <c r="F84" i="12"/>
  <c r="F83" i="12"/>
  <c r="F82" i="12"/>
  <c r="F81" i="12"/>
  <c r="A81" i="12"/>
  <c r="F79" i="12"/>
  <c r="F78" i="12"/>
  <c r="M78" i="12" s="1"/>
  <c r="F77" i="12"/>
  <c r="M77" i="12" s="1"/>
  <c r="F76" i="12"/>
  <c r="F74" i="12"/>
  <c r="F73" i="12"/>
  <c r="M73" i="12" s="1"/>
  <c r="F72" i="12"/>
  <c r="A72" i="12"/>
  <c r="F70" i="12"/>
  <c r="F69" i="12"/>
  <c r="F68" i="12"/>
  <c r="M68" i="12" s="1"/>
  <c r="F67" i="12"/>
  <c r="M67" i="12" s="1"/>
  <c r="F66" i="12"/>
  <c r="M66" i="12" s="1"/>
  <c r="F65" i="12"/>
  <c r="F64" i="12"/>
  <c r="F63" i="12"/>
  <c r="M63" i="12" s="1"/>
  <c r="F62" i="12"/>
  <c r="F61" i="12"/>
  <c r="M61" i="12" s="1"/>
  <c r="F60" i="12"/>
  <c r="F58" i="12"/>
  <c r="M58" i="12" s="1"/>
  <c r="F57" i="12"/>
  <c r="F56" i="12"/>
  <c r="M56" i="12" s="1"/>
  <c r="F55" i="12"/>
  <c r="F53" i="12"/>
  <c r="F52" i="12"/>
  <c r="M52" i="12" s="1"/>
  <c r="F51" i="12"/>
  <c r="F49" i="12"/>
  <c r="F48" i="12"/>
  <c r="M48" i="12" s="1"/>
  <c r="F47" i="12"/>
  <c r="M47" i="12" s="1"/>
  <c r="F46" i="12"/>
  <c r="F45" i="12"/>
  <c r="M45" i="12" s="1"/>
  <c r="F44" i="12"/>
  <c r="M44" i="12" s="1"/>
  <c r="F43" i="12"/>
  <c r="F42" i="12"/>
  <c r="F40" i="12"/>
  <c r="M40" i="12" s="1"/>
  <c r="F39" i="12"/>
  <c r="F38" i="12"/>
  <c r="M38" i="12" s="1"/>
  <c r="F37" i="12"/>
  <c r="M37" i="12" s="1"/>
  <c r="F36" i="12"/>
  <c r="F35" i="12"/>
  <c r="F33" i="12"/>
  <c r="M33" i="12" s="1"/>
  <c r="F31" i="12"/>
  <c r="F30" i="12"/>
  <c r="F29" i="12"/>
  <c r="F28" i="12"/>
  <c r="F27" i="12"/>
  <c r="F26" i="12"/>
  <c r="M26" i="12" s="1"/>
  <c r="F25" i="12"/>
  <c r="M25" i="12" s="1"/>
  <c r="F23" i="12"/>
  <c r="F22" i="12"/>
  <c r="F21" i="12"/>
  <c r="F20" i="12"/>
  <c r="M20" i="12" s="1"/>
  <c r="F19" i="12"/>
  <c r="M19" i="12" s="1"/>
  <c r="F18" i="12"/>
  <c r="M18" i="12" s="1"/>
  <c r="F17" i="12"/>
  <c r="F16" i="12"/>
  <c r="M16" i="12" s="1"/>
  <c r="F15" i="12"/>
  <c r="F14" i="12"/>
  <c r="M14" i="12" s="1"/>
  <c r="F13" i="12"/>
  <c r="F12" i="12"/>
  <c r="F11" i="12"/>
  <c r="M11" i="12" s="1"/>
  <c r="F10" i="12"/>
  <c r="K111" i="11"/>
  <c r="I111" i="12" s="1"/>
  <c r="K111" i="12" s="1"/>
  <c r="F111" i="11"/>
  <c r="N221" i="16" l="1"/>
  <c r="N223" i="16" s="1"/>
  <c r="H195" i="14"/>
  <c r="N221" i="14"/>
  <c r="N223" i="14" s="1"/>
  <c r="N221" i="13"/>
  <c r="N223" i="13" s="1"/>
  <c r="N111" i="12"/>
  <c r="G54" i="12"/>
  <c r="G101" i="12"/>
  <c r="G24" i="12"/>
  <c r="M69" i="12"/>
  <c r="M146" i="12"/>
  <c r="M27" i="12"/>
  <c r="G32" i="12"/>
  <c r="M12" i="12"/>
  <c r="G143" i="12"/>
  <c r="M158" i="12"/>
  <c r="G159" i="12"/>
  <c r="G174" i="12"/>
  <c r="M65" i="12"/>
  <c r="M92" i="12"/>
  <c r="M114" i="12"/>
  <c r="M130" i="12"/>
  <c r="G41" i="12"/>
  <c r="G59" i="12"/>
  <c r="F195" i="12"/>
  <c r="M42" i="12"/>
  <c r="M140" i="12"/>
  <c r="M188" i="12"/>
  <c r="M51" i="12"/>
  <c r="M160" i="12"/>
  <c r="G9" i="12"/>
  <c r="G108" i="12"/>
  <c r="G75" i="12"/>
  <c r="M60" i="12"/>
  <c r="G34" i="12"/>
  <c r="M94" i="12"/>
  <c r="M17" i="12"/>
  <c r="G169" i="12"/>
  <c r="M35" i="12"/>
  <c r="L111" i="12"/>
  <c r="M29" i="12"/>
  <c r="M82" i="12"/>
  <c r="M89" i="12"/>
  <c r="G103" i="12"/>
  <c r="M106" i="12"/>
  <c r="M116" i="12"/>
  <c r="M132" i="12"/>
  <c r="G147" i="12"/>
  <c r="M154" i="12"/>
  <c r="M166" i="12"/>
  <c r="M178" i="12"/>
  <c r="M185" i="12"/>
  <c r="G192" i="12"/>
  <c r="G151" i="12"/>
  <c r="G182" i="12"/>
  <c r="M15" i="12"/>
  <c r="M13" i="12"/>
  <c r="M55" i="12"/>
  <c r="M62" i="12"/>
  <c r="M72" i="12"/>
  <c r="M79" i="12"/>
  <c r="M96" i="12"/>
  <c r="M123" i="12"/>
  <c r="M139" i="12"/>
  <c r="M84" i="12"/>
  <c r="M22" i="12"/>
  <c r="M10" i="12"/>
  <c r="M76" i="12"/>
  <c r="M86" i="12"/>
  <c r="M93" i="12"/>
  <c r="M120" i="12"/>
  <c r="M136" i="12"/>
  <c r="M144" i="12"/>
  <c r="M163" i="12"/>
  <c r="M175" i="12"/>
  <c r="M189" i="12"/>
  <c r="M31" i="12"/>
  <c r="M23" i="12"/>
  <c r="M30" i="12"/>
  <c r="G80" i="12"/>
  <c r="M83" i="12"/>
  <c r="M90" i="12"/>
  <c r="M107" i="12"/>
  <c r="M117" i="12"/>
  <c r="M133" i="12"/>
  <c r="M148" i="12"/>
  <c r="M155" i="12"/>
  <c r="M167" i="12"/>
  <c r="M179" i="12"/>
  <c r="M186" i="12"/>
  <c r="M193" i="12"/>
  <c r="M91" i="12"/>
  <c r="G164" i="12"/>
  <c r="M118" i="12"/>
  <c r="M134" i="12"/>
  <c r="M149" i="12"/>
  <c r="M156" i="12"/>
  <c r="M168" i="12"/>
  <c r="M180" i="12"/>
  <c r="M187" i="12"/>
  <c r="M194" i="12"/>
  <c r="M21" i="12"/>
  <c r="M28" i="12"/>
  <c r="M49" i="12"/>
  <c r="M70" i="12"/>
  <c r="M81" i="12"/>
  <c r="G88" i="12"/>
  <c r="M105" i="12"/>
  <c r="M115" i="12"/>
  <c r="M131" i="12"/>
  <c r="M153" i="12"/>
  <c r="M165" i="12"/>
  <c r="G177" i="12"/>
  <c r="M184" i="12"/>
  <c r="M39" i="12"/>
  <c r="M46" i="12"/>
  <c r="M53" i="12"/>
  <c r="M43" i="12"/>
  <c r="M57" i="12"/>
  <c r="M74" i="12"/>
  <c r="M98" i="12"/>
  <c r="M109" i="12"/>
  <c r="M125" i="12"/>
  <c r="M141" i="12"/>
  <c r="M161" i="12"/>
  <c r="M173" i="12"/>
  <c r="M36" i="12"/>
  <c r="G50" i="12"/>
  <c r="M64" i="12"/>
  <c r="G71" i="12"/>
  <c r="M191" i="12"/>
  <c r="N111" i="11"/>
  <c r="M111" i="11"/>
  <c r="L111" i="11"/>
  <c r="G195" i="12" l="1"/>
  <c r="H32" i="12" s="1"/>
  <c r="H41" i="12"/>
  <c r="H24" i="12"/>
  <c r="H34" i="12"/>
  <c r="H143" i="12"/>
  <c r="H108" i="12"/>
  <c r="H172" i="12"/>
  <c r="H9" i="12"/>
  <c r="H54" i="12"/>
  <c r="H50" i="12"/>
  <c r="H147" i="12"/>
  <c r="H182" i="12"/>
  <c r="M195" i="12"/>
  <c r="H71" i="12"/>
  <c r="H164" i="12"/>
  <c r="H177" i="12"/>
  <c r="H80" i="12"/>
  <c r="H103" i="12"/>
  <c r="H151" i="12"/>
  <c r="K194" i="11"/>
  <c r="I194" i="12" s="1"/>
  <c r="K193" i="11"/>
  <c r="I193" i="12" s="1"/>
  <c r="K191" i="11"/>
  <c r="I191" i="12" s="1"/>
  <c r="K190" i="11"/>
  <c r="I190" i="12" s="1"/>
  <c r="K189" i="11"/>
  <c r="I189" i="12" s="1"/>
  <c r="K188" i="11"/>
  <c r="I188" i="12" s="1"/>
  <c r="K187" i="11"/>
  <c r="I187" i="12" s="1"/>
  <c r="K186" i="11"/>
  <c r="I186" i="12" s="1"/>
  <c r="K185" i="11"/>
  <c r="I185" i="12" s="1"/>
  <c r="K184" i="11"/>
  <c r="I184" i="12" s="1"/>
  <c r="K183" i="11"/>
  <c r="I183" i="12" s="1"/>
  <c r="K181" i="11"/>
  <c r="I181" i="12" s="1"/>
  <c r="K180" i="11"/>
  <c r="I180" i="12" s="1"/>
  <c r="K179" i="11"/>
  <c r="I179" i="12" s="1"/>
  <c r="K178" i="11"/>
  <c r="I178" i="12" s="1"/>
  <c r="K176" i="11"/>
  <c r="I176" i="12" s="1"/>
  <c r="K175" i="11"/>
  <c r="I175" i="12" s="1"/>
  <c r="K173" i="11"/>
  <c r="I173" i="12" s="1"/>
  <c r="K171" i="11"/>
  <c r="I171" i="12" s="1"/>
  <c r="K170" i="11"/>
  <c r="I170" i="12" s="1"/>
  <c r="K168" i="11"/>
  <c r="I168" i="12" s="1"/>
  <c r="K167" i="11"/>
  <c r="I167" i="12" s="1"/>
  <c r="K166" i="11"/>
  <c r="I166" i="12" s="1"/>
  <c r="K165" i="11"/>
  <c r="I165" i="12" s="1"/>
  <c r="K163" i="11"/>
  <c r="I163" i="12" s="1"/>
  <c r="K161" i="11"/>
  <c r="I161" i="12" s="1"/>
  <c r="K160" i="11"/>
  <c r="I160" i="12" s="1"/>
  <c r="K158" i="11"/>
  <c r="I158" i="12" s="1"/>
  <c r="K156" i="11"/>
  <c r="I156" i="12" s="1"/>
  <c r="K155" i="11"/>
  <c r="I155" i="12" s="1"/>
  <c r="K154" i="11"/>
  <c r="I154" i="12" s="1"/>
  <c r="K153" i="11"/>
  <c r="I153" i="12" s="1"/>
  <c r="K152" i="11"/>
  <c r="I152" i="12" s="1"/>
  <c r="K150" i="11"/>
  <c r="I150" i="12" s="1"/>
  <c r="K149" i="11"/>
  <c r="I149" i="12" s="1"/>
  <c r="K148" i="11"/>
  <c r="I148" i="12" s="1"/>
  <c r="K146" i="11"/>
  <c r="I146" i="12" s="1"/>
  <c r="K145" i="11"/>
  <c r="I145" i="12" s="1"/>
  <c r="K144" i="11"/>
  <c r="I144" i="12" s="1"/>
  <c r="K141" i="11"/>
  <c r="I141" i="12" s="1"/>
  <c r="K140" i="11"/>
  <c r="I140" i="12" s="1"/>
  <c r="K139" i="11"/>
  <c r="I139" i="12" s="1"/>
  <c r="K138" i="11"/>
  <c r="I138" i="12" s="1"/>
  <c r="K137" i="11"/>
  <c r="I137" i="12" s="1"/>
  <c r="K136" i="11"/>
  <c r="I136" i="12" s="1"/>
  <c r="K135" i="11"/>
  <c r="I135" i="12" s="1"/>
  <c r="K134" i="11"/>
  <c r="I134" i="12" s="1"/>
  <c r="K133" i="11"/>
  <c r="I133" i="12" s="1"/>
  <c r="K132" i="11"/>
  <c r="I132" i="12" s="1"/>
  <c r="K131" i="11"/>
  <c r="I131" i="12" s="1"/>
  <c r="K130" i="11"/>
  <c r="I130" i="12" s="1"/>
  <c r="K129" i="11"/>
  <c r="I129" i="12" s="1"/>
  <c r="K128" i="11"/>
  <c r="I128" i="12" s="1"/>
  <c r="K127" i="11"/>
  <c r="I127" i="12" s="1"/>
  <c r="K126" i="11"/>
  <c r="I126" i="12" s="1"/>
  <c r="K125" i="11"/>
  <c r="I125" i="12" s="1"/>
  <c r="K124" i="11"/>
  <c r="I124" i="12" s="1"/>
  <c r="K123" i="11"/>
  <c r="I123" i="12" s="1"/>
  <c r="K122" i="11"/>
  <c r="I122" i="12" s="1"/>
  <c r="K121" i="11"/>
  <c r="I121" i="12" s="1"/>
  <c r="K120" i="11"/>
  <c r="I120" i="12" s="1"/>
  <c r="K119" i="11"/>
  <c r="I119" i="12" s="1"/>
  <c r="K118" i="11"/>
  <c r="I118" i="12" s="1"/>
  <c r="K117" i="11"/>
  <c r="I117" i="12" s="1"/>
  <c r="K116" i="11"/>
  <c r="I116" i="12" s="1"/>
  <c r="K115" i="11"/>
  <c r="I115" i="12" s="1"/>
  <c r="K114" i="11"/>
  <c r="I114" i="12" s="1"/>
  <c r="K113" i="11"/>
  <c r="I113" i="12" s="1"/>
  <c r="K112" i="11"/>
  <c r="I112" i="12" s="1"/>
  <c r="K110" i="11"/>
  <c r="I110" i="12" s="1"/>
  <c r="K109" i="11"/>
  <c r="I109" i="12" s="1"/>
  <c r="K107" i="11"/>
  <c r="I107" i="12" s="1"/>
  <c r="K106" i="11"/>
  <c r="I106" i="12" s="1"/>
  <c r="K105" i="11"/>
  <c r="I105" i="12" s="1"/>
  <c r="K104" i="11"/>
  <c r="I104" i="12" s="1"/>
  <c r="K102" i="11"/>
  <c r="I102" i="12" s="1"/>
  <c r="K100" i="11"/>
  <c r="I100" i="12" s="1"/>
  <c r="K99" i="11"/>
  <c r="I99" i="12" s="1"/>
  <c r="K98" i="11"/>
  <c r="I98" i="12" s="1"/>
  <c r="K97" i="11"/>
  <c r="I97" i="12" s="1"/>
  <c r="K96" i="11"/>
  <c r="I96" i="12" s="1"/>
  <c r="K95" i="11"/>
  <c r="I95" i="12" s="1"/>
  <c r="K94" i="11"/>
  <c r="I94" i="12" s="1"/>
  <c r="K93" i="11"/>
  <c r="I93" i="12" s="1"/>
  <c r="K92" i="11"/>
  <c r="I92" i="12" s="1"/>
  <c r="K91" i="11"/>
  <c r="I91" i="12" s="1"/>
  <c r="K90" i="11"/>
  <c r="I90" i="12" s="1"/>
  <c r="K89" i="11"/>
  <c r="I89" i="12" s="1"/>
  <c r="K87" i="11"/>
  <c r="I87" i="12" s="1"/>
  <c r="K86" i="11"/>
  <c r="I86" i="12" s="1"/>
  <c r="K85" i="11"/>
  <c r="I85" i="12" s="1"/>
  <c r="K84" i="11"/>
  <c r="I84" i="12" s="1"/>
  <c r="K83" i="11"/>
  <c r="I83" i="12" s="1"/>
  <c r="K82" i="11"/>
  <c r="I82" i="12" s="1"/>
  <c r="K81" i="11"/>
  <c r="I81" i="12" s="1"/>
  <c r="K79" i="11"/>
  <c r="I79" i="12" s="1"/>
  <c r="K78" i="11"/>
  <c r="I78" i="12" s="1"/>
  <c r="K77" i="11"/>
  <c r="I77" i="12" s="1"/>
  <c r="K76" i="11"/>
  <c r="I76" i="12" s="1"/>
  <c r="K74" i="11"/>
  <c r="I74" i="12" s="1"/>
  <c r="K73" i="11"/>
  <c r="I73" i="12" s="1"/>
  <c r="K72" i="11"/>
  <c r="I72" i="12" s="1"/>
  <c r="K70" i="11"/>
  <c r="I70" i="12" s="1"/>
  <c r="K69" i="11"/>
  <c r="I69" i="12" s="1"/>
  <c r="K68" i="11"/>
  <c r="I68" i="12" s="1"/>
  <c r="K67" i="11"/>
  <c r="I67" i="12" s="1"/>
  <c r="K66" i="11"/>
  <c r="I66" i="12" s="1"/>
  <c r="K65" i="11"/>
  <c r="I65" i="12" s="1"/>
  <c r="K64" i="11"/>
  <c r="I64" i="12" s="1"/>
  <c r="K63" i="11"/>
  <c r="I63" i="12" s="1"/>
  <c r="K62" i="11"/>
  <c r="I62" i="12" s="1"/>
  <c r="K61" i="11"/>
  <c r="I61" i="12" s="1"/>
  <c r="K60" i="11"/>
  <c r="I60" i="12" s="1"/>
  <c r="K58" i="11"/>
  <c r="I58" i="12" s="1"/>
  <c r="K57" i="11"/>
  <c r="I57" i="12" s="1"/>
  <c r="K56" i="11"/>
  <c r="I56" i="12" s="1"/>
  <c r="K55" i="11"/>
  <c r="I55" i="12" s="1"/>
  <c r="K53" i="11"/>
  <c r="I53" i="12" s="1"/>
  <c r="K52" i="11"/>
  <c r="I52" i="12" s="1"/>
  <c r="K51" i="11"/>
  <c r="I51" i="12" s="1"/>
  <c r="K49" i="11"/>
  <c r="I49" i="12" s="1"/>
  <c r="K48" i="11"/>
  <c r="I48" i="12" s="1"/>
  <c r="K47" i="11"/>
  <c r="I47" i="12" s="1"/>
  <c r="K46" i="11"/>
  <c r="I46" i="12" s="1"/>
  <c r="K45" i="11"/>
  <c r="I45" i="12" s="1"/>
  <c r="K44" i="11"/>
  <c r="I44" i="12" s="1"/>
  <c r="K43" i="11"/>
  <c r="I43" i="12" s="1"/>
  <c r="K42" i="11"/>
  <c r="I42" i="12" s="1"/>
  <c r="K40" i="11"/>
  <c r="I40" i="12" s="1"/>
  <c r="K39" i="11"/>
  <c r="I39" i="12" s="1"/>
  <c r="K38" i="11"/>
  <c r="I38" i="12" s="1"/>
  <c r="K37" i="11"/>
  <c r="I37" i="12" s="1"/>
  <c r="K36" i="11"/>
  <c r="I36" i="12" s="1"/>
  <c r="K35" i="11"/>
  <c r="I35" i="12" s="1"/>
  <c r="K33" i="11"/>
  <c r="I33" i="12" s="1"/>
  <c r="K31" i="11"/>
  <c r="I31" i="12" s="1"/>
  <c r="K30" i="11"/>
  <c r="I30" i="12" s="1"/>
  <c r="K29" i="11"/>
  <c r="I29" i="12" s="1"/>
  <c r="K28" i="11"/>
  <c r="I28" i="12" s="1"/>
  <c r="K27" i="11"/>
  <c r="I27" i="12" s="1"/>
  <c r="K26" i="11"/>
  <c r="I26" i="12" s="1"/>
  <c r="K25" i="11"/>
  <c r="I25" i="12" s="1"/>
  <c r="K23" i="11"/>
  <c r="I23" i="12" s="1"/>
  <c r="K22" i="11"/>
  <c r="I22" i="12" s="1"/>
  <c r="K21" i="11"/>
  <c r="I21" i="12" s="1"/>
  <c r="K20" i="11"/>
  <c r="I20" i="12" s="1"/>
  <c r="K19" i="11"/>
  <c r="I19" i="12" s="1"/>
  <c r="K18" i="11"/>
  <c r="I18" i="12" s="1"/>
  <c r="K17" i="11"/>
  <c r="I17" i="12" s="1"/>
  <c r="K16" i="11"/>
  <c r="I16" i="12" s="1"/>
  <c r="K15" i="11"/>
  <c r="I15" i="12" s="1"/>
  <c r="K14" i="11"/>
  <c r="I14" i="12" s="1"/>
  <c r="K13" i="11"/>
  <c r="I13" i="12" s="1"/>
  <c r="K12" i="11"/>
  <c r="I12" i="12" s="1"/>
  <c r="K11" i="11"/>
  <c r="I11" i="12" s="1"/>
  <c r="K10" i="11"/>
  <c r="I10" i="12" s="1"/>
  <c r="K10" i="10"/>
  <c r="K11" i="10"/>
  <c r="K12" i="10"/>
  <c r="K13" i="10"/>
  <c r="K14" i="10"/>
  <c r="K15" i="10"/>
  <c r="K16" i="10"/>
  <c r="K17" i="10"/>
  <c r="K18" i="10"/>
  <c r="K19" i="10"/>
  <c r="K20" i="10"/>
  <c r="K21" i="10"/>
  <c r="K22" i="10"/>
  <c r="K23" i="10"/>
  <c r="K120" i="12" l="1"/>
  <c r="N120" i="12" s="1"/>
  <c r="L120" i="12"/>
  <c r="K180" i="12"/>
  <c r="N180" i="12" s="1"/>
  <c r="L180" i="12"/>
  <c r="K65" i="12"/>
  <c r="N65" i="12" s="1"/>
  <c r="L65" i="12"/>
  <c r="K137" i="12"/>
  <c r="N137" i="12" s="1"/>
  <c r="L137" i="12"/>
  <c r="K28" i="12"/>
  <c r="N28" i="12" s="1"/>
  <c r="L28" i="12"/>
  <c r="K138" i="12"/>
  <c r="N138" i="12" s="1"/>
  <c r="L138" i="12"/>
  <c r="K48" i="12"/>
  <c r="N48" i="12" s="1"/>
  <c r="L48" i="12"/>
  <c r="K105" i="12"/>
  <c r="N105" i="12" s="1"/>
  <c r="L105" i="12"/>
  <c r="K123" i="12"/>
  <c r="N123" i="12" s="1"/>
  <c r="L123" i="12"/>
  <c r="K139" i="12"/>
  <c r="N139" i="12" s="1"/>
  <c r="L139" i="12"/>
  <c r="K161" i="12"/>
  <c r="N161" i="12" s="1"/>
  <c r="L161" i="12"/>
  <c r="K184" i="12"/>
  <c r="N184" i="12" s="1"/>
  <c r="L184" i="12"/>
  <c r="K156" i="12"/>
  <c r="N156" i="12" s="1"/>
  <c r="L156" i="12"/>
  <c r="K102" i="12"/>
  <c r="N102" i="12" s="1"/>
  <c r="L102" i="12"/>
  <c r="K181" i="12"/>
  <c r="N181" i="12" s="1"/>
  <c r="L181" i="12"/>
  <c r="K47" i="12"/>
  <c r="N47" i="12" s="1"/>
  <c r="L47" i="12"/>
  <c r="K85" i="12"/>
  <c r="N85" i="12" s="1"/>
  <c r="L85" i="12"/>
  <c r="K12" i="12"/>
  <c r="N12" i="12" s="1"/>
  <c r="L12" i="12"/>
  <c r="K86" i="12"/>
  <c r="N86" i="12" s="1"/>
  <c r="L86" i="12"/>
  <c r="K106" i="12"/>
  <c r="N106" i="12" s="1"/>
  <c r="L106" i="12"/>
  <c r="K107" i="12"/>
  <c r="N107" i="12" s="1"/>
  <c r="L107" i="12"/>
  <c r="K186" i="12"/>
  <c r="N186" i="12" s="1"/>
  <c r="L186" i="12"/>
  <c r="K52" i="12"/>
  <c r="N52" i="12" s="1"/>
  <c r="L52" i="12"/>
  <c r="K109" i="12"/>
  <c r="N109" i="12" s="1"/>
  <c r="L109" i="12"/>
  <c r="K144" i="12"/>
  <c r="N144" i="12" s="1"/>
  <c r="L144" i="12"/>
  <c r="K112" i="12"/>
  <c r="N112" i="12" s="1"/>
  <c r="L112" i="12"/>
  <c r="K189" i="12"/>
  <c r="N189" i="12" s="1"/>
  <c r="L189" i="12"/>
  <c r="K76" i="12"/>
  <c r="N76" i="12" s="1"/>
  <c r="L76" i="12"/>
  <c r="K114" i="12"/>
  <c r="N114" i="12" s="1"/>
  <c r="L114" i="12"/>
  <c r="K130" i="12"/>
  <c r="N130" i="12" s="1"/>
  <c r="L130" i="12"/>
  <c r="K149" i="12"/>
  <c r="N149" i="12" s="1"/>
  <c r="L149" i="12"/>
  <c r="K171" i="12"/>
  <c r="N171" i="12" s="1"/>
  <c r="L171" i="12"/>
  <c r="L191" i="12"/>
  <c r="K191" i="12"/>
  <c r="N191" i="12" s="1"/>
  <c r="K11" i="12"/>
  <c r="N11" i="12" s="1"/>
  <c r="L11" i="12"/>
  <c r="L104" i="12"/>
  <c r="K104" i="12"/>
  <c r="N104" i="12" s="1"/>
  <c r="K183" i="12"/>
  <c r="N183" i="12" s="1"/>
  <c r="L183" i="12"/>
  <c r="K67" i="12"/>
  <c r="N67" i="12" s="1"/>
  <c r="L67" i="12"/>
  <c r="K49" i="12"/>
  <c r="N49" i="12" s="1"/>
  <c r="L49" i="12"/>
  <c r="K87" i="12"/>
  <c r="N87" i="12" s="1"/>
  <c r="L87" i="12"/>
  <c r="K124" i="12"/>
  <c r="N124" i="12" s="1"/>
  <c r="L124" i="12"/>
  <c r="K125" i="12"/>
  <c r="N125" i="12" s="1"/>
  <c r="L125" i="12"/>
  <c r="K165" i="12"/>
  <c r="N165" i="12" s="1"/>
  <c r="L165" i="12"/>
  <c r="K126" i="12"/>
  <c r="N126" i="12" s="1"/>
  <c r="L126" i="12"/>
  <c r="K16" i="12"/>
  <c r="N16" i="12" s="1"/>
  <c r="L16" i="12"/>
  <c r="K35" i="12"/>
  <c r="N35" i="12" s="1"/>
  <c r="L35" i="12"/>
  <c r="K74" i="12"/>
  <c r="N74" i="12" s="1"/>
  <c r="L74" i="12"/>
  <c r="L170" i="12"/>
  <c r="K170" i="12"/>
  <c r="N170" i="12" s="1"/>
  <c r="K19" i="12"/>
  <c r="N19" i="12" s="1"/>
  <c r="L19" i="12"/>
  <c r="K77" i="12"/>
  <c r="N77" i="12" s="1"/>
  <c r="L77" i="12"/>
  <c r="K115" i="12"/>
  <c r="N115" i="12" s="1"/>
  <c r="L115" i="12"/>
  <c r="K131" i="12"/>
  <c r="N131" i="12" s="1"/>
  <c r="L131" i="12"/>
  <c r="K150" i="12"/>
  <c r="N150" i="12" s="1"/>
  <c r="L150" i="12"/>
  <c r="K173" i="12"/>
  <c r="N173" i="12" s="1"/>
  <c r="L173" i="12"/>
  <c r="K193" i="12"/>
  <c r="N193" i="12" s="1"/>
  <c r="L193" i="12"/>
  <c r="K84" i="12"/>
  <c r="N84" i="12" s="1"/>
  <c r="L84" i="12"/>
  <c r="K160" i="12"/>
  <c r="N160" i="12" s="1"/>
  <c r="L160" i="12"/>
  <c r="K29" i="12"/>
  <c r="N29" i="12" s="1"/>
  <c r="L29" i="12"/>
  <c r="K163" i="12"/>
  <c r="N163" i="12" s="1"/>
  <c r="L163" i="12"/>
  <c r="K185" i="12"/>
  <c r="N185" i="12" s="1"/>
  <c r="L185" i="12"/>
  <c r="K141" i="12"/>
  <c r="N141" i="12" s="1"/>
  <c r="L141" i="12"/>
  <c r="L33" i="12"/>
  <c r="K33" i="12"/>
  <c r="N33" i="12" s="1"/>
  <c r="K167" i="12"/>
  <c r="N167" i="12" s="1"/>
  <c r="L167" i="12"/>
  <c r="K128" i="12"/>
  <c r="N128" i="12" s="1"/>
  <c r="L128" i="12"/>
  <c r="K18" i="12"/>
  <c r="N18" i="12" s="1"/>
  <c r="L18" i="12"/>
  <c r="K113" i="12"/>
  <c r="N113" i="12" s="1"/>
  <c r="L113" i="12"/>
  <c r="K94" i="12"/>
  <c r="N94" i="12" s="1"/>
  <c r="L94" i="12"/>
  <c r="K20" i="12"/>
  <c r="N20" i="12" s="1"/>
  <c r="L20" i="12"/>
  <c r="K58" i="12"/>
  <c r="N58" i="12" s="1"/>
  <c r="L58" i="12"/>
  <c r="K95" i="12"/>
  <c r="N95" i="12" s="1"/>
  <c r="L95" i="12"/>
  <c r="K21" i="12"/>
  <c r="N21" i="12" s="1"/>
  <c r="L21" i="12"/>
  <c r="L40" i="12"/>
  <c r="K40" i="12"/>
  <c r="N40" i="12" s="1"/>
  <c r="K60" i="12"/>
  <c r="N60" i="12" s="1"/>
  <c r="L60" i="12"/>
  <c r="K78" i="12"/>
  <c r="N78" i="12" s="1"/>
  <c r="L78" i="12"/>
  <c r="K96" i="12"/>
  <c r="N96" i="12" s="1"/>
  <c r="L96" i="12"/>
  <c r="K116" i="12"/>
  <c r="N116" i="12" s="1"/>
  <c r="L116" i="12"/>
  <c r="K132" i="12"/>
  <c r="N132" i="12" s="1"/>
  <c r="L132" i="12"/>
  <c r="K152" i="12"/>
  <c r="N152" i="12" s="1"/>
  <c r="L152" i="12"/>
  <c r="K175" i="12"/>
  <c r="N175" i="12" s="1"/>
  <c r="L175" i="12"/>
  <c r="K194" i="12"/>
  <c r="N194" i="12" s="1"/>
  <c r="L194" i="12"/>
  <c r="L26" i="12"/>
  <c r="K26" i="12"/>
  <c r="N26" i="12" s="1"/>
  <c r="K83" i="12"/>
  <c r="N83" i="12" s="1"/>
  <c r="L83" i="12"/>
  <c r="K136" i="12"/>
  <c r="N136" i="12" s="1"/>
  <c r="L136" i="12"/>
  <c r="K30" i="12"/>
  <c r="N30" i="12" s="1"/>
  <c r="L30" i="12"/>
  <c r="K140" i="12"/>
  <c r="N140" i="12" s="1"/>
  <c r="L140" i="12"/>
  <c r="K31" i="12"/>
  <c r="N31" i="12" s="1"/>
  <c r="L31" i="12"/>
  <c r="L69" i="12"/>
  <c r="K69" i="12"/>
  <c r="N69" i="12" s="1"/>
  <c r="K145" i="12"/>
  <c r="N145" i="12" s="1"/>
  <c r="L145" i="12"/>
  <c r="K55" i="12"/>
  <c r="N55" i="12" s="1"/>
  <c r="L55" i="12"/>
  <c r="K168" i="12"/>
  <c r="N168" i="12" s="1"/>
  <c r="L168" i="12"/>
  <c r="K56" i="12"/>
  <c r="N56" i="12" s="1"/>
  <c r="L56" i="12"/>
  <c r="K129" i="12"/>
  <c r="N129" i="12" s="1"/>
  <c r="L129" i="12"/>
  <c r="K38" i="12"/>
  <c r="N38" i="12" s="1"/>
  <c r="L38" i="12"/>
  <c r="K42" i="12"/>
  <c r="N42" i="12" s="1"/>
  <c r="L42" i="12"/>
  <c r="K97" i="12"/>
  <c r="N97" i="12" s="1"/>
  <c r="L97" i="12"/>
  <c r="K117" i="12"/>
  <c r="N117" i="12" s="1"/>
  <c r="L117" i="12"/>
  <c r="K133" i="12"/>
  <c r="N133" i="12" s="1"/>
  <c r="L133" i="12"/>
  <c r="K153" i="12"/>
  <c r="N153" i="12" s="1"/>
  <c r="L153" i="12"/>
  <c r="L176" i="12"/>
  <c r="K176" i="12"/>
  <c r="N176" i="12" s="1"/>
  <c r="K100" i="12"/>
  <c r="N100" i="12" s="1"/>
  <c r="L100" i="12"/>
  <c r="K27" i="12"/>
  <c r="N27" i="12" s="1"/>
  <c r="L27" i="12"/>
  <c r="K158" i="12"/>
  <c r="N158" i="12" s="1"/>
  <c r="L158" i="12"/>
  <c r="K66" i="12"/>
  <c r="N66" i="12" s="1"/>
  <c r="L66" i="12"/>
  <c r="K68" i="12"/>
  <c r="N68" i="12" s="1"/>
  <c r="L68" i="12"/>
  <c r="K89" i="12"/>
  <c r="N89" i="12" s="1"/>
  <c r="L89" i="12"/>
  <c r="K70" i="12"/>
  <c r="N70" i="12" s="1"/>
  <c r="L70" i="12"/>
  <c r="K72" i="12"/>
  <c r="N72" i="12" s="1"/>
  <c r="L72" i="12"/>
  <c r="K110" i="12"/>
  <c r="N110" i="12" s="1"/>
  <c r="L110" i="12"/>
  <c r="K17" i="12"/>
  <c r="N17" i="12" s="1"/>
  <c r="L17" i="12"/>
  <c r="K73" i="12"/>
  <c r="N73" i="12" s="1"/>
  <c r="L73" i="12"/>
  <c r="K146" i="12"/>
  <c r="N146" i="12" s="1"/>
  <c r="L146" i="12"/>
  <c r="K93" i="12"/>
  <c r="N93" i="12" s="1"/>
  <c r="L93" i="12"/>
  <c r="K190" i="12"/>
  <c r="N190" i="12" s="1"/>
  <c r="L190" i="12"/>
  <c r="K57" i="12"/>
  <c r="N57" i="12" s="1"/>
  <c r="L57" i="12"/>
  <c r="K39" i="12"/>
  <c r="N39" i="12" s="1"/>
  <c r="L39" i="12"/>
  <c r="K79" i="12"/>
  <c r="N79" i="12" s="1"/>
  <c r="L79" i="12"/>
  <c r="K23" i="12"/>
  <c r="N23" i="12" s="1"/>
  <c r="L23" i="12"/>
  <c r="K43" i="12"/>
  <c r="N43" i="12" s="1"/>
  <c r="L43" i="12"/>
  <c r="K62" i="12"/>
  <c r="N62" i="12" s="1"/>
  <c r="L62" i="12"/>
  <c r="K81" i="12"/>
  <c r="N81" i="12" s="1"/>
  <c r="L81" i="12"/>
  <c r="K98" i="12"/>
  <c r="N98" i="12" s="1"/>
  <c r="L98" i="12"/>
  <c r="K118" i="12"/>
  <c r="N118" i="12" s="1"/>
  <c r="L118" i="12"/>
  <c r="K134" i="12"/>
  <c r="N134" i="12" s="1"/>
  <c r="L134" i="12"/>
  <c r="K154" i="12"/>
  <c r="N154" i="12" s="1"/>
  <c r="L154" i="12"/>
  <c r="K178" i="12"/>
  <c r="N178" i="12" s="1"/>
  <c r="L178" i="12"/>
  <c r="K45" i="12"/>
  <c r="N45" i="12" s="1"/>
  <c r="L45" i="12"/>
  <c r="K64" i="12"/>
  <c r="N64" i="12" s="1"/>
  <c r="L64" i="12"/>
  <c r="K46" i="12"/>
  <c r="N46" i="12" s="1"/>
  <c r="L46" i="12"/>
  <c r="K121" i="12"/>
  <c r="N121" i="12" s="1"/>
  <c r="L121" i="12"/>
  <c r="L122" i="12"/>
  <c r="K122" i="12"/>
  <c r="N122" i="12" s="1"/>
  <c r="K13" i="12"/>
  <c r="N13" i="12" s="1"/>
  <c r="L13" i="12"/>
  <c r="K14" i="12"/>
  <c r="N14" i="12" s="1"/>
  <c r="L14" i="12"/>
  <c r="K51" i="12"/>
  <c r="N51" i="12" s="1"/>
  <c r="L51" i="12"/>
  <c r="K15" i="12"/>
  <c r="N15" i="12" s="1"/>
  <c r="L15" i="12"/>
  <c r="K90" i="12"/>
  <c r="N90" i="12" s="1"/>
  <c r="L90" i="12"/>
  <c r="K166" i="12"/>
  <c r="N166" i="12" s="1"/>
  <c r="L166" i="12"/>
  <c r="K187" i="12"/>
  <c r="N187" i="12" s="1"/>
  <c r="L187" i="12"/>
  <c r="K53" i="12"/>
  <c r="N53" i="12" s="1"/>
  <c r="L53" i="12"/>
  <c r="K91" i="12"/>
  <c r="N91" i="12" s="1"/>
  <c r="L91" i="12"/>
  <c r="L127" i="12"/>
  <c r="K127" i="12"/>
  <c r="N127" i="12" s="1"/>
  <c r="K188" i="12"/>
  <c r="N188" i="12" s="1"/>
  <c r="L188" i="12"/>
  <c r="K36" i="12"/>
  <c r="N36" i="12" s="1"/>
  <c r="L36" i="12"/>
  <c r="K92" i="12"/>
  <c r="N92" i="12" s="1"/>
  <c r="L92" i="12"/>
  <c r="L37" i="12"/>
  <c r="K37" i="12"/>
  <c r="N37" i="12" s="1"/>
  <c r="K148" i="12"/>
  <c r="N148" i="12" s="1"/>
  <c r="L148" i="12"/>
  <c r="K22" i="12"/>
  <c r="N22" i="12" s="1"/>
  <c r="L22" i="12"/>
  <c r="K61" i="12"/>
  <c r="N61" i="12" s="1"/>
  <c r="L61" i="12"/>
  <c r="K25" i="12"/>
  <c r="N25" i="12" s="1"/>
  <c r="L25" i="12"/>
  <c r="K44" i="12"/>
  <c r="N44" i="12" s="1"/>
  <c r="L44" i="12"/>
  <c r="L63" i="12"/>
  <c r="K63" i="12"/>
  <c r="N63" i="12" s="1"/>
  <c r="K82" i="12"/>
  <c r="N82" i="12" s="1"/>
  <c r="L82" i="12"/>
  <c r="L99" i="12"/>
  <c r="K99" i="12"/>
  <c r="N99" i="12" s="1"/>
  <c r="K119" i="12"/>
  <c r="N119" i="12" s="1"/>
  <c r="L119" i="12"/>
  <c r="K135" i="12"/>
  <c r="N135" i="12" s="1"/>
  <c r="L135" i="12"/>
  <c r="K155" i="12"/>
  <c r="N155" i="12" s="1"/>
  <c r="L155" i="12"/>
  <c r="K179" i="12"/>
  <c r="N179" i="12" s="1"/>
  <c r="L179" i="12"/>
  <c r="K10" i="12"/>
  <c r="N10" i="12" s="1"/>
  <c r="L10" i="12"/>
  <c r="H159" i="12"/>
  <c r="H59" i="12"/>
  <c r="H75" i="12"/>
  <c r="H162" i="12"/>
  <c r="N218" i="12"/>
  <c r="N219" i="12" s="1"/>
  <c r="H192" i="12"/>
  <c r="H101" i="12"/>
  <c r="H88" i="12"/>
  <c r="H157" i="12"/>
  <c r="H174" i="12"/>
  <c r="H169" i="12"/>
  <c r="N220" i="12"/>
  <c r="M196" i="12"/>
  <c r="M204" i="11"/>
  <c r="N199" i="11"/>
  <c r="L199" i="11"/>
  <c r="N194" i="11"/>
  <c r="F194" i="11"/>
  <c r="M194" i="11" s="1"/>
  <c r="F193" i="11"/>
  <c r="G192" i="11" s="1"/>
  <c r="F191" i="11"/>
  <c r="M191" i="11" s="1"/>
  <c r="F190" i="11"/>
  <c r="M189" i="11"/>
  <c r="L189" i="11"/>
  <c r="N189" i="11"/>
  <c r="F189" i="11"/>
  <c r="F188" i="11"/>
  <c r="F187" i="11"/>
  <c r="N187" i="11" s="1"/>
  <c r="F186" i="11"/>
  <c r="F185" i="11"/>
  <c r="L185" i="11" s="1"/>
  <c r="M184" i="11"/>
  <c r="F184" i="11"/>
  <c r="N184" i="11" s="1"/>
  <c r="F183" i="11"/>
  <c r="F181" i="11"/>
  <c r="M181" i="11" s="1"/>
  <c r="F180" i="11"/>
  <c r="F179" i="11"/>
  <c r="M179" i="11" s="1"/>
  <c r="F178" i="11"/>
  <c r="F176" i="11"/>
  <c r="N176" i="11" s="1"/>
  <c r="F175" i="11"/>
  <c r="G174" i="11"/>
  <c r="F173" i="11"/>
  <c r="M173" i="11" s="1"/>
  <c r="F171" i="11"/>
  <c r="M170" i="11"/>
  <c r="F170" i="11"/>
  <c r="N170" i="11" s="1"/>
  <c r="G169" i="11"/>
  <c r="F168" i="11"/>
  <c r="N168" i="11" s="1"/>
  <c r="F167" i="11"/>
  <c r="M167" i="11" s="1"/>
  <c r="F166" i="11"/>
  <c r="M166" i="11" s="1"/>
  <c r="F165" i="11"/>
  <c r="M165" i="11" s="1"/>
  <c r="F163" i="11"/>
  <c r="M163" i="11" s="1"/>
  <c r="G162" i="11"/>
  <c r="F161" i="11"/>
  <c r="F160" i="11"/>
  <c r="M160" i="11" s="1"/>
  <c r="F158" i="11"/>
  <c r="M158" i="11" s="1"/>
  <c r="G157" i="11"/>
  <c r="F156" i="11"/>
  <c r="F155" i="11"/>
  <c r="M155" i="11" s="1"/>
  <c r="F154" i="11"/>
  <c r="M154" i="11" s="1"/>
  <c r="F153" i="11"/>
  <c r="M153" i="11" s="1"/>
  <c r="M152" i="11"/>
  <c r="N152" i="11"/>
  <c r="F152" i="11"/>
  <c r="L152" i="11" s="1"/>
  <c r="F150" i="11"/>
  <c r="M150" i="11" s="1"/>
  <c r="F149" i="11"/>
  <c r="L149" i="11" s="1"/>
  <c r="F148" i="11"/>
  <c r="F146" i="11"/>
  <c r="L146" i="11" s="1"/>
  <c r="F145" i="11"/>
  <c r="F144" i="11"/>
  <c r="L144" i="11" s="1"/>
  <c r="F141" i="11"/>
  <c r="F140" i="11"/>
  <c r="M140" i="11" s="1"/>
  <c r="F139" i="11"/>
  <c r="L139" i="11" s="1"/>
  <c r="F138" i="11"/>
  <c r="L138" i="11" s="1"/>
  <c r="L137" i="11"/>
  <c r="F137" i="11"/>
  <c r="M137" i="11" s="1"/>
  <c r="F136" i="11"/>
  <c r="L136" i="11" s="1"/>
  <c r="F135" i="11"/>
  <c r="F134" i="11"/>
  <c r="M134" i="11" s="1"/>
  <c r="F133" i="11"/>
  <c r="M133" i="11" s="1"/>
  <c r="F132" i="11"/>
  <c r="M132" i="11" s="1"/>
  <c r="F131" i="11"/>
  <c r="M131" i="11" s="1"/>
  <c r="F130" i="11"/>
  <c r="M130" i="11" s="1"/>
  <c r="F129" i="11"/>
  <c r="M128" i="11"/>
  <c r="L128" i="11"/>
  <c r="F128" i="11"/>
  <c r="N128" i="11" s="1"/>
  <c r="F127" i="11"/>
  <c r="L127" i="11" s="1"/>
  <c r="F126" i="11"/>
  <c r="M126" i="11" s="1"/>
  <c r="F125" i="11"/>
  <c r="M125" i="11" s="1"/>
  <c r="F124" i="11"/>
  <c r="M124" i="11" s="1"/>
  <c r="F123" i="11"/>
  <c r="F122" i="11"/>
  <c r="M122" i="11" s="1"/>
  <c r="F121" i="11"/>
  <c r="M121" i="11" s="1"/>
  <c r="F120" i="11"/>
  <c r="M120" i="11" s="1"/>
  <c r="F119" i="11"/>
  <c r="M119" i="11" s="1"/>
  <c r="F118" i="11"/>
  <c r="M118" i="11" s="1"/>
  <c r="F117" i="11"/>
  <c r="F116" i="11"/>
  <c r="M116" i="11" s="1"/>
  <c r="F115" i="11"/>
  <c r="L115" i="11" s="1"/>
  <c r="F114" i="11"/>
  <c r="L114" i="11" s="1"/>
  <c r="F113" i="11"/>
  <c r="M113" i="11" s="1"/>
  <c r="F112" i="11"/>
  <c r="M112" i="11" s="1"/>
  <c r="F110" i="11"/>
  <c r="M110" i="11" s="1"/>
  <c r="N109" i="11"/>
  <c r="F109" i="11"/>
  <c r="M109" i="11" s="1"/>
  <c r="A109" i="11"/>
  <c r="F107" i="11"/>
  <c r="N107" i="11" s="1"/>
  <c r="F106" i="11"/>
  <c r="L106" i="11" s="1"/>
  <c r="F105" i="11"/>
  <c r="L105" i="11" s="1"/>
  <c r="F104" i="11"/>
  <c r="N104" i="11" s="1"/>
  <c r="A104" i="11"/>
  <c r="F102" i="11"/>
  <c r="G101" i="11" s="1"/>
  <c r="F100" i="11"/>
  <c r="F99" i="11"/>
  <c r="M99" i="11" s="1"/>
  <c r="F98" i="11"/>
  <c r="M98" i="11" s="1"/>
  <c r="F97" i="11"/>
  <c r="L97" i="11" s="1"/>
  <c r="F96" i="11"/>
  <c r="M96" i="11" s="1"/>
  <c r="F95" i="11"/>
  <c r="M95" i="11" s="1"/>
  <c r="F94" i="11"/>
  <c r="M93" i="11"/>
  <c r="F93" i="11"/>
  <c r="L93" i="11" s="1"/>
  <c r="F92" i="11"/>
  <c r="L92" i="11" s="1"/>
  <c r="F91" i="11"/>
  <c r="N91" i="11" s="1"/>
  <c r="F90" i="11"/>
  <c r="M90" i="11" s="1"/>
  <c r="F89" i="11"/>
  <c r="F87" i="11"/>
  <c r="M87" i="11" s="1"/>
  <c r="M86" i="11"/>
  <c r="F86" i="11"/>
  <c r="N86" i="11" s="1"/>
  <c r="F85" i="11"/>
  <c r="F84" i="11"/>
  <c r="M84" i="11" s="1"/>
  <c r="F83" i="11"/>
  <c r="M83" i="11" s="1"/>
  <c r="M82" i="11"/>
  <c r="F82" i="11"/>
  <c r="L82" i="11" s="1"/>
  <c r="F81" i="11"/>
  <c r="M81" i="11" s="1"/>
  <c r="A81" i="11"/>
  <c r="F79" i="11"/>
  <c r="L79" i="11" s="1"/>
  <c r="F78" i="11"/>
  <c r="M78" i="11" s="1"/>
  <c r="F77" i="11"/>
  <c r="M77" i="11" s="1"/>
  <c r="F76" i="11"/>
  <c r="F74" i="11"/>
  <c r="M74" i="11" s="1"/>
  <c r="M73" i="11"/>
  <c r="F73" i="11"/>
  <c r="L73" i="11" s="1"/>
  <c r="F72" i="11"/>
  <c r="A72" i="11"/>
  <c r="F70" i="11"/>
  <c r="M70" i="11" s="1"/>
  <c r="F69" i="11"/>
  <c r="N69" i="11" s="1"/>
  <c r="F68" i="11"/>
  <c r="N68" i="11" s="1"/>
  <c r="F67" i="11"/>
  <c r="M67" i="11" s="1"/>
  <c r="F66" i="11"/>
  <c r="L66" i="11" s="1"/>
  <c r="F65" i="11"/>
  <c r="N65" i="11" s="1"/>
  <c r="M64" i="11"/>
  <c r="F64" i="11"/>
  <c r="N64" i="11" s="1"/>
  <c r="F63" i="11"/>
  <c r="M63" i="11" s="1"/>
  <c r="F62" i="11"/>
  <c r="F61" i="11"/>
  <c r="M61" i="11" s="1"/>
  <c r="F60" i="11"/>
  <c r="M60" i="11" s="1"/>
  <c r="F58" i="11"/>
  <c r="M58" i="11" s="1"/>
  <c r="F57" i="11"/>
  <c r="M57" i="11" s="1"/>
  <c r="F56" i="11"/>
  <c r="N56" i="11" s="1"/>
  <c r="F55" i="11"/>
  <c r="M55" i="11" s="1"/>
  <c r="N53" i="11"/>
  <c r="M53" i="11"/>
  <c r="F53" i="11"/>
  <c r="L53" i="11" s="1"/>
  <c r="F52" i="11"/>
  <c r="M52" i="11" s="1"/>
  <c r="F51" i="11"/>
  <c r="M51" i="11" s="1"/>
  <c r="F49" i="11"/>
  <c r="M49" i="11" s="1"/>
  <c r="M48" i="11"/>
  <c r="F48" i="11"/>
  <c r="F47" i="11"/>
  <c r="F46" i="11"/>
  <c r="N46" i="11" s="1"/>
  <c r="F45" i="11"/>
  <c r="L45" i="11" s="1"/>
  <c r="F44" i="11"/>
  <c r="L44" i="11" s="1"/>
  <c r="F43" i="11"/>
  <c r="L43" i="11" s="1"/>
  <c r="M42" i="11"/>
  <c r="F42" i="11"/>
  <c r="L42" i="11" s="1"/>
  <c r="M40" i="11"/>
  <c r="L40" i="11"/>
  <c r="F40" i="11"/>
  <c r="N40" i="11" s="1"/>
  <c r="F39" i="11"/>
  <c r="L39" i="11" s="1"/>
  <c r="F38" i="11"/>
  <c r="F37" i="11"/>
  <c r="M37" i="11" s="1"/>
  <c r="F36" i="11"/>
  <c r="F35" i="11"/>
  <c r="N35" i="11" s="1"/>
  <c r="F33" i="11"/>
  <c r="M33" i="11" s="1"/>
  <c r="F31" i="11"/>
  <c r="M31" i="11" s="1"/>
  <c r="N30" i="11"/>
  <c r="F30" i="11"/>
  <c r="M30" i="11" s="1"/>
  <c r="F29" i="11"/>
  <c r="M29" i="11" s="1"/>
  <c r="F28" i="11"/>
  <c r="M28" i="11" s="1"/>
  <c r="M27" i="11"/>
  <c r="F27" i="11"/>
  <c r="N27" i="11" s="1"/>
  <c r="F26" i="11"/>
  <c r="F25" i="11"/>
  <c r="N25" i="11" s="1"/>
  <c r="F23" i="11"/>
  <c r="F22" i="11"/>
  <c r="M22" i="11" s="1"/>
  <c r="M21" i="11"/>
  <c r="F21" i="11"/>
  <c r="L21" i="11" s="1"/>
  <c r="M20" i="11"/>
  <c r="L20" i="11"/>
  <c r="F20" i="11"/>
  <c r="N20" i="11" s="1"/>
  <c r="M19" i="11"/>
  <c r="L19" i="11"/>
  <c r="F19" i="11"/>
  <c r="N19" i="11" s="1"/>
  <c r="F18" i="11"/>
  <c r="L18" i="11" s="1"/>
  <c r="F17" i="11"/>
  <c r="F16" i="11"/>
  <c r="M16" i="11" s="1"/>
  <c r="F15" i="11"/>
  <c r="M15" i="11" s="1"/>
  <c r="F14" i="11"/>
  <c r="N14" i="11" s="1"/>
  <c r="F13" i="11"/>
  <c r="M13" i="11" s="1"/>
  <c r="F12" i="11"/>
  <c r="M12" i="11" s="1"/>
  <c r="F11" i="11"/>
  <c r="F10" i="11"/>
  <c r="M10" i="11" s="1"/>
  <c r="M197" i="6"/>
  <c r="M195" i="6"/>
  <c r="M204" i="10"/>
  <c r="N199" i="10"/>
  <c r="L199" i="10"/>
  <c r="M194" i="10"/>
  <c r="L194" i="10"/>
  <c r="K194" i="10"/>
  <c r="F194" i="10"/>
  <c r="G192" i="10" s="1"/>
  <c r="N193" i="10"/>
  <c r="M193" i="10"/>
  <c r="L193" i="10"/>
  <c r="K193" i="10"/>
  <c r="F193" i="10"/>
  <c r="M191" i="10"/>
  <c r="L191" i="10"/>
  <c r="K191" i="10"/>
  <c r="F191" i="10"/>
  <c r="N191" i="10" s="1"/>
  <c r="M190" i="10"/>
  <c r="L190" i="10"/>
  <c r="K190" i="10"/>
  <c r="N190" i="10" s="1"/>
  <c r="F190" i="10"/>
  <c r="K189" i="10"/>
  <c r="F189" i="10"/>
  <c r="K188" i="10"/>
  <c r="F188" i="10"/>
  <c r="K187" i="10"/>
  <c r="F187" i="10"/>
  <c r="N187" i="10" s="1"/>
  <c r="N186" i="10"/>
  <c r="M186" i="10"/>
  <c r="L186" i="10"/>
  <c r="K186" i="10"/>
  <c r="F186" i="10"/>
  <c r="N185" i="10"/>
  <c r="M185" i="10"/>
  <c r="K185" i="10"/>
  <c r="F185" i="10"/>
  <c r="L185" i="10" s="1"/>
  <c r="K184" i="10"/>
  <c r="F184" i="10"/>
  <c r="G182" i="10" s="1"/>
  <c r="M183" i="10"/>
  <c r="L183" i="10"/>
  <c r="K183" i="10"/>
  <c r="N183" i="10" s="1"/>
  <c r="F183" i="10"/>
  <c r="K181" i="10"/>
  <c r="F181" i="10"/>
  <c r="N181" i="10" s="1"/>
  <c r="M180" i="10"/>
  <c r="L180" i="10"/>
  <c r="K180" i="10"/>
  <c r="N180" i="10" s="1"/>
  <c r="F180" i="10"/>
  <c r="K179" i="10"/>
  <c r="F179" i="10"/>
  <c r="N179" i="10" s="1"/>
  <c r="N178" i="10"/>
  <c r="M178" i="10"/>
  <c r="L178" i="10"/>
  <c r="K178" i="10"/>
  <c r="F178" i="10"/>
  <c r="G177" i="10" s="1"/>
  <c r="K176" i="10"/>
  <c r="F176" i="10"/>
  <c r="N176" i="10" s="1"/>
  <c r="N175" i="10"/>
  <c r="M175" i="10"/>
  <c r="L175" i="10"/>
  <c r="K175" i="10"/>
  <c r="F175" i="10"/>
  <c r="G174" i="10" s="1"/>
  <c r="K173" i="10"/>
  <c r="F173" i="10"/>
  <c r="N173" i="10" s="1"/>
  <c r="G172" i="10"/>
  <c r="M171" i="10"/>
  <c r="L171" i="10"/>
  <c r="K171" i="10"/>
  <c r="N171" i="10" s="1"/>
  <c r="F171" i="10"/>
  <c r="K170" i="10"/>
  <c r="F170" i="10"/>
  <c r="G169" i="10"/>
  <c r="M168" i="10"/>
  <c r="L168" i="10"/>
  <c r="K168" i="10"/>
  <c r="N168" i="10" s="1"/>
  <c r="F168" i="10"/>
  <c r="K167" i="10"/>
  <c r="F167" i="10"/>
  <c r="N167" i="10" s="1"/>
  <c r="M166" i="10"/>
  <c r="L166" i="10"/>
  <c r="K166" i="10"/>
  <c r="N166" i="10" s="1"/>
  <c r="F166" i="10"/>
  <c r="N165" i="10"/>
  <c r="K165" i="10"/>
  <c r="F165" i="10"/>
  <c r="M165" i="10" s="1"/>
  <c r="G164" i="10"/>
  <c r="N163" i="10"/>
  <c r="M163" i="10"/>
  <c r="L163" i="10"/>
  <c r="K163" i="10"/>
  <c r="F163" i="10"/>
  <c r="G162" i="10" s="1"/>
  <c r="K161" i="10"/>
  <c r="F161" i="10"/>
  <c r="N161" i="10" s="1"/>
  <c r="N160" i="10"/>
  <c r="M160" i="10"/>
  <c r="L160" i="10"/>
  <c r="K160" i="10"/>
  <c r="F160" i="10"/>
  <c r="G159" i="10" s="1"/>
  <c r="K158" i="10"/>
  <c r="F158" i="10"/>
  <c r="G157" i="10"/>
  <c r="M156" i="10"/>
  <c r="L156" i="10"/>
  <c r="K156" i="10"/>
  <c r="N156" i="10" s="1"/>
  <c r="F156" i="10"/>
  <c r="K155" i="10"/>
  <c r="F155" i="10"/>
  <c r="N155" i="10" s="1"/>
  <c r="M154" i="10"/>
  <c r="L154" i="10"/>
  <c r="K154" i="10"/>
  <c r="N154" i="10" s="1"/>
  <c r="F154" i="10"/>
  <c r="K153" i="10"/>
  <c r="N153" i="10" s="1"/>
  <c r="F153" i="10"/>
  <c r="M153" i="10" s="1"/>
  <c r="M152" i="10"/>
  <c r="L152" i="10"/>
  <c r="K152" i="10"/>
  <c r="F152" i="10"/>
  <c r="N152" i="10" s="1"/>
  <c r="K150" i="10"/>
  <c r="N150" i="10" s="1"/>
  <c r="F150" i="10"/>
  <c r="M150" i="10" s="1"/>
  <c r="M149" i="10"/>
  <c r="L149" i="10"/>
  <c r="K149" i="10"/>
  <c r="F149" i="10"/>
  <c r="G147" i="10" s="1"/>
  <c r="M148" i="10"/>
  <c r="L148" i="10"/>
  <c r="K148" i="10"/>
  <c r="N148" i="10" s="1"/>
  <c r="F148" i="10"/>
  <c r="M146" i="10"/>
  <c r="L146" i="10"/>
  <c r="K146" i="10"/>
  <c r="F146" i="10"/>
  <c r="N146" i="10" s="1"/>
  <c r="M145" i="10"/>
  <c r="L145" i="10"/>
  <c r="K145" i="10"/>
  <c r="N145" i="10" s="1"/>
  <c r="F145" i="10"/>
  <c r="K144" i="10"/>
  <c r="F144" i="10"/>
  <c r="N144" i="10" s="1"/>
  <c r="M141" i="10"/>
  <c r="L141" i="10"/>
  <c r="K141" i="10"/>
  <c r="N141" i="10" s="1"/>
  <c r="F141" i="10"/>
  <c r="K140" i="10"/>
  <c r="F140" i="10"/>
  <c r="N140" i="10" s="1"/>
  <c r="K139" i="10"/>
  <c r="F139" i="10"/>
  <c r="K138" i="10"/>
  <c r="N138" i="10" s="1"/>
  <c r="F138" i="10"/>
  <c r="M138" i="10" s="1"/>
  <c r="N137" i="10"/>
  <c r="M137" i="10"/>
  <c r="L137" i="10"/>
  <c r="K137" i="10"/>
  <c r="F137" i="10"/>
  <c r="M136" i="10"/>
  <c r="L136" i="10"/>
  <c r="K136" i="10"/>
  <c r="F136" i="10"/>
  <c r="K135" i="10"/>
  <c r="F135" i="10"/>
  <c r="N135" i="10" s="1"/>
  <c r="K134" i="10"/>
  <c r="F134" i="10"/>
  <c r="N134" i="10" s="1"/>
  <c r="N133" i="10"/>
  <c r="K133" i="10"/>
  <c r="F133" i="10"/>
  <c r="M133" i="10" s="1"/>
  <c r="M132" i="10"/>
  <c r="L132" i="10"/>
  <c r="K132" i="10"/>
  <c r="N132" i="10" s="1"/>
  <c r="F132" i="10"/>
  <c r="M131" i="10"/>
  <c r="L131" i="10"/>
  <c r="K131" i="10"/>
  <c r="N131" i="10" s="1"/>
  <c r="F131" i="10"/>
  <c r="M130" i="10"/>
  <c r="L130" i="10"/>
  <c r="K130" i="10"/>
  <c r="F130" i="10"/>
  <c r="N130" i="10" s="1"/>
  <c r="L129" i="10"/>
  <c r="K129" i="10"/>
  <c r="F129" i="10"/>
  <c r="K128" i="10"/>
  <c r="F128" i="10"/>
  <c r="N128" i="10" s="1"/>
  <c r="K127" i="10"/>
  <c r="F127" i="10"/>
  <c r="N127" i="10" s="1"/>
  <c r="N126" i="10"/>
  <c r="M126" i="10"/>
  <c r="K126" i="10"/>
  <c r="F126" i="10"/>
  <c r="L126" i="10" s="1"/>
  <c r="M125" i="10"/>
  <c r="L125" i="10"/>
  <c r="K125" i="10"/>
  <c r="N125" i="10" s="1"/>
  <c r="F125" i="10"/>
  <c r="M124" i="10"/>
  <c r="L124" i="10"/>
  <c r="K124" i="10"/>
  <c r="F124" i="10"/>
  <c r="N124" i="10" s="1"/>
  <c r="K123" i="10"/>
  <c r="F123" i="10"/>
  <c r="N123" i="10" s="1"/>
  <c r="K122" i="10"/>
  <c r="F122" i="10"/>
  <c r="N122" i="10" s="1"/>
  <c r="K121" i="10"/>
  <c r="N121" i="10" s="1"/>
  <c r="F121" i="10"/>
  <c r="M121" i="10" s="1"/>
  <c r="M120" i="10"/>
  <c r="L120" i="10"/>
  <c r="K120" i="10"/>
  <c r="N120" i="10" s="1"/>
  <c r="F120" i="10"/>
  <c r="N119" i="10"/>
  <c r="M119" i="10"/>
  <c r="L119" i="10"/>
  <c r="K119" i="10"/>
  <c r="F119" i="10"/>
  <c r="M118" i="10"/>
  <c r="L118" i="10"/>
  <c r="K118" i="10"/>
  <c r="F118" i="10"/>
  <c r="N118" i="10" s="1"/>
  <c r="L117" i="10"/>
  <c r="K117" i="10"/>
  <c r="F117" i="10"/>
  <c r="N117" i="10" s="1"/>
  <c r="K116" i="10"/>
  <c r="F116" i="10"/>
  <c r="K115" i="10"/>
  <c r="F115" i="10"/>
  <c r="N115" i="10" s="1"/>
  <c r="N114" i="10"/>
  <c r="M114" i="10"/>
  <c r="K114" i="10"/>
  <c r="F114" i="10"/>
  <c r="L114" i="10" s="1"/>
  <c r="M113" i="10"/>
  <c r="L113" i="10"/>
  <c r="K113" i="10"/>
  <c r="N113" i="10" s="1"/>
  <c r="F113" i="10"/>
  <c r="M112" i="10"/>
  <c r="L112" i="10"/>
  <c r="K112" i="10"/>
  <c r="F112" i="10"/>
  <c r="K111" i="10"/>
  <c r="F111" i="10"/>
  <c r="K110" i="10"/>
  <c r="F110" i="10"/>
  <c r="N110" i="10" s="1"/>
  <c r="K109" i="10"/>
  <c r="N109" i="10" s="1"/>
  <c r="F109" i="10"/>
  <c r="M109" i="10" s="1"/>
  <c r="A109" i="10"/>
  <c r="L107" i="10"/>
  <c r="K107" i="10"/>
  <c r="F107" i="10"/>
  <c r="N107" i="10" s="1"/>
  <c r="K106" i="10"/>
  <c r="F106" i="10"/>
  <c r="N106" i="10" s="1"/>
  <c r="K105" i="10"/>
  <c r="F105" i="10"/>
  <c r="N105" i="10" s="1"/>
  <c r="M104" i="10"/>
  <c r="K104" i="10"/>
  <c r="N104" i="10" s="1"/>
  <c r="F104" i="10"/>
  <c r="L104" i="10" s="1"/>
  <c r="A104" i="10"/>
  <c r="K102" i="10"/>
  <c r="F102" i="10"/>
  <c r="G101" i="10" s="1"/>
  <c r="K100" i="10"/>
  <c r="F100" i="10"/>
  <c r="N100" i="10" s="1"/>
  <c r="K99" i="10"/>
  <c r="F99" i="10"/>
  <c r="K98" i="10"/>
  <c r="N98" i="10" s="1"/>
  <c r="F98" i="10"/>
  <c r="M98" i="10" s="1"/>
  <c r="N97" i="10"/>
  <c r="M97" i="10"/>
  <c r="L97" i="10"/>
  <c r="K97" i="10"/>
  <c r="F97" i="10"/>
  <c r="M96" i="10"/>
  <c r="L96" i="10"/>
  <c r="K96" i="10"/>
  <c r="N96" i="10" s="1"/>
  <c r="F96" i="10"/>
  <c r="M95" i="10"/>
  <c r="L95" i="10"/>
  <c r="K95" i="10"/>
  <c r="F95" i="10"/>
  <c r="N95" i="10" s="1"/>
  <c r="L94" i="10"/>
  <c r="K94" i="10"/>
  <c r="F94" i="10"/>
  <c r="K93" i="10"/>
  <c r="F93" i="10"/>
  <c r="N93" i="10" s="1"/>
  <c r="K92" i="10"/>
  <c r="F92" i="10"/>
  <c r="M91" i="10"/>
  <c r="K91" i="10"/>
  <c r="N91" i="10" s="1"/>
  <c r="F91" i="10"/>
  <c r="L91" i="10" s="1"/>
  <c r="N90" i="10"/>
  <c r="M90" i="10"/>
  <c r="L90" i="10"/>
  <c r="K90" i="10"/>
  <c r="F90" i="10"/>
  <c r="G88" i="10" s="1"/>
  <c r="M89" i="10"/>
  <c r="L89" i="10"/>
  <c r="K89" i="10"/>
  <c r="F89" i="10"/>
  <c r="N89" i="10" s="1"/>
  <c r="M87" i="10"/>
  <c r="L87" i="10"/>
  <c r="K87" i="10"/>
  <c r="N87" i="10" s="1"/>
  <c r="F87" i="10"/>
  <c r="M86" i="10"/>
  <c r="L86" i="10"/>
  <c r="K86" i="10"/>
  <c r="F86" i="10"/>
  <c r="N86" i="10" s="1"/>
  <c r="K85" i="10"/>
  <c r="F85" i="10"/>
  <c r="K84" i="10"/>
  <c r="F84" i="10"/>
  <c r="G80" i="10" s="1"/>
  <c r="K83" i="10"/>
  <c r="N83" i="10" s="1"/>
  <c r="F83" i="10"/>
  <c r="M83" i="10" s="1"/>
  <c r="N82" i="10"/>
  <c r="M82" i="10"/>
  <c r="L82" i="10"/>
  <c r="K82" i="10"/>
  <c r="F82" i="10"/>
  <c r="N81" i="10"/>
  <c r="M81" i="10"/>
  <c r="L81" i="10"/>
  <c r="K81" i="10"/>
  <c r="F81" i="10"/>
  <c r="A81" i="10"/>
  <c r="K79" i="10"/>
  <c r="F79" i="10"/>
  <c r="N78" i="10"/>
  <c r="M78" i="10"/>
  <c r="K78" i="10"/>
  <c r="F78" i="10"/>
  <c r="L78" i="10" s="1"/>
  <c r="N77" i="10"/>
  <c r="M77" i="10"/>
  <c r="L77" i="10"/>
  <c r="K77" i="10"/>
  <c r="F77" i="10"/>
  <c r="G75" i="10" s="1"/>
  <c r="M76" i="10"/>
  <c r="L76" i="10"/>
  <c r="K76" i="10"/>
  <c r="F76" i="10"/>
  <c r="N76" i="10" s="1"/>
  <c r="M74" i="10"/>
  <c r="L74" i="10"/>
  <c r="K74" i="10"/>
  <c r="N74" i="10" s="1"/>
  <c r="F74" i="10"/>
  <c r="M73" i="10"/>
  <c r="L73" i="10"/>
  <c r="K73" i="10"/>
  <c r="F73" i="10"/>
  <c r="N73" i="10" s="1"/>
  <c r="K72" i="10"/>
  <c r="F72" i="10"/>
  <c r="A72" i="10"/>
  <c r="M70" i="10"/>
  <c r="L70" i="10"/>
  <c r="K70" i="10"/>
  <c r="N70" i="10" s="1"/>
  <c r="F70" i="10"/>
  <c r="M69" i="10"/>
  <c r="L69" i="10"/>
  <c r="K69" i="10"/>
  <c r="F69" i="10"/>
  <c r="N69" i="10" s="1"/>
  <c r="L68" i="10"/>
  <c r="K68" i="10"/>
  <c r="F68" i="10"/>
  <c r="N68" i="10" s="1"/>
  <c r="K67" i="10"/>
  <c r="F67" i="10"/>
  <c r="N67" i="10" s="1"/>
  <c r="K66" i="10"/>
  <c r="F66" i="10"/>
  <c r="N66" i="10" s="1"/>
  <c r="M65" i="10"/>
  <c r="K65" i="10"/>
  <c r="N65" i="10" s="1"/>
  <c r="F65" i="10"/>
  <c r="L65" i="10" s="1"/>
  <c r="N64" i="10"/>
  <c r="M64" i="10"/>
  <c r="L64" i="10"/>
  <c r="K64" i="10"/>
  <c r="F64" i="10"/>
  <c r="M63" i="10"/>
  <c r="L63" i="10"/>
  <c r="K63" i="10"/>
  <c r="F63" i="10"/>
  <c r="K62" i="10"/>
  <c r="F62" i="10"/>
  <c r="N62" i="10" s="1"/>
  <c r="K61" i="10"/>
  <c r="F61" i="10"/>
  <c r="G59" i="10" s="1"/>
  <c r="N60" i="10"/>
  <c r="K60" i="10"/>
  <c r="F60" i="10"/>
  <c r="M60" i="10" s="1"/>
  <c r="K58" i="10"/>
  <c r="F58" i="10"/>
  <c r="G54" i="10" s="1"/>
  <c r="K57" i="10"/>
  <c r="N57" i="10" s="1"/>
  <c r="F57" i="10"/>
  <c r="M57" i="10" s="1"/>
  <c r="M56" i="10"/>
  <c r="L56" i="10"/>
  <c r="K56" i="10"/>
  <c r="N56" i="10" s="1"/>
  <c r="F56" i="10"/>
  <c r="N55" i="10"/>
  <c r="M55" i="10"/>
  <c r="L55" i="10"/>
  <c r="K55" i="10"/>
  <c r="F55" i="10"/>
  <c r="N53" i="10"/>
  <c r="M53" i="10"/>
  <c r="L53" i="10"/>
  <c r="K53" i="10"/>
  <c r="F53" i="10"/>
  <c r="N52" i="10"/>
  <c r="M52" i="10"/>
  <c r="L52" i="10"/>
  <c r="K52" i="10"/>
  <c r="F52" i="10"/>
  <c r="M51" i="10"/>
  <c r="L51" i="10"/>
  <c r="K51" i="10"/>
  <c r="F51" i="10"/>
  <c r="M49" i="10"/>
  <c r="L49" i="10"/>
  <c r="K49" i="10"/>
  <c r="N49" i="10" s="1"/>
  <c r="F49" i="10"/>
  <c r="M48" i="10"/>
  <c r="L48" i="10"/>
  <c r="K48" i="10"/>
  <c r="F48" i="10"/>
  <c r="N48" i="10" s="1"/>
  <c r="L47" i="10"/>
  <c r="K47" i="10"/>
  <c r="F47" i="10"/>
  <c r="K46" i="10"/>
  <c r="F46" i="10"/>
  <c r="N46" i="10" s="1"/>
  <c r="K45" i="10"/>
  <c r="F45" i="10"/>
  <c r="N45" i="10" s="1"/>
  <c r="N44" i="10"/>
  <c r="M44" i="10"/>
  <c r="K44" i="10"/>
  <c r="F44" i="10"/>
  <c r="L44" i="10" s="1"/>
  <c r="M43" i="10"/>
  <c r="L43" i="10"/>
  <c r="K43" i="10"/>
  <c r="N43" i="10" s="1"/>
  <c r="F43" i="10"/>
  <c r="G41" i="10" s="1"/>
  <c r="M42" i="10"/>
  <c r="L42" i="10"/>
  <c r="K42" i="10"/>
  <c r="N42" i="10" s="1"/>
  <c r="F42" i="10"/>
  <c r="N40" i="10"/>
  <c r="M40" i="10"/>
  <c r="L40" i="10"/>
  <c r="K40" i="10"/>
  <c r="F40" i="10"/>
  <c r="M39" i="10"/>
  <c r="L39" i="10"/>
  <c r="K39" i="10"/>
  <c r="N39" i="10" s="1"/>
  <c r="F39" i="10"/>
  <c r="K38" i="10"/>
  <c r="F38" i="10"/>
  <c r="N38" i="10" s="1"/>
  <c r="K37" i="10"/>
  <c r="F37" i="10"/>
  <c r="N36" i="10"/>
  <c r="K36" i="10"/>
  <c r="F36" i="10"/>
  <c r="M36" i="10" s="1"/>
  <c r="N35" i="10"/>
  <c r="M35" i="10"/>
  <c r="L35" i="10"/>
  <c r="K35" i="10"/>
  <c r="F35" i="10"/>
  <c r="G34" i="10"/>
  <c r="K33" i="10"/>
  <c r="N33" i="10" s="1"/>
  <c r="F33" i="10"/>
  <c r="M33" i="10" s="1"/>
  <c r="G32" i="10"/>
  <c r="K31" i="10"/>
  <c r="F31" i="10"/>
  <c r="N31" i="10" s="1"/>
  <c r="K30" i="10"/>
  <c r="N30" i="10" s="1"/>
  <c r="F30" i="10"/>
  <c r="M30" i="10" s="1"/>
  <c r="M29" i="10"/>
  <c r="L29" i="10"/>
  <c r="K29" i="10"/>
  <c r="N29" i="10" s="1"/>
  <c r="F29" i="10"/>
  <c r="N28" i="10"/>
  <c r="M28" i="10"/>
  <c r="L28" i="10"/>
  <c r="K28" i="10"/>
  <c r="F28" i="10"/>
  <c r="M27" i="10"/>
  <c r="L27" i="10"/>
  <c r="K27" i="10"/>
  <c r="F27" i="10"/>
  <c r="N27" i="10" s="1"/>
  <c r="L26" i="10"/>
  <c r="K26" i="10"/>
  <c r="F26" i="10"/>
  <c r="N26" i="10" s="1"/>
  <c r="K25" i="10"/>
  <c r="F25" i="10"/>
  <c r="N25" i="10" s="1"/>
  <c r="L23" i="10"/>
  <c r="F23" i="10"/>
  <c r="N23" i="10" s="1"/>
  <c r="F22" i="10"/>
  <c r="F21" i="10"/>
  <c r="N21" i="10" s="1"/>
  <c r="M20" i="10"/>
  <c r="N20" i="10"/>
  <c r="F20" i="10"/>
  <c r="L20" i="10" s="1"/>
  <c r="M19" i="10"/>
  <c r="L19" i="10"/>
  <c r="N19" i="10"/>
  <c r="F19" i="10"/>
  <c r="M18" i="10"/>
  <c r="L18" i="10"/>
  <c r="F18" i="10"/>
  <c r="N18" i="10" s="1"/>
  <c r="F17" i="10"/>
  <c r="N17" i="10" s="1"/>
  <c r="F16" i="10"/>
  <c r="N16" i="10" s="1"/>
  <c r="N15" i="10"/>
  <c r="F15" i="10"/>
  <c r="M15" i="10" s="1"/>
  <c r="N14" i="10"/>
  <c r="M14" i="10"/>
  <c r="L14" i="10"/>
  <c r="F14" i="10"/>
  <c r="N13" i="10"/>
  <c r="M13" i="10"/>
  <c r="L13" i="10"/>
  <c r="F13" i="10"/>
  <c r="M12" i="10"/>
  <c r="L12" i="10"/>
  <c r="F12" i="10"/>
  <c r="L11" i="10"/>
  <c r="F11" i="10"/>
  <c r="F10" i="10"/>
  <c r="M204" i="9"/>
  <c r="N199" i="9"/>
  <c r="L199" i="9"/>
  <c r="K194" i="9"/>
  <c r="F194" i="9"/>
  <c r="L194" i="9" s="1"/>
  <c r="M193" i="9"/>
  <c r="L193" i="9"/>
  <c r="K193" i="9"/>
  <c r="N193" i="9" s="1"/>
  <c r="F193" i="9"/>
  <c r="K191" i="9"/>
  <c r="F191" i="9"/>
  <c r="N191" i="9" s="1"/>
  <c r="M190" i="9"/>
  <c r="L190" i="9"/>
  <c r="K190" i="9"/>
  <c r="N190" i="9" s="1"/>
  <c r="F190" i="9"/>
  <c r="K189" i="9"/>
  <c r="F189" i="9"/>
  <c r="N189" i="9" s="1"/>
  <c r="M188" i="9"/>
  <c r="L188" i="9"/>
  <c r="K188" i="9"/>
  <c r="N188" i="9" s="1"/>
  <c r="F188" i="9"/>
  <c r="K187" i="9"/>
  <c r="F187" i="9"/>
  <c r="K186" i="9"/>
  <c r="F186" i="9"/>
  <c r="L186" i="9" s="1"/>
  <c r="M185" i="9"/>
  <c r="K185" i="9"/>
  <c r="N185" i="9" s="1"/>
  <c r="F185" i="9"/>
  <c r="L185" i="9" s="1"/>
  <c r="K184" i="9"/>
  <c r="F184" i="9"/>
  <c r="G182" i="9" s="1"/>
  <c r="M183" i="9"/>
  <c r="L183" i="9"/>
  <c r="K183" i="9"/>
  <c r="N183" i="9" s="1"/>
  <c r="F183" i="9"/>
  <c r="K181" i="9"/>
  <c r="F181" i="9"/>
  <c r="M180" i="9"/>
  <c r="L180" i="9"/>
  <c r="K180" i="9"/>
  <c r="N180" i="9" s="1"/>
  <c r="F180" i="9"/>
  <c r="K179" i="9"/>
  <c r="F179" i="9"/>
  <c r="M178" i="9"/>
  <c r="L178" i="9"/>
  <c r="K178" i="9"/>
  <c r="N178" i="9" s="1"/>
  <c r="F178" i="9"/>
  <c r="G177" i="9" s="1"/>
  <c r="K176" i="9"/>
  <c r="F176" i="9"/>
  <c r="M175" i="9"/>
  <c r="L175" i="9"/>
  <c r="K175" i="9"/>
  <c r="N175" i="9" s="1"/>
  <c r="F175" i="9"/>
  <c r="G174" i="9" s="1"/>
  <c r="K173" i="9"/>
  <c r="F173" i="9"/>
  <c r="G172" i="9"/>
  <c r="M171" i="9"/>
  <c r="L171" i="9"/>
  <c r="K171" i="9"/>
  <c r="N171" i="9" s="1"/>
  <c r="F171" i="9"/>
  <c r="K170" i="9"/>
  <c r="F170" i="9"/>
  <c r="G169" i="9"/>
  <c r="M168" i="9"/>
  <c r="L168" i="9"/>
  <c r="K168" i="9"/>
  <c r="N168" i="9" s="1"/>
  <c r="F168" i="9"/>
  <c r="K167" i="9"/>
  <c r="F167" i="9"/>
  <c r="N167" i="9" s="1"/>
  <c r="M166" i="9"/>
  <c r="L166" i="9"/>
  <c r="K166" i="9"/>
  <c r="N166" i="9" s="1"/>
  <c r="F166" i="9"/>
  <c r="G164" i="9" s="1"/>
  <c r="K165" i="9"/>
  <c r="N165" i="9" s="1"/>
  <c r="F165" i="9"/>
  <c r="M165" i="9" s="1"/>
  <c r="M163" i="9"/>
  <c r="L163" i="9"/>
  <c r="K163" i="9"/>
  <c r="N163" i="9" s="1"/>
  <c r="F163" i="9"/>
  <c r="G162" i="9" s="1"/>
  <c r="K161" i="9"/>
  <c r="F161" i="9"/>
  <c r="M160" i="9"/>
  <c r="L160" i="9"/>
  <c r="K160" i="9"/>
  <c r="N160" i="9" s="1"/>
  <c r="F160" i="9"/>
  <c r="G159" i="9" s="1"/>
  <c r="K158" i="9"/>
  <c r="F158" i="9"/>
  <c r="N158" i="9" s="1"/>
  <c r="G157" i="9"/>
  <c r="M156" i="9"/>
  <c r="L156" i="9"/>
  <c r="K156" i="9"/>
  <c r="N156" i="9" s="1"/>
  <c r="F156" i="9"/>
  <c r="K155" i="9"/>
  <c r="F155" i="9"/>
  <c r="N155" i="9" s="1"/>
  <c r="M154" i="9"/>
  <c r="L154" i="9"/>
  <c r="K154" i="9"/>
  <c r="N154" i="9" s="1"/>
  <c r="F154" i="9"/>
  <c r="K153" i="9"/>
  <c r="N153" i="9" s="1"/>
  <c r="F153" i="9"/>
  <c r="M153" i="9" s="1"/>
  <c r="K152" i="9"/>
  <c r="F152" i="9"/>
  <c r="N152" i="9" s="1"/>
  <c r="K150" i="9"/>
  <c r="N150" i="9" s="1"/>
  <c r="F150" i="9"/>
  <c r="M150" i="9" s="1"/>
  <c r="K149" i="9"/>
  <c r="F149" i="9"/>
  <c r="L149" i="9" s="1"/>
  <c r="M148" i="9"/>
  <c r="L148" i="9"/>
  <c r="K148" i="9"/>
  <c r="N148" i="9" s="1"/>
  <c r="F148" i="9"/>
  <c r="K146" i="9"/>
  <c r="F146" i="9"/>
  <c r="L146" i="9" s="1"/>
  <c r="M145" i="9"/>
  <c r="L145" i="9"/>
  <c r="K145" i="9"/>
  <c r="N145" i="9" s="1"/>
  <c r="F145" i="9"/>
  <c r="K144" i="9"/>
  <c r="F144" i="9"/>
  <c r="G143" i="9"/>
  <c r="M141" i="9"/>
  <c r="L141" i="9"/>
  <c r="K141" i="9"/>
  <c r="N141" i="9" s="1"/>
  <c r="F141" i="9"/>
  <c r="K140" i="9"/>
  <c r="F140" i="9"/>
  <c r="N140" i="9" s="1"/>
  <c r="M139" i="9"/>
  <c r="L139" i="9"/>
  <c r="K139" i="9"/>
  <c r="N139" i="9" s="1"/>
  <c r="F139" i="9"/>
  <c r="K138" i="9"/>
  <c r="F138" i="9"/>
  <c r="K137" i="9"/>
  <c r="F137" i="9"/>
  <c r="L137" i="9" s="1"/>
  <c r="M136" i="9"/>
  <c r="K136" i="9"/>
  <c r="N136" i="9" s="1"/>
  <c r="F136" i="9"/>
  <c r="L136" i="9" s="1"/>
  <c r="K135" i="9"/>
  <c r="F135" i="9"/>
  <c r="N135" i="9" s="1"/>
  <c r="N134" i="9"/>
  <c r="M134" i="9"/>
  <c r="L134" i="9"/>
  <c r="K134" i="9"/>
  <c r="F134" i="9"/>
  <c r="K133" i="9"/>
  <c r="F133" i="9"/>
  <c r="M132" i="9"/>
  <c r="L132" i="9"/>
  <c r="K132" i="9"/>
  <c r="N132" i="9" s="1"/>
  <c r="F132" i="9"/>
  <c r="K131" i="9"/>
  <c r="N131" i="9" s="1"/>
  <c r="F131" i="9"/>
  <c r="M131" i="9" s="1"/>
  <c r="K130" i="9"/>
  <c r="F130" i="9"/>
  <c r="L130" i="9" s="1"/>
  <c r="M129" i="9"/>
  <c r="L129" i="9"/>
  <c r="K129" i="9"/>
  <c r="N129" i="9" s="1"/>
  <c r="F129" i="9"/>
  <c r="K128" i="9"/>
  <c r="F128" i="9"/>
  <c r="M127" i="9"/>
  <c r="L127" i="9"/>
  <c r="K127" i="9"/>
  <c r="N127" i="9" s="1"/>
  <c r="F127" i="9"/>
  <c r="K126" i="9"/>
  <c r="F126" i="9"/>
  <c r="K125" i="9"/>
  <c r="F125" i="9"/>
  <c r="M124" i="9"/>
  <c r="K124" i="9"/>
  <c r="N124" i="9" s="1"/>
  <c r="F124" i="9"/>
  <c r="L124" i="9" s="1"/>
  <c r="K123" i="9"/>
  <c r="F123" i="9"/>
  <c r="M122" i="9"/>
  <c r="L122" i="9"/>
  <c r="K122" i="9"/>
  <c r="N122" i="9" s="1"/>
  <c r="F122" i="9"/>
  <c r="K121" i="9"/>
  <c r="F121" i="9"/>
  <c r="M120" i="9"/>
  <c r="L120" i="9"/>
  <c r="K120" i="9"/>
  <c r="N120" i="9" s="1"/>
  <c r="F120" i="9"/>
  <c r="K119" i="9"/>
  <c r="N119" i="9" s="1"/>
  <c r="F119" i="9"/>
  <c r="M119" i="9" s="1"/>
  <c r="K118" i="9"/>
  <c r="F118" i="9"/>
  <c r="L118" i="9" s="1"/>
  <c r="M117" i="9"/>
  <c r="L117" i="9"/>
  <c r="K117" i="9"/>
  <c r="N117" i="9" s="1"/>
  <c r="F117" i="9"/>
  <c r="K116" i="9"/>
  <c r="F116" i="9"/>
  <c r="N116" i="9" s="1"/>
  <c r="M115" i="9"/>
  <c r="L115" i="9"/>
  <c r="K115" i="9"/>
  <c r="N115" i="9" s="1"/>
  <c r="F115" i="9"/>
  <c r="K114" i="9"/>
  <c r="F114" i="9"/>
  <c r="K113" i="9"/>
  <c r="F113" i="9"/>
  <c r="M113" i="9" s="1"/>
  <c r="M112" i="9"/>
  <c r="K112" i="9"/>
  <c r="N112" i="9" s="1"/>
  <c r="F112" i="9"/>
  <c r="L112" i="9" s="1"/>
  <c r="K111" i="9"/>
  <c r="F111" i="9"/>
  <c r="M110" i="9"/>
  <c r="L110" i="9"/>
  <c r="K110" i="9"/>
  <c r="N110" i="9" s="1"/>
  <c r="F110" i="9"/>
  <c r="K109" i="9"/>
  <c r="F109" i="9"/>
  <c r="A109" i="9"/>
  <c r="M107" i="9"/>
  <c r="L107" i="9"/>
  <c r="K107" i="9"/>
  <c r="N107" i="9" s="1"/>
  <c r="F107" i="9"/>
  <c r="K106" i="9"/>
  <c r="F106" i="9"/>
  <c r="M105" i="9"/>
  <c r="L105" i="9"/>
  <c r="K105" i="9"/>
  <c r="N105" i="9" s="1"/>
  <c r="F105" i="9"/>
  <c r="K104" i="9"/>
  <c r="F104" i="9"/>
  <c r="N104" i="9" s="1"/>
  <c r="A104" i="9"/>
  <c r="G103" i="9"/>
  <c r="N102" i="9"/>
  <c r="M102" i="9"/>
  <c r="L102" i="9"/>
  <c r="K102" i="9"/>
  <c r="F102" i="9"/>
  <c r="G101" i="9"/>
  <c r="K100" i="9"/>
  <c r="F100" i="9"/>
  <c r="N100" i="9" s="1"/>
  <c r="N99" i="9"/>
  <c r="M99" i="9"/>
  <c r="L99" i="9"/>
  <c r="K99" i="9"/>
  <c r="F99" i="9"/>
  <c r="K98" i="9"/>
  <c r="F98" i="9"/>
  <c r="M97" i="9"/>
  <c r="L97" i="9"/>
  <c r="K97" i="9"/>
  <c r="N97" i="9" s="1"/>
  <c r="F97" i="9"/>
  <c r="K96" i="9"/>
  <c r="N96" i="9" s="1"/>
  <c r="F96" i="9"/>
  <c r="M96" i="9" s="1"/>
  <c r="K95" i="9"/>
  <c r="F95" i="9"/>
  <c r="N94" i="9"/>
  <c r="M94" i="9"/>
  <c r="L94" i="9"/>
  <c r="K94" i="9"/>
  <c r="F94" i="9"/>
  <c r="K93" i="9"/>
  <c r="F93" i="9"/>
  <c r="N93" i="9" s="1"/>
  <c r="N92" i="9"/>
  <c r="M92" i="9"/>
  <c r="L92" i="9"/>
  <c r="K92" i="9"/>
  <c r="F92" i="9"/>
  <c r="K91" i="9"/>
  <c r="F91" i="9"/>
  <c r="N91" i="9" s="1"/>
  <c r="K90" i="9"/>
  <c r="F90" i="9"/>
  <c r="M90" i="9" s="1"/>
  <c r="M89" i="9"/>
  <c r="K89" i="9"/>
  <c r="N89" i="9" s="1"/>
  <c r="F89" i="9"/>
  <c r="L89" i="9" s="1"/>
  <c r="K87" i="9"/>
  <c r="F87" i="9"/>
  <c r="M87" i="9" s="1"/>
  <c r="M86" i="9"/>
  <c r="K86" i="9"/>
  <c r="N86" i="9" s="1"/>
  <c r="F86" i="9"/>
  <c r="L86" i="9" s="1"/>
  <c r="K85" i="9"/>
  <c r="F85" i="9"/>
  <c r="G80" i="9" s="1"/>
  <c r="M84" i="9"/>
  <c r="L84" i="9"/>
  <c r="K84" i="9"/>
  <c r="N84" i="9" s="1"/>
  <c r="F84" i="9"/>
  <c r="K83" i="9"/>
  <c r="F83" i="9"/>
  <c r="M82" i="9"/>
  <c r="L82" i="9"/>
  <c r="K82" i="9"/>
  <c r="N82" i="9" s="1"/>
  <c r="F82" i="9"/>
  <c r="K81" i="9"/>
  <c r="N81" i="9" s="1"/>
  <c r="F81" i="9"/>
  <c r="M81" i="9" s="1"/>
  <c r="A81" i="9"/>
  <c r="N79" i="9"/>
  <c r="M79" i="9"/>
  <c r="L79" i="9"/>
  <c r="K79" i="9"/>
  <c r="F79" i="9"/>
  <c r="K78" i="9"/>
  <c r="F78" i="9"/>
  <c r="N78" i="9" s="1"/>
  <c r="K77" i="9"/>
  <c r="F77" i="9"/>
  <c r="L77" i="9" s="1"/>
  <c r="M76" i="9"/>
  <c r="K76" i="9"/>
  <c r="N76" i="9" s="1"/>
  <c r="F76" i="9"/>
  <c r="L76" i="9" s="1"/>
  <c r="K74" i="9"/>
  <c r="F74" i="9"/>
  <c r="M74" i="9" s="1"/>
  <c r="M73" i="9"/>
  <c r="K73" i="9"/>
  <c r="N73" i="9" s="1"/>
  <c r="F73" i="9"/>
  <c r="L73" i="9" s="1"/>
  <c r="K72" i="9"/>
  <c r="F72" i="9"/>
  <c r="A72" i="9"/>
  <c r="K70" i="9"/>
  <c r="N70" i="9" s="1"/>
  <c r="F70" i="9"/>
  <c r="M70" i="9" s="1"/>
  <c r="K69" i="9"/>
  <c r="F69" i="9"/>
  <c r="N69" i="9" s="1"/>
  <c r="M68" i="9"/>
  <c r="L68" i="9"/>
  <c r="K68" i="9"/>
  <c r="N68" i="9" s="1"/>
  <c r="F68" i="9"/>
  <c r="K67" i="9"/>
  <c r="F67" i="9"/>
  <c r="N67" i="9" s="1"/>
  <c r="M66" i="9"/>
  <c r="L66" i="9"/>
  <c r="K66" i="9"/>
  <c r="N66" i="9" s="1"/>
  <c r="F66" i="9"/>
  <c r="K65" i="9"/>
  <c r="F65" i="9"/>
  <c r="K64" i="9"/>
  <c r="F64" i="9"/>
  <c r="L64" i="9" s="1"/>
  <c r="M63" i="9"/>
  <c r="K63" i="9"/>
  <c r="N63" i="9" s="1"/>
  <c r="F63" i="9"/>
  <c r="L63" i="9" s="1"/>
  <c r="K62" i="9"/>
  <c r="F62" i="9"/>
  <c r="N62" i="9" s="1"/>
  <c r="N61" i="9"/>
  <c r="M61" i="9"/>
  <c r="L61" i="9"/>
  <c r="K61" i="9"/>
  <c r="F61" i="9"/>
  <c r="K60" i="9"/>
  <c r="F60" i="9"/>
  <c r="M58" i="9"/>
  <c r="L58" i="9"/>
  <c r="K58" i="9"/>
  <c r="N58" i="9" s="1"/>
  <c r="F58" i="9"/>
  <c r="K57" i="9"/>
  <c r="F57" i="9"/>
  <c r="N57" i="9" s="1"/>
  <c r="M56" i="9"/>
  <c r="L56" i="9"/>
  <c r="K56" i="9"/>
  <c r="N56" i="9" s="1"/>
  <c r="F56" i="9"/>
  <c r="G54" i="9" s="1"/>
  <c r="N55" i="9"/>
  <c r="K55" i="9"/>
  <c r="F55" i="9"/>
  <c r="M55" i="9" s="1"/>
  <c r="M53" i="9"/>
  <c r="L53" i="9"/>
  <c r="K53" i="9"/>
  <c r="N53" i="9" s="1"/>
  <c r="F53" i="9"/>
  <c r="N52" i="9"/>
  <c r="K52" i="9"/>
  <c r="F52" i="9"/>
  <c r="M52" i="9" s="1"/>
  <c r="K51" i="9"/>
  <c r="F51" i="9"/>
  <c r="L51" i="9" s="1"/>
  <c r="N49" i="9"/>
  <c r="K49" i="9"/>
  <c r="F49" i="9"/>
  <c r="M49" i="9" s="1"/>
  <c r="K48" i="9"/>
  <c r="F48" i="9"/>
  <c r="N48" i="9" s="1"/>
  <c r="N47" i="9"/>
  <c r="M47" i="9"/>
  <c r="L47" i="9"/>
  <c r="K47" i="9"/>
  <c r="F47" i="9"/>
  <c r="K46" i="9"/>
  <c r="F46" i="9"/>
  <c r="N46" i="9" s="1"/>
  <c r="M45" i="9"/>
  <c r="L45" i="9"/>
  <c r="K45" i="9"/>
  <c r="N45" i="9" s="1"/>
  <c r="F45" i="9"/>
  <c r="K44" i="9"/>
  <c r="F44" i="9"/>
  <c r="N44" i="9" s="1"/>
  <c r="K43" i="9"/>
  <c r="F43" i="9"/>
  <c r="M43" i="9" s="1"/>
  <c r="M42" i="9"/>
  <c r="K42" i="9"/>
  <c r="N42" i="9" s="1"/>
  <c r="F42" i="9"/>
  <c r="L42" i="9" s="1"/>
  <c r="K40" i="9"/>
  <c r="F40" i="9"/>
  <c r="L40" i="9" s="1"/>
  <c r="M39" i="9"/>
  <c r="K39" i="9"/>
  <c r="N39" i="9" s="1"/>
  <c r="F39" i="9"/>
  <c r="L39" i="9" s="1"/>
  <c r="K38" i="9"/>
  <c r="F38" i="9"/>
  <c r="M37" i="9"/>
  <c r="L37" i="9"/>
  <c r="K37" i="9"/>
  <c r="N37" i="9" s="1"/>
  <c r="F37" i="9"/>
  <c r="K36" i="9"/>
  <c r="F36" i="9"/>
  <c r="N36" i="9" s="1"/>
  <c r="M35" i="9"/>
  <c r="L35" i="9"/>
  <c r="K35" i="9"/>
  <c r="N35" i="9" s="1"/>
  <c r="F35" i="9"/>
  <c r="G34" i="9" s="1"/>
  <c r="K33" i="9"/>
  <c r="F33" i="9"/>
  <c r="G32" i="9"/>
  <c r="N31" i="9"/>
  <c r="M31" i="9"/>
  <c r="L31" i="9"/>
  <c r="K31" i="9"/>
  <c r="F31" i="9"/>
  <c r="K30" i="9"/>
  <c r="F30" i="9"/>
  <c r="N30" i="9" s="1"/>
  <c r="M29" i="9"/>
  <c r="L29" i="9"/>
  <c r="K29" i="9"/>
  <c r="N29" i="9" s="1"/>
  <c r="F29" i="9"/>
  <c r="K28" i="9"/>
  <c r="N28" i="9" s="1"/>
  <c r="F28" i="9"/>
  <c r="M28" i="9" s="1"/>
  <c r="K27" i="9"/>
  <c r="F27" i="9"/>
  <c r="L27" i="9" s="1"/>
  <c r="M26" i="9"/>
  <c r="L26" i="9"/>
  <c r="K26" i="9"/>
  <c r="N26" i="9" s="1"/>
  <c r="F26" i="9"/>
  <c r="K25" i="9"/>
  <c r="F25" i="9"/>
  <c r="G24" i="9"/>
  <c r="N23" i="9"/>
  <c r="M23" i="9"/>
  <c r="L23" i="9"/>
  <c r="K23" i="9"/>
  <c r="F23" i="9"/>
  <c r="K22" i="9"/>
  <c r="F22" i="9"/>
  <c r="N22" i="9" s="1"/>
  <c r="N21" i="9"/>
  <c r="M21" i="9"/>
  <c r="L21" i="9"/>
  <c r="K21" i="9"/>
  <c r="F21" i="9"/>
  <c r="K20" i="9"/>
  <c r="F20" i="9"/>
  <c r="K19" i="9"/>
  <c r="F19" i="9"/>
  <c r="L19" i="9" s="1"/>
  <c r="M18" i="9"/>
  <c r="K18" i="9"/>
  <c r="N18" i="9" s="1"/>
  <c r="F18" i="9"/>
  <c r="L18" i="9" s="1"/>
  <c r="K17" i="9"/>
  <c r="F17" i="9"/>
  <c r="M16" i="9"/>
  <c r="L16" i="9"/>
  <c r="K16" i="9"/>
  <c r="N16" i="9" s="1"/>
  <c r="F16" i="9"/>
  <c r="K15" i="9"/>
  <c r="F15" i="9"/>
  <c r="N15" i="9" s="1"/>
  <c r="M14" i="9"/>
  <c r="L14" i="9"/>
  <c r="K14" i="9"/>
  <c r="N14" i="9" s="1"/>
  <c r="F14" i="9"/>
  <c r="K13" i="9"/>
  <c r="N13" i="9" s="1"/>
  <c r="F13" i="9"/>
  <c r="M13" i="9" s="1"/>
  <c r="K12" i="9"/>
  <c r="F12" i="9"/>
  <c r="L12" i="9" s="1"/>
  <c r="M11" i="9"/>
  <c r="L11" i="9"/>
  <c r="K11" i="9"/>
  <c r="N11" i="9" s="1"/>
  <c r="F11" i="9"/>
  <c r="K10" i="9"/>
  <c r="F10" i="9"/>
  <c r="N10" i="9" s="1"/>
  <c r="M204" i="8"/>
  <c r="N199" i="8"/>
  <c r="L199" i="8"/>
  <c r="K194" i="8"/>
  <c r="N194" i="8" s="1"/>
  <c r="F194" i="8"/>
  <c r="M193" i="8"/>
  <c r="L193" i="8"/>
  <c r="K193" i="8"/>
  <c r="N193" i="8" s="1"/>
  <c r="F193" i="8"/>
  <c r="K191" i="8"/>
  <c r="F191" i="8"/>
  <c r="M190" i="8"/>
  <c r="L190" i="8"/>
  <c r="K190" i="8"/>
  <c r="N190" i="8" s="1"/>
  <c r="F190" i="8"/>
  <c r="M189" i="8"/>
  <c r="L189" i="8"/>
  <c r="K189" i="8"/>
  <c r="N189" i="8" s="1"/>
  <c r="F189" i="8"/>
  <c r="M188" i="8"/>
  <c r="L188" i="8"/>
  <c r="K188" i="8"/>
  <c r="N188" i="8" s="1"/>
  <c r="F188" i="8"/>
  <c r="K187" i="8"/>
  <c r="F187" i="8"/>
  <c r="K186" i="8"/>
  <c r="F186" i="8"/>
  <c r="N185" i="8"/>
  <c r="K185" i="8"/>
  <c r="F185" i="8"/>
  <c r="L185" i="8" s="1"/>
  <c r="M184" i="8"/>
  <c r="K184" i="8"/>
  <c r="N184" i="8" s="1"/>
  <c r="F184" i="8"/>
  <c r="M183" i="8"/>
  <c r="L183" i="8"/>
  <c r="K183" i="8"/>
  <c r="N183" i="8" s="1"/>
  <c r="F183" i="8"/>
  <c r="K181" i="8"/>
  <c r="F181" i="8"/>
  <c r="L181" i="8" s="1"/>
  <c r="N180" i="8"/>
  <c r="M180" i="8"/>
  <c r="L180" i="8"/>
  <c r="K180" i="8"/>
  <c r="F180" i="8"/>
  <c r="M179" i="8"/>
  <c r="L179" i="8"/>
  <c r="K179" i="8"/>
  <c r="F179" i="8"/>
  <c r="K178" i="8"/>
  <c r="F178" i="8"/>
  <c r="M178" i="8" s="1"/>
  <c r="M176" i="8"/>
  <c r="L176" i="8"/>
  <c r="K176" i="8"/>
  <c r="F176" i="8"/>
  <c r="M175" i="8"/>
  <c r="L175" i="8"/>
  <c r="K175" i="8"/>
  <c r="F175" i="8"/>
  <c r="M173" i="8"/>
  <c r="L173" i="8"/>
  <c r="K173" i="8"/>
  <c r="F173" i="8"/>
  <c r="N173" i="8" s="1"/>
  <c r="G172" i="8"/>
  <c r="N171" i="8"/>
  <c r="M171" i="8"/>
  <c r="L171" i="8"/>
  <c r="K171" i="8"/>
  <c r="F171" i="8"/>
  <c r="M170" i="8"/>
  <c r="L170" i="8"/>
  <c r="K170" i="8"/>
  <c r="F170" i="8"/>
  <c r="N170" i="8" s="1"/>
  <c r="G169" i="8"/>
  <c r="M168" i="8"/>
  <c r="L168" i="8"/>
  <c r="K168" i="8"/>
  <c r="N168" i="8" s="1"/>
  <c r="F168" i="8"/>
  <c r="M167" i="8"/>
  <c r="L167" i="8"/>
  <c r="K167" i="8"/>
  <c r="F167" i="8"/>
  <c r="K166" i="8"/>
  <c r="F166" i="8"/>
  <c r="N166" i="8" s="1"/>
  <c r="K165" i="8"/>
  <c r="F165" i="8"/>
  <c r="K163" i="8"/>
  <c r="F163" i="8"/>
  <c r="M161" i="8"/>
  <c r="L161" i="8"/>
  <c r="K161" i="8"/>
  <c r="F161" i="8"/>
  <c r="M160" i="8"/>
  <c r="L160" i="8"/>
  <c r="K160" i="8"/>
  <c r="F160" i="8"/>
  <c r="M158" i="8"/>
  <c r="L158" i="8"/>
  <c r="K158" i="8"/>
  <c r="F158" i="8"/>
  <c r="N158" i="8" s="1"/>
  <c r="G157" i="8"/>
  <c r="N156" i="8"/>
  <c r="M156" i="8"/>
  <c r="L156" i="8"/>
  <c r="K156" i="8"/>
  <c r="F156" i="8"/>
  <c r="M155" i="8"/>
  <c r="L155" i="8"/>
  <c r="K155" i="8"/>
  <c r="F155" i="8"/>
  <c r="N155" i="8" s="1"/>
  <c r="M154" i="8"/>
  <c r="L154" i="8"/>
  <c r="K154" i="8"/>
  <c r="F154" i="8"/>
  <c r="N154" i="8" s="1"/>
  <c r="K153" i="8"/>
  <c r="F153" i="8"/>
  <c r="K152" i="8"/>
  <c r="N152" i="8" s="1"/>
  <c r="F152" i="8"/>
  <c r="K150" i="8"/>
  <c r="F150" i="8"/>
  <c r="K149" i="8"/>
  <c r="N149" i="8" s="1"/>
  <c r="F149" i="8"/>
  <c r="N148" i="8"/>
  <c r="M148" i="8"/>
  <c r="L148" i="8"/>
  <c r="K148" i="8"/>
  <c r="F148" i="8"/>
  <c r="K146" i="8"/>
  <c r="F146" i="8"/>
  <c r="M145" i="8"/>
  <c r="L145" i="8"/>
  <c r="K145" i="8"/>
  <c r="N145" i="8" s="1"/>
  <c r="F145" i="8"/>
  <c r="N144" i="8"/>
  <c r="M144" i="8"/>
  <c r="L144" i="8"/>
  <c r="K144" i="8"/>
  <c r="F144" i="8"/>
  <c r="G143" i="8"/>
  <c r="M141" i="8"/>
  <c r="L141" i="8"/>
  <c r="K141" i="8"/>
  <c r="N141" i="8" s="1"/>
  <c r="F141" i="8"/>
  <c r="M140" i="8"/>
  <c r="L140" i="8"/>
  <c r="K140" i="8"/>
  <c r="N140" i="8" s="1"/>
  <c r="F140" i="8"/>
  <c r="M139" i="8"/>
  <c r="L139" i="8"/>
  <c r="K139" i="8"/>
  <c r="N139" i="8" s="1"/>
  <c r="F139" i="8"/>
  <c r="K138" i="8"/>
  <c r="F138" i="8"/>
  <c r="L137" i="8"/>
  <c r="K137" i="8"/>
  <c r="F137" i="8"/>
  <c r="N136" i="8"/>
  <c r="K136" i="8"/>
  <c r="F136" i="8"/>
  <c r="L136" i="8" s="1"/>
  <c r="M135" i="8"/>
  <c r="K135" i="8"/>
  <c r="N135" i="8" s="1"/>
  <c r="F135" i="8"/>
  <c r="L135" i="8" s="1"/>
  <c r="M134" i="8"/>
  <c r="L134" i="8"/>
  <c r="K134" i="8"/>
  <c r="N134" i="8" s="1"/>
  <c r="F134" i="8"/>
  <c r="M133" i="8"/>
  <c r="L133" i="8"/>
  <c r="K133" i="8"/>
  <c r="F133" i="8"/>
  <c r="K132" i="8"/>
  <c r="F132" i="8"/>
  <c r="N132" i="8" s="1"/>
  <c r="K131" i="8"/>
  <c r="F131" i="8"/>
  <c r="N130" i="8"/>
  <c r="K130" i="8"/>
  <c r="F130" i="8"/>
  <c r="N129" i="8"/>
  <c r="M129" i="8"/>
  <c r="L129" i="8"/>
  <c r="K129" i="8"/>
  <c r="F129" i="8"/>
  <c r="M128" i="8"/>
  <c r="L128" i="8"/>
  <c r="K128" i="8"/>
  <c r="N128" i="8" s="1"/>
  <c r="F128" i="8"/>
  <c r="M127" i="8"/>
  <c r="L127" i="8"/>
  <c r="K127" i="8"/>
  <c r="N127" i="8" s="1"/>
  <c r="F127" i="8"/>
  <c r="K126" i="8"/>
  <c r="F126" i="8"/>
  <c r="K125" i="8"/>
  <c r="F125" i="8"/>
  <c r="L125" i="8" s="1"/>
  <c r="K124" i="8"/>
  <c r="N124" i="8" s="1"/>
  <c r="F124" i="8"/>
  <c r="L124" i="8" s="1"/>
  <c r="K123" i="8"/>
  <c r="F123" i="8"/>
  <c r="L123" i="8" s="1"/>
  <c r="N122" i="8"/>
  <c r="M122" i="8"/>
  <c r="L122" i="8"/>
  <c r="K122" i="8"/>
  <c r="F122" i="8"/>
  <c r="M121" i="8"/>
  <c r="L121" i="8"/>
  <c r="K121" i="8"/>
  <c r="F121" i="8"/>
  <c r="K120" i="8"/>
  <c r="F120" i="8"/>
  <c r="K119" i="8"/>
  <c r="F119" i="8"/>
  <c r="K118" i="8"/>
  <c r="F118" i="8"/>
  <c r="M117" i="8"/>
  <c r="L117" i="8"/>
  <c r="K117" i="8"/>
  <c r="N117" i="8" s="1"/>
  <c r="F117" i="8"/>
  <c r="M116" i="8"/>
  <c r="L116" i="8"/>
  <c r="K116" i="8"/>
  <c r="N116" i="8" s="1"/>
  <c r="F116" i="8"/>
  <c r="N115" i="8"/>
  <c r="M115" i="8"/>
  <c r="L115" i="8"/>
  <c r="K115" i="8"/>
  <c r="F115" i="8"/>
  <c r="K114" i="8"/>
  <c r="F114" i="8"/>
  <c r="L113" i="8"/>
  <c r="K113" i="8"/>
  <c r="F113" i="8"/>
  <c r="N112" i="8"/>
  <c r="K112" i="8"/>
  <c r="F112" i="8"/>
  <c r="L112" i="8" s="1"/>
  <c r="N111" i="8"/>
  <c r="M111" i="8"/>
  <c r="K111" i="8"/>
  <c r="F111" i="8"/>
  <c r="L111" i="8" s="1"/>
  <c r="M110" i="8"/>
  <c r="L110" i="8"/>
  <c r="K110" i="8"/>
  <c r="N110" i="8" s="1"/>
  <c r="F110" i="8"/>
  <c r="M109" i="8"/>
  <c r="L109" i="8"/>
  <c r="K109" i="8"/>
  <c r="F109" i="8"/>
  <c r="A109" i="8"/>
  <c r="M107" i="8"/>
  <c r="L107" i="8"/>
  <c r="K107" i="8"/>
  <c r="N107" i="8" s="1"/>
  <c r="F107" i="8"/>
  <c r="M106" i="8"/>
  <c r="L106" i="8"/>
  <c r="K106" i="8"/>
  <c r="N106" i="8" s="1"/>
  <c r="F106" i="8"/>
  <c r="N105" i="8"/>
  <c r="M105" i="8"/>
  <c r="L105" i="8"/>
  <c r="K105" i="8"/>
  <c r="F105" i="8"/>
  <c r="K104" i="8"/>
  <c r="F104" i="8"/>
  <c r="A104" i="8"/>
  <c r="G103" i="8"/>
  <c r="N102" i="8"/>
  <c r="M102" i="8"/>
  <c r="L102" i="8"/>
  <c r="K102" i="8"/>
  <c r="F102" i="8"/>
  <c r="G101" i="8"/>
  <c r="M100" i="8"/>
  <c r="K100" i="8"/>
  <c r="N100" i="8" s="1"/>
  <c r="F100" i="8"/>
  <c r="L100" i="8" s="1"/>
  <c r="M99" i="8"/>
  <c r="L99" i="8"/>
  <c r="K99" i="8"/>
  <c r="N99" i="8" s="1"/>
  <c r="F99" i="8"/>
  <c r="M98" i="8"/>
  <c r="L98" i="8"/>
  <c r="K98" i="8"/>
  <c r="F98" i="8"/>
  <c r="M97" i="8"/>
  <c r="L97" i="8"/>
  <c r="K97" i="8"/>
  <c r="F97" i="8"/>
  <c r="N97" i="8" s="1"/>
  <c r="K96" i="8"/>
  <c r="F96" i="8"/>
  <c r="K95" i="8"/>
  <c r="N95" i="8" s="1"/>
  <c r="F95" i="8"/>
  <c r="N94" i="8"/>
  <c r="M94" i="8"/>
  <c r="L94" i="8"/>
  <c r="K94" i="8"/>
  <c r="F94" i="8"/>
  <c r="M93" i="8"/>
  <c r="L93" i="8"/>
  <c r="K93" i="8"/>
  <c r="N93" i="8" s="1"/>
  <c r="F93" i="8"/>
  <c r="N92" i="8"/>
  <c r="M92" i="8"/>
  <c r="L92" i="8"/>
  <c r="K92" i="8"/>
  <c r="F92" i="8"/>
  <c r="K91" i="8"/>
  <c r="F91" i="8"/>
  <c r="K90" i="8"/>
  <c r="F90" i="8"/>
  <c r="N89" i="8"/>
  <c r="K89" i="8"/>
  <c r="F89" i="8"/>
  <c r="L89" i="8" s="1"/>
  <c r="K87" i="8"/>
  <c r="F87" i="8"/>
  <c r="N86" i="8"/>
  <c r="K86" i="8"/>
  <c r="F86" i="8"/>
  <c r="L86" i="8" s="1"/>
  <c r="K85" i="8"/>
  <c r="F85" i="8"/>
  <c r="L85" i="8" s="1"/>
  <c r="N84" i="8"/>
  <c r="M84" i="8"/>
  <c r="L84" i="8"/>
  <c r="K84" i="8"/>
  <c r="F84" i="8"/>
  <c r="M83" i="8"/>
  <c r="L83" i="8"/>
  <c r="K83" i="8"/>
  <c r="F83" i="8"/>
  <c r="M82" i="8"/>
  <c r="L82" i="8"/>
  <c r="K82" i="8"/>
  <c r="F82" i="8"/>
  <c r="K81" i="8"/>
  <c r="F81" i="8"/>
  <c r="A81" i="8"/>
  <c r="N79" i="8"/>
  <c r="M79" i="8"/>
  <c r="L79" i="8"/>
  <c r="K79" i="8"/>
  <c r="F79" i="8"/>
  <c r="K78" i="8"/>
  <c r="F78" i="8"/>
  <c r="L77" i="8"/>
  <c r="K77" i="8"/>
  <c r="F77" i="8"/>
  <c r="K76" i="8"/>
  <c r="N76" i="8" s="1"/>
  <c r="F76" i="8"/>
  <c r="L76" i="8" s="1"/>
  <c r="K74" i="8"/>
  <c r="F74" i="8"/>
  <c r="N73" i="8"/>
  <c r="K73" i="8"/>
  <c r="F73" i="8"/>
  <c r="L73" i="8" s="1"/>
  <c r="K72" i="8"/>
  <c r="F72" i="8"/>
  <c r="L72" i="8" s="1"/>
  <c r="A72" i="8"/>
  <c r="K70" i="8"/>
  <c r="F70" i="8"/>
  <c r="K69" i="8"/>
  <c r="N69" i="8" s="1"/>
  <c r="F69" i="8"/>
  <c r="N68" i="8"/>
  <c r="M68" i="8"/>
  <c r="L68" i="8"/>
  <c r="K68" i="8"/>
  <c r="F68" i="8"/>
  <c r="M67" i="8"/>
  <c r="L67" i="8"/>
  <c r="K67" i="8"/>
  <c r="N67" i="8" s="1"/>
  <c r="F67" i="8"/>
  <c r="M66" i="8"/>
  <c r="L66" i="8"/>
  <c r="K66" i="8"/>
  <c r="N66" i="8" s="1"/>
  <c r="F66" i="8"/>
  <c r="K65" i="8"/>
  <c r="F65" i="8"/>
  <c r="K64" i="8"/>
  <c r="F64" i="8"/>
  <c r="K63" i="8"/>
  <c r="N63" i="8" s="1"/>
  <c r="F63" i="8"/>
  <c r="L63" i="8" s="1"/>
  <c r="K62" i="8"/>
  <c r="N62" i="8" s="1"/>
  <c r="F62" i="8"/>
  <c r="L62" i="8" s="1"/>
  <c r="N61" i="8"/>
  <c r="M61" i="8"/>
  <c r="L61" i="8"/>
  <c r="K61" i="8"/>
  <c r="F61" i="8"/>
  <c r="M60" i="8"/>
  <c r="L60" i="8"/>
  <c r="K60" i="8"/>
  <c r="F60" i="8"/>
  <c r="M58" i="8"/>
  <c r="L58" i="8"/>
  <c r="K58" i="8"/>
  <c r="N58" i="8" s="1"/>
  <c r="F58" i="8"/>
  <c r="M57" i="8"/>
  <c r="L57" i="8"/>
  <c r="K57" i="8"/>
  <c r="F57" i="8"/>
  <c r="M56" i="8"/>
  <c r="L56" i="8"/>
  <c r="K56" i="8"/>
  <c r="F56" i="8"/>
  <c r="K55" i="8"/>
  <c r="F55" i="8"/>
  <c r="K53" i="8"/>
  <c r="F53" i="8"/>
  <c r="K52" i="8"/>
  <c r="F52" i="8"/>
  <c r="K51" i="8"/>
  <c r="N51" i="8" s="1"/>
  <c r="F51" i="8"/>
  <c r="K49" i="8"/>
  <c r="F49" i="8"/>
  <c r="K48" i="8"/>
  <c r="F48" i="8"/>
  <c r="N48" i="8" s="1"/>
  <c r="N47" i="8"/>
  <c r="M47" i="8"/>
  <c r="L47" i="8"/>
  <c r="K47" i="8"/>
  <c r="F47" i="8"/>
  <c r="M46" i="8"/>
  <c r="L46" i="8"/>
  <c r="K46" i="8"/>
  <c r="N46" i="8" s="1"/>
  <c r="F46" i="8"/>
  <c r="M45" i="8"/>
  <c r="L45" i="8"/>
  <c r="K45" i="8"/>
  <c r="N45" i="8" s="1"/>
  <c r="F45" i="8"/>
  <c r="K44" i="8"/>
  <c r="F44" i="8"/>
  <c r="K43" i="8"/>
  <c r="F43" i="8"/>
  <c r="N42" i="8"/>
  <c r="K42" i="8"/>
  <c r="F42" i="8"/>
  <c r="L42" i="8" s="1"/>
  <c r="G41" i="8"/>
  <c r="L40" i="8"/>
  <c r="K40" i="8"/>
  <c r="F40" i="8"/>
  <c r="N39" i="8"/>
  <c r="K39" i="8"/>
  <c r="F39" i="8"/>
  <c r="L39" i="8" s="1"/>
  <c r="K38" i="8"/>
  <c r="F38" i="8"/>
  <c r="L38" i="8" s="1"/>
  <c r="N37" i="8"/>
  <c r="M37" i="8"/>
  <c r="L37" i="8"/>
  <c r="K37" i="8"/>
  <c r="F37" i="8"/>
  <c r="M36" i="8"/>
  <c r="L36" i="8"/>
  <c r="K36" i="8"/>
  <c r="F36" i="8"/>
  <c r="K35" i="8"/>
  <c r="F35" i="8"/>
  <c r="M35" i="8" s="1"/>
  <c r="M33" i="8"/>
  <c r="L33" i="8"/>
  <c r="K33" i="8"/>
  <c r="F33" i="8"/>
  <c r="G32" i="8"/>
  <c r="M31" i="8"/>
  <c r="L31" i="8"/>
  <c r="K31" i="8"/>
  <c r="N31" i="8" s="1"/>
  <c r="F31" i="8"/>
  <c r="M30" i="8"/>
  <c r="L30" i="8"/>
  <c r="K30" i="8"/>
  <c r="F30" i="8"/>
  <c r="N30" i="8" s="1"/>
  <c r="M29" i="8"/>
  <c r="K29" i="8"/>
  <c r="F29" i="8"/>
  <c r="K28" i="8"/>
  <c r="F28" i="8"/>
  <c r="K27" i="8"/>
  <c r="F27" i="8"/>
  <c r="N26" i="8"/>
  <c r="M26" i="8"/>
  <c r="L26" i="8"/>
  <c r="K26" i="8"/>
  <c r="F26" i="8"/>
  <c r="M25" i="8"/>
  <c r="L25" i="8"/>
  <c r="K25" i="8"/>
  <c r="F25" i="8"/>
  <c r="N23" i="8"/>
  <c r="M23" i="8"/>
  <c r="L23" i="8"/>
  <c r="K23" i="8"/>
  <c r="F23" i="8"/>
  <c r="M22" i="8"/>
  <c r="L22" i="8"/>
  <c r="K22" i="8"/>
  <c r="F22" i="8"/>
  <c r="M21" i="8"/>
  <c r="L21" i="8"/>
  <c r="K21" i="8"/>
  <c r="N21" i="8" s="1"/>
  <c r="F21" i="8"/>
  <c r="K20" i="8"/>
  <c r="F20" i="8"/>
  <c r="L19" i="8"/>
  <c r="K19" i="8"/>
  <c r="F19" i="8"/>
  <c r="K18" i="8"/>
  <c r="N18" i="8" s="1"/>
  <c r="F18" i="8"/>
  <c r="L18" i="8" s="1"/>
  <c r="K17" i="8"/>
  <c r="F17" i="8"/>
  <c r="L17" i="8" s="1"/>
  <c r="M16" i="8"/>
  <c r="L16" i="8"/>
  <c r="K16" i="8"/>
  <c r="N16" i="8" s="1"/>
  <c r="F16" i="8"/>
  <c r="M15" i="8"/>
  <c r="L15" i="8"/>
  <c r="K15" i="8"/>
  <c r="F15" i="8"/>
  <c r="K14" i="8"/>
  <c r="F14" i="8"/>
  <c r="N14" i="8" s="1"/>
  <c r="K13" i="8"/>
  <c r="F13" i="8"/>
  <c r="K12" i="8"/>
  <c r="F12" i="8"/>
  <c r="M12" i="8" s="1"/>
  <c r="N11" i="8"/>
  <c r="M11" i="8"/>
  <c r="L11" i="8"/>
  <c r="K11" i="8"/>
  <c r="F11" i="8"/>
  <c r="M10" i="8"/>
  <c r="L10" i="8"/>
  <c r="K10" i="8"/>
  <c r="F10" i="8"/>
  <c r="N10" i="8" s="1"/>
  <c r="M204" i="7"/>
  <c r="N199" i="7"/>
  <c r="L199" i="7"/>
  <c r="K194" i="7"/>
  <c r="F194" i="7"/>
  <c r="K193" i="7"/>
  <c r="F193" i="7"/>
  <c r="L191" i="7"/>
  <c r="K191" i="7"/>
  <c r="N191" i="7" s="1"/>
  <c r="F191" i="7"/>
  <c r="M191" i="7" s="1"/>
  <c r="L190" i="7"/>
  <c r="K190" i="7"/>
  <c r="F190" i="7"/>
  <c r="N190" i="7" s="1"/>
  <c r="K189" i="7"/>
  <c r="F189" i="7"/>
  <c r="K188" i="7"/>
  <c r="F188" i="7"/>
  <c r="M188" i="7" s="1"/>
  <c r="K187" i="7"/>
  <c r="F187" i="7"/>
  <c r="K186" i="7"/>
  <c r="F186" i="7"/>
  <c r="N186" i="7" s="1"/>
  <c r="K185" i="7"/>
  <c r="F185" i="7"/>
  <c r="L185" i="7" s="1"/>
  <c r="K184" i="7"/>
  <c r="F184" i="7"/>
  <c r="K183" i="7"/>
  <c r="F183" i="7"/>
  <c r="N183" i="7" s="1"/>
  <c r="K181" i="7"/>
  <c r="F181" i="7"/>
  <c r="M181" i="7" s="1"/>
  <c r="K180" i="7"/>
  <c r="F180" i="7"/>
  <c r="K179" i="7"/>
  <c r="F179" i="7"/>
  <c r="K178" i="7"/>
  <c r="F178" i="7"/>
  <c r="L178" i="7" s="1"/>
  <c r="K176" i="7"/>
  <c r="F176" i="7"/>
  <c r="N176" i="7" s="1"/>
  <c r="K175" i="7"/>
  <c r="F175" i="7"/>
  <c r="G174" i="7" s="1"/>
  <c r="L173" i="7"/>
  <c r="K173" i="7"/>
  <c r="N173" i="7" s="1"/>
  <c r="F173" i="7"/>
  <c r="M173" i="7" s="1"/>
  <c r="G172" i="7"/>
  <c r="K171" i="7"/>
  <c r="F171" i="7"/>
  <c r="K170" i="7"/>
  <c r="F170" i="7"/>
  <c r="G169" i="7" s="1"/>
  <c r="K168" i="7"/>
  <c r="F168" i="7"/>
  <c r="M168" i="7" s="1"/>
  <c r="L167" i="7"/>
  <c r="K167" i="7"/>
  <c r="F167" i="7"/>
  <c r="K166" i="7"/>
  <c r="F166" i="7"/>
  <c r="L166" i="7" s="1"/>
  <c r="K165" i="7"/>
  <c r="F165" i="7"/>
  <c r="K163" i="7"/>
  <c r="F163" i="7"/>
  <c r="M163" i="7" s="1"/>
  <c r="G162" i="7"/>
  <c r="K161" i="7"/>
  <c r="F161" i="7"/>
  <c r="M161" i="7" s="1"/>
  <c r="M160" i="7"/>
  <c r="L160" i="7"/>
  <c r="K160" i="7"/>
  <c r="N160" i="7" s="1"/>
  <c r="F160" i="7"/>
  <c r="K158" i="7"/>
  <c r="F158" i="7"/>
  <c r="G157" i="7" s="1"/>
  <c r="L156" i="7"/>
  <c r="K156" i="7"/>
  <c r="N156" i="7" s="1"/>
  <c r="F156" i="7"/>
  <c r="M156" i="7" s="1"/>
  <c r="L155" i="7"/>
  <c r="K155" i="7"/>
  <c r="N155" i="7" s="1"/>
  <c r="F155" i="7"/>
  <c r="M155" i="7" s="1"/>
  <c r="K154" i="7"/>
  <c r="F154" i="7"/>
  <c r="L154" i="7" s="1"/>
  <c r="K153" i="7"/>
  <c r="F153" i="7"/>
  <c r="K152" i="7"/>
  <c r="F152" i="7"/>
  <c r="N152" i="7" s="1"/>
  <c r="K150" i="7"/>
  <c r="F150" i="7"/>
  <c r="N150" i="7" s="1"/>
  <c r="L149" i="7"/>
  <c r="K149" i="7"/>
  <c r="N149" i="7" s="1"/>
  <c r="F149" i="7"/>
  <c r="M149" i="7" s="1"/>
  <c r="K148" i="7"/>
  <c r="F148" i="7"/>
  <c r="M148" i="7" s="1"/>
  <c r="L146" i="7"/>
  <c r="K146" i="7"/>
  <c r="N146" i="7" s="1"/>
  <c r="F146" i="7"/>
  <c r="M146" i="7" s="1"/>
  <c r="K145" i="7"/>
  <c r="F145" i="7"/>
  <c r="N145" i="7" s="1"/>
  <c r="M144" i="7"/>
  <c r="L144" i="7"/>
  <c r="K144" i="7"/>
  <c r="F144" i="7"/>
  <c r="K141" i="7"/>
  <c r="F141" i="7"/>
  <c r="M141" i="7" s="1"/>
  <c r="L140" i="7"/>
  <c r="K140" i="7"/>
  <c r="N140" i="7" s="1"/>
  <c r="F140" i="7"/>
  <c r="M140" i="7" s="1"/>
  <c r="M139" i="7"/>
  <c r="K139" i="7"/>
  <c r="F139" i="7"/>
  <c r="L139" i="7" s="1"/>
  <c r="K138" i="7"/>
  <c r="F138" i="7"/>
  <c r="M138" i="7" s="1"/>
  <c r="K137" i="7"/>
  <c r="F137" i="7"/>
  <c r="N137" i="7" s="1"/>
  <c r="L136" i="7"/>
  <c r="K136" i="7"/>
  <c r="F136" i="7"/>
  <c r="K135" i="7"/>
  <c r="F135" i="7"/>
  <c r="L135" i="7" s="1"/>
  <c r="K134" i="7"/>
  <c r="N134" i="7" s="1"/>
  <c r="F134" i="7"/>
  <c r="M134" i="7" s="1"/>
  <c r="L133" i="7"/>
  <c r="K133" i="7"/>
  <c r="F133" i="7"/>
  <c r="M133" i="7" s="1"/>
  <c r="K132" i="7"/>
  <c r="F132" i="7"/>
  <c r="K131" i="7"/>
  <c r="N131" i="7" s="1"/>
  <c r="F131" i="7"/>
  <c r="M131" i="7" s="1"/>
  <c r="K130" i="7"/>
  <c r="F130" i="7"/>
  <c r="N130" i="7" s="1"/>
  <c r="K129" i="7"/>
  <c r="F129" i="7"/>
  <c r="N129" i="7" s="1"/>
  <c r="K128" i="7"/>
  <c r="F128" i="7"/>
  <c r="M128" i="7" s="1"/>
  <c r="L127" i="7"/>
  <c r="K127" i="7"/>
  <c r="N127" i="7" s="1"/>
  <c r="F127" i="7"/>
  <c r="M127" i="7" s="1"/>
  <c r="K126" i="7"/>
  <c r="F126" i="7"/>
  <c r="K125" i="7"/>
  <c r="F125" i="7"/>
  <c r="M125" i="7" s="1"/>
  <c r="K124" i="7"/>
  <c r="F124" i="7"/>
  <c r="N124" i="7" s="1"/>
  <c r="K123" i="7"/>
  <c r="F123" i="7"/>
  <c r="M122" i="7"/>
  <c r="K122" i="7"/>
  <c r="F122" i="7"/>
  <c r="L122" i="7" s="1"/>
  <c r="K121" i="7"/>
  <c r="F121" i="7"/>
  <c r="L120" i="7"/>
  <c r="K120" i="7"/>
  <c r="N120" i="7" s="1"/>
  <c r="F120" i="7"/>
  <c r="M120" i="7" s="1"/>
  <c r="K119" i="7"/>
  <c r="F119" i="7"/>
  <c r="L119" i="7" s="1"/>
  <c r="M118" i="7"/>
  <c r="L118" i="7"/>
  <c r="K118" i="7"/>
  <c r="F118" i="7"/>
  <c r="K117" i="7"/>
  <c r="F117" i="7"/>
  <c r="L117" i="7" s="1"/>
  <c r="K116" i="7"/>
  <c r="F116" i="7"/>
  <c r="L116" i="7" s="1"/>
  <c r="L115" i="7"/>
  <c r="K115" i="7"/>
  <c r="N115" i="7" s="1"/>
  <c r="F115" i="7"/>
  <c r="M115" i="7" s="1"/>
  <c r="M114" i="7"/>
  <c r="K114" i="7"/>
  <c r="F114" i="7"/>
  <c r="L114" i="7" s="1"/>
  <c r="K113" i="7"/>
  <c r="F113" i="7"/>
  <c r="K112" i="7"/>
  <c r="F112" i="7"/>
  <c r="L112" i="7" s="1"/>
  <c r="L111" i="7"/>
  <c r="K111" i="7"/>
  <c r="F111" i="7"/>
  <c r="M111" i="7" s="1"/>
  <c r="K110" i="7"/>
  <c r="F110" i="7"/>
  <c r="K109" i="7"/>
  <c r="F109" i="7"/>
  <c r="A109" i="7"/>
  <c r="M107" i="7"/>
  <c r="L107" i="7"/>
  <c r="K107" i="7"/>
  <c r="N107" i="7" s="1"/>
  <c r="F107" i="7"/>
  <c r="K106" i="7"/>
  <c r="F106" i="7"/>
  <c r="K105" i="7"/>
  <c r="F105" i="7"/>
  <c r="M105" i="7" s="1"/>
  <c r="L104" i="7"/>
  <c r="K104" i="7"/>
  <c r="F104" i="7"/>
  <c r="A104" i="7"/>
  <c r="M102" i="7"/>
  <c r="L102" i="7"/>
  <c r="K102" i="7"/>
  <c r="N102" i="7" s="1"/>
  <c r="F102" i="7"/>
  <c r="G101" i="7" s="1"/>
  <c r="K100" i="7"/>
  <c r="F100" i="7"/>
  <c r="M100" i="7" s="1"/>
  <c r="K99" i="7"/>
  <c r="F99" i="7"/>
  <c r="M98" i="7"/>
  <c r="L98" i="7"/>
  <c r="K98" i="7"/>
  <c r="N98" i="7" s="1"/>
  <c r="F98" i="7"/>
  <c r="K97" i="7"/>
  <c r="F97" i="7"/>
  <c r="K96" i="7"/>
  <c r="F96" i="7"/>
  <c r="K95" i="7"/>
  <c r="F95" i="7"/>
  <c r="M95" i="7" s="1"/>
  <c r="K94" i="7"/>
  <c r="F94" i="7"/>
  <c r="N93" i="7"/>
  <c r="L93" i="7"/>
  <c r="K93" i="7"/>
  <c r="F93" i="7"/>
  <c r="M93" i="7" s="1"/>
  <c r="K92" i="7"/>
  <c r="F92" i="7"/>
  <c r="K91" i="7"/>
  <c r="F91" i="7"/>
  <c r="M91" i="7" s="1"/>
  <c r="M90" i="7"/>
  <c r="L90" i="7"/>
  <c r="K90" i="7"/>
  <c r="N90" i="7" s="1"/>
  <c r="F90" i="7"/>
  <c r="K89" i="7"/>
  <c r="F89" i="7"/>
  <c r="K87" i="7"/>
  <c r="F87" i="7"/>
  <c r="K86" i="7"/>
  <c r="F86" i="7"/>
  <c r="M86" i="7" s="1"/>
  <c r="K85" i="7"/>
  <c r="F85" i="7"/>
  <c r="L85" i="7" s="1"/>
  <c r="M84" i="7"/>
  <c r="L84" i="7"/>
  <c r="K84" i="7"/>
  <c r="F84" i="7"/>
  <c r="K83" i="7"/>
  <c r="F83" i="7"/>
  <c r="N83" i="7" s="1"/>
  <c r="K82" i="7"/>
  <c r="F82" i="7"/>
  <c r="K81" i="7"/>
  <c r="F81" i="7"/>
  <c r="M81" i="7" s="1"/>
  <c r="A81" i="7"/>
  <c r="K79" i="7"/>
  <c r="F79" i="7"/>
  <c r="K78" i="7"/>
  <c r="N78" i="7" s="1"/>
  <c r="F78" i="7"/>
  <c r="M78" i="7" s="1"/>
  <c r="K77" i="7"/>
  <c r="F77" i="7"/>
  <c r="G75" i="7" s="1"/>
  <c r="L76" i="7"/>
  <c r="K76" i="7"/>
  <c r="N76" i="7" s="1"/>
  <c r="F76" i="7"/>
  <c r="M76" i="7" s="1"/>
  <c r="K74" i="7"/>
  <c r="F74" i="7"/>
  <c r="N74" i="7" s="1"/>
  <c r="K73" i="7"/>
  <c r="F73" i="7"/>
  <c r="K72" i="7"/>
  <c r="F72" i="7"/>
  <c r="N72" i="7" s="1"/>
  <c r="A72" i="7"/>
  <c r="N70" i="7"/>
  <c r="K70" i="7"/>
  <c r="F70" i="7"/>
  <c r="M70" i="7" s="1"/>
  <c r="K69" i="7"/>
  <c r="F69" i="7"/>
  <c r="N69" i="7" s="1"/>
  <c r="K68" i="7"/>
  <c r="F68" i="7"/>
  <c r="N68" i="7" s="1"/>
  <c r="M67" i="7"/>
  <c r="L67" i="7"/>
  <c r="K67" i="7"/>
  <c r="N67" i="7" s="1"/>
  <c r="F67" i="7"/>
  <c r="K66" i="7"/>
  <c r="F66" i="7"/>
  <c r="M66" i="7" s="1"/>
  <c r="K65" i="7"/>
  <c r="F65" i="7"/>
  <c r="N65" i="7" s="1"/>
  <c r="K64" i="7"/>
  <c r="F64" i="7"/>
  <c r="M64" i="7" s="1"/>
  <c r="K63" i="7"/>
  <c r="F63" i="7"/>
  <c r="N63" i="7" s="1"/>
  <c r="K62" i="7"/>
  <c r="F62" i="7"/>
  <c r="K61" i="7"/>
  <c r="F61" i="7"/>
  <c r="M61" i="7" s="1"/>
  <c r="K60" i="7"/>
  <c r="F60" i="7"/>
  <c r="K58" i="7"/>
  <c r="F58" i="7"/>
  <c r="N57" i="7"/>
  <c r="M57" i="7"/>
  <c r="K57" i="7"/>
  <c r="F57" i="7"/>
  <c r="L57" i="7" s="1"/>
  <c r="K56" i="7"/>
  <c r="F56" i="7"/>
  <c r="K55" i="7"/>
  <c r="F55" i="7"/>
  <c r="N55" i="7" s="1"/>
  <c r="N53" i="7"/>
  <c r="M53" i="7"/>
  <c r="L53" i="7"/>
  <c r="K53" i="7"/>
  <c r="F53" i="7"/>
  <c r="K52" i="7"/>
  <c r="F52" i="7"/>
  <c r="M52" i="7" s="1"/>
  <c r="K51" i="7"/>
  <c r="F51" i="7"/>
  <c r="G50" i="7"/>
  <c r="K49" i="7"/>
  <c r="F49" i="7"/>
  <c r="M49" i="7" s="1"/>
  <c r="M48" i="7"/>
  <c r="L48" i="7"/>
  <c r="K48" i="7"/>
  <c r="F48" i="7"/>
  <c r="K47" i="7"/>
  <c r="F47" i="7"/>
  <c r="L46" i="7"/>
  <c r="K46" i="7"/>
  <c r="N46" i="7" s="1"/>
  <c r="F46" i="7"/>
  <c r="M46" i="7" s="1"/>
  <c r="L45" i="7"/>
  <c r="K45" i="7"/>
  <c r="N45" i="7" s="1"/>
  <c r="F45" i="7"/>
  <c r="M45" i="7" s="1"/>
  <c r="K44" i="7"/>
  <c r="F44" i="7"/>
  <c r="K43" i="7"/>
  <c r="N43" i="7" s="1"/>
  <c r="F43" i="7"/>
  <c r="M43" i="7" s="1"/>
  <c r="K42" i="7"/>
  <c r="F42" i="7"/>
  <c r="K40" i="7"/>
  <c r="F40" i="7"/>
  <c r="M39" i="7"/>
  <c r="L39" i="7"/>
  <c r="K39" i="7"/>
  <c r="N39" i="7" s="1"/>
  <c r="F39" i="7"/>
  <c r="K38" i="7"/>
  <c r="F38" i="7"/>
  <c r="M38" i="7" s="1"/>
  <c r="K37" i="7"/>
  <c r="F37" i="7"/>
  <c r="L36" i="7"/>
  <c r="K36" i="7"/>
  <c r="N36" i="7" s="1"/>
  <c r="F36" i="7"/>
  <c r="M36" i="7" s="1"/>
  <c r="K35" i="7"/>
  <c r="F35" i="7"/>
  <c r="K33" i="7"/>
  <c r="F33" i="7"/>
  <c r="L33" i="7" s="1"/>
  <c r="G32" i="7"/>
  <c r="L31" i="7"/>
  <c r="K31" i="7"/>
  <c r="N31" i="7" s="1"/>
  <c r="F31" i="7"/>
  <c r="M31" i="7" s="1"/>
  <c r="N30" i="7"/>
  <c r="M30" i="7"/>
  <c r="L30" i="7"/>
  <c r="K30" i="7"/>
  <c r="F30" i="7"/>
  <c r="K29" i="7"/>
  <c r="F29" i="7"/>
  <c r="N29" i="7" s="1"/>
  <c r="K28" i="7"/>
  <c r="F28" i="7"/>
  <c r="M28" i="7" s="1"/>
  <c r="K27" i="7"/>
  <c r="F27" i="7"/>
  <c r="N27" i="7" s="1"/>
  <c r="K26" i="7"/>
  <c r="F26" i="7"/>
  <c r="L26" i="7" s="1"/>
  <c r="K25" i="7"/>
  <c r="F25" i="7"/>
  <c r="K23" i="7"/>
  <c r="F23" i="7"/>
  <c r="M23" i="7" s="1"/>
  <c r="K22" i="7"/>
  <c r="F22" i="7"/>
  <c r="K21" i="7"/>
  <c r="F21" i="7"/>
  <c r="M21" i="7" s="1"/>
  <c r="L20" i="7"/>
  <c r="K20" i="7"/>
  <c r="F20" i="7"/>
  <c r="M20" i="7" s="1"/>
  <c r="K19" i="7"/>
  <c r="F19" i="7"/>
  <c r="L19" i="7" s="1"/>
  <c r="M18" i="7"/>
  <c r="L18" i="7"/>
  <c r="K18" i="7"/>
  <c r="N18" i="7" s="1"/>
  <c r="F18" i="7"/>
  <c r="K17" i="7"/>
  <c r="N17" i="7" s="1"/>
  <c r="F17" i="7"/>
  <c r="M17" i="7" s="1"/>
  <c r="K16" i="7"/>
  <c r="F16" i="7"/>
  <c r="N16" i="7" s="1"/>
  <c r="M15" i="7"/>
  <c r="L15" i="7"/>
  <c r="K15" i="7"/>
  <c r="F15" i="7"/>
  <c r="N15" i="7" s="1"/>
  <c r="K14" i="7"/>
  <c r="F14" i="7"/>
  <c r="K13" i="7"/>
  <c r="F13" i="7"/>
  <c r="L12" i="7"/>
  <c r="K12" i="7"/>
  <c r="N12" i="7" s="1"/>
  <c r="F12" i="7"/>
  <c r="M12" i="7" s="1"/>
  <c r="K11" i="7"/>
  <c r="F11" i="7"/>
  <c r="N10" i="7"/>
  <c r="L10" i="7"/>
  <c r="K10" i="7"/>
  <c r="F10" i="7"/>
  <c r="L206" i="6"/>
  <c r="M206" i="6" s="1"/>
  <c r="K185" i="6"/>
  <c r="K184" i="6"/>
  <c r="K179" i="6"/>
  <c r="K178" i="6"/>
  <c r="N178" i="6" s="1"/>
  <c r="K176" i="6"/>
  <c r="K163" i="6"/>
  <c r="K161" i="6"/>
  <c r="K160" i="6"/>
  <c r="K158" i="6"/>
  <c r="N158" i="6" s="1"/>
  <c r="K154" i="6"/>
  <c r="K153" i="6"/>
  <c r="K144" i="6"/>
  <c r="K141" i="6"/>
  <c r="K137" i="6"/>
  <c r="K136" i="6"/>
  <c r="K135" i="6"/>
  <c r="K134" i="6"/>
  <c r="K133" i="6"/>
  <c r="K123" i="6"/>
  <c r="K122" i="6"/>
  <c r="K121" i="6"/>
  <c r="K120" i="6"/>
  <c r="K119" i="6"/>
  <c r="N119" i="6" s="1"/>
  <c r="K118" i="6"/>
  <c r="K117" i="6"/>
  <c r="K110" i="6"/>
  <c r="K109" i="6"/>
  <c r="K107" i="6"/>
  <c r="K106" i="6"/>
  <c r="N106" i="6" s="1"/>
  <c r="K100" i="6"/>
  <c r="K98" i="6"/>
  <c r="K85" i="6"/>
  <c r="K84" i="6"/>
  <c r="K83" i="6"/>
  <c r="N83" i="6" s="1"/>
  <c r="K82" i="6"/>
  <c r="N82" i="6" s="1"/>
  <c r="K81" i="6"/>
  <c r="K69" i="6"/>
  <c r="L68" i="6"/>
  <c r="K67" i="6"/>
  <c r="K66" i="6"/>
  <c r="K64" i="6"/>
  <c r="K63" i="6"/>
  <c r="K62" i="6"/>
  <c r="N62" i="6" s="1"/>
  <c r="K53" i="6"/>
  <c r="K52" i="6"/>
  <c r="K46" i="6"/>
  <c r="L45" i="6"/>
  <c r="K44" i="6"/>
  <c r="K43" i="6"/>
  <c r="K35" i="6"/>
  <c r="K28" i="6"/>
  <c r="K27" i="6"/>
  <c r="L26" i="6"/>
  <c r="K25" i="6"/>
  <c r="K23" i="6"/>
  <c r="K15" i="6"/>
  <c r="K14" i="6"/>
  <c r="K13" i="6"/>
  <c r="K12" i="6"/>
  <c r="M204" i="6"/>
  <c r="N199" i="6"/>
  <c r="L199" i="6"/>
  <c r="K194" i="6"/>
  <c r="F194" i="6"/>
  <c r="K193" i="6"/>
  <c r="F193" i="6"/>
  <c r="N193" i="6" s="1"/>
  <c r="G192" i="6"/>
  <c r="K191" i="6"/>
  <c r="F191" i="6"/>
  <c r="N191" i="6" s="1"/>
  <c r="K190" i="6"/>
  <c r="F190" i="6"/>
  <c r="K189" i="6"/>
  <c r="F189" i="6"/>
  <c r="M189" i="6" s="1"/>
  <c r="K188" i="6"/>
  <c r="F188" i="6"/>
  <c r="M188" i="6" s="1"/>
  <c r="K187" i="6"/>
  <c r="F187" i="6"/>
  <c r="F186" i="6"/>
  <c r="L186" i="6" s="1"/>
  <c r="F185" i="6"/>
  <c r="M185" i="6" s="1"/>
  <c r="F184" i="6"/>
  <c r="M184" i="6" s="1"/>
  <c r="K183" i="6"/>
  <c r="F183" i="6"/>
  <c r="K181" i="6"/>
  <c r="F181" i="6"/>
  <c r="M181" i="6" s="1"/>
  <c r="K180" i="6"/>
  <c r="F180" i="6"/>
  <c r="F179" i="6"/>
  <c r="M178" i="6"/>
  <c r="F178" i="6"/>
  <c r="F176" i="6"/>
  <c r="K175" i="6"/>
  <c r="F175" i="6"/>
  <c r="M175" i="6" s="1"/>
  <c r="K173" i="6"/>
  <c r="F173" i="6"/>
  <c r="G172" i="6"/>
  <c r="K171" i="6"/>
  <c r="F171" i="6"/>
  <c r="K170" i="6"/>
  <c r="F170" i="6"/>
  <c r="M170" i="6" s="1"/>
  <c r="K168" i="6"/>
  <c r="F168" i="6"/>
  <c r="K167" i="6"/>
  <c r="F167" i="6"/>
  <c r="M167" i="6" s="1"/>
  <c r="K166" i="6"/>
  <c r="F166" i="6"/>
  <c r="L166" i="6" s="1"/>
  <c r="K165" i="6"/>
  <c r="F165" i="6"/>
  <c r="M165" i="6" s="1"/>
  <c r="G164" i="6"/>
  <c r="F163" i="6"/>
  <c r="G162" i="6" s="1"/>
  <c r="F161" i="6"/>
  <c r="F160" i="6"/>
  <c r="G159" i="6"/>
  <c r="M158" i="6"/>
  <c r="F158" i="6"/>
  <c r="G157" i="6" s="1"/>
  <c r="K156" i="6"/>
  <c r="F156" i="6"/>
  <c r="K155" i="6"/>
  <c r="F155" i="6"/>
  <c r="M155" i="6" s="1"/>
  <c r="F154" i="6"/>
  <c r="M154" i="6" s="1"/>
  <c r="F153" i="6"/>
  <c r="M152" i="6"/>
  <c r="L152" i="6"/>
  <c r="K152" i="6"/>
  <c r="F152" i="6"/>
  <c r="K150" i="6"/>
  <c r="F150" i="6"/>
  <c r="M150" i="6" s="1"/>
  <c r="K149" i="6"/>
  <c r="F149" i="6"/>
  <c r="K148" i="6"/>
  <c r="F148" i="6"/>
  <c r="M148" i="6" s="1"/>
  <c r="K146" i="6"/>
  <c r="F146" i="6"/>
  <c r="K145" i="6"/>
  <c r="F145" i="6"/>
  <c r="F144" i="6"/>
  <c r="G143" i="6" s="1"/>
  <c r="F141" i="6"/>
  <c r="K140" i="6"/>
  <c r="F140" i="6"/>
  <c r="K139" i="6"/>
  <c r="F139" i="6"/>
  <c r="M139" i="6" s="1"/>
  <c r="K138" i="6"/>
  <c r="F138" i="6"/>
  <c r="F137" i="6"/>
  <c r="F136" i="6"/>
  <c r="F135" i="6"/>
  <c r="M135" i="6" s="1"/>
  <c r="F134" i="6"/>
  <c r="F133" i="6"/>
  <c r="K132" i="6"/>
  <c r="F132" i="6"/>
  <c r="L132" i="6" s="1"/>
  <c r="K131" i="6"/>
  <c r="F131" i="6"/>
  <c r="L131" i="6" s="1"/>
  <c r="K130" i="6"/>
  <c r="F130" i="6"/>
  <c r="M129" i="6"/>
  <c r="L129" i="6"/>
  <c r="K129" i="6"/>
  <c r="N129" i="6" s="1"/>
  <c r="F129" i="6"/>
  <c r="K128" i="6"/>
  <c r="F128" i="6"/>
  <c r="L128" i="6" s="1"/>
  <c r="K127" i="6"/>
  <c r="F127" i="6"/>
  <c r="K126" i="6"/>
  <c r="F126" i="6"/>
  <c r="L126" i="6" s="1"/>
  <c r="K125" i="6"/>
  <c r="F125" i="6"/>
  <c r="K124" i="6"/>
  <c r="F124" i="6"/>
  <c r="F123" i="6"/>
  <c r="M123" i="6" s="1"/>
  <c r="F122" i="6"/>
  <c r="F121" i="6"/>
  <c r="F120" i="6"/>
  <c r="M120" i="6" s="1"/>
  <c r="F119" i="6"/>
  <c r="M119" i="6" s="1"/>
  <c r="F118" i="6"/>
  <c r="F117" i="6"/>
  <c r="K116" i="6"/>
  <c r="F116" i="6"/>
  <c r="L116" i="6" s="1"/>
  <c r="K115" i="6"/>
  <c r="F115" i="6"/>
  <c r="M115" i="6" s="1"/>
  <c r="K114" i="6"/>
  <c r="F114" i="6"/>
  <c r="K113" i="6"/>
  <c r="F113" i="6"/>
  <c r="M113" i="6" s="1"/>
  <c r="K112" i="6"/>
  <c r="F112" i="6"/>
  <c r="L112" i="6" s="1"/>
  <c r="K111" i="6"/>
  <c r="F111" i="6"/>
  <c r="F110" i="6"/>
  <c r="L110" i="6" s="1"/>
  <c r="F109" i="6"/>
  <c r="A109" i="6"/>
  <c r="F107" i="6"/>
  <c r="F106" i="6"/>
  <c r="L106" i="6" s="1"/>
  <c r="K105" i="6"/>
  <c r="F105" i="6"/>
  <c r="M105" i="6" s="1"/>
  <c r="K104" i="6"/>
  <c r="F104" i="6"/>
  <c r="N104" i="6" s="1"/>
  <c r="A104" i="6"/>
  <c r="K102" i="6"/>
  <c r="F102" i="6"/>
  <c r="G101" i="6"/>
  <c r="F100" i="6"/>
  <c r="F99" i="6"/>
  <c r="L99" i="6" s="1"/>
  <c r="F98" i="6"/>
  <c r="K97" i="6"/>
  <c r="F97" i="6"/>
  <c r="K96" i="6"/>
  <c r="F96" i="6"/>
  <c r="L96" i="6" s="1"/>
  <c r="K95" i="6"/>
  <c r="F95" i="6"/>
  <c r="N95" i="6" s="1"/>
  <c r="K94" i="6"/>
  <c r="F94" i="6"/>
  <c r="K93" i="6"/>
  <c r="F93" i="6"/>
  <c r="K92" i="6"/>
  <c r="F92" i="6"/>
  <c r="M92" i="6" s="1"/>
  <c r="K91" i="6"/>
  <c r="F91" i="6"/>
  <c r="M91" i="6" s="1"/>
  <c r="K90" i="6"/>
  <c r="F90" i="6"/>
  <c r="K89" i="6"/>
  <c r="F89" i="6"/>
  <c r="L89" i="6" s="1"/>
  <c r="K87" i="6"/>
  <c r="F87" i="6"/>
  <c r="K86" i="6"/>
  <c r="F86" i="6"/>
  <c r="F85" i="6"/>
  <c r="M85" i="6" s="1"/>
  <c r="F84" i="6"/>
  <c r="M84" i="6" s="1"/>
  <c r="F83" i="6"/>
  <c r="M83" i="6" s="1"/>
  <c r="F82" i="6"/>
  <c r="M82" i="6" s="1"/>
  <c r="F81" i="6"/>
  <c r="A81" i="6"/>
  <c r="K79" i="6"/>
  <c r="F79" i="6"/>
  <c r="L79" i="6" s="1"/>
  <c r="K78" i="6"/>
  <c r="F78" i="6"/>
  <c r="K77" i="6"/>
  <c r="F77" i="6"/>
  <c r="K76" i="6"/>
  <c r="F76" i="6"/>
  <c r="K74" i="6"/>
  <c r="F74" i="6"/>
  <c r="K73" i="6"/>
  <c r="F73" i="6"/>
  <c r="K72" i="6"/>
  <c r="F72" i="6"/>
  <c r="A72" i="6"/>
  <c r="K70" i="6"/>
  <c r="F70" i="6"/>
  <c r="M70" i="6" s="1"/>
  <c r="F69" i="6"/>
  <c r="M68" i="6"/>
  <c r="F68" i="6"/>
  <c r="F67" i="6"/>
  <c r="F66" i="6"/>
  <c r="M65" i="6"/>
  <c r="L65" i="6"/>
  <c r="K65" i="6"/>
  <c r="N65" i="6" s="1"/>
  <c r="F65" i="6"/>
  <c r="F64" i="6"/>
  <c r="F63" i="6"/>
  <c r="F62" i="6"/>
  <c r="M62" i="6" s="1"/>
  <c r="K61" i="6"/>
  <c r="F61" i="6"/>
  <c r="N61" i="6" s="1"/>
  <c r="K60" i="6"/>
  <c r="F60" i="6"/>
  <c r="M58" i="6"/>
  <c r="L58" i="6"/>
  <c r="K58" i="6"/>
  <c r="F58" i="6"/>
  <c r="K57" i="6"/>
  <c r="F57" i="6"/>
  <c r="N57" i="6" s="1"/>
  <c r="K56" i="6"/>
  <c r="F56" i="6"/>
  <c r="K55" i="6"/>
  <c r="F55" i="6"/>
  <c r="F53" i="6"/>
  <c r="F52" i="6"/>
  <c r="K51" i="6"/>
  <c r="F51" i="6"/>
  <c r="M51" i="6" s="1"/>
  <c r="K49" i="6"/>
  <c r="F49" i="6"/>
  <c r="M49" i="6" s="1"/>
  <c r="K48" i="6"/>
  <c r="F48" i="6"/>
  <c r="N48" i="6" s="1"/>
  <c r="F47" i="6"/>
  <c r="L47" i="6" s="1"/>
  <c r="F46" i="6"/>
  <c r="F45" i="6"/>
  <c r="F44" i="6"/>
  <c r="M44" i="6" s="1"/>
  <c r="F43" i="6"/>
  <c r="K42" i="6"/>
  <c r="F42" i="6"/>
  <c r="K40" i="6"/>
  <c r="F40" i="6"/>
  <c r="M40" i="6" s="1"/>
  <c r="K39" i="6"/>
  <c r="F39" i="6"/>
  <c r="L39" i="6" s="1"/>
  <c r="K38" i="6"/>
  <c r="F38" i="6"/>
  <c r="L38" i="6" s="1"/>
  <c r="K37" i="6"/>
  <c r="F37" i="6"/>
  <c r="M37" i="6" s="1"/>
  <c r="K36" i="6"/>
  <c r="F36" i="6"/>
  <c r="F35" i="6"/>
  <c r="F33" i="6"/>
  <c r="M33" i="6" s="1"/>
  <c r="G32" i="6"/>
  <c r="K31" i="6"/>
  <c r="F31" i="6"/>
  <c r="M31" i="6" s="1"/>
  <c r="K30" i="6"/>
  <c r="F30" i="6"/>
  <c r="L30" i="6" s="1"/>
  <c r="M29" i="6"/>
  <c r="L29" i="6"/>
  <c r="K29" i="6"/>
  <c r="N29" i="6" s="1"/>
  <c r="F29" i="6"/>
  <c r="F28" i="6"/>
  <c r="M28" i="6" s="1"/>
  <c r="F27" i="6"/>
  <c r="M27" i="6" s="1"/>
  <c r="F26" i="6"/>
  <c r="M26" i="6" s="1"/>
  <c r="F25" i="6"/>
  <c r="F23" i="6"/>
  <c r="K22" i="6"/>
  <c r="F22" i="6"/>
  <c r="L22" i="6" s="1"/>
  <c r="K21" i="6"/>
  <c r="F21" i="6"/>
  <c r="L21" i="6" s="1"/>
  <c r="M20" i="6"/>
  <c r="L20" i="6"/>
  <c r="K20" i="6"/>
  <c r="F20" i="6"/>
  <c r="K19" i="6"/>
  <c r="F19" i="6"/>
  <c r="M19" i="6" s="1"/>
  <c r="K18" i="6"/>
  <c r="F18" i="6"/>
  <c r="N18" i="6" s="1"/>
  <c r="K17" i="6"/>
  <c r="F17" i="6"/>
  <c r="F16" i="6"/>
  <c r="M16" i="6" s="1"/>
  <c r="F15" i="6"/>
  <c r="F14" i="6"/>
  <c r="F13" i="6"/>
  <c r="M13" i="6" s="1"/>
  <c r="F12" i="6"/>
  <c r="K11" i="6"/>
  <c r="F11" i="6"/>
  <c r="K10" i="6"/>
  <c r="F10" i="6"/>
  <c r="M10" i="6" s="1"/>
  <c r="L206" i="5"/>
  <c r="M206" i="5" s="1"/>
  <c r="M204" i="5"/>
  <c r="N199" i="5"/>
  <c r="L199" i="5"/>
  <c r="K194" i="5"/>
  <c r="F194" i="5"/>
  <c r="N194" i="5" s="1"/>
  <c r="K193" i="5"/>
  <c r="F193" i="5"/>
  <c r="G192" i="5" s="1"/>
  <c r="K191" i="5"/>
  <c r="F191" i="5"/>
  <c r="N191" i="5" s="1"/>
  <c r="K190" i="5"/>
  <c r="F190" i="5"/>
  <c r="K189" i="5"/>
  <c r="F189" i="5"/>
  <c r="M189" i="5" s="1"/>
  <c r="K188" i="5"/>
  <c r="N188" i="5" s="1"/>
  <c r="F188" i="5"/>
  <c r="M188" i="5" s="1"/>
  <c r="K187" i="5"/>
  <c r="F187" i="5"/>
  <c r="K186" i="5"/>
  <c r="F186" i="5"/>
  <c r="N186" i="5" s="1"/>
  <c r="N185" i="5"/>
  <c r="M185" i="5"/>
  <c r="K185" i="5"/>
  <c r="F185" i="5"/>
  <c r="L185" i="5" s="1"/>
  <c r="K184" i="5"/>
  <c r="F184" i="5"/>
  <c r="M184" i="5" s="1"/>
  <c r="K183" i="5"/>
  <c r="F183" i="5"/>
  <c r="N183" i="5" s="1"/>
  <c r="K181" i="5"/>
  <c r="N181" i="5" s="1"/>
  <c r="F181" i="5"/>
  <c r="M181" i="5" s="1"/>
  <c r="K180" i="5"/>
  <c r="F180" i="5"/>
  <c r="N180" i="5" s="1"/>
  <c r="K179" i="5"/>
  <c r="F179" i="5"/>
  <c r="G177" i="5" s="1"/>
  <c r="M178" i="5"/>
  <c r="K178" i="5"/>
  <c r="N178" i="5" s="1"/>
  <c r="F178" i="5"/>
  <c r="L178" i="5" s="1"/>
  <c r="K176" i="5"/>
  <c r="F176" i="5"/>
  <c r="M175" i="5"/>
  <c r="L175" i="5"/>
  <c r="K175" i="5"/>
  <c r="F175" i="5"/>
  <c r="G174" i="5" s="1"/>
  <c r="L173" i="5"/>
  <c r="K173" i="5"/>
  <c r="F173" i="5"/>
  <c r="G172" i="5"/>
  <c r="K171" i="5"/>
  <c r="F171" i="5"/>
  <c r="M170" i="5"/>
  <c r="L170" i="5"/>
  <c r="K170" i="5"/>
  <c r="N170" i="5" s="1"/>
  <c r="F170" i="5"/>
  <c r="K168" i="5"/>
  <c r="F168" i="5"/>
  <c r="N168" i="5" s="1"/>
  <c r="K167" i="5"/>
  <c r="F167" i="5"/>
  <c r="G164" i="5" s="1"/>
  <c r="M166" i="5"/>
  <c r="K166" i="5"/>
  <c r="N166" i="5" s="1"/>
  <c r="F166" i="5"/>
  <c r="L166" i="5" s="1"/>
  <c r="K165" i="5"/>
  <c r="F165" i="5"/>
  <c r="M165" i="5" s="1"/>
  <c r="M163" i="5"/>
  <c r="K163" i="5"/>
  <c r="F163" i="5"/>
  <c r="G162" i="5" s="1"/>
  <c r="L161" i="5"/>
  <c r="K161" i="5"/>
  <c r="F161" i="5"/>
  <c r="N161" i="5" s="1"/>
  <c r="K160" i="5"/>
  <c r="F160" i="5"/>
  <c r="G159" i="5"/>
  <c r="M158" i="5"/>
  <c r="L158" i="5"/>
  <c r="K158" i="5"/>
  <c r="N158" i="5" s="1"/>
  <c r="F158" i="5"/>
  <c r="G157" i="5"/>
  <c r="K156" i="5"/>
  <c r="F156" i="5"/>
  <c r="N156" i="5" s="1"/>
  <c r="K155" i="5"/>
  <c r="F155" i="5"/>
  <c r="M155" i="5" s="1"/>
  <c r="M154" i="5"/>
  <c r="K154" i="5"/>
  <c r="N154" i="5" s="1"/>
  <c r="F154" i="5"/>
  <c r="L154" i="5" s="1"/>
  <c r="K153" i="5"/>
  <c r="F153" i="5"/>
  <c r="N153" i="5" s="1"/>
  <c r="M152" i="5"/>
  <c r="L152" i="5"/>
  <c r="K152" i="5"/>
  <c r="F152" i="5"/>
  <c r="N152" i="5" s="1"/>
  <c r="N150" i="5"/>
  <c r="K150" i="5"/>
  <c r="F150" i="5"/>
  <c r="M150" i="5" s="1"/>
  <c r="K149" i="5"/>
  <c r="F149" i="5"/>
  <c r="N149" i="5" s="1"/>
  <c r="N148" i="5"/>
  <c r="M148" i="5"/>
  <c r="K148" i="5"/>
  <c r="F148" i="5"/>
  <c r="L148" i="5" s="1"/>
  <c r="G147" i="5"/>
  <c r="K146" i="5"/>
  <c r="F146" i="5"/>
  <c r="N146" i="5" s="1"/>
  <c r="K145" i="5"/>
  <c r="F145" i="5"/>
  <c r="K144" i="5"/>
  <c r="F144" i="5"/>
  <c r="G143" i="5" s="1"/>
  <c r="M141" i="5"/>
  <c r="L141" i="5"/>
  <c r="K141" i="5"/>
  <c r="N141" i="5" s="1"/>
  <c r="F141" i="5"/>
  <c r="K140" i="5"/>
  <c r="F140" i="5"/>
  <c r="K139" i="5"/>
  <c r="F139" i="5"/>
  <c r="K138" i="5"/>
  <c r="F138" i="5"/>
  <c r="N138" i="5" s="1"/>
  <c r="K137" i="5"/>
  <c r="F137" i="5"/>
  <c r="M136" i="5"/>
  <c r="K136" i="5"/>
  <c r="N136" i="5" s="1"/>
  <c r="F136" i="5"/>
  <c r="L136" i="5" s="1"/>
  <c r="N135" i="5"/>
  <c r="K135" i="5"/>
  <c r="F135" i="5"/>
  <c r="M135" i="5" s="1"/>
  <c r="K134" i="5"/>
  <c r="F134" i="5"/>
  <c r="N134" i="5" s="1"/>
  <c r="K133" i="5"/>
  <c r="F133" i="5"/>
  <c r="M133" i="5" s="1"/>
  <c r="M132" i="5"/>
  <c r="K132" i="5"/>
  <c r="N132" i="5" s="1"/>
  <c r="F132" i="5"/>
  <c r="L132" i="5" s="1"/>
  <c r="K131" i="5"/>
  <c r="F131" i="5"/>
  <c r="M131" i="5" s="1"/>
  <c r="M130" i="5"/>
  <c r="L130" i="5"/>
  <c r="K130" i="5"/>
  <c r="F130" i="5"/>
  <c r="M129" i="5"/>
  <c r="L129" i="5"/>
  <c r="K129" i="5"/>
  <c r="N129" i="5" s="1"/>
  <c r="F129" i="5"/>
  <c r="L128" i="5"/>
  <c r="K128" i="5"/>
  <c r="F128" i="5"/>
  <c r="N128" i="5" s="1"/>
  <c r="L127" i="5"/>
  <c r="K127" i="5"/>
  <c r="F127" i="5"/>
  <c r="M126" i="5"/>
  <c r="L126" i="5"/>
  <c r="K126" i="5"/>
  <c r="N126" i="5" s="1"/>
  <c r="F126" i="5"/>
  <c r="M125" i="5"/>
  <c r="L125" i="5"/>
  <c r="K125" i="5"/>
  <c r="N125" i="5" s="1"/>
  <c r="F125" i="5"/>
  <c r="K124" i="5"/>
  <c r="F124" i="5"/>
  <c r="M123" i="5"/>
  <c r="L123" i="5"/>
  <c r="K123" i="5"/>
  <c r="N123" i="5" s="1"/>
  <c r="F123" i="5"/>
  <c r="K122" i="5"/>
  <c r="F122" i="5"/>
  <c r="N122" i="5" s="1"/>
  <c r="K121" i="5"/>
  <c r="F121" i="5"/>
  <c r="K120" i="5"/>
  <c r="F120" i="5"/>
  <c r="L120" i="5" s="1"/>
  <c r="K119" i="5"/>
  <c r="N119" i="5" s="1"/>
  <c r="F119" i="5"/>
  <c r="M119" i="5" s="1"/>
  <c r="K118" i="5"/>
  <c r="F118" i="5"/>
  <c r="N118" i="5" s="1"/>
  <c r="K117" i="5"/>
  <c r="F117" i="5"/>
  <c r="M116" i="5"/>
  <c r="K116" i="5"/>
  <c r="N116" i="5" s="1"/>
  <c r="F116" i="5"/>
  <c r="L116" i="5" s="1"/>
  <c r="K115" i="5"/>
  <c r="F115" i="5"/>
  <c r="N115" i="5" s="1"/>
  <c r="K114" i="5"/>
  <c r="F114" i="5"/>
  <c r="N114" i="5" s="1"/>
  <c r="M113" i="5"/>
  <c r="L113" i="5"/>
  <c r="K113" i="5"/>
  <c r="N113" i="5" s="1"/>
  <c r="F113" i="5"/>
  <c r="K112" i="5"/>
  <c r="F112" i="5"/>
  <c r="L112" i="5" s="1"/>
  <c r="K111" i="5"/>
  <c r="F111" i="5"/>
  <c r="L111" i="5" s="1"/>
  <c r="M110" i="5"/>
  <c r="L110" i="5"/>
  <c r="K110" i="5"/>
  <c r="N110" i="5" s="1"/>
  <c r="F110" i="5"/>
  <c r="M109" i="5"/>
  <c r="L109" i="5"/>
  <c r="K109" i="5"/>
  <c r="N109" i="5" s="1"/>
  <c r="F109" i="5"/>
  <c r="A109" i="5"/>
  <c r="M107" i="5"/>
  <c r="K107" i="5"/>
  <c r="F107" i="5"/>
  <c r="N106" i="5"/>
  <c r="M106" i="5"/>
  <c r="K106" i="5"/>
  <c r="F106" i="5"/>
  <c r="L106" i="5" s="1"/>
  <c r="K105" i="5"/>
  <c r="F105" i="5"/>
  <c r="M105" i="5" s="1"/>
  <c r="M104" i="5"/>
  <c r="L104" i="5"/>
  <c r="K104" i="5"/>
  <c r="F104" i="5"/>
  <c r="A104" i="5"/>
  <c r="G103" i="5"/>
  <c r="K102" i="5"/>
  <c r="F102" i="5"/>
  <c r="N102" i="5" s="1"/>
  <c r="G101" i="5"/>
  <c r="K100" i="5"/>
  <c r="F100" i="5"/>
  <c r="M99" i="5"/>
  <c r="L99" i="5"/>
  <c r="K99" i="5"/>
  <c r="N99" i="5" s="1"/>
  <c r="F99" i="5"/>
  <c r="M98" i="5"/>
  <c r="L98" i="5"/>
  <c r="K98" i="5"/>
  <c r="N98" i="5" s="1"/>
  <c r="F98" i="5"/>
  <c r="K97" i="5"/>
  <c r="F97" i="5"/>
  <c r="K96" i="5"/>
  <c r="F96" i="5"/>
  <c r="L96" i="5" s="1"/>
  <c r="K95" i="5"/>
  <c r="F95" i="5"/>
  <c r="N95" i="5" s="1"/>
  <c r="K94" i="5"/>
  <c r="F94" i="5"/>
  <c r="N93" i="5"/>
  <c r="K93" i="5"/>
  <c r="F93" i="5"/>
  <c r="M93" i="5" s="1"/>
  <c r="K92" i="5"/>
  <c r="N92" i="5" s="1"/>
  <c r="F92" i="5"/>
  <c r="M92" i="5" s="1"/>
  <c r="K91" i="5"/>
  <c r="F91" i="5"/>
  <c r="N91" i="5" s="1"/>
  <c r="K90" i="5"/>
  <c r="F90" i="5"/>
  <c r="L90" i="5" s="1"/>
  <c r="M89" i="5"/>
  <c r="K89" i="5"/>
  <c r="N89" i="5" s="1"/>
  <c r="F89" i="5"/>
  <c r="L89" i="5" s="1"/>
  <c r="K87" i="5"/>
  <c r="F87" i="5"/>
  <c r="K86" i="5"/>
  <c r="F86" i="5"/>
  <c r="K85" i="5"/>
  <c r="N85" i="5" s="1"/>
  <c r="F85" i="5"/>
  <c r="M85" i="5" s="1"/>
  <c r="K84" i="5"/>
  <c r="F84" i="5"/>
  <c r="N84" i="5" s="1"/>
  <c r="M83" i="5"/>
  <c r="K83" i="5"/>
  <c r="N83" i="5" s="1"/>
  <c r="F83" i="5"/>
  <c r="L83" i="5" s="1"/>
  <c r="N82" i="5"/>
  <c r="M82" i="5"/>
  <c r="K82" i="5"/>
  <c r="F82" i="5"/>
  <c r="L82" i="5" s="1"/>
  <c r="K81" i="5"/>
  <c r="F81" i="5"/>
  <c r="M81" i="5" s="1"/>
  <c r="A81" i="5"/>
  <c r="G80" i="5"/>
  <c r="M79" i="5"/>
  <c r="L79" i="5"/>
  <c r="K79" i="5"/>
  <c r="N79" i="5" s="1"/>
  <c r="F79" i="5"/>
  <c r="K78" i="5"/>
  <c r="F78" i="5"/>
  <c r="N78" i="5" s="1"/>
  <c r="K77" i="5"/>
  <c r="F77" i="5"/>
  <c r="K76" i="5"/>
  <c r="F76" i="5"/>
  <c r="G75" i="5" s="1"/>
  <c r="M74" i="5"/>
  <c r="L74" i="5"/>
  <c r="K74" i="5"/>
  <c r="N74" i="5" s="1"/>
  <c r="F74" i="5"/>
  <c r="K73" i="5"/>
  <c r="F73" i="5"/>
  <c r="L72" i="5"/>
  <c r="K72" i="5"/>
  <c r="F72" i="5"/>
  <c r="G71" i="5" s="1"/>
  <c r="A72" i="5"/>
  <c r="K70" i="5"/>
  <c r="F70" i="5"/>
  <c r="M70" i="5" s="1"/>
  <c r="K69" i="5"/>
  <c r="F69" i="5"/>
  <c r="N68" i="5"/>
  <c r="M68" i="5"/>
  <c r="L68" i="5"/>
  <c r="K68" i="5"/>
  <c r="F68" i="5"/>
  <c r="K67" i="5"/>
  <c r="F67" i="5"/>
  <c r="L67" i="5" s="1"/>
  <c r="L66" i="5"/>
  <c r="K66" i="5"/>
  <c r="F66" i="5"/>
  <c r="M65" i="5"/>
  <c r="L65" i="5"/>
  <c r="K65" i="5"/>
  <c r="N65" i="5" s="1"/>
  <c r="F65" i="5"/>
  <c r="M64" i="5"/>
  <c r="L64" i="5"/>
  <c r="K64" i="5"/>
  <c r="N64" i="5" s="1"/>
  <c r="F64" i="5"/>
  <c r="K63" i="5"/>
  <c r="F63" i="5"/>
  <c r="M62" i="5"/>
  <c r="L62" i="5"/>
  <c r="K62" i="5"/>
  <c r="F62" i="5"/>
  <c r="N62" i="5" s="1"/>
  <c r="K61" i="5"/>
  <c r="F61" i="5"/>
  <c r="N61" i="5" s="1"/>
  <c r="K60" i="5"/>
  <c r="F60" i="5"/>
  <c r="G59" i="5"/>
  <c r="N58" i="5"/>
  <c r="M58" i="5"/>
  <c r="L58" i="5"/>
  <c r="K58" i="5"/>
  <c r="F58" i="5"/>
  <c r="M57" i="5"/>
  <c r="L57" i="5"/>
  <c r="K57" i="5"/>
  <c r="N57" i="5" s="1"/>
  <c r="F57" i="5"/>
  <c r="K56" i="5"/>
  <c r="F56" i="5"/>
  <c r="K55" i="5"/>
  <c r="F55" i="5"/>
  <c r="G54" i="5" s="1"/>
  <c r="K53" i="5"/>
  <c r="F53" i="5"/>
  <c r="N53" i="5" s="1"/>
  <c r="L52" i="5"/>
  <c r="K52" i="5"/>
  <c r="F52" i="5"/>
  <c r="M51" i="5"/>
  <c r="L51" i="5"/>
  <c r="K51" i="5"/>
  <c r="N51" i="5" s="1"/>
  <c r="F51" i="5"/>
  <c r="K49" i="5"/>
  <c r="F49" i="5"/>
  <c r="M49" i="5" s="1"/>
  <c r="K48" i="5"/>
  <c r="F48" i="5"/>
  <c r="M47" i="5"/>
  <c r="L47" i="5"/>
  <c r="K47" i="5"/>
  <c r="N47" i="5" s="1"/>
  <c r="F47" i="5"/>
  <c r="K46" i="5"/>
  <c r="F46" i="5"/>
  <c r="L46" i="5" s="1"/>
  <c r="L45" i="5"/>
  <c r="K45" i="5"/>
  <c r="F45" i="5"/>
  <c r="M44" i="5"/>
  <c r="L44" i="5"/>
  <c r="K44" i="5"/>
  <c r="N44" i="5" s="1"/>
  <c r="F44" i="5"/>
  <c r="M43" i="5"/>
  <c r="L43" i="5"/>
  <c r="K43" i="5"/>
  <c r="N43" i="5" s="1"/>
  <c r="F43" i="5"/>
  <c r="K42" i="5"/>
  <c r="F42" i="5"/>
  <c r="M40" i="5"/>
  <c r="L40" i="5"/>
  <c r="K40" i="5"/>
  <c r="N40" i="5" s="1"/>
  <c r="F40" i="5"/>
  <c r="K39" i="5"/>
  <c r="F39" i="5"/>
  <c r="K38" i="5"/>
  <c r="F38" i="5"/>
  <c r="G34" i="5" s="1"/>
  <c r="M37" i="5"/>
  <c r="L37" i="5"/>
  <c r="K37" i="5"/>
  <c r="N37" i="5" s="1"/>
  <c r="F37" i="5"/>
  <c r="M36" i="5"/>
  <c r="L36" i="5"/>
  <c r="K36" i="5"/>
  <c r="N36" i="5" s="1"/>
  <c r="F36" i="5"/>
  <c r="K35" i="5"/>
  <c r="F35" i="5"/>
  <c r="M33" i="5"/>
  <c r="L33" i="5"/>
  <c r="K33" i="5"/>
  <c r="N33" i="5" s="1"/>
  <c r="F33" i="5"/>
  <c r="G32" i="5"/>
  <c r="K31" i="5"/>
  <c r="F31" i="5"/>
  <c r="M30" i="5"/>
  <c r="K30" i="5"/>
  <c r="F30" i="5"/>
  <c r="N30" i="5" s="1"/>
  <c r="M29" i="5"/>
  <c r="K29" i="5"/>
  <c r="N29" i="5" s="1"/>
  <c r="F29" i="5"/>
  <c r="L29" i="5" s="1"/>
  <c r="K28" i="5"/>
  <c r="F28" i="5"/>
  <c r="M27" i="5"/>
  <c r="L27" i="5"/>
  <c r="K27" i="5"/>
  <c r="F27" i="5"/>
  <c r="M26" i="5"/>
  <c r="L26" i="5"/>
  <c r="K26" i="5"/>
  <c r="N26" i="5" s="1"/>
  <c r="F26" i="5"/>
  <c r="K25" i="5"/>
  <c r="F25" i="5"/>
  <c r="L25" i="5" s="1"/>
  <c r="K23" i="5"/>
  <c r="F23" i="5"/>
  <c r="M23" i="5" s="1"/>
  <c r="N22" i="5"/>
  <c r="M22" i="5"/>
  <c r="K22" i="5"/>
  <c r="F22" i="5"/>
  <c r="L22" i="5" s="1"/>
  <c r="K21" i="5"/>
  <c r="F21" i="5"/>
  <c r="N21" i="5" s="1"/>
  <c r="M20" i="5"/>
  <c r="K20" i="5"/>
  <c r="F20" i="5"/>
  <c r="N20" i="5" s="1"/>
  <c r="M19" i="5"/>
  <c r="L19" i="5"/>
  <c r="K19" i="5"/>
  <c r="N19" i="5" s="1"/>
  <c r="F19" i="5"/>
  <c r="K18" i="5"/>
  <c r="F18" i="5"/>
  <c r="L18" i="5" s="1"/>
  <c r="L17" i="5"/>
  <c r="K17" i="5"/>
  <c r="F17" i="5"/>
  <c r="M16" i="5"/>
  <c r="L16" i="5"/>
  <c r="K16" i="5"/>
  <c r="N16" i="5" s="1"/>
  <c r="F16" i="5"/>
  <c r="M15" i="5"/>
  <c r="L15" i="5"/>
  <c r="K15" i="5"/>
  <c r="N15" i="5" s="1"/>
  <c r="F15" i="5"/>
  <c r="K14" i="5"/>
  <c r="F14" i="5"/>
  <c r="L14" i="5" s="1"/>
  <c r="M13" i="5"/>
  <c r="K13" i="5"/>
  <c r="N13" i="5" s="1"/>
  <c r="F13" i="5"/>
  <c r="L13" i="5" s="1"/>
  <c r="K12" i="5"/>
  <c r="F12" i="5"/>
  <c r="K11" i="5"/>
  <c r="F11" i="5"/>
  <c r="K10" i="5"/>
  <c r="F10" i="5"/>
  <c r="L206" i="4"/>
  <c r="M206" i="4" s="1"/>
  <c r="M204" i="4"/>
  <c r="N199" i="4"/>
  <c r="L199" i="4"/>
  <c r="M194" i="4"/>
  <c r="L194" i="4"/>
  <c r="K194" i="4"/>
  <c r="F194" i="4"/>
  <c r="N194" i="4" s="1"/>
  <c r="M193" i="4"/>
  <c r="L193" i="4"/>
  <c r="K193" i="4"/>
  <c r="F193" i="4"/>
  <c r="K191" i="4"/>
  <c r="F191" i="4"/>
  <c r="K190" i="4"/>
  <c r="F190" i="4"/>
  <c r="M189" i="4"/>
  <c r="K189" i="4"/>
  <c r="N189" i="4" s="1"/>
  <c r="F189" i="4"/>
  <c r="L189" i="4" s="1"/>
  <c r="M188" i="4"/>
  <c r="L188" i="4"/>
  <c r="K188" i="4"/>
  <c r="F188" i="4"/>
  <c r="K187" i="4"/>
  <c r="F187" i="4"/>
  <c r="M187" i="4" s="1"/>
  <c r="K186" i="4"/>
  <c r="F186" i="4"/>
  <c r="N186" i="4" s="1"/>
  <c r="K185" i="4"/>
  <c r="F185" i="4"/>
  <c r="M185" i="4" s="1"/>
  <c r="M184" i="4"/>
  <c r="L184" i="4"/>
  <c r="K184" i="4"/>
  <c r="N184" i="4" s="1"/>
  <c r="F184" i="4"/>
  <c r="K183" i="4"/>
  <c r="F183" i="4"/>
  <c r="K181" i="4"/>
  <c r="F181" i="4"/>
  <c r="L181" i="4" s="1"/>
  <c r="K180" i="4"/>
  <c r="F180" i="4"/>
  <c r="N180" i="4" s="1"/>
  <c r="K179" i="4"/>
  <c r="F179" i="4"/>
  <c r="M178" i="4"/>
  <c r="L178" i="4"/>
  <c r="K178" i="4"/>
  <c r="N178" i="4" s="1"/>
  <c r="F178" i="4"/>
  <c r="L176" i="4"/>
  <c r="K176" i="4"/>
  <c r="F176" i="4"/>
  <c r="M176" i="4" s="1"/>
  <c r="K175" i="4"/>
  <c r="F175" i="4"/>
  <c r="G174" i="4" s="1"/>
  <c r="K173" i="4"/>
  <c r="F173" i="4"/>
  <c r="K171" i="4"/>
  <c r="F171" i="4"/>
  <c r="N171" i="4" s="1"/>
  <c r="K170" i="4"/>
  <c r="F170" i="4"/>
  <c r="G169" i="4"/>
  <c r="K168" i="4"/>
  <c r="F168" i="4"/>
  <c r="L168" i="4" s="1"/>
  <c r="M167" i="4"/>
  <c r="L167" i="4"/>
  <c r="F167" i="4"/>
  <c r="L166" i="4"/>
  <c r="K166" i="4"/>
  <c r="F166" i="4"/>
  <c r="M166" i="4" s="1"/>
  <c r="K165" i="4"/>
  <c r="F165" i="4"/>
  <c r="L165" i="4" s="1"/>
  <c r="K163" i="4"/>
  <c r="F163" i="4"/>
  <c r="N161" i="4"/>
  <c r="M161" i="4"/>
  <c r="L161" i="4"/>
  <c r="K161" i="4"/>
  <c r="F161" i="4"/>
  <c r="K160" i="4"/>
  <c r="F160" i="4"/>
  <c r="N160" i="4" s="1"/>
  <c r="G159" i="4"/>
  <c r="K158" i="4"/>
  <c r="F158" i="4"/>
  <c r="G157" i="4"/>
  <c r="K156" i="4"/>
  <c r="F156" i="4"/>
  <c r="M155" i="4"/>
  <c r="K155" i="4"/>
  <c r="F155" i="4"/>
  <c r="M154" i="4"/>
  <c r="L154" i="4"/>
  <c r="K154" i="4"/>
  <c r="N154" i="4" s="1"/>
  <c r="F154" i="4"/>
  <c r="K153" i="4"/>
  <c r="F153" i="4"/>
  <c r="K152" i="4"/>
  <c r="F152" i="4"/>
  <c r="L152" i="4" s="1"/>
  <c r="G151" i="4"/>
  <c r="K150" i="4"/>
  <c r="F150" i="4"/>
  <c r="K149" i="4"/>
  <c r="F149" i="4"/>
  <c r="M148" i="4"/>
  <c r="L148" i="4"/>
  <c r="K148" i="4"/>
  <c r="N148" i="4" s="1"/>
  <c r="F148" i="4"/>
  <c r="G147" i="4" s="1"/>
  <c r="L146" i="4"/>
  <c r="K146" i="4"/>
  <c r="F146" i="4"/>
  <c r="M146" i="4" s="1"/>
  <c r="M145" i="4"/>
  <c r="K145" i="4"/>
  <c r="N145" i="4" s="1"/>
  <c r="F145" i="4"/>
  <c r="L145" i="4" s="1"/>
  <c r="K144" i="4"/>
  <c r="F144" i="4"/>
  <c r="N144" i="4" s="1"/>
  <c r="G143" i="4"/>
  <c r="K141" i="4"/>
  <c r="F141" i="4"/>
  <c r="L141" i="4" s="1"/>
  <c r="M140" i="4"/>
  <c r="K140" i="4"/>
  <c r="N140" i="4" s="1"/>
  <c r="F140" i="4"/>
  <c r="L140" i="4" s="1"/>
  <c r="L139" i="4"/>
  <c r="K139" i="4"/>
  <c r="F139" i="4"/>
  <c r="K138" i="4"/>
  <c r="F138" i="4"/>
  <c r="M138" i="4" s="1"/>
  <c r="K137" i="4"/>
  <c r="F137" i="4"/>
  <c r="N137" i="4" s="1"/>
  <c r="K136" i="4"/>
  <c r="F136" i="4"/>
  <c r="M136" i="4" s="1"/>
  <c r="N135" i="4"/>
  <c r="M135" i="4"/>
  <c r="L135" i="4"/>
  <c r="K135" i="4"/>
  <c r="F135" i="4"/>
  <c r="K134" i="4"/>
  <c r="F134" i="4"/>
  <c r="K133" i="4"/>
  <c r="F133" i="4"/>
  <c r="L133" i="4" s="1"/>
  <c r="M132" i="4"/>
  <c r="L132" i="4"/>
  <c r="F132" i="4"/>
  <c r="L131" i="4"/>
  <c r="K131" i="4"/>
  <c r="F131" i="4"/>
  <c r="M131" i="4" s="1"/>
  <c r="K130" i="4"/>
  <c r="F130" i="4"/>
  <c r="L130" i="4" s="1"/>
  <c r="K129" i="4"/>
  <c r="F129" i="4"/>
  <c r="K128" i="4"/>
  <c r="F128" i="4"/>
  <c r="M127" i="4"/>
  <c r="L127" i="4"/>
  <c r="K127" i="4"/>
  <c r="N127" i="4" s="1"/>
  <c r="F127" i="4"/>
  <c r="K126" i="4"/>
  <c r="F126" i="4"/>
  <c r="K125" i="4"/>
  <c r="F125" i="4"/>
  <c r="M124" i="4"/>
  <c r="L124" i="4"/>
  <c r="F124" i="4"/>
  <c r="L123" i="4"/>
  <c r="K123" i="4"/>
  <c r="F123" i="4"/>
  <c r="M123" i="4" s="1"/>
  <c r="K122" i="4"/>
  <c r="F122" i="4"/>
  <c r="N122" i="4" s="1"/>
  <c r="K121" i="4"/>
  <c r="F121" i="4"/>
  <c r="N121" i="4" s="1"/>
  <c r="K120" i="4"/>
  <c r="F120" i="4"/>
  <c r="M120" i="4" s="1"/>
  <c r="M119" i="4"/>
  <c r="L119" i="4"/>
  <c r="K119" i="4"/>
  <c r="N119" i="4" s="1"/>
  <c r="F119" i="4"/>
  <c r="K118" i="4"/>
  <c r="F118" i="4"/>
  <c r="K117" i="4"/>
  <c r="F117" i="4"/>
  <c r="M116" i="4"/>
  <c r="L116" i="4"/>
  <c r="F116" i="4"/>
  <c r="L115" i="4"/>
  <c r="K115" i="4"/>
  <c r="F115" i="4"/>
  <c r="N115" i="4" s="1"/>
  <c r="K114" i="4"/>
  <c r="F114" i="4"/>
  <c r="N114" i="4" s="1"/>
  <c r="K113" i="4"/>
  <c r="F113" i="4"/>
  <c r="N113" i="4" s="1"/>
  <c r="K112" i="4"/>
  <c r="F112" i="4"/>
  <c r="M112" i="4" s="1"/>
  <c r="M111" i="4"/>
  <c r="L111" i="4"/>
  <c r="K111" i="4"/>
  <c r="N111" i="4" s="1"/>
  <c r="F111" i="4"/>
  <c r="K110" i="4"/>
  <c r="F110" i="4"/>
  <c r="K109" i="4"/>
  <c r="F109" i="4"/>
  <c r="L109" i="4" s="1"/>
  <c r="A109" i="4"/>
  <c r="K107" i="4"/>
  <c r="F107" i="4"/>
  <c r="N107" i="4" s="1"/>
  <c r="K106" i="4"/>
  <c r="F106" i="4"/>
  <c r="M105" i="4"/>
  <c r="L105" i="4"/>
  <c r="K105" i="4"/>
  <c r="N105" i="4" s="1"/>
  <c r="F105" i="4"/>
  <c r="F104" i="4"/>
  <c r="A104" i="4"/>
  <c r="M102" i="4"/>
  <c r="L102" i="4"/>
  <c r="K102" i="4"/>
  <c r="N102" i="4" s="1"/>
  <c r="F102" i="4"/>
  <c r="G101" i="4" s="1"/>
  <c r="L100" i="4"/>
  <c r="K100" i="4"/>
  <c r="F100" i="4"/>
  <c r="N100" i="4" s="1"/>
  <c r="K99" i="4"/>
  <c r="F99" i="4"/>
  <c r="K98" i="4"/>
  <c r="F98" i="4"/>
  <c r="N98" i="4" s="1"/>
  <c r="K97" i="4"/>
  <c r="F97" i="4"/>
  <c r="N96" i="4"/>
  <c r="M96" i="4"/>
  <c r="L96" i="4"/>
  <c r="K96" i="4"/>
  <c r="F96" i="4"/>
  <c r="K95" i="4"/>
  <c r="F95" i="4"/>
  <c r="K94" i="4"/>
  <c r="F94" i="4"/>
  <c r="L94" i="4" s="1"/>
  <c r="M93" i="4"/>
  <c r="L93" i="4"/>
  <c r="F93" i="4"/>
  <c r="L92" i="4"/>
  <c r="K92" i="4"/>
  <c r="F92" i="4"/>
  <c r="M92" i="4" s="1"/>
  <c r="K91" i="4"/>
  <c r="F91" i="4"/>
  <c r="M91" i="4" s="1"/>
  <c r="K90" i="4"/>
  <c r="F90" i="4"/>
  <c r="N90" i="4" s="1"/>
  <c r="K89" i="4"/>
  <c r="F89" i="4"/>
  <c r="M89" i="4" s="1"/>
  <c r="G88" i="4"/>
  <c r="M87" i="4"/>
  <c r="L87" i="4"/>
  <c r="F87" i="4"/>
  <c r="L86" i="4"/>
  <c r="K86" i="4"/>
  <c r="F86" i="4"/>
  <c r="K85" i="4"/>
  <c r="F85" i="4"/>
  <c r="M85" i="4" s="1"/>
  <c r="K84" i="4"/>
  <c r="F84" i="4"/>
  <c r="N84" i="4" s="1"/>
  <c r="M83" i="4"/>
  <c r="K83" i="4"/>
  <c r="F83" i="4"/>
  <c r="M82" i="4"/>
  <c r="L82" i="4"/>
  <c r="K82" i="4"/>
  <c r="N82" i="4" s="1"/>
  <c r="F82" i="4"/>
  <c r="K81" i="4"/>
  <c r="F81" i="4"/>
  <c r="A81" i="4"/>
  <c r="M79" i="4"/>
  <c r="L79" i="4"/>
  <c r="K79" i="4"/>
  <c r="N79" i="4" s="1"/>
  <c r="F79" i="4"/>
  <c r="K78" i="4"/>
  <c r="F78" i="4"/>
  <c r="N78" i="4" s="1"/>
  <c r="K77" i="4"/>
  <c r="F77" i="4"/>
  <c r="N77" i="4" s="1"/>
  <c r="M76" i="4"/>
  <c r="L76" i="4"/>
  <c r="K76" i="4"/>
  <c r="N76" i="4" s="1"/>
  <c r="F76" i="4"/>
  <c r="L74" i="4"/>
  <c r="K74" i="4"/>
  <c r="F74" i="4"/>
  <c r="M73" i="4"/>
  <c r="L73" i="4"/>
  <c r="F73" i="4"/>
  <c r="K72" i="4"/>
  <c r="F72" i="4"/>
  <c r="N72" i="4" s="1"/>
  <c r="A72" i="4"/>
  <c r="M70" i="4"/>
  <c r="L70" i="4"/>
  <c r="F70" i="4"/>
  <c r="K69" i="4"/>
  <c r="F69" i="4"/>
  <c r="K68" i="4"/>
  <c r="F68" i="4"/>
  <c r="M68" i="4" s="1"/>
  <c r="M67" i="4"/>
  <c r="L67" i="4"/>
  <c r="K67" i="4"/>
  <c r="N67" i="4" s="1"/>
  <c r="F67" i="4"/>
  <c r="K66" i="4"/>
  <c r="F66" i="4"/>
  <c r="L65" i="4"/>
  <c r="K65" i="4"/>
  <c r="F65" i="4"/>
  <c r="M64" i="4"/>
  <c r="L64" i="4"/>
  <c r="F64" i="4"/>
  <c r="L63" i="4"/>
  <c r="K63" i="4"/>
  <c r="F63" i="4"/>
  <c r="K62" i="4"/>
  <c r="F62" i="4"/>
  <c r="G59" i="4" s="1"/>
  <c r="K61" i="4"/>
  <c r="F61" i="4"/>
  <c r="K60" i="4"/>
  <c r="F60" i="4"/>
  <c r="M58" i="4"/>
  <c r="K58" i="4"/>
  <c r="N58" i="4" s="1"/>
  <c r="F58" i="4"/>
  <c r="L58" i="4" s="1"/>
  <c r="L57" i="4"/>
  <c r="K57" i="4"/>
  <c r="F57" i="4"/>
  <c r="M57" i="4" s="1"/>
  <c r="K56" i="4"/>
  <c r="N56" i="4" s="1"/>
  <c r="F56" i="4"/>
  <c r="M56" i="4" s="1"/>
  <c r="K55" i="4"/>
  <c r="F55" i="4"/>
  <c r="G54" i="4"/>
  <c r="K53" i="4"/>
  <c r="F53" i="4"/>
  <c r="M52" i="4"/>
  <c r="K52" i="4"/>
  <c r="N52" i="4" s="1"/>
  <c r="F52" i="4"/>
  <c r="L52" i="4" s="1"/>
  <c r="L51" i="4"/>
  <c r="K51" i="4"/>
  <c r="F51" i="4"/>
  <c r="M51" i="4" s="1"/>
  <c r="M49" i="4"/>
  <c r="L49" i="4"/>
  <c r="K49" i="4"/>
  <c r="N49" i="4" s="1"/>
  <c r="F49" i="4"/>
  <c r="K48" i="4"/>
  <c r="F48" i="4"/>
  <c r="L47" i="4"/>
  <c r="K47" i="4"/>
  <c r="F47" i="4"/>
  <c r="M46" i="4"/>
  <c r="K46" i="4"/>
  <c r="N46" i="4" s="1"/>
  <c r="F46" i="4"/>
  <c r="L46" i="4" s="1"/>
  <c r="L45" i="4"/>
  <c r="K45" i="4"/>
  <c r="F45" i="4"/>
  <c r="M45" i="4" s="1"/>
  <c r="K44" i="4"/>
  <c r="F44" i="4"/>
  <c r="L44" i="4" s="1"/>
  <c r="K43" i="4"/>
  <c r="F43" i="4"/>
  <c r="N43" i="4" s="1"/>
  <c r="K42" i="4"/>
  <c r="F42" i="4"/>
  <c r="M42" i="4" s="1"/>
  <c r="M40" i="4"/>
  <c r="K40" i="4"/>
  <c r="N40" i="4" s="1"/>
  <c r="F40" i="4"/>
  <c r="L40" i="4" s="1"/>
  <c r="L39" i="4"/>
  <c r="K39" i="4"/>
  <c r="F39" i="4"/>
  <c r="M39" i="4" s="1"/>
  <c r="K38" i="4"/>
  <c r="N38" i="4" s="1"/>
  <c r="F38" i="4"/>
  <c r="M38" i="4" s="1"/>
  <c r="K37" i="4"/>
  <c r="F37" i="4"/>
  <c r="N37" i="4" s="1"/>
  <c r="K36" i="4"/>
  <c r="F36" i="4"/>
  <c r="M36" i="4" s="1"/>
  <c r="M35" i="4"/>
  <c r="L35" i="4"/>
  <c r="K35" i="4"/>
  <c r="N35" i="4" s="1"/>
  <c r="F35" i="4"/>
  <c r="L33" i="4"/>
  <c r="K33" i="4"/>
  <c r="F33" i="4"/>
  <c r="M33" i="4" s="1"/>
  <c r="G32" i="4"/>
  <c r="M31" i="4"/>
  <c r="L31" i="4"/>
  <c r="K31" i="4"/>
  <c r="N31" i="4" s="1"/>
  <c r="F31" i="4"/>
  <c r="K30" i="4"/>
  <c r="F30" i="4"/>
  <c r="L29" i="4"/>
  <c r="K29" i="4"/>
  <c r="F29" i="4"/>
  <c r="M28" i="4"/>
  <c r="L28" i="4"/>
  <c r="F28" i="4"/>
  <c r="L27" i="4"/>
  <c r="K27" i="4"/>
  <c r="F27" i="4"/>
  <c r="M27" i="4" s="1"/>
  <c r="K26" i="4"/>
  <c r="F26" i="4"/>
  <c r="G24" i="4" s="1"/>
  <c r="K25" i="4"/>
  <c r="F25" i="4"/>
  <c r="K23" i="4"/>
  <c r="F23" i="4"/>
  <c r="L23" i="4" s="1"/>
  <c r="M22" i="4"/>
  <c r="K22" i="4"/>
  <c r="N22" i="4" s="1"/>
  <c r="F22" i="4"/>
  <c r="L22" i="4" s="1"/>
  <c r="L21" i="4"/>
  <c r="K21" i="4"/>
  <c r="F21" i="4"/>
  <c r="K20" i="4"/>
  <c r="N20" i="4" s="1"/>
  <c r="F20" i="4"/>
  <c r="M20" i="4" s="1"/>
  <c r="K19" i="4"/>
  <c r="F19" i="4"/>
  <c r="K18" i="4"/>
  <c r="F18" i="4"/>
  <c r="M18" i="4" s="1"/>
  <c r="M17" i="4"/>
  <c r="L17" i="4"/>
  <c r="K17" i="4"/>
  <c r="N17" i="4" s="1"/>
  <c r="F17" i="4"/>
  <c r="K16" i="4"/>
  <c r="F16" i="4"/>
  <c r="K15" i="4"/>
  <c r="F15" i="4"/>
  <c r="L15" i="4" s="1"/>
  <c r="M14" i="4"/>
  <c r="K14" i="4"/>
  <c r="N14" i="4" s="1"/>
  <c r="F14" i="4"/>
  <c r="L14" i="4" s="1"/>
  <c r="L13" i="4"/>
  <c r="K13" i="4"/>
  <c r="F13" i="4"/>
  <c r="M13" i="4" s="1"/>
  <c r="M12" i="4"/>
  <c r="K12" i="4"/>
  <c r="N12" i="4" s="1"/>
  <c r="F12" i="4"/>
  <c r="L12" i="4" s="1"/>
  <c r="K11" i="4"/>
  <c r="F11" i="4"/>
  <c r="N11" i="4" s="1"/>
  <c r="K10" i="4"/>
  <c r="F10" i="4"/>
  <c r="G9" i="4"/>
  <c r="I11" i="3"/>
  <c r="I12" i="3"/>
  <c r="I13" i="3"/>
  <c r="I14" i="3"/>
  <c r="I15" i="3"/>
  <c r="I16" i="3"/>
  <c r="I17" i="3"/>
  <c r="I18" i="3"/>
  <c r="K18" i="3" s="1"/>
  <c r="I19" i="3"/>
  <c r="K19" i="3" s="1"/>
  <c r="N19" i="3" s="1"/>
  <c r="I20" i="3"/>
  <c r="K20" i="3" s="1"/>
  <c r="I21" i="3"/>
  <c r="K21" i="3" s="1"/>
  <c r="N21" i="3" s="1"/>
  <c r="I22" i="3"/>
  <c r="K22" i="3" s="1"/>
  <c r="I23" i="3"/>
  <c r="I25" i="3"/>
  <c r="I26" i="3"/>
  <c r="I27" i="3"/>
  <c r="I28" i="3"/>
  <c r="K28" i="3" s="1"/>
  <c r="I29" i="3"/>
  <c r="I30" i="3"/>
  <c r="I31" i="3"/>
  <c r="K31" i="3" s="1"/>
  <c r="I33" i="3"/>
  <c r="I35" i="3"/>
  <c r="I36" i="3"/>
  <c r="I37" i="3"/>
  <c r="I38" i="3"/>
  <c r="I39" i="3"/>
  <c r="I40" i="3"/>
  <c r="K40" i="3" s="1"/>
  <c r="N40" i="3" s="1"/>
  <c r="I42" i="3"/>
  <c r="I43" i="3"/>
  <c r="K43" i="3" s="1"/>
  <c r="N43" i="3" s="1"/>
  <c r="I44" i="3"/>
  <c r="K44" i="3" s="1"/>
  <c r="I45" i="3"/>
  <c r="K45" i="3" s="1"/>
  <c r="N45" i="3" s="1"/>
  <c r="I46" i="3"/>
  <c r="K46" i="3" s="1"/>
  <c r="I47" i="3"/>
  <c r="I48" i="3"/>
  <c r="I49" i="3"/>
  <c r="I51" i="3"/>
  <c r="I52" i="3"/>
  <c r="I53" i="3"/>
  <c r="I55" i="3"/>
  <c r="I56" i="3"/>
  <c r="L56" i="3" s="1"/>
  <c r="I57" i="3"/>
  <c r="L57" i="3" s="1"/>
  <c r="I58" i="3"/>
  <c r="K58" i="3" s="1"/>
  <c r="I60" i="3"/>
  <c r="I61" i="3"/>
  <c r="K61" i="3" s="1"/>
  <c r="I62" i="3"/>
  <c r="I63" i="3"/>
  <c r="I64" i="3"/>
  <c r="L64" i="3" s="1"/>
  <c r="I65" i="3"/>
  <c r="I66" i="3"/>
  <c r="K66" i="3" s="1"/>
  <c r="N66" i="3" s="1"/>
  <c r="I67" i="3"/>
  <c r="I68" i="3"/>
  <c r="K68" i="3" s="1"/>
  <c r="I69" i="3"/>
  <c r="L69" i="3" s="1"/>
  <c r="I70" i="3"/>
  <c r="K70" i="3" s="1"/>
  <c r="I72" i="3"/>
  <c r="I73" i="3"/>
  <c r="K73" i="3" s="1"/>
  <c r="I74" i="3"/>
  <c r="I76" i="3"/>
  <c r="K76" i="3" s="1"/>
  <c r="I77" i="3"/>
  <c r="K77" i="3" s="1"/>
  <c r="N77" i="3" s="1"/>
  <c r="I78" i="3"/>
  <c r="K78" i="3" s="1"/>
  <c r="I79" i="3"/>
  <c r="K79" i="3" s="1"/>
  <c r="N79" i="3" s="1"/>
  <c r="I81" i="3"/>
  <c r="K81" i="3" s="1"/>
  <c r="I82" i="3"/>
  <c r="L82" i="3" s="1"/>
  <c r="I83" i="3"/>
  <c r="I84" i="3"/>
  <c r="I85" i="3"/>
  <c r="K85" i="3" s="1"/>
  <c r="I86" i="3"/>
  <c r="I87" i="3"/>
  <c r="I89" i="3"/>
  <c r="I90" i="3"/>
  <c r="I91" i="3"/>
  <c r="K91" i="3" s="1"/>
  <c r="I92" i="3"/>
  <c r="K92" i="3" s="1"/>
  <c r="N92" i="3" s="1"/>
  <c r="I93" i="3"/>
  <c r="K93" i="3" s="1"/>
  <c r="I94" i="3"/>
  <c r="K94" i="3" s="1"/>
  <c r="I95" i="3"/>
  <c r="I96" i="3"/>
  <c r="I97" i="3"/>
  <c r="L97" i="3" s="1"/>
  <c r="I98" i="3"/>
  <c r="I99" i="3"/>
  <c r="I100" i="3"/>
  <c r="I102" i="3"/>
  <c r="K102" i="3" s="1"/>
  <c r="I104" i="3"/>
  <c r="K104" i="3" s="1"/>
  <c r="I105" i="3"/>
  <c r="K105" i="3" s="1"/>
  <c r="N105" i="3" s="1"/>
  <c r="I106" i="3"/>
  <c r="K106" i="3" s="1"/>
  <c r="I107" i="3"/>
  <c r="I109" i="3"/>
  <c r="I110" i="3"/>
  <c r="I111" i="3"/>
  <c r="I112" i="3"/>
  <c r="K112" i="3" s="1"/>
  <c r="I113" i="3"/>
  <c r="L113" i="3" s="1"/>
  <c r="I114" i="3"/>
  <c r="I115" i="3"/>
  <c r="I116" i="3"/>
  <c r="I117" i="3"/>
  <c r="I118" i="3"/>
  <c r="I119" i="3"/>
  <c r="I120" i="3"/>
  <c r="I121" i="3"/>
  <c r="I122" i="3"/>
  <c r="I123" i="3"/>
  <c r="I124" i="3"/>
  <c r="K124" i="3" s="1"/>
  <c r="I125" i="3"/>
  <c r="K125" i="3" s="1"/>
  <c r="N125" i="3" s="1"/>
  <c r="I126" i="3"/>
  <c r="K126" i="3" s="1"/>
  <c r="I127" i="3"/>
  <c r="K127" i="3" s="1"/>
  <c r="N127" i="3" s="1"/>
  <c r="I128" i="3"/>
  <c r="K128" i="3" s="1"/>
  <c r="I129" i="3"/>
  <c r="K129" i="3" s="1"/>
  <c r="I130" i="3"/>
  <c r="K130" i="3" s="1"/>
  <c r="N130" i="3" s="1"/>
  <c r="I131" i="3"/>
  <c r="I132" i="3"/>
  <c r="I133" i="3"/>
  <c r="I134" i="3"/>
  <c r="I135" i="3"/>
  <c r="I136" i="3"/>
  <c r="I137" i="3"/>
  <c r="L137" i="3" s="1"/>
  <c r="I138" i="3"/>
  <c r="K138" i="3" s="1"/>
  <c r="I139" i="3"/>
  <c r="I140" i="3"/>
  <c r="I141" i="3"/>
  <c r="I144" i="3"/>
  <c r="I145" i="3"/>
  <c r="I146" i="3"/>
  <c r="I148" i="3"/>
  <c r="I149" i="3"/>
  <c r="I150" i="3"/>
  <c r="K150" i="3" s="1"/>
  <c r="I152" i="3"/>
  <c r="K152" i="3" s="1"/>
  <c r="N152" i="3" s="1"/>
  <c r="I153" i="3"/>
  <c r="K153" i="3" s="1"/>
  <c r="I154" i="3"/>
  <c r="K154" i="3" s="1"/>
  <c r="N154" i="3" s="1"/>
  <c r="I155" i="3"/>
  <c r="I156" i="3"/>
  <c r="I158" i="3"/>
  <c r="I160" i="3"/>
  <c r="K160" i="3" s="1"/>
  <c r="N160" i="3" s="1"/>
  <c r="I161" i="3"/>
  <c r="K161" i="3" s="1"/>
  <c r="I163" i="3"/>
  <c r="K163" i="3" s="1"/>
  <c r="N163" i="3" s="1"/>
  <c r="I165" i="3"/>
  <c r="K165" i="3" s="1"/>
  <c r="I166" i="3"/>
  <c r="K166" i="3" s="1"/>
  <c r="N166" i="3" s="1"/>
  <c r="I167" i="3"/>
  <c r="I168" i="3"/>
  <c r="I170" i="3"/>
  <c r="I171" i="3"/>
  <c r="I173" i="3"/>
  <c r="I175" i="3"/>
  <c r="I176" i="3"/>
  <c r="I178" i="3"/>
  <c r="I179" i="3"/>
  <c r="I180" i="3"/>
  <c r="I181" i="3"/>
  <c r="I183" i="3"/>
  <c r="I184" i="3"/>
  <c r="K184" i="3" s="1"/>
  <c r="I185" i="3"/>
  <c r="I186" i="3"/>
  <c r="L186" i="3" s="1"/>
  <c r="I187" i="3"/>
  <c r="K187" i="3" s="1"/>
  <c r="I188" i="3"/>
  <c r="K188" i="3" s="1"/>
  <c r="N188" i="3" s="1"/>
  <c r="I189" i="3"/>
  <c r="I190" i="3"/>
  <c r="K190" i="3" s="1"/>
  <c r="I191" i="3"/>
  <c r="I193" i="3"/>
  <c r="K193" i="3" s="1"/>
  <c r="I194" i="3"/>
  <c r="K15" i="3"/>
  <c r="K26" i="3"/>
  <c r="L29" i="3"/>
  <c r="K33" i="3"/>
  <c r="K39" i="3"/>
  <c r="K52" i="3"/>
  <c r="L53" i="3"/>
  <c r="L62" i="3"/>
  <c r="K65" i="3"/>
  <c r="K86" i="3"/>
  <c r="K89" i="3"/>
  <c r="L90" i="3"/>
  <c r="K98" i="3"/>
  <c r="K110" i="3"/>
  <c r="K114" i="3"/>
  <c r="N114" i="3" s="1"/>
  <c r="K116" i="3"/>
  <c r="K117" i="3"/>
  <c r="K118" i="3"/>
  <c r="N118" i="3" s="1"/>
  <c r="K122" i="3"/>
  <c r="K123" i="3"/>
  <c r="K136" i="3"/>
  <c r="K137" i="3"/>
  <c r="N137" i="3" s="1"/>
  <c r="K139" i="3"/>
  <c r="N139" i="3" s="1"/>
  <c r="K140" i="3"/>
  <c r="K141" i="3"/>
  <c r="K148" i="3"/>
  <c r="K158" i="3"/>
  <c r="K170" i="3"/>
  <c r="K175" i="3"/>
  <c r="N175" i="3" s="1"/>
  <c r="K176" i="3"/>
  <c r="K178" i="3"/>
  <c r="N178" i="3" s="1"/>
  <c r="K183" i="3"/>
  <c r="I10" i="3"/>
  <c r="L206" i="3"/>
  <c r="M206" i="3" s="1"/>
  <c r="M204" i="3"/>
  <c r="N199" i="3"/>
  <c r="L199" i="3"/>
  <c r="M194" i="3"/>
  <c r="L194" i="3"/>
  <c r="K194" i="3"/>
  <c r="N194" i="3" s="1"/>
  <c r="F194" i="3"/>
  <c r="F193" i="3"/>
  <c r="G192" i="3"/>
  <c r="M191" i="3"/>
  <c r="L191" i="3"/>
  <c r="K191" i="3"/>
  <c r="N191" i="3" s="1"/>
  <c r="F191" i="3"/>
  <c r="F190" i="3"/>
  <c r="K189" i="3"/>
  <c r="F189" i="3"/>
  <c r="F188" i="3"/>
  <c r="M188" i="3" s="1"/>
  <c r="F187" i="3"/>
  <c r="M186" i="3"/>
  <c r="F186" i="3"/>
  <c r="K185" i="3"/>
  <c r="F185" i="3"/>
  <c r="F184" i="3"/>
  <c r="F183" i="3"/>
  <c r="K181" i="3"/>
  <c r="F181" i="3"/>
  <c r="N181" i="3" s="1"/>
  <c r="K180" i="3"/>
  <c r="F180" i="3"/>
  <c r="K179" i="3"/>
  <c r="F179" i="3"/>
  <c r="M178" i="3"/>
  <c r="F178" i="3"/>
  <c r="F176" i="3"/>
  <c r="M175" i="3"/>
  <c r="F175" i="3"/>
  <c r="K173" i="3"/>
  <c r="F173" i="3"/>
  <c r="G172" i="3"/>
  <c r="K171" i="3"/>
  <c r="F171" i="3"/>
  <c r="F170" i="3"/>
  <c r="G169" i="3"/>
  <c r="K168" i="3"/>
  <c r="F168" i="3"/>
  <c r="K167" i="3"/>
  <c r="F167" i="3"/>
  <c r="M166" i="3"/>
  <c r="F166" i="3"/>
  <c r="F165" i="3"/>
  <c r="G164" i="3"/>
  <c r="M163" i="3"/>
  <c r="F163" i="3"/>
  <c r="G162" i="3"/>
  <c r="F161" i="3"/>
  <c r="M160" i="3"/>
  <c r="F160" i="3"/>
  <c r="F158" i="3"/>
  <c r="K156" i="3"/>
  <c r="F156" i="3"/>
  <c r="N156" i="3" s="1"/>
  <c r="K155" i="3"/>
  <c r="F155" i="3"/>
  <c r="M154" i="3"/>
  <c r="F154" i="3"/>
  <c r="F153" i="3"/>
  <c r="M152" i="3"/>
  <c r="F152" i="3"/>
  <c r="F150" i="3"/>
  <c r="M149" i="3"/>
  <c r="L149" i="3"/>
  <c r="K149" i="3"/>
  <c r="N149" i="3" s="1"/>
  <c r="F149" i="3"/>
  <c r="F148" i="3"/>
  <c r="G147" i="3"/>
  <c r="M146" i="3"/>
  <c r="L146" i="3"/>
  <c r="K146" i="3"/>
  <c r="N146" i="3" s="1"/>
  <c r="F146" i="3"/>
  <c r="K145" i="3"/>
  <c r="F145" i="3"/>
  <c r="K144" i="3"/>
  <c r="F144" i="3"/>
  <c r="F141" i="3"/>
  <c r="F140" i="3"/>
  <c r="F139" i="3"/>
  <c r="M139" i="3" s="1"/>
  <c r="F138" i="3"/>
  <c r="M137" i="3"/>
  <c r="F137" i="3"/>
  <c r="F136" i="3"/>
  <c r="K135" i="3"/>
  <c r="F135" i="3"/>
  <c r="K134" i="3"/>
  <c r="F134" i="3"/>
  <c r="N134" i="3" s="1"/>
  <c r="K133" i="3"/>
  <c r="F133" i="3"/>
  <c r="M132" i="3"/>
  <c r="K132" i="3"/>
  <c r="N132" i="3" s="1"/>
  <c r="F132" i="3"/>
  <c r="L132" i="3" s="1"/>
  <c r="K131" i="3"/>
  <c r="F131" i="3"/>
  <c r="L131" i="3" s="1"/>
  <c r="M130" i="3"/>
  <c r="F130" i="3"/>
  <c r="F129" i="3"/>
  <c r="F128" i="3"/>
  <c r="F127" i="3"/>
  <c r="M127" i="3" s="1"/>
  <c r="F126" i="3"/>
  <c r="M125" i="3"/>
  <c r="F125" i="3"/>
  <c r="F124" i="3"/>
  <c r="L124" i="3" s="1"/>
  <c r="F123" i="3"/>
  <c r="F122" i="3"/>
  <c r="K121" i="3"/>
  <c r="F121" i="3"/>
  <c r="M120" i="3"/>
  <c r="L120" i="3"/>
  <c r="K120" i="3"/>
  <c r="N120" i="3" s="1"/>
  <c r="F120" i="3"/>
  <c r="K119" i="3"/>
  <c r="F119" i="3"/>
  <c r="M118" i="3"/>
  <c r="F118" i="3"/>
  <c r="F117" i="3"/>
  <c r="F116" i="3"/>
  <c r="K115" i="3"/>
  <c r="N115" i="3" s="1"/>
  <c r="F115" i="3"/>
  <c r="M115" i="3" s="1"/>
  <c r="F114" i="3"/>
  <c r="M113" i="3"/>
  <c r="F113" i="3"/>
  <c r="F112" i="3"/>
  <c r="K111" i="3"/>
  <c r="F111" i="3"/>
  <c r="F110" i="3"/>
  <c r="K109" i="3"/>
  <c r="F109" i="3"/>
  <c r="A109" i="3"/>
  <c r="K107" i="3"/>
  <c r="F107" i="3"/>
  <c r="F106" i="3"/>
  <c r="F105" i="3"/>
  <c r="M105" i="3" s="1"/>
  <c r="F104" i="3"/>
  <c r="A104" i="3"/>
  <c r="F102" i="3"/>
  <c r="G101" i="3"/>
  <c r="M100" i="3"/>
  <c r="L100" i="3"/>
  <c r="K100" i="3"/>
  <c r="F100" i="3"/>
  <c r="N100" i="3" s="1"/>
  <c r="K99" i="3"/>
  <c r="F99" i="3"/>
  <c r="F98" i="3"/>
  <c r="M97" i="3"/>
  <c r="K97" i="3"/>
  <c r="N97" i="3" s="1"/>
  <c r="F97" i="3"/>
  <c r="K96" i="3"/>
  <c r="F96" i="3"/>
  <c r="M95" i="3"/>
  <c r="L95" i="3"/>
  <c r="K95" i="3"/>
  <c r="N95" i="3" s="1"/>
  <c r="F95" i="3"/>
  <c r="F94" i="3"/>
  <c r="F93" i="3"/>
  <c r="F92" i="3"/>
  <c r="M92" i="3" s="1"/>
  <c r="F91" i="3"/>
  <c r="M90" i="3"/>
  <c r="F90" i="3"/>
  <c r="F89" i="3"/>
  <c r="G88" i="3"/>
  <c r="M87" i="3"/>
  <c r="L87" i="3"/>
  <c r="K87" i="3"/>
  <c r="N87" i="3" s="1"/>
  <c r="F87" i="3"/>
  <c r="F86" i="3"/>
  <c r="F85" i="3"/>
  <c r="K84" i="3"/>
  <c r="F84" i="3"/>
  <c r="K83" i="3"/>
  <c r="F83" i="3"/>
  <c r="L83" i="3" s="1"/>
  <c r="M82" i="3"/>
  <c r="F82" i="3"/>
  <c r="F81" i="3"/>
  <c r="A81" i="3"/>
  <c r="F79" i="3"/>
  <c r="M79" i="3" s="1"/>
  <c r="F78" i="3"/>
  <c r="G75" i="3" s="1"/>
  <c r="M77" i="3"/>
  <c r="L77" i="3"/>
  <c r="F77" i="3"/>
  <c r="F76" i="3"/>
  <c r="M74" i="3"/>
  <c r="L74" i="3"/>
  <c r="K74" i="3"/>
  <c r="N74" i="3" s="1"/>
  <c r="F74" i="3"/>
  <c r="F73" i="3"/>
  <c r="L73" i="3" s="1"/>
  <c r="K72" i="3"/>
  <c r="F72" i="3"/>
  <c r="G71" i="3" s="1"/>
  <c r="A72" i="3"/>
  <c r="F70" i="3"/>
  <c r="M69" i="3"/>
  <c r="F69" i="3"/>
  <c r="F68" i="3"/>
  <c r="K67" i="3"/>
  <c r="F67" i="3"/>
  <c r="N67" i="3" s="1"/>
  <c r="M66" i="3"/>
  <c r="F66" i="3"/>
  <c r="F65" i="3"/>
  <c r="M64" i="3"/>
  <c r="K64" i="3"/>
  <c r="N64" i="3" s="1"/>
  <c r="F64" i="3"/>
  <c r="K63" i="3"/>
  <c r="F63" i="3"/>
  <c r="M62" i="3"/>
  <c r="K62" i="3"/>
  <c r="N62" i="3" s="1"/>
  <c r="F62" i="3"/>
  <c r="F61" i="3"/>
  <c r="K60" i="3"/>
  <c r="F60" i="3"/>
  <c r="G59" i="3"/>
  <c r="F58" i="3"/>
  <c r="F57" i="3"/>
  <c r="M56" i="3"/>
  <c r="F56" i="3"/>
  <c r="K55" i="3"/>
  <c r="F55" i="3"/>
  <c r="G54" i="3"/>
  <c r="M53" i="3"/>
  <c r="F53" i="3"/>
  <c r="F52" i="3"/>
  <c r="M51" i="3"/>
  <c r="L51" i="3"/>
  <c r="K51" i="3"/>
  <c r="N51" i="3" s="1"/>
  <c r="F51" i="3"/>
  <c r="G50" i="3" s="1"/>
  <c r="K49" i="3"/>
  <c r="F49" i="3"/>
  <c r="M48" i="3"/>
  <c r="L48" i="3"/>
  <c r="K48" i="3"/>
  <c r="N48" i="3" s="1"/>
  <c r="F48" i="3"/>
  <c r="K47" i="3"/>
  <c r="F47" i="3"/>
  <c r="N47" i="3" s="1"/>
  <c r="F46" i="3"/>
  <c r="M45" i="3"/>
  <c r="F45" i="3"/>
  <c r="F44" i="3"/>
  <c r="M43" i="3"/>
  <c r="F43" i="3"/>
  <c r="K42" i="3"/>
  <c r="F42" i="3"/>
  <c r="N42" i="3" s="1"/>
  <c r="M40" i="3"/>
  <c r="F40" i="3"/>
  <c r="F39" i="3"/>
  <c r="M38" i="3"/>
  <c r="L38" i="3"/>
  <c r="K38" i="3"/>
  <c r="N38" i="3" s="1"/>
  <c r="F38" i="3"/>
  <c r="K37" i="3"/>
  <c r="F37" i="3"/>
  <c r="N37" i="3" s="1"/>
  <c r="K36" i="3"/>
  <c r="F36" i="3"/>
  <c r="M35" i="3"/>
  <c r="L35" i="3"/>
  <c r="K35" i="3"/>
  <c r="N35" i="3" s="1"/>
  <c r="F35" i="3"/>
  <c r="F33" i="3"/>
  <c r="G32" i="3"/>
  <c r="F31" i="3"/>
  <c r="K30" i="3"/>
  <c r="F30" i="3"/>
  <c r="M29" i="3"/>
  <c r="F29" i="3"/>
  <c r="F28" i="3"/>
  <c r="M27" i="3"/>
  <c r="L27" i="3"/>
  <c r="K27" i="3"/>
  <c r="N27" i="3" s="1"/>
  <c r="F27" i="3"/>
  <c r="F26" i="3"/>
  <c r="K25" i="3"/>
  <c r="F25" i="3"/>
  <c r="K23" i="3"/>
  <c r="F23" i="3"/>
  <c r="N23" i="3" s="1"/>
  <c r="F22" i="3"/>
  <c r="F21" i="3"/>
  <c r="M21" i="3" s="1"/>
  <c r="F20" i="3"/>
  <c r="M19" i="3"/>
  <c r="F19" i="3"/>
  <c r="F18" i="3"/>
  <c r="K17" i="3"/>
  <c r="N17" i="3" s="1"/>
  <c r="F17" i="3"/>
  <c r="M17" i="3" s="1"/>
  <c r="K16" i="3"/>
  <c r="F16" i="3"/>
  <c r="F15" i="3"/>
  <c r="M14" i="3"/>
  <c r="K14" i="3"/>
  <c r="N14" i="3" s="1"/>
  <c r="F14" i="3"/>
  <c r="L14" i="3" s="1"/>
  <c r="K13" i="3"/>
  <c r="F13" i="3"/>
  <c r="M12" i="3"/>
  <c r="L12" i="3"/>
  <c r="K12" i="3"/>
  <c r="N12" i="3" s="1"/>
  <c r="F12" i="3"/>
  <c r="K11" i="3"/>
  <c r="F11" i="3"/>
  <c r="M10" i="3"/>
  <c r="L10" i="3"/>
  <c r="K10" i="3"/>
  <c r="F10" i="3"/>
  <c r="N196" i="2"/>
  <c r="M196" i="2"/>
  <c r="N203" i="2"/>
  <c r="M18" i="11" l="1"/>
  <c r="M39" i="11"/>
  <c r="M127" i="11"/>
  <c r="M136" i="11"/>
  <c r="N29" i="11"/>
  <c r="L63" i="11"/>
  <c r="M106" i="11"/>
  <c r="N181" i="11"/>
  <c r="N84" i="11"/>
  <c r="L29" i="11"/>
  <c r="M97" i="11"/>
  <c r="L119" i="11"/>
  <c r="L64" i="11"/>
  <c r="N74" i="11"/>
  <c r="G88" i="11"/>
  <c r="M138" i="11"/>
  <c r="L170" i="11"/>
  <c r="L184" i="11"/>
  <c r="M43" i="11"/>
  <c r="L65" i="11"/>
  <c r="L90" i="11"/>
  <c r="M185" i="11"/>
  <c r="M65" i="11"/>
  <c r="L112" i="11"/>
  <c r="M105" i="11"/>
  <c r="N127" i="11"/>
  <c r="L14" i="11"/>
  <c r="L35" i="11"/>
  <c r="M44" i="11"/>
  <c r="L56" i="11"/>
  <c r="L91" i="11"/>
  <c r="G103" i="11"/>
  <c r="L132" i="11"/>
  <c r="M144" i="11"/>
  <c r="M14" i="11"/>
  <c r="M35" i="11"/>
  <c r="M56" i="11"/>
  <c r="M66" i="11"/>
  <c r="M91" i="11"/>
  <c r="G143" i="11"/>
  <c r="L187" i="11"/>
  <c r="M149" i="11"/>
  <c r="L113" i="11"/>
  <c r="N126" i="11"/>
  <c r="L176" i="11"/>
  <c r="M187" i="11"/>
  <c r="N99" i="11"/>
  <c r="M92" i="11"/>
  <c r="L104" i="11"/>
  <c r="L126" i="11"/>
  <c r="M146" i="11"/>
  <c r="M176" i="11"/>
  <c r="N90" i="11"/>
  <c r="M104" i="11"/>
  <c r="M114" i="11"/>
  <c r="G147" i="11"/>
  <c r="N195" i="12"/>
  <c r="N196" i="12" s="1"/>
  <c r="L195" i="12"/>
  <c r="H195" i="12"/>
  <c r="N221" i="12"/>
  <c r="N61" i="11"/>
  <c r="M69" i="11"/>
  <c r="G75" i="11"/>
  <c r="N78" i="11"/>
  <c r="L81" i="11"/>
  <c r="L89" i="11"/>
  <c r="L96" i="11"/>
  <c r="N121" i="11"/>
  <c r="N125" i="11"/>
  <c r="N134" i="11"/>
  <c r="N140" i="11"/>
  <c r="L165" i="11"/>
  <c r="N173" i="11"/>
  <c r="N179" i="11"/>
  <c r="G182" i="11"/>
  <c r="L28" i="11"/>
  <c r="N31" i="11"/>
  <c r="G34" i="11"/>
  <c r="N43" i="11"/>
  <c r="N44" i="11"/>
  <c r="N45" i="11"/>
  <c r="L49" i="11"/>
  <c r="L52" i="11"/>
  <c r="G59" i="11"/>
  <c r="L74" i="11"/>
  <c r="L76" i="11"/>
  <c r="L77" i="11"/>
  <c r="L78" i="11"/>
  <c r="M79" i="11"/>
  <c r="N83" i="11"/>
  <c r="N87" i="11"/>
  <c r="M89" i="11"/>
  <c r="N93" i="11"/>
  <c r="N98" i="11"/>
  <c r="N106" i="11"/>
  <c r="N110" i="11"/>
  <c r="N114" i="11"/>
  <c r="N115" i="11"/>
  <c r="L116" i="11"/>
  <c r="L120" i="11"/>
  <c r="L124" i="11"/>
  <c r="L125" i="11"/>
  <c r="L131" i="11"/>
  <c r="N138" i="11"/>
  <c r="N139" i="11"/>
  <c r="L140" i="11"/>
  <c r="N144" i="11"/>
  <c r="L150" i="11"/>
  <c r="G159" i="11"/>
  <c r="L167" i="11"/>
  <c r="L173" i="11"/>
  <c r="G177" i="11"/>
  <c r="L179" i="11"/>
  <c r="L181" i="11"/>
  <c r="L13" i="11"/>
  <c r="N16" i="11"/>
  <c r="M25" i="11"/>
  <c r="N33" i="11"/>
  <c r="N37" i="11"/>
  <c r="M46" i="11"/>
  <c r="L55" i="11"/>
  <c r="N58" i="11"/>
  <c r="N77" i="11"/>
  <c r="N79" i="11"/>
  <c r="N116" i="11"/>
  <c r="N167" i="11"/>
  <c r="N191" i="11"/>
  <c r="N15" i="11"/>
  <c r="N21" i="11"/>
  <c r="G32" i="11"/>
  <c r="N36" i="11"/>
  <c r="M45" i="11"/>
  <c r="G54" i="11"/>
  <c r="N57" i="11"/>
  <c r="N60" i="11"/>
  <c r="N66" i="11"/>
  <c r="L70" i="11"/>
  <c r="M76" i="11"/>
  <c r="L86" i="11"/>
  <c r="L87" i="11"/>
  <c r="N92" i="11"/>
  <c r="N102" i="11"/>
  <c r="N105" i="11"/>
  <c r="N113" i="11"/>
  <c r="M115" i="11"/>
  <c r="N122" i="11"/>
  <c r="N133" i="11"/>
  <c r="N137" i="11"/>
  <c r="M139" i="11"/>
  <c r="N146" i="11"/>
  <c r="N149" i="11"/>
  <c r="L153" i="11"/>
  <c r="N155" i="11"/>
  <c r="N158" i="11"/>
  <c r="N161" i="11"/>
  <c r="G164" i="11"/>
  <c r="G172" i="11"/>
  <c r="N171" i="11"/>
  <c r="N136" i="11"/>
  <c r="N156" i="11"/>
  <c r="N175" i="11"/>
  <c r="N160" i="11"/>
  <c r="N180" i="11"/>
  <c r="N186" i="11"/>
  <c r="N73" i="11"/>
  <c r="N97" i="11"/>
  <c r="N132" i="11"/>
  <c r="N188" i="11"/>
  <c r="N82" i="11"/>
  <c r="N154" i="11"/>
  <c r="N185" i="11"/>
  <c r="N95" i="11"/>
  <c r="N117" i="11"/>
  <c r="N10" i="11"/>
  <c r="N18" i="11"/>
  <c r="N63" i="11"/>
  <c r="N166" i="11"/>
  <c r="N22" i="11"/>
  <c r="N67" i="11"/>
  <c r="N94" i="11"/>
  <c r="N112" i="11"/>
  <c r="N129" i="11"/>
  <c r="N163" i="11"/>
  <c r="N48" i="11"/>
  <c r="N120" i="11"/>
  <c r="N124" i="11"/>
  <c r="N141" i="11"/>
  <c r="N178" i="11"/>
  <c r="N190" i="11"/>
  <c r="N12" i="11"/>
  <c r="N118" i="11"/>
  <c r="N47" i="11"/>
  <c r="M47" i="11"/>
  <c r="L47" i="11"/>
  <c r="N72" i="11"/>
  <c r="M72" i="11"/>
  <c r="L72" i="11"/>
  <c r="G71" i="11"/>
  <c r="N17" i="11"/>
  <c r="M17" i="11"/>
  <c r="L17" i="11"/>
  <c r="N123" i="11"/>
  <c r="M123" i="11"/>
  <c r="L123" i="11"/>
  <c r="N130" i="11"/>
  <c r="G41" i="11"/>
  <c r="N23" i="11"/>
  <c r="M23" i="11"/>
  <c r="L23" i="11"/>
  <c r="N38" i="11"/>
  <c r="M38" i="11"/>
  <c r="L38" i="11"/>
  <c r="N62" i="11"/>
  <c r="M62" i="11"/>
  <c r="L62" i="11"/>
  <c r="N85" i="11"/>
  <c r="M85" i="11"/>
  <c r="L85" i="11"/>
  <c r="N100" i="11"/>
  <c r="M100" i="11"/>
  <c r="L100" i="11"/>
  <c r="G24" i="11"/>
  <c r="N26" i="11"/>
  <c r="M26" i="11"/>
  <c r="L26" i="11"/>
  <c r="N39" i="11"/>
  <c r="N135" i="11"/>
  <c r="M135" i="11"/>
  <c r="L135" i="11"/>
  <c r="G9" i="11"/>
  <c r="N11" i="11"/>
  <c r="M11" i="11"/>
  <c r="L11" i="11"/>
  <c r="N51" i="11"/>
  <c r="N55" i="11"/>
  <c r="N70" i="11"/>
  <c r="N131" i="11"/>
  <c r="L145" i="11"/>
  <c r="N49" i="11"/>
  <c r="N81" i="11"/>
  <c r="L94" i="11"/>
  <c r="L117" i="11"/>
  <c r="N119" i="11"/>
  <c r="L148" i="11"/>
  <c r="N165" i="11"/>
  <c r="L190" i="11"/>
  <c r="L37" i="11"/>
  <c r="N42" i="11"/>
  <c r="L58" i="11"/>
  <c r="M68" i="11"/>
  <c r="L84" i="11"/>
  <c r="N89" i="11"/>
  <c r="L102" i="11"/>
  <c r="M107" i="11"/>
  <c r="M145" i="11"/>
  <c r="N13" i="11"/>
  <c r="N28" i="11"/>
  <c r="N52" i="11"/>
  <c r="L68" i="11"/>
  <c r="N96" i="11"/>
  <c r="L107" i="11"/>
  <c r="L129" i="11"/>
  <c r="L141" i="11"/>
  <c r="N150" i="11"/>
  <c r="N153" i="11"/>
  <c r="L193" i="11"/>
  <c r="L16" i="11"/>
  <c r="L31" i="11"/>
  <c r="G50" i="11"/>
  <c r="L61" i="11"/>
  <c r="N76" i="11"/>
  <c r="M94" i="11"/>
  <c r="L99" i="11"/>
  <c r="L110" i="11"/>
  <c r="M117" i="11"/>
  <c r="L122" i="11"/>
  <c r="M129" i="11"/>
  <c r="L134" i="11"/>
  <c r="M141" i="11"/>
  <c r="M148" i="11"/>
  <c r="G151" i="11"/>
  <c r="L156" i="11"/>
  <c r="L168" i="11"/>
  <c r="L171" i="11"/>
  <c r="L180" i="11"/>
  <c r="L183" i="11"/>
  <c r="M190" i="11"/>
  <c r="M193" i="11"/>
  <c r="M102" i="11"/>
  <c r="N145" i="11"/>
  <c r="N148" i="11"/>
  <c r="M156" i="11"/>
  <c r="M168" i="11"/>
  <c r="M171" i="11"/>
  <c r="M180" i="11"/>
  <c r="M183" i="11"/>
  <c r="L188" i="11"/>
  <c r="N193" i="11"/>
  <c r="G108" i="11"/>
  <c r="L154" i="11"/>
  <c r="L160" i="11"/>
  <c r="L163" i="11"/>
  <c r="L166" i="11"/>
  <c r="L175" i="11"/>
  <c r="L178" i="11"/>
  <c r="N183" i="11"/>
  <c r="M188" i="11"/>
  <c r="M175" i="11"/>
  <c r="M178" i="11"/>
  <c r="L186" i="11"/>
  <c r="L12" i="11"/>
  <c r="L27" i="11"/>
  <c r="L48" i="11"/>
  <c r="L51" i="11"/>
  <c r="L69" i="11"/>
  <c r="G80" i="11"/>
  <c r="L95" i="11"/>
  <c r="L118" i="11"/>
  <c r="L130" i="11"/>
  <c r="M186" i="11"/>
  <c r="L191" i="11"/>
  <c r="L194" i="11"/>
  <c r="L10" i="11"/>
  <c r="L22" i="11"/>
  <c r="L25" i="11"/>
  <c r="L46" i="11"/>
  <c r="L67" i="11"/>
  <c r="L30" i="11"/>
  <c r="L36" i="11"/>
  <c r="L57" i="11"/>
  <c r="L60" i="11"/>
  <c r="L83" i="11"/>
  <c r="L98" i="11"/>
  <c r="L109" i="11"/>
  <c r="L121" i="11"/>
  <c r="L133" i="11"/>
  <c r="L155" i="11"/>
  <c r="L158" i="11"/>
  <c r="L161" i="11"/>
  <c r="F195" i="11"/>
  <c r="L15" i="11"/>
  <c r="L33" i="11"/>
  <c r="M36" i="11"/>
  <c r="M161" i="11"/>
  <c r="N10" i="10"/>
  <c r="N11" i="10"/>
  <c r="N116" i="10"/>
  <c r="N112" i="10"/>
  <c r="N37" i="10"/>
  <c r="N72" i="10"/>
  <c r="N79" i="10"/>
  <c r="N170" i="10"/>
  <c r="N189" i="10"/>
  <c r="N12" i="10"/>
  <c r="N22" i="10"/>
  <c r="N47" i="10"/>
  <c r="N51" i="10"/>
  <c r="N63" i="10"/>
  <c r="N85" i="10"/>
  <c r="N92" i="10"/>
  <c r="N99" i="10"/>
  <c r="N111" i="10"/>
  <c r="N129" i="10"/>
  <c r="N136" i="10"/>
  <c r="N139" i="10"/>
  <c r="N158" i="10"/>
  <c r="N94" i="10"/>
  <c r="N188" i="10"/>
  <c r="M11" i="10"/>
  <c r="L16" i="10"/>
  <c r="M23" i="10"/>
  <c r="M26" i="10"/>
  <c r="L31" i="10"/>
  <c r="L37" i="10"/>
  <c r="M47" i="10"/>
  <c r="G50" i="10"/>
  <c r="L58" i="10"/>
  <c r="L61" i="10"/>
  <c r="M68" i="10"/>
  <c r="G71" i="10"/>
  <c r="L84" i="10"/>
  <c r="M94" i="10"/>
  <c r="L99" i="10"/>
  <c r="L102" i="10"/>
  <c r="M107" i="10"/>
  <c r="L110" i="10"/>
  <c r="M117" i="10"/>
  <c r="L122" i="10"/>
  <c r="M129" i="10"/>
  <c r="L134" i="10"/>
  <c r="G151" i="10"/>
  <c r="M16" i="10"/>
  <c r="L21" i="10"/>
  <c r="M31" i="10"/>
  <c r="M37" i="10"/>
  <c r="L45" i="10"/>
  <c r="M58" i="10"/>
  <c r="M61" i="10"/>
  <c r="L66" i="10"/>
  <c r="L79" i="10"/>
  <c r="M84" i="10"/>
  <c r="L92" i="10"/>
  <c r="M99" i="10"/>
  <c r="M102" i="10"/>
  <c r="L105" i="10"/>
  <c r="M110" i="10"/>
  <c r="L115" i="10"/>
  <c r="M122" i="10"/>
  <c r="L127" i="10"/>
  <c r="M134" i="10"/>
  <c r="L139" i="10"/>
  <c r="L188" i="10"/>
  <c r="G9" i="10"/>
  <c r="M21" i="10"/>
  <c r="G24" i="10"/>
  <c r="M45" i="10"/>
  <c r="N58" i="10"/>
  <c r="N61" i="10"/>
  <c r="M66" i="10"/>
  <c r="M79" i="10"/>
  <c r="N84" i="10"/>
  <c r="M92" i="10"/>
  <c r="N102" i="10"/>
  <c r="M105" i="10"/>
  <c r="G108" i="10"/>
  <c r="M115" i="10"/>
  <c r="M127" i="10"/>
  <c r="M139" i="10"/>
  <c r="G143" i="10"/>
  <c r="M188" i="10"/>
  <c r="L17" i="10"/>
  <c r="L38" i="10"/>
  <c r="L62" i="10"/>
  <c r="L72" i="10"/>
  <c r="L85" i="10"/>
  <c r="L100" i="10"/>
  <c r="L111" i="10"/>
  <c r="L123" i="10"/>
  <c r="L135" i="10"/>
  <c r="L181" i="10"/>
  <c r="L184" i="10"/>
  <c r="L10" i="10"/>
  <c r="M17" i="10"/>
  <c r="L22" i="10"/>
  <c r="L25" i="10"/>
  <c r="M38" i="10"/>
  <c r="L46" i="10"/>
  <c r="M62" i="10"/>
  <c r="L67" i="10"/>
  <c r="M72" i="10"/>
  <c r="M85" i="10"/>
  <c r="L93" i="10"/>
  <c r="M100" i="10"/>
  <c r="L106" i="10"/>
  <c r="M111" i="10"/>
  <c r="L116" i="10"/>
  <c r="M123" i="10"/>
  <c r="L128" i="10"/>
  <c r="M135" i="10"/>
  <c r="L140" i="10"/>
  <c r="L144" i="10"/>
  <c r="N149" i="10"/>
  <c r="M181" i="10"/>
  <c r="M184" i="10"/>
  <c r="L189" i="10"/>
  <c r="N194" i="10"/>
  <c r="G103" i="10"/>
  <c r="M10" i="10"/>
  <c r="L15" i="10"/>
  <c r="M22" i="10"/>
  <c r="M25" i="10"/>
  <c r="L30" i="10"/>
  <c r="L33" i="10"/>
  <c r="L36" i="10"/>
  <c r="M46" i="10"/>
  <c r="L57" i="10"/>
  <c r="L60" i="10"/>
  <c r="M67" i="10"/>
  <c r="L83" i="10"/>
  <c r="M93" i="10"/>
  <c r="L98" i="10"/>
  <c r="M106" i="10"/>
  <c r="L109" i="10"/>
  <c r="M116" i="10"/>
  <c r="L121" i="10"/>
  <c r="M128" i="10"/>
  <c r="L133" i="10"/>
  <c r="M140" i="10"/>
  <c r="M144" i="10"/>
  <c r="L155" i="10"/>
  <c r="L158" i="10"/>
  <c r="L161" i="10"/>
  <c r="L167" i="10"/>
  <c r="L170" i="10"/>
  <c r="L173" i="10"/>
  <c r="L176" i="10"/>
  <c r="L179" i="10"/>
  <c r="N184" i="10"/>
  <c r="M189" i="10"/>
  <c r="F195" i="10"/>
  <c r="L138" i="10"/>
  <c r="M155" i="10"/>
  <c r="M158" i="10"/>
  <c r="M161" i="10"/>
  <c r="M167" i="10"/>
  <c r="M170" i="10"/>
  <c r="M173" i="10"/>
  <c r="M176" i="10"/>
  <c r="M179" i="10"/>
  <c r="L187" i="10"/>
  <c r="L150" i="10"/>
  <c r="L153" i="10"/>
  <c r="L165" i="10"/>
  <c r="M187" i="10"/>
  <c r="N128" i="9"/>
  <c r="N173" i="9"/>
  <c r="N109" i="9"/>
  <c r="N121" i="9"/>
  <c r="N126" i="9"/>
  <c r="N144" i="9"/>
  <c r="N170" i="9"/>
  <c r="N179" i="9"/>
  <c r="N123" i="9"/>
  <c r="N72" i="9"/>
  <c r="N114" i="9"/>
  <c r="N125" i="9"/>
  <c r="N176" i="9"/>
  <c r="N20" i="9"/>
  <c r="N60" i="9"/>
  <c r="N98" i="9"/>
  <c r="N106" i="9"/>
  <c r="N133" i="9"/>
  <c r="N161" i="9"/>
  <c r="N181" i="9"/>
  <c r="N25" i="9"/>
  <c r="N33" i="9"/>
  <c r="N65" i="9"/>
  <c r="N95" i="9"/>
  <c r="N111" i="9"/>
  <c r="N138" i="9"/>
  <c r="N187" i="9"/>
  <c r="N17" i="9"/>
  <c r="N38" i="9"/>
  <c r="N83" i="9"/>
  <c r="L125" i="9"/>
  <c r="G50" i="9"/>
  <c r="G71" i="9"/>
  <c r="G151" i="9"/>
  <c r="G9" i="9"/>
  <c r="G108" i="9"/>
  <c r="L74" i="9"/>
  <c r="L90" i="9"/>
  <c r="M40" i="9"/>
  <c r="M64" i="9"/>
  <c r="M77" i="9"/>
  <c r="L95" i="9"/>
  <c r="M125" i="9"/>
  <c r="M137" i="9"/>
  <c r="L152" i="9"/>
  <c r="L191" i="9"/>
  <c r="M12" i="9"/>
  <c r="L17" i="9"/>
  <c r="N19" i="9"/>
  <c r="M27" i="9"/>
  <c r="L38" i="9"/>
  <c r="N40" i="9"/>
  <c r="N43" i="9"/>
  <c r="M48" i="9"/>
  <c r="M51" i="9"/>
  <c r="L62" i="9"/>
  <c r="N64" i="9"/>
  <c r="M69" i="9"/>
  <c r="L72" i="9"/>
  <c r="N74" i="9"/>
  <c r="N77" i="9"/>
  <c r="L85" i="9"/>
  <c r="N87" i="9"/>
  <c r="N90" i="9"/>
  <c r="M95" i="9"/>
  <c r="L100" i="9"/>
  <c r="L111" i="9"/>
  <c r="N113" i="9"/>
  <c r="M118" i="9"/>
  <c r="L123" i="9"/>
  <c r="M130" i="9"/>
  <c r="L135" i="9"/>
  <c r="N137" i="9"/>
  <c r="M146" i="9"/>
  <c r="M149" i="9"/>
  <c r="M152" i="9"/>
  <c r="L181" i="9"/>
  <c r="L184" i="9"/>
  <c r="N186" i="9"/>
  <c r="M191" i="9"/>
  <c r="M194" i="9"/>
  <c r="L43" i="9"/>
  <c r="L87" i="9"/>
  <c r="L48" i="9"/>
  <c r="L69" i="9"/>
  <c r="L10" i="9"/>
  <c r="N12" i="9"/>
  <c r="M17" i="9"/>
  <c r="L22" i="9"/>
  <c r="L25" i="9"/>
  <c r="N27" i="9"/>
  <c r="M38" i="9"/>
  <c r="G41" i="9"/>
  <c r="L46" i="9"/>
  <c r="N51" i="9"/>
  <c r="M62" i="9"/>
  <c r="L67" i="9"/>
  <c r="M72" i="9"/>
  <c r="G75" i="9"/>
  <c r="M85" i="9"/>
  <c r="G88" i="9"/>
  <c r="L93" i="9"/>
  <c r="M100" i="9"/>
  <c r="L106" i="9"/>
  <c r="M111" i="9"/>
  <c r="L116" i="9"/>
  <c r="N118" i="9"/>
  <c r="M123" i="9"/>
  <c r="L128" i="9"/>
  <c r="N130" i="9"/>
  <c r="M135" i="9"/>
  <c r="L140" i="9"/>
  <c r="L144" i="9"/>
  <c r="N146" i="9"/>
  <c r="N149" i="9"/>
  <c r="M181" i="9"/>
  <c r="M184" i="9"/>
  <c r="L189" i="9"/>
  <c r="N194" i="9"/>
  <c r="L113" i="9"/>
  <c r="M19" i="9"/>
  <c r="M186" i="9"/>
  <c r="M10" i="9"/>
  <c r="L15" i="9"/>
  <c r="M22" i="9"/>
  <c r="M25" i="9"/>
  <c r="L30" i="9"/>
  <c r="L33" i="9"/>
  <c r="L36" i="9"/>
  <c r="M46" i="9"/>
  <c r="L57" i="9"/>
  <c r="L60" i="9"/>
  <c r="M67" i="9"/>
  <c r="L83" i="9"/>
  <c r="N85" i="9"/>
  <c r="M93" i="9"/>
  <c r="L98" i="9"/>
  <c r="M106" i="9"/>
  <c r="L109" i="9"/>
  <c r="M116" i="9"/>
  <c r="L121" i="9"/>
  <c r="M128" i="9"/>
  <c r="L133" i="9"/>
  <c r="M140" i="9"/>
  <c r="M144" i="9"/>
  <c r="G147" i="9"/>
  <c r="L155" i="9"/>
  <c r="L158" i="9"/>
  <c r="L161" i="9"/>
  <c r="L167" i="9"/>
  <c r="L170" i="9"/>
  <c r="L173" i="9"/>
  <c r="L176" i="9"/>
  <c r="L179" i="9"/>
  <c r="N184" i="9"/>
  <c r="M189" i="9"/>
  <c r="G192" i="9"/>
  <c r="F195" i="9"/>
  <c r="G59" i="9"/>
  <c r="M15" i="9"/>
  <c r="L20" i="9"/>
  <c r="M30" i="9"/>
  <c r="M33" i="9"/>
  <c r="M36" i="9"/>
  <c r="L44" i="9"/>
  <c r="M57" i="9"/>
  <c r="M60" i="9"/>
  <c r="L65" i="9"/>
  <c r="L78" i="9"/>
  <c r="M83" i="9"/>
  <c r="L91" i="9"/>
  <c r="M98" i="9"/>
  <c r="L104" i="9"/>
  <c r="M109" i="9"/>
  <c r="L114" i="9"/>
  <c r="M121" i="9"/>
  <c r="L126" i="9"/>
  <c r="M133" i="9"/>
  <c r="L138" i="9"/>
  <c r="M155" i="9"/>
  <c r="M158" i="9"/>
  <c r="M161" i="9"/>
  <c r="M167" i="9"/>
  <c r="M170" i="9"/>
  <c r="M173" i="9"/>
  <c r="M176" i="9"/>
  <c r="M179" i="9"/>
  <c r="L187" i="9"/>
  <c r="L13" i="9"/>
  <c r="M20" i="9"/>
  <c r="L28" i="9"/>
  <c r="M44" i="9"/>
  <c r="L49" i="9"/>
  <c r="L52" i="9"/>
  <c r="L55" i="9"/>
  <c r="M65" i="9"/>
  <c r="L70" i="9"/>
  <c r="M78" i="9"/>
  <c r="L81" i="9"/>
  <c r="M91" i="9"/>
  <c r="L96" i="9"/>
  <c r="M104" i="9"/>
  <c r="M114" i="9"/>
  <c r="L119" i="9"/>
  <c r="M126" i="9"/>
  <c r="L131" i="9"/>
  <c r="M138" i="9"/>
  <c r="L150" i="9"/>
  <c r="L153" i="9"/>
  <c r="L165" i="9"/>
  <c r="M187" i="9"/>
  <c r="N36" i="8"/>
  <c r="N53" i="8"/>
  <c r="N109" i="8"/>
  <c r="N191" i="8"/>
  <c r="N25" i="8"/>
  <c r="N120" i="8"/>
  <c r="N29" i="8"/>
  <c r="N22" i="8"/>
  <c r="N57" i="8"/>
  <c r="N98" i="8"/>
  <c r="N133" i="8"/>
  <c r="N83" i="8"/>
  <c r="N161" i="8"/>
  <c r="N60" i="8"/>
  <c r="M69" i="8"/>
  <c r="L69" i="8"/>
  <c r="N82" i="8"/>
  <c r="M95" i="8"/>
  <c r="L95" i="8"/>
  <c r="N137" i="8"/>
  <c r="M137" i="8"/>
  <c r="M152" i="8"/>
  <c r="L152" i="8"/>
  <c r="M165" i="8"/>
  <c r="L165" i="8"/>
  <c r="G164" i="8"/>
  <c r="N165" i="8"/>
  <c r="G182" i="8"/>
  <c r="L184" i="8"/>
  <c r="M194" i="8"/>
  <c r="L194" i="8"/>
  <c r="N78" i="8"/>
  <c r="L78" i="8"/>
  <c r="M78" i="8"/>
  <c r="L14" i="8"/>
  <c r="M70" i="8"/>
  <c r="L70" i="8"/>
  <c r="N70" i="8"/>
  <c r="M85" i="8"/>
  <c r="M96" i="8"/>
  <c r="L96" i="8"/>
  <c r="N96" i="8"/>
  <c r="N138" i="8"/>
  <c r="L138" i="8"/>
  <c r="M138" i="8"/>
  <c r="M153" i="8"/>
  <c r="L153" i="8"/>
  <c r="N153" i="8"/>
  <c r="F195" i="8"/>
  <c r="M14" i="8"/>
  <c r="N64" i="8"/>
  <c r="M64" i="8"/>
  <c r="M118" i="8"/>
  <c r="L118" i="8"/>
  <c r="N74" i="8"/>
  <c r="M74" i="8"/>
  <c r="M27" i="8"/>
  <c r="L27" i="8"/>
  <c r="N85" i="8"/>
  <c r="N90" i="8"/>
  <c r="M90" i="8"/>
  <c r="N118" i="8"/>
  <c r="L166" i="8"/>
  <c r="L178" i="8"/>
  <c r="M17" i="8"/>
  <c r="G24" i="8"/>
  <c r="L35" i="8"/>
  <c r="L53" i="8"/>
  <c r="G71" i="8"/>
  <c r="L74" i="8"/>
  <c r="M119" i="8"/>
  <c r="L119" i="8"/>
  <c r="N119" i="8"/>
  <c r="M149" i="8"/>
  <c r="L149" i="8"/>
  <c r="M166" i="8"/>
  <c r="M181" i="8"/>
  <c r="N15" i="8"/>
  <c r="N17" i="8"/>
  <c r="N27" i="8"/>
  <c r="M38" i="8"/>
  <c r="M49" i="8"/>
  <c r="L49" i="8"/>
  <c r="N49" i="8"/>
  <c r="M53" i="8"/>
  <c r="L64" i="8"/>
  <c r="G75" i="8"/>
  <c r="L90" i="8"/>
  <c r="N104" i="8"/>
  <c r="L104" i="8"/>
  <c r="M104" i="8"/>
  <c r="N113" i="8"/>
  <c r="M113" i="8"/>
  <c r="N126" i="8"/>
  <c r="M126" i="8"/>
  <c r="L126" i="8"/>
  <c r="L132" i="8"/>
  <c r="N167" i="8"/>
  <c r="G174" i="8"/>
  <c r="N175" i="8"/>
  <c r="N179" i="8"/>
  <c r="N181" i="8"/>
  <c r="G192" i="8"/>
  <c r="N20" i="8"/>
  <c r="L20" i="8"/>
  <c r="M20" i="8"/>
  <c r="M52" i="8"/>
  <c r="L52" i="8"/>
  <c r="N52" i="8"/>
  <c r="N125" i="8"/>
  <c r="M125" i="8"/>
  <c r="M191" i="8"/>
  <c r="L191" i="8"/>
  <c r="M28" i="8"/>
  <c r="L28" i="8"/>
  <c r="N28" i="8"/>
  <c r="N38" i="8"/>
  <c r="N43" i="8"/>
  <c r="M43" i="8"/>
  <c r="N65" i="8"/>
  <c r="M65" i="8"/>
  <c r="L65" i="8"/>
  <c r="N91" i="8"/>
  <c r="M91" i="8"/>
  <c r="L91" i="8"/>
  <c r="M132" i="8"/>
  <c r="G162" i="8"/>
  <c r="N163" i="8"/>
  <c r="N186" i="8"/>
  <c r="M186" i="8"/>
  <c r="G177" i="8"/>
  <c r="N178" i="8"/>
  <c r="G9" i="8"/>
  <c r="M55" i="8"/>
  <c r="L55" i="8"/>
  <c r="G54" i="8"/>
  <c r="N55" i="8"/>
  <c r="L12" i="8"/>
  <c r="L43" i="8"/>
  <c r="N114" i="8"/>
  <c r="L114" i="8"/>
  <c r="M114" i="8"/>
  <c r="L120" i="8"/>
  <c r="L163" i="8"/>
  <c r="L186" i="8"/>
  <c r="M131" i="8"/>
  <c r="L131" i="8"/>
  <c r="N131" i="8"/>
  <c r="G34" i="8"/>
  <c r="N35" i="8"/>
  <c r="M48" i="8"/>
  <c r="L48" i="8"/>
  <c r="N87" i="8"/>
  <c r="M87" i="8"/>
  <c r="M146" i="8"/>
  <c r="L146" i="8"/>
  <c r="M150" i="8"/>
  <c r="L150" i="8"/>
  <c r="N150" i="8"/>
  <c r="N12" i="8"/>
  <c r="N19" i="8"/>
  <c r="M19" i="8"/>
  <c r="N44" i="8"/>
  <c r="M44" i="8"/>
  <c r="L44" i="8"/>
  <c r="M51" i="8"/>
  <c r="L51" i="8"/>
  <c r="N56" i="8"/>
  <c r="M72" i="8"/>
  <c r="M81" i="8"/>
  <c r="L81" i="8"/>
  <c r="G80" i="8"/>
  <c r="N81" i="8"/>
  <c r="L87" i="8"/>
  <c r="M120" i="8"/>
  <c r="M123" i="8"/>
  <c r="N146" i="8"/>
  <c r="G151" i="8"/>
  <c r="M163" i="8"/>
  <c r="N176" i="8"/>
  <c r="N187" i="8"/>
  <c r="L187" i="8"/>
  <c r="M187" i="8"/>
  <c r="G50" i="8"/>
  <c r="M13" i="8"/>
  <c r="L13" i="8"/>
  <c r="N13" i="8"/>
  <c r="L29" i="8"/>
  <c r="N33" i="8"/>
  <c r="N40" i="8"/>
  <c r="M40" i="8"/>
  <c r="G59" i="8"/>
  <c r="M62" i="8"/>
  <c r="N72" i="8"/>
  <c r="N77" i="8"/>
  <c r="M77" i="8"/>
  <c r="G88" i="8"/>
  <c r="G108" i="8"/>
  <c r="N121" i="8"/>
  <c r="N123" i="8"/>
  <c r="M130" i="8"/>
  <c r="L130" i="8"/>
  <c r="G147" i="8"/>
  <c r="G159" i="8"/>
  <c r="N160" i="8"/>
  <c r="M18" i="8"/>
  <c r="M39" i="8"/>
  <c r="M42" i="8"/>
  <c r="M63" i="8"/>
  <c r="M73" i="8"/>
  <c r="M76" i="8"/>
  <c r="M86" i="8"/>
  <c r="M89" i="8"/>
  <c r="M112" i="8"/>
  <c r="M124" i="8"/>
  <c r="M136" i="8"/>
  <c r="M185" i="8"/>
  <c r="G71" i="7"/>
  <c r="N84" i="7"/>
  <c r="N111" i="7"/>
  <c r="N185" i="7"/>
  <c r="N49" i="7"/>
  <c r="N64" i="7"/>
  <c r="N81" i="7"/>
  <c r="N128" i="7"/>
  <c r="N161" i="7"/>
  <c r="L23" i="7"/>
  <c r="L27" i="7"/>
  <c r="L49" i="7"/>
  <c r="G54" i="7"/>
  <c r="L64" i="7"/>
  <c r="L81" i="7"/>
  <c r="N104" i="7"/>
  <c r="N112" i="7"/>
  <c r="L128" i="7"/>
  <c r="L150" i="7"/>
  <c r="L161" i="7"/>
  <c r="N187" i="7"/>
  <c r="N23" i="7"/>
  <c r="N91" i="7"/>
  <c r="N95" i="7"/>
  <c r="G108" i="7"/>
  <c r="M112" i="7"/>
  <c r="N125" i="7"/>
  <c r="N133" i="7"/>
  <c r="N138" i="7"/>
  <c r="N141" i="7"/>
  <c r="G24" i="7"/>
  <c r="N28" i="7"/>
  <c r="N61" i="7"/>
  <c r="L69" i="7"/>
  <c r="N86" i="7"/>
  <c r="L91" i="7"/>
  <c r="L95" i="7"/>
  <c r="M104" i="7"/>
  <c r="N109" i="7"/>
  <c r="N117" i="7"/>
  <c r="L125" i="7"/>
  <c r="L138" i="7"/>
  <c r="L141" i="7"/>
  <c r="N168" i="7"/>
  <c r="N188" i="7"/>
  <c r="L61" i="7"/>
  <c r="L86" i="7"/>
  <c r="L109" i="7"/>
  <c r="L17" i="7"/>
  <c r="L25" i="7"/>
  <c r="N38" i="7"/>
  <c r="L43" i="7"/>
  <c r="N52" i="7"/>
  <c r="N66" i="7"/>
  <c r="L74" i="7"/>
  <c r="L78" i="7"/>
  <c r="L83" i="7"/>
  <c r="N100" i="7"/>
  <c r="N105" i="7"/>
  <c r="M109" i="7"/>
  <c r="M117" i="7"/>
  <c r="L134" i="7"/>
  <c r="G143" i="7"/>
  <c r="N148" i="7"/>
  <c r="G159" i="7"/>
  <c r="L163" i="7"/>
  <c r="L28" i="7"/>
  <c r="M69" i="7"/>
  <c r="F195" i="7"/>
  <c r="L21" i="7"/>
  <c r="M25" i="7"/>
  <c r="L38" i="7"/>
  <c r="N48" i="7"/>
  <c r="L52" i="7"/>
  <c r="N62" i="7"/>
  <c r="L66" i="7"/>
  <c r="M74" i="7"/>
  <c r="M83" i="7"/>
  <c r="L100" i="7"/>
  <c r="L105" i="7"/>
  <c r="N122" i="7"/>
  <c r="M130" i="7"/>
  <c r="N139" i="7"/>
  <c r="L148" i="7"/>
  <c r="M27" i="7"/>
  <c r="G80" i="7"/>
  <c r="M150" i="7"/>
  <c r="M152" i="7"/>
  <c r="L175" i="7"/>
  <c r="N21" i="7"/>
  <c r="N25" i="7"/>
  <c r="N35" i="7"/>
  <c r="N44" i="7"/>
  <c r="L70" i="7"/>
  <c r="N79" i="7"/>
  <c r="G88" i="7"/>
  <c r="N106" i="7"/>
  <c r="N118" i="7"/>
  <c r="N165" i="7"/>
  <c r="L176" i="7"/>
  <c r="N184" i="7"/>
  <c r="N22" i="7"/>
  <c r="N56" i="7"/>
  <c r="N73" i="7"/>
  <c r="N153" i="7"/>
  <c r="N167" i="7"/>
  <c r="N13" i="7"/>
  <c r="N51" i="7"/>
  <c r="N96" i="7"/>
  <c r="N14" i="7"/>
  <c r="N40" i="7"/>
  <c r="N97" i="7"/>
  <c r="N193" i="7"/>
  <c r="N42" i="7"/>
  <c r="N58" i="7"/>
  <c r="N92" i="7"/>
  <c r="N194" i="7"/>
  <c r="N20" i="7"/>
  <c r="N47" i="7"/>
  <c r="N60" i="7"/>
  <c r="N171" i="7"/>
  <c r="N179" i="7"/>
  <c r="N87" i="7"/>
  <c r="N110" i="7"/>
  <c r="N144" i="7"/>
  <c r="N163" i="7"/>
  <c r="N37" i="7"/>
  <c r="N180" i="7"/>
  <c r="N77" i="7"/>
  <c r="N99" i="7"/>
  <c r="N189" i="7"/>
  <c r="N11" i="7"/>
  <c r="N94" i="7"/>
  <c r="N114" i="7"/>
  <c r="N136" i="7"/>
  <c r="N126" i="7"/>
  <c r="N121" i="7"/>
  <c r="N132" i="7"/>
  <c r="N113" i="7"/>
  <c r="N123" i="7"/>
  <c r="L129" i="7"/>
  <c r="M132" i="7"/>
  <c r="N135" i="7"/>
  <c r="G147" i="7"/>
  <c r="M154" i="7"/>
  <c r="L158" i="7"/>
  <c r="M166" i="7"/>
  <c r="L170" i="7"/>
  <c r="M178" i="7"/>
  <c r="N181" i="7"/>
  <c r="M185" i="7"/>
  <c r="G192" i="7"/>
  <c r="G151" i="7"/>
  <c r="N154" i="7"/>
  <c r="M158" i="7"/>
  <c r="N166" i="7"/>
  <c r="M170" i="7"/>
  <c r="N178" i="7"/>
  <c r="G182" i="7"/>
  <c r="L92" i="7"/>
  <c r="G9" i="7"/>
  <c r="L22" i="7"/>
  <c r="L29" i="7"/>
  <c r="M85" i="7"/>
  <c r="M92" i="7"/>
  <c r="L106" i="7"/>
  <c r="M119" i="7"/>
  <c r="L132" i="7"/>
  <c r="M22" i="7"/>
  <c r="M29" i="7"/>
  <c r="L40" i="7"/>
  <c r="L47" i="7"/>
  <c r="L68" i="7"/>
  <c r="M82" i="7"/>
  <c r="N85" i="7"/>
  <c r="M89" i="7"/>
  <c r="G103" i="7"/>
  <c r="M106" i="7"/>
  <c r="L113" i="7"/>
  <c r="M116" i="7"/>
  <c r="L16" i="7"/>
  <c r="M19" i="7"/>
  <c r="M26" i="7"/>
  <c r="M33" i="7"/>
  <c r="L37" i="7"/>
  <c r="M40" i="7"/>
  <c r="L44" i="7"/>
  <c r="M47" i="7"/>
  <c r="L51" i="7"/>
  <c r="L58" i="7"/>
  <c r="L65" i="7"/>
  <c r="M68" i="7"/>
  <c r="N82" i="7"/>
  <c r="N89" i="7"/>
  <c r="L99" i="7"/>
  <c r="L110" i="7"/>
  <c r="M113" i="7"/>
  <c r="N116" i="7"/>
  <c r="L126" i="7"/>
  <c r="M129" i="7"/>
  <c r="L13" i="7"/>
  <c r="M16" i="7"/>
  <c r="N19" i="7"/>
  <c r="N26" i="7"/>
  <c r="N33" i="7"/>
  <c r="M37" i="7"/>
  <c r="M44" i="7"/>
  <c r="M51" i="7"/>
  <c r="L55" i="7"/>
  <c r="M58" i="7"/>
  <c r="L62" i="7"/>
  <c r="M65" i="7"/>
  <c r="L72" i="7"/>
  <c r="L79" i="7"/>
  <c r="L96" i="7"/>
  <c r="M99" i="7"/>
  <c r="M110" i="7"/>
  <c r="L123" i="7"/>
  <c r="M126" i="7"/>
  <c r="N158" i="7"/>
  <c r="N170" i="7"/>
  <c r="L189" i="7"/>
  <c r="L82" i="7"/>
  <c r="L89" i="7"/>
  <c r="M135" i="7"/>
  <c r="N119" i="7"/>
  <c r="M13" i="7"/>
  <c r="G34" i="7"/>
  <c r="G41" i="7"/>
  <c r="M55" i="7"/>
  <c r="M62" i="7"/>
  <c r="M72" i="7"/>
  <c r="M79" i="7"/>
  <c r="M96" i="7"/>
  <c r="M123" i="7"/>
  <c r="M10" i="7"/>
  <c r="G59" i="7"/>
  <c r="M136" i="7"/>
  <c r="M175" i="7"/>
  <c r="L179" i="7"/>
  <c r="L186" i="7"/>
  <c r="M189" i="7"/>
  <c r="L193" i="7"/>
  <c r="L130" i="7"/>
  <c r="L152" i="7"/>
  <c r="M167" i="7"/>
  <c r="L171" i="7"/>
  <c r="N175" i="7"/>
  <c r="M179" i="7"/>
  <c r="L183" i="7"/>
  <c r="M186" i="7"/>
  <c r="M193" i="7"/>
  <c r="G164" i="7"/>
  <c r="M171" i="7"/>
  <c r="M183" i="7"/>
  <c r="L14" i="7"/>
  <c r="L35" i="7"/>
  <c r="L42" i="7"/>
  <c r="L56" i="7"/>
  <c r="L63" i="7"/>
  <c r="L73" i="7"/>
  <c r="L97" i="7"/>
  <c r="L124" i="7"/>
  <c r="L11" i="7"/>
  <c r="M14" i="7"/>
  <c r="M35" i="7"/>
  <c r="M42" i="7"/>
  <c r="M56" i="7"/>
  <c r="L60" i="7"/>
  <c r="M63" i="7"/>
  <c r="M73" i="7"/>
  <c r="L77" i="7"/>
  <c r="L87" i="7"/>
  <c r="L94" i="7"/>
  <c r="M97" i="7"/>
  <c r="L121" i="7"/>
  <c r="M124" i="7"/>
  <c r="L137" i="7"/>
  <c r="L145" i="7"/>
  <c r="M11" i="7"/>
  <c r="M60" i="7"/>
  <c r="M77" i="7"/>
  <c r="M87" i="7"/>
  <c r="M94" i="7"/>
  <c r="M121" i="7"/>
  <c r="M137" i="7"/>
  <c r="M145" i="7"/>
  <c r="L168" i="7"/>
  <c r="M176" i="7"/>
  <c r="L180" i="7"/>
  <c r="L187" i="7"/>
  <c r="M190" i="7"/>
  <c r="L194" i="7"/>
  <c r="L131" i="7"/>
  <c r="L153" i="7"/>
  <c r="L165" i="7"/>
  <c r="M180" i="7"/>
  <c r="L184" i="7"/>
  <c r="M187" i="7"/>
  <c r="M194" i="7"/>
  <c r="M153" i="7"/>
  <c r="M165" i="7"/>
  <c r="G177" i="7"/>
  <c r="M184" i="7"/>
  <c r="L181" i="7"/>
  <c r="L188" i="7"/>
  <c r="M47" i="6"/>
  <c r="N113" i="6"/>
  <c r="N139" i="6"/>
  <c r="N170" i="6"/>
  <c r="L113" i="6"/>
  <c r="L139" i="6"/>
  <c r="N150" i="6"/>
  <c r="L170" i="6"/>
  <c r="L16" i="6"/>
  <c r="N58" i="6"/>
  <c r="N181" i="6"/>
  <c r="N110" i="6"/>
  <c r="N154" i="6"/>
  <c r="G103" i="6"/>
  <c r="G41" i="6"/>
  <c r="L33" i="6"/>
  <c r="M99" i="6"/>
  <c r="N166" i="6"/>
  <c r="N175" i="6"/>
  <c r="N10" i="6"/>
  <c r="N19" i="6"/>
  <c r="M110" i="6"/>
  <c r="M166" i="6"/>
  <c r="M186" i="6"/>
  <c r="N44" i="6"/>
  <c r="M116" i="6"/>
  <c r="L10" i="6"/>
  <c r="L19" i="6"/>
  <c r="G54" i="6"/>
  <c r="G147" i="6"/>
  <c r="N85" i="6"/>
  <c r="N185" i="6"/>
  <c r="G182" i="6"/>
  <c r="N40" i="6"/>
  <c r="M106" i="6"/>
  <c r="M163" i="6"/>
  <c r="L40" i="6"/>
  <c r="M22" i="6"/>
  <c r="N51" i="6"/>
  <c r="N163" i="6"/>
  <c r="L51" i="6"/>
  <c r="M79" i="6"/>
  <c r="M126" i="6"/>
  <c r="N37" i="6"/>
  <c r="N92" i="6"/>
  <c r="N135" i="6"/>
  <c r="N89" i="6"/>
  <c r="M89" i="6"/>
  <c r="N126" i="6"/>
  <c r="M132" i="6"/>
  <c r="G34" i="6"/>
  <c r="L37" i="6"/>
  <c r="N22" i="6"/>
  <c r="N79" i="6"/>
  <c r="N132" i="6"/>
  <c r="G80" i="6"/>
  <c r="N116" i="6"/>
  <c r="G75" i="6"/>
  <c r="N149" i="6"/>
  <c r="G177" i="6"/>
  <c r="N188" i="6"/>
  <c r="N125" i="6"/>
  <c r="N183" i="6"/>
  <c r="N146" i="6"/>
  <c r="N156" i="6"/>
  <c r="N74" i="6"/>
  <c r="N138" i="6"/>
  <c r="N168" i="6"/>
  <c r="N43" i="6"/>
  <c r="L81" i="6"/>
  <c r="L158" i="6"/>
  <c r="N141" i="6"/>
  <c r="K26" i="6"/>
  <c r="N26" i="6" s="1"/>
  <c r="N46" i="6"/>
  <c r="K68" i="6"/>
  <c r="N68" i="6" s="1"/>
  <c r="K99" i="6"/>
  <c r="N99" i="6" s="1"/>
  <c r="L44" i="6"/>
  <c r="N98" i="6"/>
  <c r="K45" i="6"/>
  <c r="N45" i="6" s="1"/>
  <c r="K33" i="6"/>
  <c r="N33" i="6" s="1"/>
  <c r="L53" i="6"/>
  <c r="N114" i="6"/>
  <c r="L178" i="6"/>
  <c r="L23" i="6"/>
  <c r="L25" i="6"/>
  <c r="N67" i="6"/>
  <c r="N133" i="6"/>
  <c r="N134" i="6"/>
  <c r="N15" i="6"/>
  <c r="N122" i="6"/>
  <c r="L153" i="6"/>
  <c r="K47" i="6"/>
  <c r="N47" i="6" s="1"/>
  <c r="N78" i="6"/>
  <c r="N93" i="6"/>
  <c r="N109" i="6"/>
  <c r="L136" i="6"/>
  <c r="N161" i="6"/>
  <c r="K186" i="6"/>
  <c r="N186" i="6" s="1"/>
  <c r="N69" i="6"/>
  <c r="L154" i="6"/>
  <c r="N194" i="6"/>
  <c r="L117" i="6"/>
  <c r="K16" i="6"/>
  <c r="N16" i="6" s="1"/>
  <c r="N64" i="6"/>
  <c r="N118" i="6"/>
  <c r="N12" i="6"/>
  <c r="L82" i="6"/>
  <c r="L185" i="6"/>
  <c r="N36" i="6"/>
  <c r="N86" i="6"/>
  <c r="N102" i="6"/>
  <c r="N130" i="6"/>
  <c r="N180" i="6"/>
  <c r="N173" i="6"/>
  <c r="N187" i="6"/>
  <c r="L73" i="6"/>
  <c r="N73" i="6"/>
  <c r="M73" i="6"/>
  <c r="G88" i="6"/>
  <c r="M100" i="6"/>
  <c r="N100" i="6"/>
  <c r="N111" i="6"/>
  <c r="G108" i="6"/>
  <c r="M111" i="6"/>
  <c r="L120" i="6"/>
  <c r="N11" i="6"/>
  <c r="M11" i="6"/>
  <c r="L11" i="6"/>
  <c r="M30" i="6"/>
  <c r="L111" i="6"/>
  <c r="N120" i="6"/>
  <c r="M130" i="6"/>
  <c r="M17" i="6"/>
  <c r="N17" i="6"/>
  <c r="N30" i="6"/>
  <c r="M42" i="6"/>
  <c r="L42" i="6"/>
  <c r="N42" i="6"/>
  <c r="N90" i="6"/>
  <c r="N121" i="6"/>
  <c r="M121" i="6"/>
  <c r="L121" i="6"/>
  <c r="L148" i="6"/>
  <c r="M193" i="6"/>
  <c r="L17" i="6"/>
  <c r="M69" i="6"/>
  <c r="M96" i="6"/>
  <c r="N127" i="6"/>
  <c r="M127" i="6"/>
  <c r="N148" i="6"/>
  <c r="L27" i="6"/>
  <c r="M60" i="6"/>
  <c r="N60" i="6"/>
  <c r="L60" i="6"/>
  <c r="N96" i="6"/>
  <c r="M107" i="6"/>
  <c r="M136" i="6"/>
  <c r="N76" i="6"/>
  <c r="N136" i="6"/>
  <c r="L189" i="6"/>
  <c r="L55" i="6"/>
  <c r="N77" i="6"/>
  <c r="L77" i="6"/>
  <c r="M77" i="6"/>
  <c r="N117" i="6"/>
  <c r="N13" i="6"/>
  <c r="G71" i="6"/>
  <c r="L123" i="6"/>
  <c r="M144" i="6"/>
  <c r="L167" i="6"/>
  <c r="N189" i="6"/>
  <c r="N179" i="6"/>
  <c r="M23" i="6"/>
  <c r="M56" i="6"/>
  <c r="L56" i="6"/>
  <c r="N56" i="6"/>
  <c r="L72" i="6"/>
  <c r="L93" i="6"/>
  <c r="L104" i="6"/>
  <c r="N123" i="6"/>
  <c r="L133" i="6"/>
  <c r="N145" i="6"/>
  <c r="M145" i="6"/>
  <c r="L145" i="6"/>
  <c r="G151" i="6"/>
  <c r="N155" i="6"/>
  <c r="N167" i="6"/>
  <c r="G174" i="6"/>
  <c r="N107" i="6"/>
  <c r="M117" i="6"/>
  <c r="M55" i="6"/>
  <c r="L155" i="6"/>
  <c r="L14" i="6"/>
  <c r="M14" i="6"/>
  <c r="N14" i="6"/>
  <c r="N55" i="6"/>
  <c r="N190" i="6"/>
  <c r="M190" i="6"/>
  <c r="L190" i="6"/>
  <c r="G9" i="6"/>
  <c r="F195" i="6"/>
  <c r="N23" i="6"/>
  <c r="M45" i="6"/>
  <c r="G50" i="6"/>
  <c r="L62" i="6"/>
  <c r="M72" i="6"/>
  <c r="L83" i="6"/>
  <c r="M93" i="6"/>
  <c r="M104" i="6"/>
  <c r="L114" i="6"/>
  <c r="N124" i="6"/>
  <c r="M124" i="6"/>
  <c r="L124" i="6"/>
  <c r="M133" i="6"/>
  <c r="N35" i="6"/>
  <c r="M35" i="6"/>
  <c r="L35" i="6"/>
  <c r="N94" i="6"/>
  <c r="M94" i="6"/>
  <c r="L94" i="6"/>
  <c r="M63" i="6"/>
  <c r="N63" i="6"/>
  <c r="L63" i="6"/>
  <c r="M176" i="6"/>
  <c r="N176" i="6"/>
  <c r="L176" i="6"/>
  <c r="M52" i="6"/>
  <c r="N52" i="6"/>
  <c r="L90" i="6"/>
  <c r="L130" i="6"/>
  <c r="N140" i="6"/>
  <c r="M140" i="6"/>
  <c r="L140" i="6"/>
  <c r="M90" i="6"/>
  <c r="L100" i="6"/>
  <c r="L193" i="6"/>
  <c r="L52" i="6"/>
  <c r="G169" i="6"/>
  <c r="N171" i="6"/>
  <c r="N27" i="6"/>
  <c r="G24" i="6"/>
  <c r="G59" i="6"/>
  <c r="L69" i="6"/>
  <c r="L183" i="6"/>
  <c r="L76" i="6"/>
  <c r="L107" i="6"/>
  <c r="L171" i="6"/>
  <c r="M183" i="6"/>
  <c r="M76" i="6"/>
  <c r="L86" i="6"/>
  <c r="M160" i="6"/>
  <c r="L160" i="6"/>
  <c r="N160" i="6"/>
  <c r="M171" i="6"/>
  <c r="L13" i="6"/>
  <c r="N38" i="6"/>
  <c r="M38" i="6"/>
  <c r="M86" i="6"/>
  <c r="M97" i="6"/>
  <c r="N97" i="6"/>
  <c r="L97" i="6"/>
  <c r="L127" i="6"/>
  <c r="L48" i="6"/>
  <c r="M66" i="6"/>
  <c r="N66" i="6"/>
  <c r="N137" i="6"/>
  <c r="M137" i="6"/>
  <c r="L137" i="6"/>
  <c r="L144" i="6"/>
  <c r="L179" i="6"/>
  <c r="M48" i="6"/>
  <c r="N87" i="6"/>
  <c r="M87" i="6"/>
  <c r="L87" i="6"/>
  <c r="M179" i="6"/>
  <c r="L66" i="6"/>
  <c r="N144" i="6"/>
  <c r="N20" i="6"/>
  <c r="N72" i="6"/>
  <c r="M114" i="6"/>
  <c r="N152" i="6"/>
  <c r="L163" i="6"/>
  <c r="L175" i="6"/>
  <c r="L168" i="6"/>
  <c r="L187" i="6"/>
  <c r="M187" i="6"/>
  <c r="L15" i="6"/>
  <c r="M18" i="6"/>
  <c r="N21" i="6"/>
  <c r="M25" i="6"/>
  <c r="N28" i="6"/>
  <c r="L36" i="6"/>
  <c r="M39" i="6"/>
  <c r="L43" i="6"/>
  <c r="M46" i="6"/>
  <c r="N49" i="6"/>
  <c r="M53" i="6"/>
  <c r="L57" i="6"/>
  <c r="L64" i="6"/>
  <c r="M67" i="6"/>
  <c r="N70" i="6"/>
  <c r="L74" i="6"/>
  <c r="N81" i="6"/>
  <c r="L98" i="6"/>
  <c r="N105" i="6"/>
  <c r="L109" i="6"/>
  <c r="M112" i="6"/>
  <c r="N115" i="6"/>
  <c r="L125" i="6"/>
  <c r="M128" i="6"/>
  <c r="N131" i="6"/>
  <c r="L141" i="6"/>
  <c r="N153" i="6"/>
  <c r="L161" i="6"/>
  <c r="N165" i="6"/>
  <c r="L173" i="6"/>
  <c r="N184" i="6"/>
  <c r="L31" i="6"/>
  <c r="L91" i="6"/>
  <c r="L118" i="6"/>
  <c r="L149" i="6"/>
  <c r="L194" i="6"/>
  <c r="L28" i="6"/>
  <c r="L49" i="6"/>
  <c r="L105" i="6"/>
  <c r="L115" i="6"/>
  <c r="M134" i="6"/>
  <c r="M149" i="6"/>
  <c r="M168" i="6"/>
  <c r="L184" i="6"/>
  <c r="L18" i="6"/>
  <c r="N31" i="6"/>
  <c r="L46" i="6"/>
  <c r="L67" i="6"/>
  <c r="M81" i="6"/>
  <c r="N91" i="6"/>
  <c r="M131" i="6"/>
  <c r="M153" i="6"/>
  <c r="L12" i="6"/>
  <c r="M15" i="6"/>
  <c r="N25" i="6"/>
  <c r="M36" i="6"/>
  <c r="N39" i="6"/>
  <c r="M43" i="6"/>
  <c r="N53" i="6"/>
  <c r="M57" i="6"/>
  <c r="L61" i="6"/>
  <c r="M64" i="6"/>
  <c r="M74" i="6"/>
  <c r="L78" i="6"/>
  <c r="L95" i="6"/>
  <c r="M98" i="6"/>
  <c r="L102" i="6"/>
  <c r="M109" i="6"/>
  <c r="N112" i="6"/>
  <c r="L122" i="6"/>
  <c r="M125" i="6"/>
  <c r="N128" i="6"/>
  <c r="L138" i="6"/>
  <c r="M141" i="6"/>
  <c r="L146" i="6"/>
  <c r="M161" i="6"/>
  <c r="M173" i="6"/>
  <c r="L191" i="6"/>
  <c r="L134" i="6"/>
  <c r="L156" i="6"/>
  <c r="L70" i="6"/>
  <c r="M118" i="6"/>
  <c r="M156" i="6"/>
  <c r="M180" i="6"/>
  <c r="M194" i="6"/>
  <c r="M21" i="6"/>
  <c r="N84" i="6"/>
  <c r="M12" i="6"/>
  <c r="M61" i="6"/>
  <c r="M78" i="6"/>
  <c r="L85" i="6"/>
  <c r="L92" i="6"/>
  <c r="M95" i="6"/>
  <c r="M102" i="6"/>
  <c r="L119" i="6"/>
  <c r="M122" i="6"/>
  <c r="L135" i="6"/>
  <c r="M138" i="6"/>
  <c r="M146" i="6"/>
  <c r="L150" i="6"/>
  <c r="L181" i="6"/>
  <c r="L188" i="6"/>
  <c r="M191" i="6"/>
  <c r="L84" i="6"/>
  <c r="L180" i="6"/>
  <c r="L165" i="6"/>
  <c r="N31" i="5"/>
  <c r="N48" i="5"/>
  <c r="N86" i="5"/>
  <c r="N117" i="5"/>
  <c r="N139" i="5"/>
  <c r="N10" i="5"/>
  <c r="N107" i="5"/>
  <c r="N39" i="5"/>
  <c r="N12" i="5"/>
  <c r="N28" i="5"/>
  <c r="N69" i="5"/>
  <c r="N130" i="5"/>
  <c r="N173" i="5"/>
  <c r="N187" i="5"/>
  <c r="M187" i="5"/>
  <c r="L187" i="5"/>
  <c r="L94" i="5"/>
  <c r="N94" i="5"/>
  <c r="M94" i="5"/>
  <c r="L193" i="5"/>
  <c r="M193" i="5"/>
  <c r="M114" i="5"/>
  <c r="L155" i="5"/>
  <c r="N90" i="5"/>
  <c r="N144" i="5"/>
  <c r="G151" i="5"/>
  <c r="N155" i="5"/>
  <c r="M167" i="5"/>
  <c r="L189" i="5"/>
  <c r="L76" i="5"/>
  <c r="M96" i="5"/>
  <c r="M120" i="5"/>
  <c r="L139" i="5"/>
  <c r="N167" i="5"/>
  <c r="N179" i="5"/>
  <c r="L11" i="5"/>
  <c r="N11" i="5"/>
  <c r="M11" i="5"/>
  <c r="N45" i="5"/>
  <c r="M45" i="5"/>
  <c r="M66" i="5"/>
  <c r="N66" i="5"/>
  <c r="M76" i="5"/>
  <c r="L86" i="5"/>
  <c r="N96" i="5"/>
  <c r="N120" i="5"/>
  <c r="M139" i="5"/>
  <c r="N189" i="5"/>
  <c r="G169" i="5"/>
  <c r="N171" i="5"/>
  <c r="L171" i="5"/>
  <c r="L114" i="5"/>
  <c r="M171" i="5"/>
  <c r="L23" i="5"/>
  <c r="L55" i="5"/>
  <c r="L69" i="5"/>
  <c r="N100" i="5"/>
  <c r="M100" i="5"/>
  <c r="L167" i="5"/>
  <c r="M10" i="5"/>
  <c r="M35" i="5"/>
  <c r="L35" i="5"/>
  <c r="N35" i="5"/>
  <c r="N55" i="5"/>
  <c r="L100" i="5"/>
  <c r="N111" i="5"/>
  <c r="G108" i="5"/>
  <c r="M111" i="5"/>
  <c r="N133" i="5"/>
  <c r="L145" i="5"/>
  <c r="N145" i="5"/>
  <c r="M145" i="5"/>
  <c r="M179" i="5"/>
  <c r="M56" i="5"/>
  <c r="L56" i="5"/>
  <c r="N56" i="5"/>
  <c r="L20" i="5"/>
  <c r="L30" i="5"/>
  <c r="N76" i="5"/>
  <c r="M86" i="5"/>
  <c r="L97" i="5"/>
  <c r="N97" i="5"/>
  <c r="M97" i="5"/>
  <c r="L107" i="5"/>
  <c r="L121" i="5"/>
  <c r="N121" i="5"/>
  <c r="M121" i="5"/>
  <c r="L163" i="5"/>
  <c r="L190" i="5"/>
  <c r="N190" i="5"/>
  <c r="M190" i="5"/>
  <c r="G88" i="5"/>
  <c r="L160" i="5"/>
  <c r="M160" i="5"/>
  <c r="N160" i="5"/>
  <c r="L183" i="5"/>
  <c r="L124" i="5"/>
  <c r="M124" i="5"/>
  <c r="N124" i="5"/>
  <c r="G9" i="5"/>
  <c r="F195" i="5"/>
  <c r="L38" i="5"/>
  <c r="L144" i="5"/>
  <c r="L133" i="5"/>
  <c r="L10" i="5"/>
  <c r="N23" i="5"/>
  <c r="M48" i="5"/>
  <c r="M69" i="5"/>
  <c r="L77" i="5"/>
  <c r="N77" i="5"/>
  <c r="M77" i="5"/>
  <c r="N163" i="5"/>
  <c r="M72" i="5"/>
  <c r="L117" i="5"/>
  <c r="N175" i="5"/>
  <c r="L186" i="5"/>
  <c r="N14" i="5"/>
  <c r="M14" i="5"/>
  <c r="N137" i="5"/>
  <c r="M137" i="5"/>
  <c r="L137" i="5"/>
  <c r="N193" i="5"/>
  <c r="L48" i="5"/>
  <c r="L179" i="5"/>
  <c r="M17" i="5"/>
  <c r="N17" i="5"/>
  <c r="N27" i="5"/>
  <c r="G24" i="5"/>
  <c r="M42" i="5"/>
  <c r="N42" i="5"/>
  <c r="L42" i="5"/>
  <c r="G50" i="5"/>
  <c r="N52" i="5"/>
  <c r="M52" i="5"/>
  <c r="M63" i="5"/>
  <c r="L63" i="5"/>
  <c r="N63" i="5"/>
  <c r="N72" i="5"/>
  <c r="L93" i="5"/>
  <c r="N104" i="5"/>
  <c r="M117" i="5"/>
  <c r="M127" i="5"/>
  <c r="N127" i="5"/>
  <c r="N176" i="5"/>
  <c r="M176" i="5"/>
  <c r="L176" i="5"/>
  <c r="G182" i="5"/>
  <c r="M186" i="5"/>
  <c r="M38" i="5"/>
  <c r="N38" i="5"/>
  <c r="M183" i="5"/>
  <c r="N60" i="5"/>
  <c r="M60" i="5"/>
  <c r="L60" i="5"/>
  <c r="M90" i="5"/>
  <c r="M144" i="5"/>
  <c r="M55" i="5"/>
  <c r="M140" i="5"/>
  <c r="L140" i="5"/>
  <c r="N140" i="5"/>
  <c r="G41" i="5"/>
  <c r="L87" i="5"/>
  <c r="N87" i="5"/>
  <c r="M87" i="5"/>
  <c r="N73" i="5"/>
  <c r="M73" i="5"/>
  <c r="L73" i="5"/>
  <c r="L31" i="5"/>
  <c r="L84" i="5"/>
  <c r="L91" i="5"/>
  <c r="L118" i="5"/>
  <c r="L134" i="5"/>
  <c r="L149" i="5"/>
  <c r="L156" i="5"/>
  <c r="L168" i="5"/>
  <c r="L180" i="5"/>
  <c r="L194" i="5"/>
  <c r="L21" i="5"/>
  <c r="L28" i="5"/>
  <c r="M31" i="5"/>
  <c r="L49" i="5"/>
  <c r="L70" i="5"/>
  <c r="L81" i="5"/>
  <c r="M84" i="5"/>
  <c r="M91" i="5"/>
  <c r="L105" i="5"/>
  <c r="L115" i="5"/>
  <c r="M118" i="5"/>
  <c r="L131" i="5"/>
  <c r="M134" i="5"/>
  <c r="M149" i="5"/>
  <c r="L153" i="5"/>
  <c r="M156" i="5"/>
  <c r="L165" i="5"/>
  <c r="M168" i="5"/>
  <c r="M180" i="5"/>
  <c r="L184" i="5"/>
  <c r="M194" i="5"/>
  <c r="M21" i="5"/>
  <c r="M28" i="5"/>
  <c r="L39" i="5"/>
  <c r="L53" i="5"/>
  <c r="M115" i="5"/>
  <c r="M153" i="5"/>
  <c r="M18" i="5"/>
  <c r="M25" i="5"/>
  <c r="M39" i="5"/>
  <c r="M46" i="5"/>
  <c r="N49" i="5"/>
  <c r="M53" i="5"/>
  <c r="M67" i="5"/>
  <c r="N70" i="5"/>
  <c r="N81" i="5"/>
  <c r="N105" i="5"/>
  <c r="M112" i="5"/>
  <c r="M128" i="5"/>
  <c r="N131" i="5"/>
  <c r="N165" i="5"/>
  <c r="N184" i="5"/>
  <c r="L12" i="5"/>
  <c r="N18" i="5"/>
  <c r="N25" i="5"/>
  <c r="N46" i="5"/>
  <c r="L61" i="5"/>
  <c r="N67" i="5"/>
  <c r="L78" i="5"/>
  <c r="L95" i="5"/>
  <c r="L102" i="5"/>
  <c r="N112" i="5"/>
  <c r="L122" i="5"/>
  <c r="L138" i="5"/>
  <c r="L146" i="5"/>
  <c r="M161" i="5"/>
  <c r="M173" i="5"/>
  <c r="L191" i="5"/>
  <c r="M12" i="5"/>
  <c r="M61" i="5"/>
  <c r="M78" i="5"/>
  <c r="L85" i="5"/>
  <c r="L92" i="5"/>
  <c r="M95" i="5"/>
  <c r="M102" i="5"/>
  <c r="L119" i="5"/>
  <c r="M122" i="5"/>
  <c r="L135" i="5"/>
  <c r="M138" i="5"/>
  <c r="M146" i="5"/>
  <c r="L150" i="5"/>
  <c r="L181" i="5"/>
  <c r="L188" i="5"/>
  <c r="M191" i="5"/>
  <c r="N25" i="4"/>
  <c r="N86" i="4"/>
  <c r="N99" i="4"/>
  <c r="N106" i="4"/>
  <c r="N170" i="4"/>
  <c r="N19" i="4"/>
  <c r="N55" i="4"/>
  <c r="N63" i="4"/>
  <c r="N156" i="4"/>
  <c r="N21" i="4"/>
  <c r="N129" i="4"/>
  <c r="N173" i="4"/>
  <c r="M173" i="4"/>
  <c r="L173" i="4"/>
  <c r="G172" i="4"/>
  <c r="M44" i="4"/>
  <c r="M62" i="4"/>
  <c r="N26" i="4"/>
  <c r="N44" i="4"/>
  <c r="N62" i="4"/>
  <c r="L85" i="4"/>
  <c r="N158" i="4"/>
  <c r="M158" i="4"/>
  <c r="N85" i="4"/>
  <c r="N125" i="4"/>
  <c r="M125" i="4"/>
  <c r="N153" i="4"/>
  <c r="M153" i="4"/>
  <c r="L153" i="4"/>
  <c r="N95" i="4"/>
  <c r="M95" i="4"/>
  <c r="L95" i="4"/>
  <c r="L158" i="4"/>
  <c r="N60" i="4"/>
  <c r="L60" i="4"/>
  <c r="N126" i="4"/>
  <c r="M126" i="4"/>
  <c r="L126" i="4"/>
  <c r="M181" i="4"/>
  <c r="N91" i="4"/>
  <c r="N118" i="4"/>
  <c r="M118" i="4"/>
  <c r="L118" i="4"/>
  <c r="L122" i="4"/>
  <c r="M130" i="4"/>
  <c r="N138" i="4"/>
  <c r="N149" i="4"/>
  <c r="L149" i="4"/>
  <c r="G177" i="4"/>
  <c r="N181" i="4"/>
  <c r="K70" i="4"/>
  <c r="N70" i="4" s="1"/>
  <c r="M106" i="4"/>
  <c r="L106" i="4"/>
  <c r="N48" i="4"/>
  <c r="M48" i="4"/>
  <c r="L48" i="4"/>
  <c r="L26" i="4"/>
  <c r="G80" i="4"/>
  <c r="N152" i="4"/>
  <c r="M152" i="4"/>
  <c r="N163" i="4"/>
  <c r="M163" i="4"/>
  <c r="L163" i="4"/>
  <c r="G162" i="4"/>
  <c r="M26" i="4"/>
  <c r="N53" i="4"/>
  <c r="M53" i="4"/>
  <c r="N94" i="4"/>
  <c r="M94" i="4"/>
  <c r="G103" i="4"/>
  <c r="M175" i="4"/>
  <c r="F195" i="4"/>
  <c r="N10" i="4"/>
  <c r="L10" i="4"/>
  <c r="L53" i="4"/>
  <c r="N175" i="4"/>
  <c r="N23" i="4"/>
  <c r="M23" i="4"/>
  <c r="G108" i="4"/>
  <c r="N109" i="4"/>
  <c r="M109" i="4"/>
  <c r="G50" i="4"/>
  <c r="M60" i="4"/>
  <c r="N69" i="4"/>
  <c r="N83" i="4"/>
  <c r="L83" i="4"/>
  <c r="N110" i="4"/>
  <c r="M110" i="4"/>
  <c r="L110" i="4"/>
  <c r="L114" i="4"/>
  <c r="M122" i="4"/>
  <c r="N130" i="4"/>
  <c r="N139" i="4"/>
  <c r="L171" i="4"/>
  <c r="N183" i="4"/>
  <c r="M183" i="4"/>
  <c r="L183" i="4"/>
  <c r="G182" i="4"/>
  <c r="L187" i="4"/>
  <c r="G192" i="4"/>
  <c r="N193" i="4"/>
  <c r="N97" i="4"/>
  <c r="L97" i="4"/>
  <c r="N66" i="4"/>
  <c r="M66" i="4"/>
  <c r="L66" i="4"/>
  <c r="N89" i="4"/>
  <c r="L89" i="4"/>
  <c r="N179" i="4"/>
  <c r="L179" i="4"/>
  <c r="N168" i="4"/>
  <c r="M168" i="4"/>
  <c r="N120" i="4"/>
  <c r="L120" i="4"/>
  <c r="M179" i="4"/>
  <c r="N81" i="4"/>
  <c r="M81" i="4"/>
  <c r="L81" i="4"/>
  <c r="G164" i="4"/>
  <c r="N185" i="4"/>
  <c r="L185" i="4"/>
  <c r="N18" i="4"/>
  <c r="L18" i="4"/>
  <c r="M10" i="4"/>
  <c r="G41" i="4"/>
  <c r="N104" i="4"/>
  <c r="N68" i="4"/>
  <c r="L68" i="4"/>
  <c r="K104" i="4"/>
  <c r="L104" i="4"/>
  <c r="L125" i="4"/>
  <c r="L138" i="4"/>
  <c r="N42" i="4"/>
  <c r="L42" i="4"/>
  <c r="N16" i="4"/>
  <c r="M16" i="4"/>
  <c r="L16" i="4"/>
  <c r="L20" i="4"/>
  <c r="N29" i="4"/>
  <c r="M29" i="4"/>
  <c r="L38" i="4"/>
  <c r="N47" i="4"/>
  <c r="M47" i="4"/>
  <c r="L56" i="4"/>
  <c r="N61" i="4"/>
  <c r="N65" i="4"/>
  <c r="M65" i="4"/>
  <c r="N74" i="4"/>
  <c r="M74" i="4"/>
  <c r="M114" i="4"/>
  <c r="M149" i="4"/>
  <c r="M171" i="4"/>
  <c r="N30" i="4"/>
  <c r="M30" i="4"/>
  <c r="L30" i="4"/>
  <c r="N136" i="4"/>
  <c r="L136" i="4"/>
  <c r="L62" i="4"/>
  <c r="M97" i="4"/>
  <c r="N128" i="4"/>
  <c r="L128" i="4"/>
  <c r="N112" i="4"/>
  <c r="L112" i="4"/>
  <c r="M128" i="4"/>
  <c r="N141" i="4"/>
  <c r="M141" i="4"/>
  <c r="L175" i="4"/>
  <c r="N36" i="4"/>
  <c r="G34" i="4"/>
  <c r="L36" i="4"/>
  <c r="N133" i="4"/>
  <c r="M133" i="4"/>
  <c r="G75" i="4"/>
  <c r="M77" i="4"/>
  <c r="L77" i="4"/>
  <c r="N117" i="4"/>
  <c r="M117" i="4"/>
  <c r="N190" i="4"/>
  <c r="M190" i="4"/>
  <c r="L190" i="4"/>
  <c r="L99" i="4"/>
  <c r="M165" i="4"/>
  <c r="N15" i="4"/>
  <c r="M15" i="4"/>
  <c r="K73" i="4"/>
  <c r="N73" i="4" s="1"/>
  <c r="L91" i="4"/>
  <c r="M99" i="4"/>
  <c r="N134" i="4"/>
  <c r="M134" i="4"/>
  <c r="L134" i="4"/>
  <c r="N165" i="4"/>
  <c r="N187" i="4"/>
  <c r="L117" i="4"/>
  <c r="N191" i="4"/>
  <c r="M191" i="4"/>
  <c r="L191" i="4"/>
  <c r="N150" i="4"/>
  <c r="N155" i="4"/>
  <c r="L155" i="4"/>
  <c r="N188" i="4"/>
  <c r="G71" i="4"/>
  <c r="M21" i="4"/>
  <c r="M63" i="4"/>
  <c r="M86" i="4"/>
  <c r="M100" i="4"/>
  <c r="M115" i="4"/>
  <c r="M139" i="4"/>
  <c r="N13" i="4"/>
  <c r="N27" i="4"/>
  <c r="N33" i="4"/>
  <c r="N39" i="4"/>
  <c r="N45" i="4"/>
  <c r="N51" i="4"/>
  <c r="N57" i="4"/>
  <c r="N92" i="4"/>
  <c r="M104" i="4"/>
  <c r="N123" i="4"/>
  <c r="N131" i="4"/>
  <c r="N146" i="4"/>
  <c r="N166" i="4"/>
  <c r="N176" i="4"/>
  <c r="L72" i="4"/>
  <c r="L78" i="4"/>
  <c r="L107" i="4"/>
  <c r="L11" i="4"/>
  <c r="L19" i="4"/>
  <c r="L25" i="4"/>
  <c r="L37" i="4"/>
  <c r="L43" i="4"/>
  <c r="L55" i="4"/>
  <c r="L61" i="4"/>
  <c r="L69" i="4"/>
  <c r="M72" i="4"/>
  <c r="M78" i="4"/>
  <c r="L84" i="4"/>
  <c r="L90" i="4"/>
  <c r="L98" i="4"/>
  <c r="M107" i="4"/>
  <c r="L113" i="4"/>
  <c r="L121" i="4"/>
  <c r="L129" i="4"/>
  <c r="L137" i="4"/>
  <c r="L144" i="4"/>
  <c r="L150" i="4"/>
  <c r="L156" i="4"/>
  <c r="L160" i="4"/>
  <c r="L170" i="4"/>
  <c r="L180" i="4"/>
  <c r="L186" i="4"/>
  <c r="M11" i="4"/>
  <c r="M19" i="4"/>
  <c r="M25" i="4"/>
  <c r="K28" i="4"/>
  <c r="N28" i="4" s="1"/>
  <c r="M37" i="4"/>
  <c r="M43" i="4"/>
  <c r="M55" i="4"/>
  <c r="M61" i="4"/>
  <c r="K64" i="4"/>
  <c r="N64" i="4" s="1"/>
  <c r="M69" i="4"/>
  <c r="M84" i="4"/>
  <c r="K87" i="4"/>
  <c r="N87" i="4" s="1"/>
  <c r="M90" i="4"/>
  <c r="K93" i="4"/>
  <c r="N93" i="4" s="1"/>
  <c r="M98" i="4"/>
  <c r="M113" i="4"/>
  <c r="K116" i="4"/>
  <c r="N116" i="4" s="1"/>
  <c r="M121" i="4"/>
  <c r="K124" i="4"/>
  <c r="N124" i="4" s="1"/>
  <c r="M129" i="4"/>
  <c r="K132" i="4"/>
  <c r="N132" i="4" s="1"/>
  <c r="M137" i="4"/>
  <c r="M144" i="4"/>
  <c r="M150" i="4"/>
  <c r="M156" i="4"/>
  <c r="M160" i="4"/>
  <c r="K167" i="4"/>
  <c r="N167" i="4" s="1"/>
  <c r="M170" i="4"/>
  <c r="M180" i="4"/>
  <c r="M186" i="4"/>
  <c r="N185" i="3"/>
  <c r="L45" i="3"/>
  <c r="N112" i="3"/>
  <c r="K186" i="3"/>
  <c r="N186" i="3" s="1"/>
  <c r="K82" i="3"/>
  <c r="N82" i="3" s="1"/>
  <c r="L166" i="3"/>
  <c r="L150" i="3"/>
  <c r="N31" i="3"/>
  <c r="L40" i="3"/>
  <c r="N61" i="3"/>
  <c r="K113" i="3"/>
  <c r="N113" i="3" s="1"/>
  <c r="L125" i="3"/>
  <c r="L154" i="3"/>
  <c r="N180" i="3"/>
  <c r="N107" i="3"/>
  <c r="N84" i="3"/>
  <c r="N135" i="3"/>
  <c r="N145" i="3"/>
  <c r="N85" i="3"/>
  <c r="N168" i="3"/>
  <c r="N193" i="3"/>
  <c r="N58" i="3"/>
  <c r="N129" i="3"/>
  <c r="N190" i="3"/>
  <c r="N22" i="3"/>
  <c r="N46" i="3"/>
  <c r="L130" i="3"/>
  <c r="L152" i="3"/>
  <c r="L19" i="3"/>
  <c r="L66" i="3"/>
  <c r="L118" i="3"/>
  <c r="N11" i="3"/>
  <c r="L15" i="3"/>
  <c r="K53" i="3"/>
  <c r="N53" i="3" s="1"/>
  <c r="K90" i="3"/>
  <c r="N90" i="3" s="1"/>
  <c r="N110" i="3"/>
  <c r="N148" i="3"/>
  <c r="N68" i="3"/>
  <c r="N18" i="3"/>
  <c r="N117" i="3"/>
  <c r="K56" i="3"/>
  <c r="N56" i="3" s="1"/>
  <c r="K69" i="3"/>
  <c r="N69" i="3" s="1"/>
  <c r="L163" i="3"/>
  <c r="L93" i="3"/>
  <c r="N102" i="3"/>
  <c r="K29" i="3"/>
  <c r="N29" i="3" s="1"/>
  <c r="L43" i="3"/>
  <c r="L39" i="3"/>
  <c r="N94" i="3"/>
  <c r="N183" i="3"/>
  <c r="N26" i="3"/>
  <c r="K57" i="3"/>
  <c r="N57" i="3" s="1"/>
  <c r="N86" i="3"/>
  <c r="N123" i="3"/>
  <c r="N141" i="3"/>
  <c r="L153" i="3"/>
  <c r="L160" i="3"/>
  <c r="N165" i="3"/>
  <c r="L178" i="3"/>
  <c r="L184" i="3"/>
  <c r="L175" i="3"/>
  <c r="N89" i="3"/>
  <c r="N76" i="3"/>
  <c r="N122" i="3"/>
  <c r="N136" i="3"/>
  <c r="N16" i="3"/>
  <c r="L30" i="3"/>
  <c r="N63" i="3"/>
  <c r="N99" i="3"/>
  <c r="N111" i="3"/>
  <c r="N119" i="3"/>
  <c r="N171" i="3"/>
  <c r="G143" i="3"/>
  <c r="N144" i="3"/>
  <c r="M144" i="3"/>
  <c r="L126" i="3"/>
  <c r="N126" i="3"/>
  <c r="M126" i="3"/>
  <c r="L85" i="3"/>
  <c r="L111" i="3"/>
  <c r="M85" i="3"/>
  <c r="L55" i="3"/>
  <c r="M55" i="3"/>
  <c r="N55" i="3"/>
  <c r="L181" i="3"/>
  <c r="M123" i="3"/>
  <c r="M181" i="3"/>
  <c r="N128" i="3"/>
  <c r="M128" i="3"/>
  <c r="M140" i="3"/>
  <c r="N140" i="3"/>
  <c r="M28" i="3"/>
  <c r="L28" i="3"/>
  <c r="N28" i="3"/>
  <c r="L52" i="3"/>
  <c r="N52" i="3"/>
  <c r="M52" i="3"/>
  <c r="L67" i="3"/>
  <c r="M67" i="3"/>
  <c r="L128" i="3"/>
  <c r="L81" i="3"/>
  <c r="N81" i="3"/>
  <c r="M81" i="3"/>
  <c r="M138" i="3"/>
  <c r="L138" i="3"/>
  <c r="N138" i="3"/>
  <c r="N158" i="3"/>
  <c r="M158" i="3"/>
  <c r="L158" i="3"/>
  <c r="L46" i="3"/>
  <c r="M111" i="3"/>
  <c r="L176" i="3"/>
  <c r="N176" i="3"/>
  <c r="M176" i="3"/>
  <c r="G174" i="3"/>
  <c r="G34" i="3"/>
  <c r="N36" i="3"/>
  <c r="M36" i="3"/>
  <c r="N116" i="3"/>
  <c r="M116" i="3"/>
  <c r="M135" i="3"/>
  <c r="G24" i="3"/>
  <c r="N25" i="3"/>
  <c r="G151" i="3"/>
  <c r="M13" i="3"/>
  <c r="N13" i="3"/>
  <c r="L13" i="3"/>
  <c r="M33" i="3"/>
  <c r="N33" i="3"/>
  <c r="L72" i="3"/>
  <c r="G80" i="3"/>
  <c r="M49" i="3"/>
  <c r="N49" i="3"/>
  <c r="L49" i="3"/>
  <c r="N106" i="3"/>
  <c r="M106" i="3"/>
  <c r="M15" i="3"/>
  <c r="N15" i="3"/>
  <c r="L22" i="3"/>
  <c r="L106" i="3"/>
  <c r="M22" i="3"/>
  <c r="L78" i="3"/>
  <c r="N78" i="3"/>
  <c r="M78" i="3"/>
  <c r="L135" i="3"/>
  <c r="L44" i="3"/>
  <c r="N44" i="3"/>
  <c r="M44" i="3"/>
  <c r="N83" i="3"/>
  <c r="M83" i="3"/>
  <c r="M155" i="3"/>
  <c r="L155" i="3"/>
  <c r="N155" i="3"/>
  <c r="L187" i="3"/>
  <c r="N187" i="3"/>
  <c r="M187" i="3"/>
  <c r="M104" i="3"/>
  <c r="L104" i="3"/>
  <c r="N104" i="3"/>
  <c r="G41" i="3"/>
  <c r="M72" i="3"/>
  <c r="N121" i="3"/>
  <c r="L121" i="3"/>
  <c r="M121" i="3"/>
  <c r="L133" i="3"/>
  <c r="N133" i="3"/>
  <c r="M133" i="3"/>
  <c r="N167" i="3"/>
  <c r="L167" i="3"/>
  <c r="M167" i="3"/>
  <c r="M173" i="3"/>
  <c r="N173" i="3"/>
  <c r="L173" i="3"/>
  <c r="L179" i="3"/>
  <c r="G177" i="3"/>
  <c r="N179" i="3"/>
  <c r="M179" i="3"/>
  <c r="N189" i="3"/>
  <c r="M189" i="3"/>
  <c r="N93" i="3"/>
  <c r="M93" i="3"/>
  <c r="N30" i="3"/>
  <c r="M30" i="3"/>
  <c r="L144" i="3"/>
  <c r="L189" i="3"/>
  <c r="M46" i="3"/>
  <c r="L70" i="3"/>
  <c r="N70" i="3"/>
  <c r="M70" i="3"/>
  <c r="L123" i="3"/>
  <c r="N170" i="3"/>
  <c r="L170" i="3"/>
  <c r="M170" i="3"/>
  <c r="G103" i="3"/>
  <c r="N60" i="3"/>
  <c r="M60" i="3"/>
  <c r="L98" i="3"/>
  <c r="M98" i="3"/>
  <c r="N98" i="3"/>
  <c r="L36" i="3"/>
  <c r="L116" i="3"/>
  <c r="N161" i="3"/>
  <c r="M161" i="3"/>
  <c r="G159" i="3"/>
  <c r="L161" i="3"/>
  <c r="N20" i="3"/>
  <c r="M20" i="3"/>
  <c r="L20" i="3"/>
  <c r="L60" i="3"/>
  <c r="N91" i="3"/>
  <c r="M91" i="3"/>
  <c r="L91" i="3"/>
  <c r="G108" i="3"/>
  <c r="L109" i="3"/>
  <c r="M109" i="3"/>
  <c r="N109" i="3"/>
  <c r="L140" i="3"/>
  <c r="G182" i="3"/>
  <c r="N184" i="3"/>
  <c r="G9" i="3"/>
  <c r="N10" i="3"/>
  <c r="F195" i="3"/>
  <c r="L17" i="3"/>
  <c r="L25" i="3"/>
  <c r="M25" i="3"/>
  <c r="L33" i="3"/>
  <c r="M57" i="3"/>
  <c r="M65" i="3"/>
  <c r="L65" i="3"/>
  <c r="N65" i="3"/>
  <c r="N72" i="3"/>
  <c r="L96" i="3"/>
  <c r="N96" i="3"/>
  <c r="M96" i="3"/>
  <c r="M114" i="3"/>
  <c r="L114" i="3"/>
  <c r="G157" i="3"/>
  <c r="M184" i="3"/>
  <c r="L119" i="3"/>
  <c r="L165" i="3"/>
  <c r="L112" i="3"/>
  <c r="M131" i="3"/>
  <c r="L136" i="3"/>
  <c r="M150" i="3"/>
  <c r="M153" i="3"/>
  <c r="M165" i="3"/>
  <c r="L185" i="3"/>
  <c r="L42" i="3"/>
  <c r="L63" i="3"/>
  <c r="L86" i="3"/>
  <c r="M119" i="3"/>
  <c r="L11" i="3"/>
  <c r="M18" i="3"/>
  <c r="L23" i="3"/>
  <c r="L26" i="3"/>
  <c r="M39" i="3"/>
  <c r="M42" i="3"/>
  <c r="L47" i="3"/>
  <c r="M63" i="3"/>
  <c r="L68" i="3"/>
  <c r="M73" i="3"/>
  <c r="M76" i="3"/>
  <c r="M86" i="3"/>
  <c r="M89" i="3"/>
  <c r="L94" i="3"/>
  <c r="L107" i="3"/>
  <c r="M112" i="3"/>
  <c r="L117" i="3"/>
  <c r="M124" i="3"/>
  <c r="L129" i="3"/>
  <c r="N131" i="3"/>
  <c r="M136" i="3"/>
  <c r="L141" i="3"/>
  <c r="L145" i="3"/>
  <c r="L148" i="3"/>
  <c r="N150" i="3"/>
  <c r="N153" i="3"/>
  <c r="M185" i="3"/>
  <c r="L190" i="3"/>
  <c r="L193" i="3"/>
  <c r="L18" i="3"/>
  <c r="L76" i="3"/>
  <c r="L89" i="3"/>
  <c r="M11" i="3"/>
  <c r="L16" i="3"/>
  <c r="M23" i="3"/>
  <c r="M26" i="3"/>
  <c r="L31" i="3"/>
  <c r="L37" i="3"/>
  <c r="N39" i="3"/>
  <c r="M47" i="3"/>
  <c r="L58" i="3"/>
  <c r="L61" i="3"/>
  <c r="M68" i="3"/>
  <c r="N73" i="3"/>
  <c r="L84" i="3"/>
  <c r="M94" i="3"/>
  <c r="L99" i="3"/>
  <c r="L102" i="3"/>
  <c r="M107" i="3"/>
  <c r="L110" i="3"/>
  <c r="M117" i="3"/>
  <c r="L122" i="3"/>
  <c r="N124" i="3"/>
  <c r="M129" i="3"/>
  <c r="L134" i="3"/>
  <c r="M141" i="3"/>
  <c r="M145" i="3"/>
  <c r="M148" i="3"/>
  <c r="L156" i="3"/>
  <c r="L168" i="3"/>
  <c r="L171" i="3"/>
  <c r="L180" i="3"/>
  <c r="L183" i="3"/>
  <c r="M190" i="3"/>
  <c r="M193" i="3"/>
  <c r="M16" i="3"/>
  <c r="L21" i="3"/>
  <c r="M31" i="3"/>
  <c r="M37" i="3"/>
  <c r="M58" i="3"/>
  <c r="M61" i="3"/>
  <c r="L79" i="3"/>
  <c r="M84" i="3"/>
  <c r="L92" i="3"/>
  <c r="M99" i="3"/>
  <c r="M102" i="3"/>
  <c r="L105" i="3"/>
  <c r="M110" i="3"/>
  <c r="L115" i="3"/>
  <c r="M122" i="3"/>
  <c r="L127" i="3"/>
  <c r="M134" i="3"/>
  <c r="L139" i="3"/>
  <c r="M156" i="3"/>
  <c r="M168" i="3"/>
  <c r="M171" i="3"/>
  <c r="M180" i="3"/>
  <c r="M183" i="3"/>
  <c r="L188" i="3"/>
  <c r="N199" i="2"/>
  <c r="L199" i="2"/>
  <c r="K11" i="2"/>
  <c r="K12" i="2"/>
  <c r="K13" i="2"/>
  <c r="L13" i="2"/>
  <c r="M13" i="2"/>
  <c r="K14" i="2"/>
  <c r="K15" i="2"/>
  <c r="K16" i="2"/>
  <c r="L16" i="2"/>
  <c r="M16" i="2"/>
  <c r="N16" i="2"/>
  <c r="K17" i="2"/>
  <c r="K18" i="2"/>
  <c r="K19" i="2"/>
  <c r="K20" i="2"/>
  <c r="K21" i="2"/>
  <c r="K22" i="2"/>
  <c r="N22" i="2"/>
  <c r="K23" i="2"/>
  <c r="L23" i="2"/>
  <c r="K25" i="2"/>
  <c r="K26" i="2"/>
  <c r="L26" i="2"/>
  <c r="M26" i="2"/>
  <c r="K27" i="2"/>
  <c r="K28" i="2"/>
  <c r="K29" i="2"/>
  <c r="L29" i="2"/>
  <c r="M29" i="2"/>
  <c r="K30" i="2"/>
  <c r="N30" i="2" s="1"/>
  <c r="K31" i="2"/>
  <c r="K33" i="2"/>
  <c r="K35" i="2"/>
  <c r="K36" i="2"/>
  <c r="M36" i="2"/>
  <c r="K37" i="2"/>
  <c r="L37" i="2"/>
  <c r="K38" i="2"/>
  <c r="K39" i="2"/>
  <c r="K40" i="2"/>
  <c r="L40" i="2"/>
  <c r="M40" i="2"/>
  <c r="N40" i="2"/>
  <c r="K42" i="2"/>
  <c r="K43" i="2"/>
  <c r="N43" i="2"/>
  <c r="K44" i="2"/>
  <c r="N44" i="2" s="1"/>
  <c r="L44" i="2"/>
  <c r="K45" i="2"/>
  <c r="K46" i="2"/>
  <c r="K47" i="2"/>
  <c r="K48" i="2"/>
  <c r="K49" i="2"/>
  <c r="K51" i="2"/>
  <c r="N51" i="2" s="1"/>
  <c r="K52" i="2"/>
  <c r="K53" i="2"/>
  <c r="N53" i="2"/>
  <c r="K55" i="2"/>
  <c r="K56" i="2"/>
  <c r="K57" i="2"/>
  <c r="N57" i="2" s="1"/>
  <c r="L57" i="2"/>
  <c r="M57" i="2"/>
  <c r="K58" i="2"/>
  <c r="K60" i="2"/>
  <c r="M60" i="2"/>
  <c r="K61" i="2"/>
  <c r="K62" i="2"/>
  <c r="K63" i="2"/>
  <c r="M63" i="2"/>
  <c r="K64" i="2"/>
  <c r="L64" i="2"/>
  <c r="K65" i="2"/>
  <c r="K66" i="2"/>
  <c r="K67" i="2"/>
  <c r="L67" i="2"/>
  <c r="M67" i="2"/>
  <c r="K68" i="2"/>
  <c r="K69" i="2"/>
  <c r="K70" i="2"/>
  <c r="L70" i="2"/>
  <c r="M70" i="2"/>
  <c r="N70" i="2"/>
  <c r="K72" i="2"/>
  <c r="K73" i="2"/>
  <c r="N73" i="2"/>
  <c r="K74" i="2"/>
  <c r="K76" i="2"/>
  <c r="K77" i="2"/>
  <c r="L77" i="2"/>
  <c r="K78" i="2"/>
  <c r="K79" i="2"/>
  <c r="K81" i="2"/>
  <c r="K82" i="2"/>
  <c r="K83" i="2"/>
  <c r="L83" i="2"/>
  <c r="M83" i="2"/>
  <c r="N83" i="2"/>
  <c r="K84" i="2"/>
  <c r="K85" i="2"/>
  <c r="K86" i="2"/>
  <c r="M86" i="2"/>
  <c r="N86" i="2"/>
  <c r="K87" i="2"/>
  <c r="N87" i="2" s="1"/>
  <c r="K89" i="2"/>
  <c r="K90" i="2"/>
  <c r="K91" i="2"/>
  <c r="K92" i="2"/>
  <c r="K93" i="2"/>
  <c r="L93" i="2"/>
  <c r="M93" i="2"/>
  <c r="K94" i="2"/>
  <c r="K95" i="2"/>
  <c r="N95" i="2"/>
  <c r="K96" i="2"/>
  <c r="M96" i="2"/>
  <c r="K97" i="2"/>
  <c r="L97" i="2"/>
  <c r="K98" i="2"/>
  <c r="K99" i="2"/>
  <c r="N99" i="2" s="1"/>
  <c r="K100" i="2"/>
  <c r="L100" i="2"/>
  <c r="M100" i="2"/>
  <c r="K102" i="2"/>
  <c r="K104" i="2"/>
  <c r="K105" i="2"/>
  <c r="M105" i="2"/>
  <c r="K106" i="2"/>
  <c r="M106" i="2"/>
  <c r="N106" i="2"/>
  <c r="K107" i="2"/>
  <c r="K109" i="2"/>
  <c r="N109" i="2"/>
  <c r="K110" i="2"/>
  <c r="L110" i="2"/>
  <c r="K111" i="2"/>
  <c r="K112" i="2"/>
  <c r="K113" i="2"/>
  <c r="L113" i="2"/>
  <c r="M113" i="2"/>
  <c r="K114" i="2"/>
  <c r="K115" i="2"/>
  <c r="K116" i="2"/>
  <c r="N116" i="2"/>
  <c r="K117" i="2"/>
  <c r="K118" i="2"/>
  <c r="N118" i="2"/>
  <c r="K119" i="2"/>
  <c r="M119" i="2"/>
  <c r="N119" i="2"/>
  <c r="K120" i="2"/>
  <c r="N120" i="2" s="1"/>
  <c r="K121" i="2"/>
  <c r="K122" i="2"/>
  <c r="N122" i="2"/>
  <c r="K123" i="2"/>
  <c r="N123" i="2" s="1"/>
  <c r="L123" i="2"/>
  <c r="K124" i="2"/>
  <c r="K125" i="2"/>
  <c r="L125" i="2"/>
  <c r="K126" i="2"/>
  <c r="N126" i="2" s="1"/>
  <c r="L126" i="2"/>
  <c r="M126" i="2"/>
  <c r="K127" i="2"/>
  <c r="K128" i="2"/>
  <c r="K129" i="2"/>
  <c r="K130" i="2"/>
  <c r="K131" i="2"/>
  <c r="N131" i="2"/>
  <c r="K132" i="2"/>
  <c r="M132" i="2"/>
  <c r="K133" i="2"/>
  <c r="L133" i="2"/>
  <c r="K134" i="2"/>
  <c r="K135" i="2"/>
  <c r="N135" i="2" s="1"/>
  <c r="K136" i="2"/>
  <c r="L136" i="2"/>
  <c r="M136" i="2"/>
  <c r="K137" i="2"/>
  <c r="K138" i="2"/>
  <c r="L138" i="2"/>
  <c r="K139" i="2"/>
  <c r="M139" i="2"/>
  <c r="N139" i="2"/>
  <c r="K140" i="2"/>
  <c r="K141" i="2"/>
  <c r="K144" i="2"/>
  <c r="K145" i="2"/>
  <c r="M145" i="2"/>
  <c r="K146" i="2"/>
  <c r="L146" i="2"/>
  <c r="M146" i="2"/>
  <c r="K148" i="2"/>
  <c r="K149" i="2"/>
  <c r="N149" i="2" s="1"/>
  <c r="K150" i="2"/>
  <c r="N150" i="2" s="1"/>
  <c r="L150" i="2"/>
  <c r="M150" i="2"/>
  <c r="K152" i="2"/>
  <c r="K153" i="2"/>
  <c r="M153" i="2"/>
  <c r="K154" i="2"/>
  <c r="L154" i="2"/>
  <c r="K155" i="2"/>
  <c r="K156" i="2"/>
  <c r="K158" i="2"/>
  <c r="K160" i="2"/>
  <c r="M160" i="2"/>
  <c r="N160" i="2"/>
  <c r="K161" i="2"/>
  <c r="N161" i="2" s="1"/>
  <c r="K163" i="2"/>
  <c r="L163" i="2"/>
  <c r="K165" i="2"/>
  <c r="K166" i="2"/>
  <c r="N166" i="2"/>
  <c r="K167" i="2"/>
  <c r="M167" i="2"/>
  <c r="K168" i="2"/>
  <c r="N168" i="2" s="1"/>
  <c r="L168" i="2"/>
  <c r="K170" i="2"/>
  <c r="L170" i="2"/>
  <c r="K171" i="2"/>
  <c r="L171" i="2"/>
  <c r="M171" i="2"/>
  <c r="K173" i="2"/>
  <c r="K175" i="2"/>
  <c r="L175" i="2"/>
  <c r="K176" i="2"/>
  <c r="K178" i="2"/>
  <c r="L178" i="2"/>
  <c r="M178" i="2"/>
  <c r="N178" i="2"/>
  <c r="K179" i="2"/>
  <c r="K180" i="2"/>
  <c r="K181" i="2"/>
  <c r="N181" i="2"/>
  <c r="K183" i="2"/>
  <c r="K184" i="2"/>
  <c r="M184" i="2"/>
  <c r="K185" i="2"/>
  <c r="L185" i="2"/>
  <c r="M185" i="2"/>
  <c r="K186" i="2"/>
  <c r="N186" i="2" s="1"/>
  <c r="K187" i="2"/>
  <c r="K188" i="2"/>
  <c r="K189" i="2"/>
  <c r="M189" i="2"/>
  <c r="K190" i="2"/>
  <c r="K191" i="2"/>
  <c r="M191" i="2"/>
  <c r="K193" i="2"/>
  <c r="L193" i="2"/>
  <c r="K194" i="2"/>
  <c r="M10" i="2"/>
  <c r="K10" i="2"/>
  <c r="F11" i="2"/>
  <c r="L11" i="2" s="1"/>
  <c r="F12" i="2"/>
  <c r="L12" i="2" s="1"/>
  <c r="F13" i="2"/>
  <c r="N13" i="2" s="1"/>
  <c r="F14" i="2"/>
  <c r="L14" i="2" s="1"/>
  <c r="F15" i="2"/>
  <c r="L15" i="2" s="1"/>
  <c r="F16" i="2"/>
  <c r="F17" i="2"/>
  <c r="L17" i="2" s="1"/>
  <c r="F18" i="2"/>
  <c r="L18" i="2" s="1"/>
  <c r="F19" i="2"/>
  <c r="N19" i="2" s="1"/>
  <c r="F20" i="2"/>
  <c r="L20" i="2" s="1"/>
  <c r="F21" i="2"/>
  <c r="L21" i="2" s="1"/>
  <c r="F22" i="2"/>
  <c r="L22" i="2" s="1"/>
  <c r="F23" i="2"/>
  <c r="M23" i="2" s="1"/>
  <c r="F25" i="2"/>
  <c r="L25" i="2" s="1"/>
  <c r="F26" i="2"/>
  <c r="N26" i="2" s="1"/>
  <c r="F27" i="2"/>
  <c r="L27" i="2" s="1"/>
  <c r="F28" i="2"/>
  <c r="L28" i="2" s="1"/>
  <c r="F29" i="2"/>
  <c r="F30" i="2"/>
  <c r="L30" i="2" s="1"/>
  <c r="F31" i="2"/>
  <c r="L31" i="2" s="1"/>
  <c r="F33" i="2"/>
  <c r="G32" i="2" s="1"/>
  <c r="F35" i="2"/>
  <c r="L35" i="2" s="1"/>
  <c r="F36" i="2"/>
  <c r="L36" i="2" s="1"/>
  <c r="F37" i="2"/>
  <c r="M37" i="2" s="1"/>
  <c r="F38" i="2"/>
  <c r="L38" i="2" s="1"/>
  <c r="F39" i="2"/>
  <c r="L39" i="2" s="1"/>
  <c r="F40" i="2"/>
  <c r="F42" i="2"/>
  <c r="L42" i="2" s="1"/>
  <c r="F43" i="2"/>
  <c r="L43" i="2" s="1"/>
  <c r="F44" i="2"/>
  <c r="M44" i="2" s="1"/>
  <c r="F45" i="2"/>
  <c r="L45" i="2" s="1"/>
  <c r="F46" i="2"/>
  <c r="L46" i="2" s="1"/>
  <c r="F47" i="2"/>
  <c r="N47" i="2" s="1"/>
  <c r="F48" i="2"/>
  <c r="L48" i="2" s="1"/>
  <c r="F49" i="2"/>
  <c r="L49" i="2" s="1"/>
  <c r="F51" i="2"/>
  <c r="L51" i="2" s="1"/>
  <c r="F52" i="2"/>
  <c r="M52" i="2" s="1"/>
  <c r="F53" i="2"/>
  <c r="L53" i="2" s="1"/>
  <c r="F55" i="2"/>
  <c r="F56" i="2"/>
  <c r="L56" i="2" s="1"/>
  <c r="F57" i="2"/>
  <c r="F58" i="2"/>
  <c r="L58" i="2" s="1"/>
  <c r="F60" i="2"/>
  <c r="F61" i="2"/>
  <c r="L61" i="2" s="1"/>
  <c r="F62" i="2"/>
  <c r="L62" i="2" s="1"/>
  <c r="F63" i="2"/>
  <c r="L63" i="2" s="1"/>
  <c r="F64" i="2"/>
  <c r="M64" i="2" s="1"/>
  <c r="F65" i="2"/>
  <c r="L65" i="2" s="1"/>
  <c r="F66" i="2"/>
  <c r="L66" i="2" s="1"/>
  <c r="F67" i="2"/>
  <c r="N67" i="2" s="1"/>
  <c r="F68" i="2"/>
  <c r="L68" i="2" s="1"/>
  <c r="F69" i="2"/>
  <c r="L69" i="2" s="1"/>
  <c r="F70" i="2"/>
  <c r="F72" i="2"/>
  <c r="F73" i="2"/>
  <c r="L73" i="2" s="1"/>
  <c r="F74" i="2"/>
  <c r="L74" i="2" s="1"/>
  <c r="F76" i="2"/>
  <c r="G75" i="2" s="1"/>
  <c r="F77" i="2"/>
  <c r="M77" i="2" s="1"/>
  <c r="F78" i="2"/>
  <c r="L78" i="2" s="1"/>
  <c r="F79" i="2"/>
  <c r="L79" i="2" s="1"/>
  <c r="F81" i="2"/>
  <c r="L81" i="2" s="1"/>
  <c r="F82" i="2"/>
  <c r="L82" i="2" s="1"/>
  <c r="F83" i="2"/>
  <c r="F84" i="2"/>
  <c r="L84" i="2" s="1"/>
  <c r="F85" i="2"/>
  <c r="L85" i="2" s="1"/>
  <c r="F86" i="2"/>
  <c r="F87" i="2"/>
  <c r="L87" i="2" s="1"/>
  <c r="F89" i="2"/>
  <c r="L89" i="2" s="1"/>
  <c r="F90" i="2"/>
  <c r="M90" i="2" s="1"/>
  <c r="F91" i="2"/>
  <c r="L91" i="2" s="1"/>
  <c r="F92" i="2"/>
  <c r="L92" i="2" s="1"/>
  <c r="F93" i="2"/>
  <c r="F94" i="2"/>
  <c r="L94" i="2" s="1"/>
  <c r="F95" i="2"/>
  <c r="L95" i="2" s="1"/>
  <c r="F96" i="2"/>
  <c r="L96" i="2" s="1"/>
  <c r="F97" i="2"/>
  <c r="M97" i="2" s="1"/>
  <c r="F98" i="2"/>
  <c r="L98" i="2" s="1"/>
  <c r="F99" i="2"/>
  <c r="L99" i="2" s="1"/>
  <c r="F100" i="2"/>
  <c r="N100" i="2" s="1"/>
  <c r="F102" i="2"/>
  <c r="G101" i="2" s="1"/>
  <c r="F104" i="2"/>
  <c r="G103" i="2" s="1"/>
  <c r="F105" i="2"/>
  <c r="L105" i="2" s="1"/>
  <c r="F106" i="2"/>
  <c r="L106" i="2" s="1"/>
  <c r="F107" i="2"/>
  <c r="L107" i="2" s="1"/>
  <c r="F109" i="2"/>
  <c r="L109" i="2" s="1"/>
  <c r="F110" i="2"/>
  <c r="M110" i="2" s="1"/>
  <c r="F111" i="2"/>
  <c r="L111" i="2" s="1"/>
  <c r="F112" i="2"/>
  <c r="L112" i="2" s="1"/>
  <c r="F113" i="2"/>
  <c r="N113" i="2" s="1"/>
  <c r="F114" i="2"/>
  <c r="L114" i="2" s="1"/>
  <c r="F115" i="2"/>
  <c r="M115" i="2" s="1"/>
  <c r="F116" i="2"/>
  <c r="M116" i="2" s="1"/>
  <c r="F117" i="2"/>
  <c r="L117" i="2" s="1"/>
  <c r="F118" i="2"/>
  <c r="L118" i="2" s="1"/>
  <c r="F119" i="2"/>
  <c r="L119" i="2" s="1"/>
  <c r="F120" i="2"/>
  <c r="L120" i="2" s="1"/>
  <c r="F121" i="2"/>
  <c r="L121" i="2" s="1"/>
  <c r="F122" i="2"/>
  <c r="L122" i="2" s="1"/>
  <c r="F123" i="2"/>
  <c r="M123" i="2" s="1"/>
  <c r="F124" i="2"/>
  <c r="L124" i="2" s="1"/>
  <c r="F125" i="2"/>
  <c r="M125" i="2" s="1"/>
  <c r="F126" i="2"/>
  <c r="F127" i="2"/>
  <c r="L127" i="2" s="1"/>
  <c r="F128" i="2"/>
  <c r="M128" i="2" s="1"/>
  <c r="F129" i="2"/>
  <c r="L129" i="2" s="1"/>
  <c r="F130" i="2"/>
  <c r="L130" i="2" s="1"/>
  <c r="F131" i="2"/>
  <c r="L131" i="2" s="1"/>
  <c r="F132" i="2"/>
  <c r="L132" i="2" s="1"/>
  <c r="F133" i="2"/>
  <c r="M133" i="2" s="1"/>
  <c r="F134" i="2"/>
  <c r="L134" i="2" s="1"/>
  <c r="F135" i="2"/>
  <c r="L135" i="2" s="1"/>
  <c r="F136" i="2"/>
  <c r="N136" i="2" s="1"/>
  <c r="F137" i="2"/>
  <c r="L137" i="2" s="1"/>
  <c r="F138" i="2"/>
  <c r="M138" i="2" s="1"/>
  <c r="F139" i="2"/>
  <c r="L139" i="2" s="1"/>
  <c r="F140" i="2"/>
  <c r="L140" i="2" s="1"/>
  <c r="F141" i="2"/>
  <c r="L141" i="2" s="1"/>
  <c r="F144" i="2"/>
  <c r="G143" i="2" s="1"/>
  <c r="F145" i="2"/>
  <c r="L145" i="2" s="1"/>
  <c r="F146" i="2"/>
  <c r="F148" i="2"/>
  <c r="M148" i="2" s="1"/>
  <c r="F149" i="2"/>
  <c r="L149" i="2" s="1"/>
  <c r="F150" i="2"/>
  <c r="F152" i="2"/>
  <c r="L152" i="2" s="1"/>
  <c r="F153" i="2"/>
  <c r="L153" i="2" s="1"/>
  <c r="F154" i="2"/>
  <c r="M154" i="2" s="1"/>
  <c r="F155" i="2"/>
  <c r="L155" i="2" s="1"/>
  <c r="F156" i="2"/>
  <c r="L156" i="2" s="1"/>
  <c r="F158" i="2"/>
  <c r="L158" i="2" s="1"/>
  <c r="F160" i="2"/>
  <c r="G159" i="2" s="1"/>
  <c r="F161" i="2"/>
  <c r="L161" i="2" s="1"/>
  <c r="F163" i="2"/>
  <c r="G162" i="2" s="1"/>
  <c r="F165" i="2"/>
  <c r="L165" i="2" s="1"/>
  <c r="F166" i="2"/>
  <c r="L166" i="2" s="1"/>
  <c r="F167" i="2"/>
  <c r="L167" i="2" s="1"/>
  <c r="F168" i="2"/>
  <c r="M168" i="2" s="1"/>
  <c r="F170" i="2"/>
  <c r="M170" i="2" s="1"/>
  <c r="F171" i="2"/>
  <c r="G169" i="2" s="1"/>
  <c r="F173" i="2"/>
  <c r="G172" i="2" s="1"/>
  <c r="F175" i="2"/>
  <c r="N175" i="2" s="1"/>
  <c r="F176" i="2"/>
  <c r="L176" i="2" s="1"/>
  <c r="F178" i="2"/>
  <c r="F179" i="2"/>
  <c r="L179" i="2" s="1"/>
  <c r="F180" i="2"/>
  <c r="L180" i="2" s="1"/>
  <c r="F181" i="2"/>
  <c r="L181" i="2" s="1"/>
  <c r="F183" i="2"/>
  <c r="F184" i="2"/>
  <c r="L184" i="2" s="1"/>
  <c r="F185" i="2"/>
  <c r="F186" i="2"/>
  <c r="L186" i="2" s="1"/>
  <c r="F187" i="2"/>
  <c r="L187" i="2" s="1"/>
  <c r="F188" i="2"/>
  <c r="L188" i="2" s="1"/>
  <c r="F189" i="2"/>
  <c r="L189" i="2" s="1"/>
  <c r="F190" i="2"/>
  <c r="L190" i="2" s="1"/>
  <c r="F191" i="2"/>
  <c r="L191" i="2" s="1"/>
  <c r="F193" i="2"/>
  <c r="G192" i="2" s="1"/>
  <c r="F194" i="2"/>
  <c r="L194" i="2" s="1"/>
  <c r="F10" i="2"/>
  <c r="N10" i="2" s="1"/>
  <c r="A109" i="2"/>
  <c r="A104" i="2"/>
  <c r="A81" i="2"/>
  <c r="A72" i="2"/>
  <c r="M195" i="11" l="1"/>
  <c r="N203" i="11" s="1"/>
  <c r="N195" i="11"/>
  <c r="L195" i="11"/>
  <c r="G195" i="11"/>
  <c r="H41" i="11" s="1"/>
  <c r="N195" i="10"/>
  <c r="L195" i="10"/>
  <c r="G195" i="10"/>
  <c r="H24" i="10" s="1"/>
  <c r="H50" i="10"/>
  <c r="M195" i="10"/>
  <c r="H108" i="10"/>
  <c r="H103" i="10"/>
  <c r="N195" i="9"/>
  <c r="G195" i="9"/>
  <c r="H9" i="9"/>
  <c r="H41" i="9"/>
  <c r="H71" i="9"/>
  <c r="H50" i="9"/>
  <c r="H147" i="9"/>
  <c r="L195" i="9"/>
  <c r="H88" i="9"/>
  <c r="H59" i="9"/>
  <c r="M195" i="9"/>
  <c r="H108" i="9"/>
  <c r="M195" i="8"/>
  <c r="N203" i="8" s="1"/>
  <c r="L195" i="8"/>
  <c r="N195" i="8"/>
  <c r="G195" i="8"/>
  <c r="H108" i="8" s="1"/>
  <c r="N195" i="7"/>
  <c r="L195" i="7"/>
  <c r="H192" i="7"/>
  <c r="H41" i="7"/>
  <c r="G195" i="7"/>
  <c r="H151" i="7" s="1"/>
  <c r="H9" i="7"/>
  <c r="H147" i="7"/>
  <c r="H177" i="7"/>
  <c r="H182" i="7"/>
  <c r="H164" i="7"/>
  <c r="H59" i="7"/>
  <c r="M195" i="7"/>
  <c r="N203" i="6"/>
  <c r="L195" i="6"/>
  <c r="N195" i="6"/>
  <c r="G195" i="6"/>
  <c r="H108" i="6" s="1"/>
  <c r="H71" i="6"/>
  <c r="H59" i="6"/>
  <c r="N195" i="5"/>
  <c r="L195" i="5"/>
  <c r="M195" i="5"/>
  <c r="G195" i="5"/>
  <c r="H88" i="5" s="1"/>
  <c r="H108" i="5"/>
  <c r="L195" i="4"/>
  <c r="G195" i="4"/>
  <c r="H192" i="4" s="1"/>
  <c r="H75" i="4"/>
  <c r="H177" i="4"/>
  <c r="M195" i="4"/>
  <c r="N195" i="4"/>
  <c r="N196" i="4" s="1"/>
  <c r="H162" i="4"/>
  <c r="H41" i="4"/>
  <c r="M195" i="3"/>
  <c r="N203" i="3" s="1"/>
  <c r="L195" i="3"/>
  <c r="G195" i="3"/>
  <c r="H9" i="3"/>
  <c r="H143" i="3"/>
  <c r="H177" i="3"/>
  <c r="H80" i="3"/>
  <c r="H182" i="3"/>
  <c r="H103" i="3"/>
  <c r="H41" i="3"/>
  <c r="H174" i="3"/>
  <c r="H24" i="3"/>
  <c r="N195" i="3"/>
  <c r="N196" i="3" s="1"/>
  <c r="H34" i="3"/>
  <c r="H108" i="3"/>
  <c r="H151" i="3"/>
  <c r="G88" i="2"/>
  <c r="N90" i="2"/>
  <c r="M47" i="2"/>
  <c r="L116" i="2"/>
  <c r="N89" i="2"/>
  <c r="M73" i="2"/>
  <c r="L47" i="2"/>
  <c r="N33" i="2"/>
  <c r="M19" i="2"/>
  <c r="G80" i="2"/>
  <c r="G71" i="2"/>
  <c r="M188" i="2"/>
  <c r="N185" i="2"/>
  <c r="M181" i="2"/>
  <c r="N171" i="2"/>
  <c r="N163" i="2"/>
  <c r="L160" i="2"/>
  <c r="M149" i="2"/>
  <c r="N146" i="2"/>
  <c r="M135" i="2"/>
  <c r="N129" i="2"/>
  <c r="N125" i="2"/>
  <c r="M122" i="2"/>
  <c r="N112" i="2"/>
  <c r="M109" i="2"/>
  <c r="M99" i="2"/>
  <c r="N93" i="2"/>
  <c r="M89" i="2"/>
  <c r="L86" i="2"/>
  <c r="N79" i="2"/>
  <c r="M76" i="2"/>
  <c r="M66" i="2"/>
  <c r="N60" i="2"/>
  <c r="N56" i="2"/>
  <c r="M53" i="2"/>
  <c r="M43" i="2"/>
  <c r="N29" i="2"/>
  <c r="N25" i="2"/>
  <c r="M22" i="2"/>
  <c r="L19" i="2"/>
  <c r="M12" i="2"/>
  <c r="L10" i="2"/>
  <c r="N184" i="2"/>
  <c r="N167" i="2"/>
  <c r="M163" i="2"/>
  <c r="M156" i="2"/>
  <c r="N153" i="2"/>
  <c r="N145" i="2"/>
  <c r="N132" i="2"/>
  <c r="N128" i="2"/>
  <c r="N115" i="2"/>
  <c r="M112" i="2"/>
  <c r="M102" i="2"/>
  <c r="N96" i="2"/>
  <c r="M92" i="2"/>
  <c r="N82" i="2"/>
  <c r="M79" i="2"/>
  <c r="L76" i="2"/>
  <c r="M69" i="2"/>
  <c r="N63" i="2"/>
  <c r="M56" i="2"/>
  <c r="N46" i="2"/>
  <c r="M39" i="2"/>
  <c r="N36" i="2"/>
  <c r="N28" i="2"/>
  <c r="M25" i="2"/>
  <c r="M15" i="2"/>
  <c r="N85" i="2"/>
  <c r="M82" i="2"/>
  <c r="M72" i="2"/>
  <c r="N66" i="2"/>
  <c r="N62" i="2"/>
  <c r="N49" i="2"/>
  <c r="M46" i="2"/>
  <c r="M35" i="2"/>
  <c r="M28" i="2"/>
  <c r="M18" i="2"/>
  <c r="N12" i="2"/>
  <c r="G54" i="2"/>
  <c r="N187" i="2"/>
  <c r="M180" i="2"/>
  <c r="M173" i="2"/>
  <c r="N170" i="2"/>
  <c r="M166" i="2"/>
  <c r="N156" i="2"/>
  <c r="N148" i="2"/>
  <c r="M141" i="2"/>
  <c r="N138" i="2"/>
  <c r="N134" i="2"/>
  <c r="M131" i="2"/>
  <c r="L128" i="2"/>
  <c r="N121" i="2"/>
  <c r="M118" i="2"/>
  <c r="L115" i="2"/>
  <c r="N102" i="2"/>
  <c r="N98" i="2"/>
  <c r="M95" i="2"/>
  <c r="N92" i="2"/>
  <c r="M85" i="2"/>
  <c r="L72" i="2"/>
  <c r="N69" i="2"/>
  <c r="N65" i="2"/>
  <c r="M62" i="2"/>
  <c r="N52" i="2"/>
  <c r="M49" i="2"/>
  <c r="M42" i="2"/>
  <c r="N39" i="2"/>
  <c r="N31" i="2"/>
  <c r="M21" i="2"/>
  <c r="N15" i="2"/>
  <c r="M11" i="2"/>
  <c r="G151" i="2"/>
  <c r="M152" i="2"/>
  <c r="G182" i="2"/>
  <c r="G24" i="2"/>
  <c r="M194" i="2"/>
  <c r="N191" i="2"/>
  <c r="M187" i="2"/>
  <c r="M176" i="2"/>
  <c r="L173" i="2"/>
  <c r="M155" i="2"/>
  <c r="N152" i="2"/>
  <c r="N137" i="2"/>
  <c r="M134" i="2"/>
  <c r="N124" i="2"/>
  <c r="M121" i="2"/>
  <c r="M111" i="2"/>
  <c r="N105" i="2"/>
  <c r="M98" i="2"/>
  <c r="N91" i="2"/>
  <c r="M78" i="2"/>
  <c r="N72" i="2"/>
  <c r="N68" i="2"/>
  <c r="M65" i="2"/>
  <c r="N55" i="2"/>
  <c r="M38" i="2"/>
  <c r="N35" i="2"/>
  <c r="M31" i="2"/>
  <c r="N18" i="2"/>
  <c r="N14" i="2"/>
  <c r="N189" i="2"/>
  <c r="G9" i="2"/>
  <c r="G147" i="2"/>
  <c r="G108" i="2"/>
  <c r="G50" i="2"/>
  <c r="N190" i="2"/>
  <c r="M183" i="2"/>
  <c r="N180" i="2"/>
  <c r="N158" i="2"/>
  <c r="L148" i="2"/>
  <c r="M144" i="2"/>
  <c r="N141" i="2"/>
  <c r="M137" i="2"/>
  <c r="N127" i="2"/>
  <c r="M124" i="2"/>
  <c r="M114" i="2"/>
  <c r="N104" i="2"/>
  <c r="M91" i="2"/>
  <c r="M81" i="2"/>
  <c r="M68" i="2"/>
  <c r="N58" i="2"/>
  <c r="M55" i="2"/>
  <c r="L52" i="2"/>
  <c r="M45" i="2"/>
  <c r="N42" i="2"/>
  <c r="M27" i="2"/>
  <c r="N21" i="2"/>
  <c r="N17" i="2"/>
  <c r="M14" i="2"/>
  <c r="N11" i="2"/>
  <c r="L90" i="2"/>
  <c r="M129" i="2"/>
  <c r="G59" i="2"/>
  <c r="N76" i="2"/>
  <c r="G41" i="2"/>
  <c r="N188" i="2"/>
  <c r="G164" i="2"/>
  <c r="N194" i="2"/>
  <c r="M190" i="2"/>
  <c r="L183" i="2"/>
  <c r="M179" i="2"/>
  <c r="N176" i="2"/>
  <c r="M165" i="2"/>
  <c r="M158" i="2"/>
  <c r="N155" i="2"/>
  <c r="L144" i="2"/>
  <c r="M140" i="2"/>
  <c r="N130" i="2"/>
  <c r="M127" i="2"/>
  <c r="M117" i="2"/>
  <c r="N111" i="2"/>
  <c r="N107" i="2"/>
  <c r="M104" i="2"/>
  <c r="N94" i="2"/>
  <c r="M84" i="2"/>
  <c r="N78" i="2"/>
  <c r="N74" i="2"/>
  <c r="N61" i="2"/>
  <c r="M58" i="2"/>
  <c r="L55" i="2"/>
  <c r="M48" i="2"/>
  <c r="N38" i="2"/>
  <c r="N20" i="2"/>
  <c r="M17" i="2"/>
  <c r="G157" i="2"/>
  <c r="L60" i="2"/>
  <c r="N193" i="2"/>
  <c r="M186" i="2"/>
  <c r="N183" i="2"/>
  <c r="M161" i="2"/>
  <c r="N154" i="2"/>
  <c r="N144" i="2"/>
  <c r="N133" i="2"/>
  <c r="M130" i="2"/>
  <c r="M120" i="2"/>
  <c r="N114" i="2"/>
  <c r="N110" i="2"/>
  <c r="M107" i="2"/>
  <c r="L104" i="2"/>
  <c r="N97" i="2"/>
  <c r="M94" i="2"/>
  <c r="M87" i="2"/>
  <c r="N81" i="2"/>
  <c r="N77" i="2"/>
  <c r="M74" i="2"/>
  <c r="N64" i="2"/>
  <c r="M61" i="2"/>
  <c r="M51" i="2"/>
  <c r="N45" i="2"/>
  <c r="N37" i="2"/>
  <c r="M30" i="2"/>
  <c r="N27" i="2"/>
  <c r="N23" i="2"/>
  <c r="M20" i="2"/>
  <c r="M33" i="2"/>
  <c r="G174" i="2"/>
  <c r="L33" i="2"/>
  <c r="N173" i="2"/>
  <c r="L102" i="2"/>
  <c r="G177" i="2"/>
  <c r="G34" i="2"/>
  <c r="M193" i="2"/>
  <c r="N179" i="2"/>
  <c r="M175" i="2"/>
  <c r="N165" i="2"/>
  <c r="N140" i="2"/>
  <c r="N117" i="2"/>
  <c r="N84" i="2"/>
  <c r="N48" i="2"/>
  <c r="F195" i="2"/>
  <c r="N201" i="11" l="1"/>
  <c r="N202" i="11" s="1"/>
  <c r="H177" i="11"/>
  <c r="H162" i="11"/>
  <c r="H174" i="11"/>
  <c r="H182" i="11"/>
  <c r="H59" i="11"/>
  <c r="H32" i="11"/>
  <c r="H159" i="11"/>
  <c r="H34" i="11"/>
  <c r="H88" i="11"/>
  <c r="H75" i="11"/>
  <c r="H147" i="11"/>
  <c r="H103" i="11"/>
  <c r="H164" i="11"/>
  <c r="H101" i="11"/>
  <c r="H157" i="11"/>
  <c r="H172" i="11"/>
  <c r="H54" i="11"/>
  <c r="H143" i="11"/>
  <c r="H169" i="11"/>
  <c r="H192" i="11"/>
  <c r="H24" i="11"/>
  <c r="H80" i="11"/>
  <c r="H71" i="11"/>
  <c r="M196" i="11"/>
  <c r="H50" i="11"/>
  <c r="H151" i="11"/>
  <c r="H108" i="11"/>
  <c r="N196" i="11"/>
  <c r="H9" i="11"/>
  <c r="N204" i="11"/>
  <c r="N203" i="10"/>
  <c r="M196" i="10"/>
  <c r="H9" i="10"/>
  <c r="N201" i="10"/>
  <c r="N202" i="10" s="1"/>
  <c r="H177" i="10"/>
  <c r="H159" i="10"/>
  <c r="H88" i="10"/>
  <c r="H174" i="10"/>
  <c r="H59" i="10"/>
  <c r="H75" i="10"/>
  <c r="H147" i="10"/>
  <c r="H32" i="10"/>
  <c r="H164" i="10"/>
  <c r="H169" i="10"/>
  <c r="H54" i="10"/>
  <c r="H162" i="10"/>
  <c r="H182" i="10"/>
  <c r="H172" i="10"/>
  <c r="H80" i="10"/>
  <c r="H41" i="10"/>
  <c r="H101" i="10"/>
  <c r="H34" i="10"/>
  <c r="H157" i="10"/>
  <c r="H192" i="10"/>
  <c r="H151" i="10"/>
  <c r="H71" i="10"/>
  <c r="H143" i="10"/>
  <c r="N196" i="10"/>
  <c r="N203" i="9"/>
  <c r="M196" i="9"/>
  <c r="N201" i="9"/>
  <c r="N202" i="9" s="1"/>
  <c r="H24" i="9"/>
  <c r="H174" i="9"/>
  <c r="H34" i="9"/>
  <c r="H32" i="9"/>
  <c r="H182" i="9"/>
  <c r="H101" i="9"/>
  <c r="H143" i="9"/>
  <c r="H162" i="9"/>
  <c r="H157" i="9"/>
  <c r="H172" i="9"/>
  <c r="H103" i="9"/>
  <c r="H164" i="9"/>
  <c r="H80" i="9"/>
  <c r="H159" i="9"/>
  <c r="H54" i="9"/>
  <c r="H177" i="9"/>
  <c r="H169" i="9"/>
  <c r="H192" i="9"/>
  <c r="H151" i="9"/>
  <c r="H75" i="9"/>
  <c r="H195" i="9" s="1"/>
  <c r="N196" i="9"/>
  <c r="H50" i="8"/>
  <c r="H174" i="8"/>
  <c r="H162" i="8"/>
  <c r="H159" i="8"/>
  <c r="H147" i="8"/>
  <c r="H177" i="8"/>
  <c r="N196" i="8"/>
  <c r="H192" i="8"/>
  <c r="H71" i="8"/>
  <c r="N201" i="8"/>
  <c r="N202" i="8" s="1"/>
  <c r="H41" i="8"/>
  <c r="H143" i="8"/>
  <c r="H32" i="8"/>
  <c r="H172" i="8"/>
  <c r="H101" i="8"/>
  <c r="H157" i="8"/>
  <c r="H103" i="8"/>
  <c r="H169" i="8"/>
  <c r="H59" i="8"/>
  <c r="H88" i="8"/>
  <c r="H24" i="8"/>
  <c r="H54" i="8"/>
  <c r="H164" i="8"/>
  <c r="H182" i="8"/>
  <c r="H34" i="8"/>
  <c r="H151" i="8"/>
  <c r="H80" i="8"/>
  <c r="H75" i="8"/>
  <c r="M196" i="8"/>
  <c r="H9" i="8"/>
  <c r="N204" i="8"/>
  <c r="N205" i="8" s="1"/>
  <c r="N203" i="7"/>
  <c r="M196" i="7"/>
  <c r="N201" i="7"/>
  <c r="N202" i="7" s="1"/>
  <c r="H159" i="7"/>
  <c r="H24" i="7"/>
  <c r="H80" i="7"/>
  <c r="H108" i="7"/>
  <c r="H174" i="7"/>
  <c r="H157" i="7"/>
  <c r="H71" i="7"/>
  <c r="H88" i="7"/>
  <c r="H54" i="7"/>
  <c r="H172" i="7"/>
  <c r="H169" i="7"/>
  <c r="H75" i="7"/>
  <c r="H32" i="7"/>
  <c r="H162" i="7"/>
  <c r="H101" i="7"/>
  <c r="H50" i="7"/>
  <c r="H143" i="7"/>
  <c r="H103" i="7"/>
  <c r="H34" i="7"/>
  <c r="N196" i="7"/>
  <c r="N201" i="6"/>
  <c r="N202" i="6" s="1"/>
  <c r="H143" i="6"/>
  <c r="H162" i="6"/>
  <c r="H75" i="6"/>
  <c r="H159" i="6"/>
  <c r="H147" i="6"/>
  <c r="H103" i="6"/>
  <c r="H80" i="6"/>
  <c r="H101" i="6"/>
  <c r="H34" i="6"/>
  <c r="H192" i="6"/>
  <c r="H177" i="6"/>
  <c r="H32" i="6"/>
  <c r="H41" i="6"/>
  <c r="H54" i="6"/>
  <c r="H182" i="6"/>
  <c r="H172" i="6"/>
  <c r="H164" i="6"/>
  <c r="H157" i="6"/>
  <c r="H9" i="6"/>
  <c r="H50" i="6"/>
  <c r="H169" i="6"/>
  <c r="N196" i="6"/>
  <c r="H151" i="6"/>
  <c r="H174" i="6"/>
  <c r="H88" i="6"/>
  <c r="H24" i="6"/>
  <c r="M196" i="6"/>
  <c r="N204" i="6"/>
  <c r="N205" i="6" s="1"/>
  <c r="H24" i="5"/>
  <c r="N203" i="5"/>
  <c r="M196" i="5"/>
  <c r="H143" i="5"/>
  <c r="N201" i="5"/>
  <c r="N202" i="5" s="1"/>
  <c r="H75" i="5"/>
  <c r="H162" i="5"/>
  <c r="H174" i="5"/>
  <c r="H147" i="5"/>
  <c r="H192" i="5"/>
  <c r="H34" i="5"/>
  <c r="H54" i="5"/>
  <c r="H59" i="5"/>
  <c r="H177" i="5"/>
  <c r="H164" i="5"/>
  <c r="H157" i="5"/>
  <c r="H172" i="5"/>
  <c r="H101" i="5"/>
  <c r="H71" i="5"/>
  <c r="H159" i="5"/>
  <c r="H80" i="5"/>
  <c r="H32" i="5"/>
  <c r="H103" i="5"/>
  <c r="H50" i="5"/>
  <c r="H169" i="5"/>
  <c r="H151" i="5"/>
  <c r="H9" i="5"/>
  <c r="H182" i="5"/>
  <c r="H41" i="5"/>
  <c r="N196" i="5"/>
  <c r="M196" i="4"/>
  <c r="N203" i="4"/>
  <c r="N201" i="4"/>
  <c r="N202" i="4" s="1"/>
  <c r="H9" i="4"/>
  <c r="H151" i="4"/>
  <c r="H159" i="4"/>
  <c r="H32" i="4"/>
  <c r="H101" i="4"/>
  <c r="H88" i="4"/>
  <c r="H169" i="4"/>
  <c r="H147" i="4"/>
  <c r="H59" i="4"/>
  <c r="H24" i="4"/>
  <c r="H143" i="4"/>
  <c r="H174" i="4"/>
  <c r="H157" i="4"/>
  <c r="H54" i="4"/>
  <c r="H164" i="4"/>
  <c r="H80" i="4"/>
  <c r="H172" i="4"/>
  <c r="H50" i="4"/>
  <c r="H34" i="4"/>
  <c r="H108" i="4"/>
  <c r="H103" i="4"/>
  <c r="H182" i="4"/>
  <c r="H71" i="4"/>
  <c r="N201" i="3"/>
  <c r="N202" i="3" s="1"/>
  <c r="H59" i="3"/>
  <c r="H88" i="3"/>
  <c r="H71" i="3"/>
  <c r="H192" i="3"/>
  <c r="H147" i="3"/>
  <c r="H75" i="3"/>
  <c r="H169" i="3"/>
  <c r="H164" i="3"/>
  <c r="H50" i="3"/>
  <c r="H195" i="3" s="1"/>
  <c r="H54" i="3"/>
  <c r="H172" i="3"/>
  <c r="H32" i="3"/>
  <c r="H101" i="3"/>
  <c r="H162" i="3"/>
  <c r="N204" i="3"/>
  <c r="N205" i="3" s="1"/>
  <c r="H157" i="3"/>
  <c r="H159" i="3"/>
  <c r="M196" i="3"/>
  <c r="N195" i="2"/>
  <c r="M195" i="2"/>
  <c r="L195" i="2"/>
  <c r="G195" i="2"/>
  <c r="H24" i="2" s="1"/>
  <c r="M204" i="2"/>
  <c r="L206" i="2"/>
  <c r="M206" i="2" s="1"/>
  <c r="N205" i="11" l="1"/>
  <c r="H195" i="11"/>
  <c r="N207" i="6"/>
  <c r="N206" i="6"/>
  <c r="H195" i="10"/>
  <c r="N204" i="10"/>
  <c r="N205" i="10" s="1"/>
  <c r="N204" i="9"/>
  <c r="N205" i="9" s="1"/>
  <c r="H195" i="8"/>
  <c r="H195" i="7"/>
  <c r="N204" i="7"/>
  <c r="N205" i="7" s="1"/>
  <c r="H195" i="6"/>
  <c r="N204" i="5"/>
  <c r="N205" i="5" s="1"/>
  <c r="H195" i="5"/>
  <c r="H195" i="4"/>
  <c r="N204" i="4"/>
  <c r="N205" i="4" s="1"/>
  <c r="N206" i="3"/>
  <c r="N207" i="3" s="1"/>
  <c r="H54" i="2"/>
  <c r="H143" i="2"/>
  <c r="N201" i="2"/>
  <c r="H32" i="2"/>
  <c r="H101" i="2"/>
  <c r="H169" i="2"/>
  <c r="H192" i="2"/>
  <c r="H172" i="2"/>
  <c r="H159" i="2"/>
  <c r="H162" i="2"/>
  <c r="H103" i="2"/>
  <c r="H75" i="2"/>
  <c r="H9" i="2"/>
  <c r="H34" i="2"/>
  <c r="H59" i="2"/>
  <c r="H88" i="2"/>
  <c r="H41" i="2"/>
  <c r="H182" i="2"/>
  <c r="H164" i="2"/>
  <c r="H151" i="2"/>
  <c r="H174" i="2"/>
  <c r="H80" i="2"/>
  <c r="H177" i="2"/>
  <c r="H71" i="2"/>
  <c r="H157" i="2"/>
  <c r="H147" i="2"/>
  <c r="H50" i="2"/>
  <c r="H108" i="2"/>
  <c r="N204" i="2"/>
  <c r="N205" i="2" s="1"/>
  <c r="N206" i="2" s="1"/>
  <c r="N207" i="2" s="1"/>
  <c r="N206" i="5" l="1"/>
  <c r="N207" i="5" s="1"/>
  <c r="N206" i="4"/>
  <c r="N207" i="4" s="1"/>
  <c r="H195" i="2"/>
  <c r="N202" i="2"/>
</calcChain>
</file>

<file path=xl/sharedStrings.xml><?xml version="1.0" encoding="utf-8"?>
<sst xmlns="http://schemas.openxmlformats.org/spreadsheetml/2006/main" count="5825" uniqueCount="237">
  <si>
    <t>DÓLAR BNA</t>
  </si>
  <si>
    <t>DÓLAR MEP</t>
  </si>
  <si>
    <t>OBRA: EDIFICIO GDR 3760</t>
  </si>
  <si>
    <t xml:space="preserve">Certificado </t>
  </si>
  <si>
    <t>PRESUPUESTO OBRA CIVIL</t>
  </si>
  <si>
    <t>PRESUPUESTO 02 - ALBANILERIA, INSTALACIONES Y TERMINACIONES</t>
  </si>
  <si>
    <t>Avance</t>
  </si>
  <si>
    <t>Importe</t>
  </si>
  <si>
    <t xml:space="preserve"> </t>
  </si>
  <si>
    <t>Descripción</t>
  </si>
  <si>
    <t>U</t>
  </si>
  <si>
    <t>Cant</t>
  </si>
  <si>
    <t xml:space="preserve">P unit </t>
  </si>
  <si>
    <t>Subtotal</t>
  </si>
  <si>
    <t>Anterior</t>
  </si>
  <si>
    <t>Actual</t>
  </si>
  <si>
    <t>Acumulado</t>
  </si>
  <si>
    <t>MAMPOSTERÍA</t>
  </si>
  <si>
    <t>Muro tipo 1 - Ladrillo hueco 8 x 18 x 33</t>
  </si>
  <si>
    <t>m2</t>
  </si>
  <si>
    <t xml:space="preserve">Muro tipo 2 - Ladrillo hueco 12 x 18 x 33 </t>
  </si>
  <si>
    <t>Muro tipo 3 - Ladrillo comun en panderete</t>
  </si>
  <si>
    <t>Muro tipo 4 - Ladrillo hueco portante 12 x 18 x 33</t>
  </si>
  <si>
    <t>Muro tipo 5 - Bloque HCCA e: 7,5 cm</t>
  </si>
  <si>
    <t>Muro tipo 6 - Ladrillo hueco 18 x 18 x 33</t>
  </si>
  <si>
    <t>Enchape de medianeras existentes - Contemplamos picado zonas sueltas y enchape con ladrillo comun para PB</t>
  </si>
  <si>
    <t>Cordón de hormigón en umbrales carpinterías</t>
  </si>
  <si>
    <t>ml</t>
  </si>
  <si>
    <t xml:space="preserve">Banquina Sala tanque de bombeo </t>
  </si>
  <si>
    <t>gl</t>
  </si>
  <si>
    <t>Banquina en parrillas</t>
  </si>
  <si>
    <t>Excavación y amurado con Hº tanque de recuperación de agua de lluvia</t>
  </si>
  <si>
    <t>Provisión y amurado de tapas de inspección para tanque de reserva</t>
  </si>
  <si>
    <t>u</t>
  </si>
  <si>
    <t>Vigas de encadenado - Cuantía aprox. 60 kg/m3</t>
  </si>
  <si>
    <t xml:space="preserve">Amurado de bañera </t>
  </si>
  <si>
    <t>AISLACIONES</t>
  </si>
  <si>
    <t>Cajón hidrofugo</t>
  </si>
  <si>
    <t>Aislación hidrófuga horizontal (baños) - Inc. membrana geotextil y 35% en concepto de babetas</t>
  </si>
  <si>
    <t>Azotado hidrófugo - Contrapiso de PB</t>
  </si>
  <si>
    <t xml:space="preserve">Aislación térmica en terrazas, eps e:2,00 cm </t>
  </si>
  <si>
    <t>Barrera de vapor</t>
  </si>
  <si>
    <t>Membrana asfáltica geotextil 4mm - Balcones y azotea - Inc. 20% en concepto de babetas</t>
  </si>
  <si>
    <t>Impermeabilización de tanque de reserva de HºAº</t>
  </si>
  <si>
    <t>CUBIERTAS</t>
  </si>
  <si>
    <t>Babeta de chapa galvanizada en medianeras</t>
  </si>
  <si>
    <t>REVOQUES</t>
  </si>
  <si>
    <t xml:space="preserve">Revoque Grueso Impermeable Exterior </t>
  </si>
  <si>
    <t>Revoque Grueso Impermeable Exterior a mas de 3m - Medianero y fachadas</t>
  </si>
  <si>
    <t>Yeso interior</t>
  </si>
  <si>
    <t xml:space="preserve">Arista en yeso </t>
  </si>
  <si>
    <t xml:space="preserve">Provisión y colocación de guardacanto yesero </t>
  </si>
  <si>
    <t>un</t>
  </si>
  <si>
    <t>Revoque Grueso Impermeable Interior b/ revestimiento</t>
  </si>
  <si>
    <t>CONTRAPISOS Y CARPETAS</t>
  </si>
  <si>
    <t xml:space="preserve">Contrapiso de Hº armado e: 18 cm, incluye malla Ø 6 mm y film 200 mic. </t>
  </si>
  <si>
    <t>Contrapiso de H13 subase bajo intertrabado y garden block</t>
  </si>
  <si>
    <t xml:space="preserve">Monolítico e: 6 cm </t>
  </si>
  <si>
    <t>Contrapiso alivianado en azoteas (RDC), e: 15 cm</t>
  </si>
  <si>
    <t>Contrapiso con piedra binder e: 4/5 cm - En locales húmedos (baños)</t>
  </si>
  <si>
    <t>Carpeta autonivelante e: 4/10 mm - En locales húmedos (baños)</t>
  </si>
  <si>
    <t>Carpeta a la cal reforzada</t>
  </si>
  <si>
    <t>Carpeta a la cal reforzada s/membrana</t>
  </si>
  <si>
    <t>ESCALERAS</t>
  </si>
  <si>
    <t>Provisión y ejecución de cemento alisado arrodillado, e: 3,00 cm, en alzada y pedad</t>
  </si>
  <si>
    <t xml:space="preserve">Provisión nariz escalera, hierro angulo 5/8 x 1/8" </t>
  </si>
  <si>
    <t>Ejecución de zócalo rampante de concreto h: 10 cm</t>
  </si>
  <si>
    <t>VENTILACIONES - PROVISION A CARGO DEL COMITENTE</t>
  </si>
  <si>
    <t>Montaje de conductos de ventilación de baños C27 - Provisión a cargo del comitente</t>
  </si>
  <si>
    <t>Montaje de conductos de ventilación de parrillas C27 - Provisión a cargo del comitente</t>
  </si>
  <si>
    <t>Montaje de campanas de parrillas C22 - Provisión a cargo del comitente</t>
  </si>
  <si>
    <t>Montaje de sombreretes en chapa prepintada C25 - Provisión a cargo del comitente</t>
  </si>
  <si>
    <t>PISOS - PROVISION A CARGO DEL COMITENTE</t>
  </si>
  <si>
    <t>Provisión y ejecución de alisado de cemento a la llana metálica, e: 6,00 cm</t>
  </si>
  <si>
    <t>Provisión y ejecución de cemento alisado arrodillado, e: 3,00 cm</t>
  </si>
  <si>
    <t>Colocación de porcelanato a definir en sspacios comunes - Provisión a cargo del comitente</t>
  </si>
  <si>
    <t>Colocación de pavimento intertrabado de H°, incluye provisión y colocación de cama de arena + tomado de junta - Provisión a cargo del comitente</t>
  </si>
  <si>
    <t>Colocación de garden block, incluye provisión y colocación de cama de arena + tomado de junta - Provisión a cargo del comitente</t>
  </si>
  <si>
    <t>Provisión y colocación de relleno de piedra binder</t>
  </si>
  <si>
    <t>Colocación de baldoson granítico vereda 40 x 40 - Provisión a cargo del comitente</t>
  </si>
  <si>
    <t>Colocación de porcelanato a definir Interior UF - Provisión a cargo del comitente</t>
  </si>
  <si>
    <t>Colocación de porcelanato a definir Baños - Provisión a cargo del comitente</t>
  </si>
  <si>
    <t>Colocación de porcelanato a definir Balcones - Provisión a cargo del comitente</t>
  </si>
  <si>
    <t>Colocación de porcelanato a definir Palier - Provisión a cargo del comitente</t>
  </si>
  <si>
    <t>ZOCALOS Y SOLIAS - PROVISION A CARGO DEL COMITENTE</t>
  </si>
  <si>
    <t>Ejecución de zócalo de concreto h: 10 cm</t>
  </si>
  <si>
    <t>Provisión y colocación de zócalo de MDF prepintado color bco. h: 7cm</t>
  </si>
  <si>
    <t>Colocación de zócalo de porcelanato - Provisión a cargo del comitente</t>
  </si>
  <si>
    <t>REVESTIMIENTOS - PROVISION A CARGO DEL COMITENTE</t>
  </si>
  <si>
    <t>Colocación de porcelanato en baños - Provisión a cargo del comitente</t>
  </si>
  <si>
    <t>Colocación de revestimiento en cocinas - Provisión a cargo del comitente</t>
  </si>
  <si>
    <t>Colocación de listones refractarios en parrillas - Provisión a cargo del comitente</t>
  </si>
  <si>
    <t>Revestimiento Simil madera - Cotizado en provisiones</t>
  </si>
  <si>
    <t>CIELORRASOS</t>
  </si>
  <si>
    <t>Aplicado de yeso</t>
  </si>
  <si>
    <t>Buña en yeso aplicado</t>
  </si>
  <si>
    <t>Cielorraso suspendido en placa STD</t>
  </si>
  <si>
    <t>Cielorraso suspendido en placa RH</t>
  </si>
  <si>
    <t>Buña Z en cielorraso suspendido</t>
  </si>
  <si>
    <t xml:space="preserve">Cantonera / Cajón </t>
  </si>
  <si>
    <t>Hormigon visto, maquillaje</t>
  </si>
  <si>
    <t>PINTURA</t>
  </si>
  <si>
    <t>Latex exterior mate en paredes, color bco., sin enduido, a mas de 3 m de altura - Medianeras</t>
  </si>
  <si>
    <t>Latex interior mate en paredes, color bco., con enduido parcial</t>
  </si>
  <si>
    <t>Latex interior mate en paredes, color bco., con enduido completo</t>
  </si>
  <si>
    <t>Latex exterior acrílico en cielorraso, color a definir, sin enduido - Sector cocheras</t>
  </si>
  <si>
    <t>Latex interior mate en cielorraso, color bco., con enduido parcial</t>
  </si>
  <si>
    <t>Latex interior mate en cielorraso, color bco., con enduido completo</t>
  </si>
  <si>
    <t xml:space="preserve">Impermeabilizane de Hº, silicona transparente </t>
  </si>
  <si>
    <t>Revestimiento tipo Tarquini hasta 3 m de altura</t>
  </si>
  <si>
    <t>Revestimiento tipo Tarquini a mas de 3 m de altura</t>
  </si>
  <si>
    <t>Franjas división cocheras</t>
  </si>
  <si>
    <t>Esmalte sintetico en puertas color bco. - Puertas placa, de chapa y de ascensor</t>
  </si>
  <si>
    <t>Esmalte sintético convertidor antioxido color negro satinado en herrería - Barandas, herrerías, etc.</t>
  </si>
  <si>
    <t>MARMOLES Y GRANITOS - PROVISION  A CARGO DEL COMITENTE</t>
  </si>
  <si>
    <t>CARPINTERIA - PROVISION A CARGO DEL COMITENTE</t>
  </si>
  <si>
    <t xml:space="preserve">Amure de puertas placa  </t>
  </si>
  <si>
    <t xml:space="preserve">Amure de puertas de chapa e ingresos depto </t>
  </si>
  <si>
    <t xml:space="preserve">Amure de premarcos </t>
  </si>
  <si>
    <t xml:space="preserve">Amure Puertas de Ascensor </t>
  </si>
  <si>
    <t>INSTALACION ELECTRICA</t>
  </si>
  <si>
    <t>Tendido y cableado boca Iluminación en losa</t>
  </si>
  <si>
    <t>Tendido y cableado boca Iluminación en pared</t>
  </si>
  <si>
    <t>Tendido y cableado boca Iluminación emergencia</t>
  </si>
  <si>
    <t>Tendido y cableado boca sensor de movimiento</t>
  </si>
  <si>
    <t xml:space="preserve">Tendido y cableado boca semáforo </t>
  </si>
  <si>
    <t>Tendido y cableado boca de extractor de baño</t>
  </si>
  <si>
    <t>Tendido y cableado boca tomacorriente (simple/doble/exterior)</t>
  </si>
  <si>
    <t>Tendido y cableado boca tomacorriente especial (AA.CC)</t>
  </si>
  <si>
    <t>Tendido y cableado boca MBT Timbre</t>
  </si>
  <si>
    <t xml:space="preserve">Tendido y cableado boca de temostato </t>
  </si>
  <si>
    <t xml:space="preserve">Boca de TE - Cañería c/cable testigo </t>
  </si>
  <si>
    <t xml:space="preserve">Boca de TV - Cañería c/cable testigo </t>
  </si>
  <si>
    <t xml:space="preserve">Boca de PE - Cañería c/cable testigo </t>
  </si>
  <si>
    <t xml:space="preserve">Boca de DA - Cañería c/cable testigo </t>
  </si>
  <si>
    <t xml:space="preserve">Boca de CCTV - Cañería c/cable testigo </t>
  </si>
  <si>
    <t>Tablero servicios generales - TSG</t>
  </si>
  <si>
    <t>Tablero seccional, bombas de elevación - TSBE</t>
  </si>
  <si>
    <t>Tablero seccional ascensor - TSASC</t>
  </si>
  <si>
    <t>Tablero seccional departamento - TSD</t>
  </si>
  <si>
    <t>Montante eléctrica</t>
  </si>
  <si>
    <t xml:space="preserve">Montante TV + Tablero TV - Cañería c/cable testigo </t>
  </si>
  <si>
    <t>Montante PE + Tablero PE- Cañería c/cable testigo</t>
  </si>
  <si>
    <t>Colocación de sensor de movimiento - Provisión a cargo del comitente</t>
  </si>
  <si>
    <t>Colocación de teclas simples y/o combinadas, pulsadores - Provisión a cargo del comitente</t>
  </si>
  <si>
    <t>Colocación de tomas simples/dobles/encapsulados - Provisión a cargo del comitente</t>
  </si>
  <si>
    <t>Colocación de campanilla/zumbadores - Provisión a cargo del comitente</t>
  </si>
  <si>
    <t>Colocación de extractor de baño - Provisión a cargo del comitente</t>
  </si>
  <si>
    <t>Colocación de luz de emergencia - Provisión a cargo del comitente</t>
  </si>
  <si>
    <t>Colocación de semáforo - Provisión a cargo del comitente</t>
  </si>
  <si>
    <t>Colocación artefactos en espacios comunes y balcones - Provisión a cargo del comitente. NO incluye provisión, ni colocación de artefactos en interior de UF</t>
  </si>
  <si>
    <t xml:space="preserve">Acometida y gabiente de medidores </t>
  </si>
  <si>
    <t>Puesta a tierra, jabalinas y cableados</t>
  </si>
  <si>
    <t>Certificado DCI para servicios generales</t>
  </si>
  <si>
    <t>INSTALACION SANITARIA, GRIFERIA Y SANITARIOS</t>
  </si>
  <si>
    <t>INSTALACION CLOACAL</t>
  </si>
  <si>
    <t>Tendido caño cloacal en planta baja</t>
  </si>
  <si>
    <t>Por armar CDV en planta tipo</t>
  </si>
  <si>
    <t>Montantes, remate y ventilación a los 4 vientos</t>
  </si>
  <si>
    <t>INSTALACION PLUVIAL</t>
  </si>
  <si>
    <t xml:space="preserve">Tendido caño pluvial en planta baja </t>
  </si>
  <si>
    <t>Tendido caño pluvial por pisos</t>
  </si>
  <si>
    <t>Instalación tanque de recupero y bombeo pluvial</t>
  </si>
  <si>
    <t>INSTALACION AGUA FRIA Y CALIENTE</t>
  </si>
  <si>
    <t>Tendido caño de agua hasta TB. Colocación de TB, armado de colector y cuadro de bombas</t>
  </si>
  <si>
    <t>Armado de colector, subida y bajadas de AF</t>
  </si>
  <si>
    <t>Colocación de bomba presurizadora, armado de colector y montantes presurizadas (ultimo piso 4°) AF</t>
  </si>
  <si>
    <t>Distribución agua fria y caliente en planta tipo</t>
  </si>
  <si>
    <t>Colocación de artefactos y griferias</t>
  </si>
  <si>
    <t>INSTALACION DESCARGA SPLIT</t>
  </si>
  <si>
    <t>Armado y conexionado de desagües AA.CC</t>
  </si>
  <si>
    <t>INSTALACION CALEFACCION</t>
  </si>
  <si>
    <t>Tendido de cañerías de piso radiante - Colectores, gabinetes y termostatos a cargo del comitente</t>
  </si>
  <si>
    <t>Montaje de caldera y puesta en marcha - Provisión a cargo del comitente, incluida las ventilaciones</t>
  </si>
  <si>
    <t>INSTALACION DE INCENDIO</t>
  </si>
  <si>
    <t>Tendido cañeria de incendio - Gabinetes, tapas, mangueras y lanzas cotizadas en provisiones</t>
  </si>
  <si>
    <t>INSTALACION DE GAS</t>
  </si>
  <si>
    <t>Provisión y tendido de cañerías de gas a cada UF</t>
  </si>
  <si>
    <t>Colocación de anafes - Provisión a cargo del comitente</t>
  </si>
  <si>
    <t>Provisión y amure de rejillas de ventilación homologadas</t>
  </si>
  <si>
    <t>Tramites gas - Prefactibilidad, inspección parcial, final</t>
  </si>
  <si>
    <t>AIRE ACONDICIONADO - PROVISION A CARGO DEL COMITENTE</t>
  </si>
  <si>
    <t>Preinstalación para AA.CC - Cotizado en provisiones</t>
  </si>
  <si>
    <t>Montaje, colocación y puesta en marcha de equipos - Cotizado en provisiones</t>
  </si>
  <si>
    <t>ASCENSOR  - PROVISION A CARGO DEL COMITENTE</t>
  </si>
  <si>
    <t xml:space="preserve">Ascensores </t>
  </si>
  <si>
    <t>EQUIPAMIENTO - PROVISION A CARGO DEL COMITENTE</t>
  </si>
  <si>
    <t>Instalación de artefactos de cocina, hornos - Provisión a cargo del comitente</t>
  </si>
  <si>
    <t>Instalacion de extractores de baños - Provisión a cargo del comitente</t>
  </si>
  <si>
    <t>TRABAJOS COMPLEMENTARIOS</t>
  </si>
  <si>
    <t xml:space="preserve">Albañilería parrilla completa - Losa y muros </t>
  </si>
  <si>
    <t>Amure de tapas para pleno eléctricos y gas en palieres - Provisión a cargo del comitente</t>
  </si>
  <si>
    <t>Demolición de vereda</t>
  </si>
  <si>
    <t xml:space="preserve">Tabique divisorio dormitorios - Tabique simple con aislacion de lana de vidrio </t>
  </si>
  <si>
    <t>AYUDA DE GREMIOS</t>
  </si>
  <si>
    <t>Sereno</t>
  </si>
  <si>
    <t>mes</t>
  </si>
  <si>
    <t>Tecnico de seguridad &amp; higiene permanente en Obra</t>
  </si>
  <si>
    <t>Higiene y seguridad Res 51</t>
  </si>
  <si>
    <t>Protecciones y defensas</t>
  </si>
  <si>
    <t>Ayuda de gremios</t>
  </si>
  <si>
    <t xml:space="preserve">Limpieza periodica </t>
  </si>
  <si>
    <t>Limpieza final de Obra</t>
  </si>
  <si>
    <t>Fletes</t>
  </si>
  <si>
    <t>Volquetes</t>
  </si>
  <si>
    <t>JEFATURA DE OBRA</t>
  </si>
  <si>
    <t>Supervisión profesional de Obra</t>
  </si>
  <si>
    <t>Movilidad y viaticos</t>
  </si>
  <si>
    <t>SUB TOTAL OBRA GRIS</t>
  </si>
  <si>
    <t>RESUMEN CERTIFICADO</t>
  </si>
  <si>
    <t xml:space="preserve">CERT. N° </t>
  </si>
  <si>
    <t>%</t>
  </si>
  <si>
    <t>IMPORTE</t>
  </si>
  <si>
    <t>A</t>
  </si>
  <si>
    <t>Presupuesto aprobado</t>
  </si>
  <si>
    <t>B</t>
  </si>
  <si>
    <t>Anticipo</t>
  </si>
  <si>
    <t>C</t>
  </si>
  <si>
    <t>Certificado actual</t>
  </si>
  <si>
    <t>D</t>
  </si>
  <si>
    <t xml:space="preserve">Desacopio </t>
  </si>
  <si>
    <t>E</t>
  </si>
  <si>
    <t>Subtotal certificacion actual completa (SIN IVA)</t>
  </si>
  <si>
    <t>Base 12-2024</t>
  </si>
  <si>
    <t>Act. 02-2025</t>
  </si>
  <si>
    <t>F</t>
  </si>
  <si>
    <t>Actualizacion CAC</t>
  </si>
  <si>
    <t>G</t>
  </si>
  <si>
    <t>Subtotal certificacion con actualización (SIN IVA)</t>
  </si>
  <si>
    <t>Act. 03-2025</t>
  </si>
  <si>
    <t>Act. 04-2025</t>
  </si>
  <si>
    <t>Act. 05-2025</t>
  </si>
  <si>
    <t>Act. 06-2025</t>
  </si>
  <si>
    <t>Deductivos</t>
  </si>
  <si>
    <t>DEDUCTIVOS</t>
  </si>
  <si>
    <t>SUB TOTAL DEDUCTIVOS</t>
  </si>
  <si>
    <t>Actualización por CAC base Dic-24 por fuera de 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</si>
</sst>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_-* #,##0.00_-;\-* #,##0.00_-;_-* &quot;-&quot;??_-;_-@_-"/>
    <numFmt numFmtId="165" formatCode="_(* #,##0_);_(* \(#,##0\);_(* &quot;-&quot;??_);_(@_)"/>
    <numFmt numFmtId="166" formatCode="_-* #,##0_-;\-* #,##0_-;_-* &quot;-&quot;??_-;_-@_-"/>
    <numFmt numFmtId="167" formatCode="_-* #,##0.00\ _$_-;\-* #,##0.00\ _$_-;_-* &quot;-&quot;??\ _$_-;_-@_-"/>
    <numFmt numFmtId="168" formatCode="0.0%"/>
  </numFmts>
  <fonts count="11" x14ac:knownFonts="1">
    <font>
      <sz val="10"/>
      <name val="Arial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libri"/>
      <family val="2"/>
    </font>
    <font>
      <sz val="10"/>
      <color theme="1"/>
      <name val="Calibri"/>
      <family val="2"/>
    </font>
    <font>
      <sz val="10"/>
      <color rgb="FF000000"/>
      <name val="Arial"/>
      <family val="2"/>
    </font>
    <font>
      <b/>
      <sz val="10"/>
      <name val="Calibri"/>
      <family val="2"/>
    </font>
    <font>
      <b/>
      <sz val="10"/>
      <color theme="1"/>
      <name val="Calibri"/>
      <family val="2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auto="1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auto="1"/>
      </top>
      <bottom/>
      <diagonal/>
    </border>
  </borders>
  <cellStyleXfs count="23">
    <xf numFmtId="0" fontId="0" fillId="0" borderId="13"/>
    <xf numFmtId="43" fontId="4" fillId="0" borderId="0" applyFont="0" applyFill="0" applyBorder="0" applyAlignment="0" applyProtection="0"/>
    <xf numFmtId="0" fontId="3" fillId="0" borderId="0"/>
    <xf numFmtId="0" fontId="4" fillId="0" borderId="0"/>
    <xf numFmtId="9" fontId="3" fillId="0" borderId="0" applyFont="0" applyFill="0" applyBorder="0" applyAlignment="0" applyProtection="0"/>
    <xf numFmtId="0" fontId="4" fillId="0" borderId="0"/>
    <xf numFmtId="43" fontId="3" fillId="0" borderId="0" applyFont="0" applyFill="0" applyBorder="0" applyAlignment="0" applyProtection="0"/>
    <xf numFmtId="0" fontId="2" fillId="0" borderId="0"/>
    <xf numFmtId="43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9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1" fillId="0" borderId="0"/>
    <xf numFmtId="167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9" fontId="4" fillId="0" borderId="0" applyFont="0" applyFill="0" applyBorder="0" applyAlignment="0" applyProtection="0"/>
    <xf numFmtId="43" fontId="4" fillId="0" borderId="0" applyFont="0" applyFill="0" applyBorder="0" applyAlignment="0" applyProtection="0"/>
    <xf numFmtId="164" fontId="4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331">
    <xf numFmtId="0" fontId="0" fillId="0" borderId="13" xfId="0"/>
    <xf numFmtId="43" fontId="6" fillId="0" borderId="0" xfId="1" applyFont="1" applyFill="1" applyAlignment="1">
      <alignment horizontal="center" vertical="center"/>
    </xf>
    <xf numFmtId="0" fontId="6" fillId="0" borderId="0" xfId="1" applyNumberFormat="1" applyFont="1"/>
    <xf numFmtId="0" fontId="6" fillId="0" borderId="0" xfId="13" applyFont="1" applyAlignment="1">
      <alignment horizontal="center" vertical="center"/>
    </xf>
    <xf numFmtId="165" fontId="5" fillId="0" borderId="0" xfId="1" applyNumberFormat="1" applyFont="1" applyBorder="1" applyAlignment="1">
      <alignment horizontal="center" vertical="center"/>
    </xf>
    <xf numFmtId="0" fontId="6" fillId="0" borderId="0" xfId="13" applyFont="1"/>
    <xf numFmtId="43" fontId="5" fillId="0" borderId="0" xfId="1" applyFont="1" applyFill="1" applyAlignment="1">
      <alignment horizontal="center" vertical="center"/>
    </xf>
    <xf numFmtId="0" fontId="5" fillId="0" borderId="0" xfId="1" applyNumberFormat="1" applyFont="1" applyAlignment="1">
      <alignment vertical="center" wrapText="1"/>
    </xf>
    <xf numFmtId="0" fontId="5" fillId="0" borderId="0" xfId="3" applyFont="1" applyAlignment="1">
      <alignment horizontal="center" vertical="center" wrapText="1"/>
    </xf>
    <xf numFmtId="165" fontId="5" fillId="0" borderId="0" xfId="1" applyNumberFormat="1" applyFont="1" applyFill="1" applyBorder="1" applyAlignment="1">
      <alignment horizontal="center" vertical="center" wrapText="1"/>
    </xf>
    <xf numFmtId="0" fontId="5" fillId="0" borderId="0" xfId="3" applyFont="1" applyAlignment="1">
      <alignment vertical="center" wrapText="1"/>
    </xf>
    <xf numFmtId="0" fontId="5" fillId="0" borderId="8" xfId="3" applyFont="1" applyBorder="1" applyAlignment="1">
      <alignment horizontal="center" vertical="center" wrapText="1"/>
    </xf>
    <xf numFmtId="165" fontId="5" fillId="0" borderId="8" xfId="1" applyNumberFormat="1" applyFont="1" applyFill="1" applyBorder="1" applyAlignment="1">
      <alignment horizontal="center" vertical="center" wrapText="1"/>
    </xf>
    <xf numFmtId="43" fontId="8" fillId="0" borderId="5" xfId="1" applyFont="1" applyFill="1" applyBorder="1" applyAlignment="1">
      <alignment horizontal="center" vertical="center"/>
    </xf>
    <xf numFmtId="0" fontId="8" fillId="0" borderId="7" xfId="1" applyNumberFormat="1" applyFont="1" applyBorder="1" applyAlignment="1">
      <alignment horizontal="center" vertical="center" wrapText="1"/>
    </xf>
    <xf numFmtId="0" fontId="8" fillId="0" borderId="7" xfId="3" applyFont="1" applyBorder="1" applyAlignment="1">
      <alignment horizontal="center" vertical="center" wrapText="1"/>
    </xf>
    <xf numFmtId="165" fontId="8" fillId="0" borderId="2" xfId="1" applyNumberFormat="1" applyFont="1" applyFill="1" applyBorder="1" applyAlignment="1">
      <alignment horizontal="center" vertical="center"/>
    </xf>
    <xf numFmtId="0" fontId="8" fillId="0" borderId="6" xfId="1" applyNumberFormat="1" applyFont="1" applyFill="1" applyBorder="1" applyAlignment="1">
      <alignment vertical="center" wrapText="1"/>
    </xf>
    <xf numFmtId="0" fontId="5" fillId="0" borderId="6" xfId="3" applyFont="1" applyBorder="1" applyAlignment="1">
      <alignment horizontal="center" vertical="center" wrapText="1"/>
    </xf>
    <xf numFmtId="165" fontId="5" fillId="0" borderId="6" xfId="1" applyNumberFormat="1" applyFont="1" applyFill="1" applyBorder="1" applyAlignment="1">
      <alignment horizontal="center" vertical="center" wrapText="1"/>
    </xf>
    <xf numFmtId="43" fontId="6" fillId="0" borderId="1" xfId="1" applyFont="1" applyFill="1" applyBorder="1" applyAlignment="1">
      <alignment horizontal="center" vertical="center"/>
    </xf>
    <xf numFmtId="0" fontId="5" fillId="0" borderId="1" xfId="1" applyNumberFormat="1" applyFont="1" applyBorder="1" applyAlignment="1">
      <alignment vertical="top" wrapText="1"/>
    </xf>
    <xf numFmtId="49" fontId="5" fillId="0" borderId="1" xfId="13" applyNumberFormat="1" applyFont="1" applyBorder="1" applyAlignment="1">
      <alignment horizontal="center" vertical="center"/>
    </xf>
    <xf numFmtId="165" fontId="6" fillId="0" borderId="1" xfId="1" applyNumberFormat="1" applyFont="1" applyFill="1" applyBorder="1" applyAlignment="1">
      <alignment horizontal="center" vertical="center"/>
    </xf>
    <xf numFmtId="43" fontId="6" fillId="0" borderId="3" xfId="1" applyFont="1" applyFill="1" applyBorder="1" applyAlignment="1">
      <alignment horizontal="center" vertical="center"/>
    </xf>
    <xf numFmtId="0" fontId="5" fillId="0" borderId="3" xfId="1" applyNumberFormat="1" applyFont="1" applyBorder="1" applyAlignment="1">
      <alignment vertical="top" wrapText="1"/>
    </xf>
    <xf numFmtId="49" fontId="5" fillId="0" borderId="3" xfId="13" applyNumberFormat="1" applyFont="1" applyBorder="1" applyAlignment="1">
      <alignment horizontal="center" vertical="center"/>
    </xf>
    <xf numFmtId="165" fontId="6" fillId="0" borderId="3" xfId="1" applyNumberFormat="1" applyFont="1" applyFill="1" applyBorder="1" applyAlignment="1">
      <alignment horizontal="center" vertical="center"/>
    </xf>
    <xf numFmtId="0" fontId="5" fillId="0" borderId="3" xfId="3" applyFont="1" applyBorder="1" applyAlignment="1">
      <alignment horizontal="center" vertical="center" wrapText="1"/>
    </xf>
    <xf numFmtId="165" fontId="5" fillId="0" borderId="3" xfId="1" applyNumberFormat="1" applyFont="1" applyFill="1" applyBorder="1" applyAlignment="1">
      <alignment horizontal="center" vertical="center" wrapText="1"/>
    </xf>
    <xf numFmtId="49" fontId="5" fillId="0" borderId="3" xfId="5" applyNumberFormat="1" applyFont="1" applyBorder="1" applyAlignment="1">
      <alignment horizontal="center" vertical="center"/>
    </xf>
    <xf numFmtId="165" fontId="5" fillId="0" borderId="3" xfId="1" applyNumberFormat="1" applyFont="1" applyFill="1" applyBorder="1" applyAlignment="1">
      <alignment horizontal="center" vertical="center"/>
    </xf>
    <xf numFmtId="165" fontId="5" fillId="0" borderId="11" xfId="1" applyNumberFormat="1" applyFont="1" applyFill="1" applyBorder="1" applyAlignment="1">
      <alignment horizontal="center" vertical="center"/>
    </xf>
    <xf numFmtId="43" fontId="6" fillId="0" borderId="4" xfId="1" applyFont="1" applyFill="1" applyBorder="1" applyAlignment="1">
      <alignment horizontal="center" vertical="center"/>
    </xf>
    <xf numFmtId="49" fontId="5" fillId="0" borderId="4" xfId="5" applyNumberFormat="1" applyFont="1" applyBorder="1" applyAlignment="1">
      <alignment horizontal="center" vertical="center"/>
    </xf>
    <xf numFmtId="165" fontId="5" fillId="0" borderId="4" xfId="1" applyNumberFormat="1" applyFont="1" applyFill="1" applyBorder="1" applyAlignment="1">
      <alignment horizontal="center" vertical="center"/>
    </xf>
    <xf numFmtId="0" fontId="6" fillId="0" borderId="3" xfId="1" applyNumberFormat="1" applyFont="1" applyBorder="1" applyAlignment="1">
      <alignment vertical="center" wrapText="1"/>
    </xf>
    <xf numFmtId="165" fontId="5" fillId="0" borderId="3" xfId="1" applyNumberFormat="1" applyFont="1" applyFill="1" applyBorder="1" applyAlignment="1">
      <alignment horizontal="right" vertical="center"/>
    </xf>
    <xf numFmtId="0" fontId="5" fillId="0" borderId="4" xfId="1" applyNumberFormat="1" applyFont="1" applyBorder="1" applyAlignment="1">
      <alignment vertical="top" wrapText="1"/>
    </xf>
    <xf numFmtId="43" fontId="5" fillId="0" borderId="0" xfId="1" applyFont="1" applyFill="1" applyBorder="1" applyAlignment="1">
      <alignment horizontal="center" vertical="center"/>
    </xf>
    <xf numFmtId="0" fontId="8" fillId="0" borderId="6" xfId="1" applyNumberFormat="1" applyFont="1" applyBorder="1" applyAlignment="1">
      <alignment vertical="center" wrapText="1"/>
    </xf>
    <xf numFmtId="43" fontId="6" fillId="0" borderId="0" xfId="17" applyFont="1" applyFill="1"/>
    <xf numFmtId="43" fontId="8" fillId="0" borderId="0" xfId="1" applyFont="1" applyFill="1" applyBorder="1" applyAlignment="1">
      <alignment horizontal="center" vertical="center"/>
    </xf>
    <xf numFmtId="43" fontId="8" fillId="0" borderId="14" xfId="1" applyFont="1" applyFill="1" applyBorder="1" applyAlignment="1">
      <alignment horizontal="center" vertical="center"/>
    </xf>
    <xf numFmtId="0" fontId="9" fillId="0" borderId="14" xfId="1" applyNumberFormat="1" applyFont="1" applyFill="1" applyBorder="1" applyAlignment="1">
      <alignment vertical="center" wrapText="1"/>
    </xf>
    <xf numFmtId="43" fontId="5" fillId="0" borderId="14" xfId="17" applyFont="1" applyFill="1" applyBorder="1" applyAlignment="1">
      <alignment horizontal="center" vertical="center" wrapText="1"/>
    </xf>
    <xf numFmtId="165" fontId="5" fillId="0" borderId="14" xfId="1" applyNumberFormat="1" applyFont="1" applyFill="1" applyBorder="1" applyAlignment="1">
      <alignment horizontal="center" vertical="center" wrapText="1"/>
    </xf>
    <xf numFmtId="0" fontId="5" fillId="0" borderId="0" xfId="1" applyNumberFormat="1" applyFont="1" applyBorder="1" applyAlignment="1">
      <alignment horizontal="left" vertical="top" wrapText="1"/>
    </xf>
    <xf numFmtId="165" fontId="6" fillId="0" borderId="0" xfId="1" applyNumberFormat="1" applyFont="1" applyFill="1" applyBorder="1" applyAlignment="1">
      <alignment horizontal="center" vertical="center"/>
    </xf>
    <xf numFmtId="14" fontId="9" fillId="0" borderId="0" xfId="8" applyNumberFormat="1" applyFont="1" applyFill="1" applyAlignment="1">
      <alignment horizontal="right"/>
    </xf>
    <xf numFmtId="165" fontId="6" fillId="0" borderId="12" xfId="20" applyNumberFormat="1" applyFont="1" applyBorder="1" applyAlignment="1">
      <alignment vertical="center"/>
    </xf>
    <xf numFmtId="165" fontId="6" fillId="0" borderId="0" xfId="20" applyNumberFormat="1" applyFont="1" applyFill="1" applyBorder="1" applyAlignment="1">
      <alignment vertical="center"/>
    </xf>
    <xf numFmtId="43" fontId="6" fillId="0" borderId="5" xfId="8" applyFont="1" applyFill="1" applyBorder="1" applyAlignment="1">
      <alignment horizontal="center"/>
    </xf>
    <xf numFmtId="43" fontId="9" fillId="0" borderId="6" xfId="8" applyFont="1" applyBorder="1"/>
    <xf numFmtId="43" fontId="6" fillId="0" borderId="6" xfId="8" applyFont="1" applyBorder="1" applyAlignment="1">
      <alignment horizontal="center" vertical="center"/>
    </xf>
    <xf numFmtId="43" fontId="5" fillId="0" borderId="6" xfId="8" applyFont="1" applyBorder="1"/>
    <xf numFmtId="43" fontId="9" fillId="0" borderId="6" xfId="8" applyFont="1" applyBorder="1" applyAlignment="1">
      <alignment horizontal="center" vertical="center"/>
    </xf>
    <xf numFmtId="14" fontId="9" fillId="0" borderId="7" xfId="8" applyNumberFormat="1" applyFont="1" applyBorder="1" applyAlignment="1">
      <alignment horizontal="center" vertical="center"/>
    </xf>
    <xf numFmtId="43" fontId="9" fillId="0" borderId="5" xfId="8" applyFont="1" applyFill="1" applyBorder="1" applyAlignment="1">
      <alignment horizontal="center"/>
    </xf>
    <xf numFmtId="43" fontId="8" fillId="0" borderId="6" xfId="8" applyFont="1" applyBorder="1"/>
    <xf numFmtId="43" fontId="6" fillId="4" borderId="15" xfId="8" applyFont="1" applyFill="1" applyBorder="1" applyAlignment="1">
      <alignment horizontal="center" vertical="center"/>
    </xf>
    <xf numFmtId="43" fontId="6" fillId="4" borderId="16" xfId="8" applyFont="1" applyFill="1" applyBorder="1"/>
    <xf numFmtId="43" fontId="5" fillId="4" borderId="15" xfId="8" applyFont="1" applyFill="1" applyBorder="1"/>
    <xf numFmtId="165" fontId="6" fillId="4" borderId="17" xfId="8" applyNumberFormat="1" applyFont="1" applyFill="1" applyBorder="1"/>
    <xf numFmtId="43" fontId="6" fillId="0" borderId="3" xfId="8" applyFont="1" applyFill="1" applyBorder="1" applyAlignment="1">
      <alignment horizontal="center"/>
    </xf>
    <xf numFmtId="43" fontId="6" fillId="0" borderId="10" xfId="8" applyFont="1" applyBorder="1"/>
    <xf numFmtId="43" fontId="6" fillId="0" borderId="18" xfId="8" applyFont="1" applyBorder="1" applyAlignment="1">
      <alignment horizontal="center" vertical="center"/>
    </xf>
    <xf numFmtId="43" fontId="5" fillId="0" borderId="18" xfId="8" applyFont="1" applyBorder="1"/>
    <xf numFmtId="166" fontId="6" fillId="4" borderId="18" xfId="8" applyNumberFormat="1" applyFont="1" applyFill="1" applyBorder="1" applyAlignment="1">
      <alignment horizontal="center" vertical="center"/>
    </xf>
    <xf numFmtId="43" fontId="6" fillId="4" borderId="10" xfId="8" applyFont="1" applyFill="1" applyBorder="1"/>
    <xf numFmtId="43" fontId="6" fillId="4" borderId="18" xfId="8" applyFont="1" applyFill="1" applyBorder="1" applyAlignment="1">
      <alignment horizontal="center" vertical="center"/>
    </xf>
    <xf numFmtId="43" fontId="5" fillId="4" borderId="18" xfId="8" applyFont="1" applyFill="1" applyBorder="1"/>
    <xf numFmtId="166" fontId="9" fillId="4" borderId="18" xfId="8" applyNumberFormat="1" applyFont="1" applyFill="1" applyBorder="1" applyAlignment="1">
      <alignment horizontal="center" vertical="center"/>
    </xf>
    <xf numFmtId="43" fontId="9" fillId="4" borderId="10" xfId="8" applyFont="1" applyFill="1" applyBorder="1"/>
    <xf numFmtId="43" fontId="9" fillId="4" borderId="18" xfId="8" applyFont="1" applyFill="1" applyBorder="1" applyAlignment="1">
      <alignment horizontal="center" vertical="center"/>
    </xf>
    <xf numFmtId="43" fontId="8" fillId="4" borderId="18" xfId="8" applyFont="1" applyFill="1" applyBorder="1"/>
    <xf numFmtId="164" fontId="6" fillId="0" borderId="4" xfId="21" applyFont="1" applyFill="1" applyBorder="1" applyAlignment="1">
      <alignment horizontal="center"/>
    </xf>
    <xf numFmtId="164" fontId="6" fillId="0" borderId="20" xfId="21" applyFont="1" applyBorder="1"/>
    <xf numFmtId="164" fontId="6" fillId="0" borderId="21" xfId="21" applyFont="1" applyBorder="1" applyAlignment="1">
      <alignment horizontal="center" vertical="center"/>
    </xf>
    <xf numFmtId="164" fontId="5" fillId="0" borderId="21" xfId="21" applyFont="1" applyBorder="1"/>
    <xf numFmtId="43" fontId="6" fillId="0" borderId="21" xfId="1" applyFont="1" applyBorder="1"/>
    <xf numFmtId="166" fontId="9" fillId="4" borderId="6" xfId="21" applyNumberFormat="1" applyFont="1" applyFill="1" applyBorder="1" applyAlignment="1">
      <alignment horizontal="center" vertical="center"/>
    </xf>
    <xf numFmtId="164" fontId="9" fillId="4" borderId="5" xfId="21" applyFont="1" applyFill="1" applyBorder="1"/>
    <xf numFmtId="164" fontId="9" fillId="4" borderId="6" xfId="21" applyFont="1" applyFill="1" applyBorder="1" applyAlignment="1">
      <alignment horizontal="center" vertical="center"/>
    </xf>
    <xf numFmtId="164" fontId="8" fillId="4" borderId="6" xfId="21" applyFont="1" applyFill="1" applyBorder="1"/>
    <xf numFmtId="0" fontId="6" fillId="0" borderId="0" xfId="2" applyFont="1" applyAlignment="1">
      <alignment horizontal="center" vertical="center"/>
    </xf>
    <xf numFmtId="165" fontId="6" fillId="0" borderId="0" xfId="1" applyNumberFormat="1" applyFont="1" applyAlignment="1">
      <alignment horizontal="center" vertical="center"/>
    </xf>
    <xf numFmtId="165" fontId="9" fillId="0" borderId="0" xfId="1" applyNumberFormat="1" applyFont="1" applyAlignment="1">
      <alignment horizontal="center" vertical="center"/>
    </xf>
    <xf numFmtId="0" fontId="9" fillId="0" borderId="0" xfId="1" applyNumberFormat="1" applyFont="1" applyFill="1" applyBorder="1" applyAlignment="1">
      <alignment vertical="center" wrapText="1"/>
    </xf>
    <xf numFmtId="43" fontId="5" fillId="0" borderId="0" xfId="17" applyFont="1" applyFill="1" applyBorder="1" applyAlignment="1">
      <alignment horizontal="center" vertical="center" wrapText="1"/>
    </xf>
    <xf numFmtId="0" fontId="8" fillId="0" borderId="0" xfId="1" applyNumberFormat="1" applyFont="1" applyBorder="1" applyAlignment="1">
      <alignment vertical="center"/>
    </xf>
    <xf numFmtId="0" fontId="8" fillId="0" borderId="8" xfId="1" applyNumberFormat="1" applyFont="1" applyBorder="1" applyAlignment="1">
      <alignment vertical="center"/>
    </xf>
    <xf numFmtId="165" fontId="6" fillId="0" borderId="0" xfId="13" applyNumberFormat="1" applyFont="1"/>
    <xf numFmtId="49" fontId="5" fillId="0" borderId="1" xfId="5" applyNumberFormat="1" applyFont="1" applyBorder="1" applyAlignment="1">
      <alignment horizontal="center" vertical="center"/>
    </xf>
    <xf numFmtId="165" fontId="5" fillId="0" borderId="1" xfId="1" applyNumberFormat="1" applyFont="1" applyFill="1" applyBorder="1" applyAlignment="1">
      <alignment horizontal="center" vertical="center"/>
    </xf>
    <xf numFmtId="0" fontId="5" fillId="0" borderId="3" xfId="1" applyNumberFormat="1" applyFont="1" applyBorder="1" applyAlignment="1">
      <alignment vertical="center" wrapText="1"/>
    </xf>
    <xf numFmtId="165" fontId="5" fillId="0" borderId="4" xfId="1" applyNumberFormat="1" applyFont="1" applyFill="1" applyBorder="1" applyAlignment="1">
      <alignment horizontal="right" vertical="center"/>
    </xf>
    <xf numFmtId="165" fontId="5" fillId="0" borderId="1" xfId="1" applyNumberFormat="1" applyFont="1" applyFill="1" applyBorder="1" applyAlignment="1">
      <alignment horizontal="right" vertical="center"/>
    </xf>
    <xf numFmtId="0" fontId="5" fillId="0" borderId="3" xfId="1" applyNumberFormat="1" applyFont="1" applyBorder="1" applyAlignment="1">
      <alignment horizontal="left" vertical="center" wrapText="1"/>
    </xf>
    <xf numFmtId="43" fontId="5" fillId="0" borderId="3" xfId="17" applyFont="1" applyFill="1" applyBorder="1" applyAlignment="1">
      <alignment horizontal="center" vertical="center"/>
    </xf>
    <xf numFmtId="43" fontId="5" fillId="0" borderId="3" xfId="1" applyFont="1" applyFill="1" applyBorder="1" applyAlignment="1">
      <alignment horizontal="center" vertical="center"/>
    </xf>
    <xf numFmtId="43" fontId="5" fillId="0" borderId="4" xfId="17" applyFont="1" applyFill="1" applyBorder="1" applyAlignment="1">
      <alignment horizontal="center" vertical="center"/>
    </xf>
    <xf numFmtId="165" fontId="6" fillId="0" borderId="4" xfId="1" applyNumberFormat="1" applyFont="1" applyFill="1" applyBorder="1" applyAlignment="1">
      <alignment horizontal="center" vertical="center"/>
    </xf>
    <xf numFmtId="0" fontId="5" fillId="5" borderId="1" xfId="1" applyNumberFormat="1" applyFont="1" applyFill="1" applyBorder="1" applyAlignment="1">
      <alignment vertical="top" wrapText="1"/>
    </xf>
    <xf numFmtId="0" fontId="5" fillId="5" borderId="3" xfId="1" applyNumberFormat="1" applyFont="1" applyFill="1" applyBorder="1" applyAlignment="1">
      <alignment vertical="top"/>
    </xf>
    <xf numFmtId="0" fontId="5" fillId="0" borderId="3" xfId="1" applyNumberFormat="1" applyFont="1" applyBorder="1" applyAlignment="1">
      <alignment horizontal="left" vertical="top" wrapText="1"/>
    </xf>
    <xf numFmtId="43" fontId="6" fillId="0" borderId="12" xfId="1" applyFont="1" applyFill="1" applyBorder="1" applyAlignment="1">
      <alignment horizontal="center" vertical="center"/>
    </xf>
    <xf numFmtId="0" fontId="5" fillId="0" borderId="12" xfId="1" applyNumberFormat="1" applyFont="1" applyBorder="1" applyAlignment="1">
      <alignment vertical="top" wrapText="1"/>
    </xf>
    <xf numFmtId="49" fontId="5" fillId="0" borderId="12" xfId="5" applyNumberFormat="1" applyFont="1" applyBorder="1" applyAlignment="1">
      <alignment horizontal="center" vertical="center"/>
    </xf>
    <xf numFmtId="0" fontId="5" fillId="0" borderId="1" xfId="13" applyFont="1" applyBorder="1" applyAlignment="1">
      <alignment horizontal="center" vertical="center"/>
    </xf>
    <xf numFmtId="0" fontId="5" fillId="0" borderId="3" xfId="13" applyFont="1" applyBorder="1" applyAlignment="1">
      <alignment horizontal="center" vertical="center"/>
    </xf>
    <xf numFmtId="0" fontId="5" fillId="0" borderId="4" xfId="13" applyFont="1" applyBorder="1" applyAlignment="1">
      <alignment horizontal="center" vertical="center"/>
    </xf>
    <xf numFmtId="0" fontId="6" fillId="0" borderId="3" xfId="13" applyFont="1" applyBorder="1" applyAlignment="1">
      <alignment horizontal="center" vertical="center"/>
    </xf>
    <xf numFmtId="0" fontId="5" fillId="0" borderId="11" xfId="13" applyFont="1" applyBorder="1" applyAlignment="1">
      <alignment horizontal="center" vertical="center"/>
    </xf>
    <xf numFmtId="0" fontId="5" fillId="0" borderId="12" xfId="13" applyFont="1" applyBorder="1" applyAlignment="1">
      <alignment horizontal="center" vertical="center"/>
    </xf>
    <xf numFmtId="43" fontId="5" fillId="0" borderId="1" xfId="1" applyFont="1" applyFill="1" applyBorder="1" applyAlignment="1">
      <alignment horizontal="center" vertical="center"/>
    </xf>
    <xf numFmtId="0" fontId="5" fillId="0" borderId="1" xfId="1" applyNumberFormat="1" applyFont="1" applyBorder="1" applyAlignment="1">
      <alignment vertical="top"/>
    </xf>
    <xf numFmtId="0" fontId="6" fillId="0" borderId="1" xfId="13" applyFont="1" applyBorder="1" applyAlignment="1">
      <alignment horizontal="center" vertical="center"/>
    </xf>
    <xf numFmtId="43" fontId="5" fillId="0" borderId="12" xfId="1" applyFont="1" applyFill="1" applyBorder="1" applyAlignment="1">
      <alignment horizontal="center" vertical="center"/>
    </xf>
    <xf numFmtId="0" fontId="5" fillId="0" borderId="12" xfId="1" applyNumberFormat="1" applyFont="1" applyBorder="1" applyAlignment="1">
      <alignment vertical="top"/>
    </xf>
    <xf numFmtId="0" fontId="6" fillId="0" borderId="12" xfId="13" applyFont="1" applyBorder="1" applyAlignment="1">
      <alignment horizontal="center" vertical="center"/>
    </xf>
    <xf numFmtId="165" fontId="6" fillId="0" borderId="12" xfId="1" applyNumberFormat="1" applyFont="1" applyFill="1" applyBorder="1" applyAlignment="1">
      <alignment horizontal="center" vertical="center"/>
    </xf>
    <xf numFmtId="0" fontId="5" fillId="0" borderId="1" xfId="3" applyFont="1" applyBorder="1" applyAlignment="1">
      <alignment horizontal="center" vertical="center" wrapText="1"/>
    </xf>
    <xf numFmtId="165" fontId="5" fillId="0" borderId="1" xfId="1" applyNumberFormat="1" applyFont="1" applyFill="1" applyBorder="1" applyAlignment="1">
      <alignment horizontal="center" vertical="center" wrapText="1"/>
    </xf>
    <xf numFmtId="0" fontId="5" fillId="0" borderId="4" xfId="1" applyNumberFormat="1" applyFont="1" applyBorder="1" applyAlignment="1">
      <alignment vertical="center"/>
    </xf>
    <xf numFmtId="0" fontId="8" fillId="0" borderId="6" xfId="1" applyNumberFormat="1" applyFont="1" applyBorder="1" applyAlignment="1">
      <alignment vertical="center"/>
    </xf>
    <xf numFmtId="0" fontId="5" fillId="0" borderId="1" xfId="1" applyNumberFormat="1" applyFont="1" applyBorder="1"/>
    <xf numFmtId="0" fontId="5" fillId="0" borderId="1" xfId="0" applyFont="1" applyBorder="1" applyAlignment="1">
      <alignment horizontal="center" vertical="center"/>
    </xf>
    <xf numFmtId="0" fontId="5" fillId="0" borderId="3" xfId="1" applyNumberFormat="1" applyFont="1" applyBorder="1"/>
    <xf numFmtId="0" fontId="5" fillId="0" borderId="3" xfId="0" applyFont="1" applyBorder="1" applyAlignment="1">
      <alignment horizontal="center" vertical="center"/>
    </xf>
    <xf numFmtId="43" fontId="5" fillId="0" borderId="4" xfId="1" applyFont="1" applyFill="1" applyBorder="1" applyAlignment="1">
      <alignment horizontal="center" vertical="center"/>
    </xf>
    <xf numFmtId="0" fontId="5" fillId="0" borderId="1" xfId="1" applyNumberFormat="1" applyFont="1" applyBorder="1" applyAlignment="1">
      <alignment horizontal="left" vertical="center" wrapText="1"/>
    </xf>
    <xf numFmtId="0" fontId="5" fillId="0" borderId="1" xfId="18" applyFont="1" applyBorder="1" applyAlignment="1">
      <alignment horizontal="center" vertical="center"/>
    </xf>
    <xf numFmtId="0" fontId="5" fillId="0" borderId="3" xfId="18" applyFont="1" applyBorder="1" applyAlignment="1">
      <alignment horizontal="center" vertical="center"/>
    </xf>
    <xf numFmtId="0" fontId="5" fillId="0" borderId="4" xfId="1" applyNumberFormat="1" applyFont="1" applyFill="1" applyBorder="1" applyAlignment="1">
      <alignment horizontal="left" vertical="center" wrapText="1"/>
    </xf>
    <xf numFmtId="0" fontId="5" fillId="0" borderId="4" xfId="18" applyFont="1" applyBorder="1" applyAlignment="1">
      <alignment horizontal="center" vertical="center"/>
    </xf>
    <xf numFmtId="0" fontId="6" fillId="0" borderId="1" xfId="1" applyNumberFormat="1" applyFont="1" applyBorder="1" applyAlignment="1">
      <alignment vertical="center" wrapText="1"/>
    </xf>
    <xf numFmtId="0" fontId="6" fillId="0" borderId="4" xfId="1" applyNumberFormat="1" applyFont="1" applyBorder="1" applyAlignment="1">
      <alignment vertical="center" wrapText="1"/>
    </xf>
    <xf numFmtId="0" fontId="5" fillId="0" borderId="4" xfId="3" applyFont="1" applyBorder="1" applyAlignment="1">
      <alignment horizontal="center" vertical="center" wrapText="1"/>
    </xf>
    <xf numFmtId="165" fontId="5" fillId="0" borderId="4" xfId="1" applyNumberFormat="1" applyFont="1" applyFill="1" applyBorder="1" applyAlignment="1">
      <alignment horizontal="center" vertical="center" wrapText="1"/>
    </xf>
    <xf numFmtId="43" fontId="6" fillId="0" borderId="26" xfId="1" applyFont="1" applyFill="1" applyBorder="1" applyAlignment="1">
      <alignment horizontal="center" vertical="center"/>
    </xf>
    <xf numFmtId="0" fontId="9" fillId="0" borderId="8" xfId="1" applyNumberFormat="1" applyFont="1" applyBorder="1" applyAlignment="1">
      <alignment vertical="center" wrapText="1"/>
    </xf>
    <xf numFmtId="0" fontId="6" fillId="0" borderId="1" xfId="1" applyNumberFormat="1" applyFont="1" applyBorder="1"/>
    <xf numFmtId="0" fontId="6" fillId="0" borderId="3" xfId="1" applyNumberFormat="1" applyFont="1" applyBorder="1"/>
    <xf numFmtId="0" fontId="6" fillId="0" borderId="3" xfId="1" applyNumberFormat="1" applyFont="1" applyBorder="1" applyAlignment="1"/>
    <xf numFmtId="0" fontId="6" fillId="0" borderId="4" xfId="1" applyNumberFormat="1" applyFont="1" applyBorder="1"/>
    <xf numFmtId="0" fontId="6" fillId="0" borderId="11" xfId="1" applyNumberFormat="1" applyFont="1" applyBorder="1"/>
    <xf numFmtId="0" fontId="5" fillId="0" borderId="11" xfId="3" applyFont="1" applyBorder="1" applyAlignment="1">
      <alignment horizontal="center" vertical="center" wrapText="1"/>
    </xf>
    <xf numFmtId="165" fontId="5" fillId="0" borderId="11" xfId="1" applyNumberFormat="1" applyFont="1" applyFill="1" applyBorder="1" applyAlignment="1">
      <alignment horizontal="center" vertical="center" wrapText="1"/>
    </xf>
    <xf numFmtId="43" fontId="5" fillId="0" borderId="2" xfId="1" applyFont="1" applyFill="1" applyBorder="1" applyAlignment="1">
      <alignment horizontal="center" vertical="center"/>
    </xf>
    <xf numFmtId="0" fontId="5" fillId="0" borderId="2" xfId="1" applyNumberFormat="1" applyFont="1" applyBorder="1" applyAlignment="1">
      <alignment vertical="top" wrapText="1"/>
    </xf>
    <xf numFmtId="49" fontId="5" fillId="0" borderId="2" xfId="5" applyNumberFormat="1" applyFont="1" applyBorder="1" applyAlignment="1">
      <alignment horizontal="center" vertical="center"/>
    </xf>
    <xf numFmtId="165" fontId="5" fillId="0" borderId="2" xfId="1" applyNumberFormat="1" applyFont="1" applyFill="1" applyBorder="1" applyAlignment="1">
      <alignment horizontal="center" vertical="center"/>
    </xf>
    <xf numFmtId="165" fontId="5" fillId="0" borderId="3" xfId="1" applyNumberFormat="1" applyFont="1" applyFill="1" applyBorder="1" applyAlignment="1">
      <alignment vertical="center"/>
    </xf>
    <xf numFmtId="43" fontId="5" fillId="0" borderId="3" xfId="8" applyFont="1" applyFill="1" applyBorder="1" applyAlignment="1">
      <alignment horizontal="left" vertical="center"/>
    </xf>
    <xf numFmtId="0" fontId="6" fillId="0" borderId="4" xfId="13" applyFont="1" applyBorder="1" applyAlignment="1">
      <alignment horizontal="center" vertical="center"/>
    </xf>
    <xf numFmtId="0" fontId="5" fillId="0" borderId="1" xfId="1" applyNumberFormat="1" applyFont="1" applyFill="1" applyBorder="1" applyAlignment="1">
      <alignment horizontal="left" vertical="center"/>
    </xf>
    <xf numFmtId="0" fontId="5" fillId="0" borderId="3" xfId="1" applyNumberFormat="1" applyFont="1" applyFill="1" applyBorder="1" applyAlignment="1">
      <alignment horizontal="left" vertical="center"/>
    </xf>
    <xf numFmtId="0" fontId="5" fillId="0" borderId="3" xfId="1" applyNumberFormat="1" applyFont="1" applyBorder="1" applyAlignment="1">
      <alignment horizontal="left" vertical="center"/>
    </xf>
    <xf numFmtId="43" fontId="6" fillId="0" borderId="3" xfId="17" applyFont="1" applyFill="1" applyBorder="1" applyAlignment="1">
      <alignment horizontal="center" vertical="center"/>
    </xf>
    <xf numFmtId="0" fontId="5" fillId="0" borderId="4" xfId="1" applyNumberFormat="1" applyFont="1" applyBorder="1" applyAlignment="1">
      <alignment horizontal="left" vertical="center"/>
    </xf>
    <xf numFmtId="43" fontId="6" fillId="0" borderId="4" xfId="17" applyFont="1" applyFill="1" applyBorder="1" applyAlignment="1">
      <alignment horizontal="center" vertical="center"/>
    </xf>
    <xf numFmtId="165" fontId="8" fillId="0" borderId="2" xfId="1" applyNumberFormat="1" applyFont="1" applyBorder="1" applyAlignment="1">
      <alignment horizontal="center" vertical="center" wrapText="1"/>
    </xf>
    <xf numFmtId="165" fontId="8" fillId="2" borderId="2" xfId="1" applyNumberFormat="1" applyFont="1" applyFill="1" applyBorder="1" applyAlignment="1">
      <alignment horizontal="center" vertical="center" wrapText="1"/>
    </xf>
    <xf numFmtId="165" fontId="8" fillId="0" borderId="0" xfId="1" applyNumberFormat="1" applyFont="1" applyAlignment="1">
      <alignment horizontal="center" vertical="center" wrapText="1"/>
    </xf>
    <xf numFmtId="165" fontId="5" fillId="0" borderId="0" xfId="3" applyNumberFormat="1" applyFont="1" applyAlignment="1">
      <alignment vertical="center" wrapText="1"/>
    </xf>
    <xf numFmtId="165" fontId="8" fillId="0" borderId="0" xfId="1" applyNumberFormat="1" applyFont="1" applyFill="1" applyBorder="1" applyAlignment="1">
      <alignment horizontal="center" vertical="center" wrapText="1"/>
    </xf>
    <xf numFmtId="165" fontId="5" fillId="0" borderId="0" xfId="1" applyNumberFormat="1" applyFont="1" applyBorder="1" applyAlignment="1">
      <alignment horizontal="center" vertical="center" wrapText="1"/>
    </xf>
    <xf numFmtId="165" fontId="9" fillId="0" borderId="8" xfId="8" applyNumberFormat="1" applyFont="1" applyBorder="1" applyAlignment="1">
      <alignment horizontal="left"/>
    </xf>
    <xf numFmtId="165" fontId="9" fillId="0" borderId="8" xfId="8" applyNumberFormat="1" applyFont="1" applyFill="1" applyBorder="1" applyAlignment="1">
      <alignment horizontal="center"/>
    </xf>
    <xf numFmtId="165" fontId="6" fillId="0" borderId="0" xfId="8" applyNumberFormat="1" applyFont="1"/>
    <xf numFmtId="165" fontId="9" fillId="0" borderId="0" xfId="8" applyNumberFormat="1" applyFont="1" applyAlignment="1">
      <alignment horizontal="right"/>
    </xf>
    <xf numFmtId="165" fontId="8" fillId="0" borderId="0" xfId="1" applyNumberFormat="1" applyFont="1" applyBorder="1" applyAlignment="1">
      <alignment horizontal="center" vertical="center" wrapText="1"/>
    </xf>
    <xf numFmtId="165" fontId="8" fillId="0" borderId="8" xfId="1" applyNumberFormat="1" applyFont="1" applyBorder="1" applyAlignment="1">
      <alignment horizontal="center" vertical="center" wrapText="1"/>
    </xf>
    <xf numFmtId="165" fontId="9" fillId="0" borderId="2" xfId="8" applyNumberFormat="1" applyFont="1" applyBorder="1" applyAlignment="1">
      <alignment horizontal="center" vertical="center"/>
    </xf>
    <xf numFmtId="165" fontId="8" fillId="0" borderId="9" xfId="1" applyNumberFormat="1" applyFont="1" applyFill="1" applyBorder="1" applyAlignment="1">
      <alignment horizontal="center" vertical="center"/>
    </xf>
    <xf numFmtId="165" fontId="8" fillId="0" borderId="7" xfId="1" applyNumberFormat="1" applyFont="1" applyFill="1" applyBorder="1" applyAlignment="1">
      <alignment horizontal="center" vertical="center"/>
    </xf>
    <xf numFmtId="165" fontId="6" fillId="0" borderId="0" xfId="15" applyNumberFormat="1" applyFont="1"/>
    <xf numFmtId="165" fontId="6" fillId="0" borderId="6" xfId="13" applyNumberFormat="1" applyFont="1" applyBorder="1"/>
    <xf numFmtId="165" fontId="6" fillId="0" borderId="7" xfId="13" applyNumberFormat="1" applyFont="1" applyBorder="1"/>
    <xf numFmtId="165" fontId="6" fillId="0" borderId="1" xfId="1" applyNumberFormat="1" applyFont="1" applyBorder="1" applyAlignment="1">
      <alignment horizontal="center" vertical="center"/>
    </xf>
    <xf numFmtId="165" fontId="6" fillId="0" borderId="3" xfId="1" applyNumberFormat="1" applyFont="1" applyBorder="1" applyAlignment="1">
      <alignment horizontal="center" vertical="center"/>
    </xf>
    <xf numFmtId="165" fontId="8" fillId="0" borderId="0" xfId="1" applyNumberFormat="1" applyFont="1" applyAlignment="1">
      <alignment horizontal="center" vertical="center"/>
    </xf>
    <xf numFmtId="165" fontId="6" fillId="0" borderId="12" xfId="1" applyNumberFormat="1" applyFont="1" applyBorder="1" applyAlignment="1">
      <alignment horizontal="center" vertical="center"/>
    </xf>
    <xf numFmtId="165" fontId="6" fillId="0" borderId="23" xfId="1" applyNumberFormat="1" applyFont="1" applyBorder="1" applyAlignment="1">
      <alignment horizontal="center" vertical="center"/>
    </xf>
    <xf numFmtId="165" fontId="8" fillId="0" borderId="24" xfId="1" applyNumberFormat="1" applyFont="1" applyFill="1" applyBorder="1" applyAlignment="1">
      <alignment horizontal="center" vertical="center"/>
    </xf>
    <xf numFmtId="165" fontId="8" fillId="0" borderId="0" xfId="1" applyNumberFormat="1" applyFont="1" applyFill="1" applyBorder="1" applyAlignment="1">
      <alignment horizontal="center" vertical="center"/>
    </xf>
    <xf numFmtId="165" fontId="8" fillId="0" borderId="25" xfId="1" applyNumberFormat="1" applyFont="1" applyFill="1" applyBorder="1" applyAlignment="1">
      <alignment horizontal="center" vertical="center"/>
    </xf>
    <xf numFmtId="165" fontId="9" fillId="0" borderId="24" xfId="1" applyNumberFormat="1" applyFont="1" applyBorder="1" applyAlignment="1">
      <alignment horizontal="center" vertical="center"/>
    </xf>
    <xf numFmtId="165" fontId="6" fillId="0" borderId="4" xfId="1" applyNumberFormat="1" applyFont="1" applyBorder="1" applyAlignment="1">
      <alignment horizontal="center" vertical="center"/>
    </xf>
    <xf numFmtId="165" fontId="6" fillId="0" borderId="6" xfId="1" applyNumberFormat="1" applyFont="1" applyBorder="1" applyAlignment="1">
      <alignment horizontal="center" vertical="center"/>
    </xf>
    <xf numFmtId="165" fontId="6" fillId="0" borderId="7" xfId="1" applyNumberFormat="1" applyFont="1" applyBorder="1"/>
    <xf numFmtId="165" fontId="8" fillId="0" borderId="7" xfId="1" applyNumberFormat="1" applyFont="1" applyFill="1" applyBorder="1" applyAlignment="1">
      <alignment horizontal="center" vertical="center" wrapText="1"/>
    </xf>
    <xf numFmtId="165" fontId="8" fillId="3" borderId="7" xfId="1" applyNumberFormat="1" applyFont="1" applyFill="1" applyBorder="1" applyAlignment="1">
      <alignment horizontal="center" vertical="center" wrapText="1"/>
    </xf>
    <xf numFmtId="165" fontId="9" fillId="0" borderId="0" xfId="1" applyNumberFormat="1" applyFont="1" applyFill="1" applyAlignment="1">
      <alignment horizontal="center" vertical="center"/>
    </xf>
    <xf numFmtId="165" fontId="8" fillId="0" borderId="25" xfId="1" applyNumberFormat="1" applyFont="1" applyFill="1" applyBorder="1" applyAlignment="1">
      <alignment horizontal="center" vertical="center" wrapText="1"/>
    </xf>
    <xf numFmtId="165" fontId="8" fillId="0" borderId="24" xfId="1" applyNumberFormat="1" applyFont="1" applyFill="1" applyBorder="1" applyAlignment="1">
      <alignment horizontal="center" vertical="center" wrapText="1"/>
    </xf>
    <xf numFmtId="165" fontId="8" fillId="0" borderId="6" xfId="1" applyNumberFormat="1" applyFont="1" applyFill="1" applyBorder="1" applyAlignment="1">
      <alignment horizontal="center" vertical="center" wrapText="1"/>
    </xf>
    <xf numFmtId="165" fontId="6" fillId="0" borderId="14" xfId="1" applyNumberFormat="1" applyFont="1" applyBorder="1" applyAlignment="1">
      <alignment horizontal="center" vertical="center"/>
    </xf>
    <xf numFmtId="165" fontId="8" fillId="0" borderId="14" xfId="1" applyNumberFormat="1" applyFont="1" applyFill="1" applyBorder="1" applyAlignment="1">
      <alignment horizontal="center" vertical="center" wrapText="1"/>
    </xf>
    <xf numFmtId="165" fontId="6" fillId="0" borderId="0" xfId="16" applyNumberFormat="1" applyFont="1" applyFill="1" applyBorder="1" applyAlignment="1">
      <alignment horizontal="center" vertical="center"/>
    </xf>
    <xf numFmtId="165" fontId="6" fillId="0" borderId="0" xfId="1" applyNumberFormat="1" applyFont="1" applyBorder="1" applyAlignment="1">
      <alignment horizontal="center" vertical="center"/>
    </xf>
    <xf numFmtId="165" fontId="9" fillId="0" borderId="0" xfId="1" applyNumberFormat="1" applyFont="1" applyBorder="1" applyAlignment="1">
      <alignment horizontal="center" vertical="center"/>
    </xf>
    <xf numFmtId="165" fontId="5" fillId="0" borderId="6" xfId="8" applyNumberFormat="1" applyFont="1" applyBorder="1"/>
    <xf numFmtId="165" fontId="6" fillId="0" borderId="6" xfId="8" applyNumberFormat="1" applyFont="1" applyBorder="1"/>
    <xf numFmtId="165" fontId="9" fillId="0" borderId="6" xfId="8" applyNumberFormat="1" applyFont="1" applyBorder="1"/>
    <xf numFmtId="165" fontId="6" fillId="0" borderId="6" xfId="8" applyNumberFormat="1" applyFont="1" applyBorder="1" applyAlignment="1">
      <alignment horizontal="center" vertical="center"/>
    </xf>
    <xf numFmtId="165" fontId="9" fillId="0" borderId="6" xfId="8" applyNumberFormat="1" applyFont="1" applyBorder="1" applyAlignment="1">
      <alignment horizontal="right" vertical="center"/>
    </xf>
    <xf numFmtId="165" fontId="9" fillId="0" borderId="6" xfId="8" applyNumberFormat="1" applyFont="1" applyBorder="1" applyAlignment="1">
      <alignment horizontal="left" vertical="center"/>
    </xf>
    <xf numFmtId="165" fontId="9" fillId="0" borderId="6" xfId="8" applyNumberFormat="1" applyFont="1" applyBorder="1" applyAlignment="1">
      <alignment horizontal="center" vertical="center"/>
    </xf>
    <xf numFmtId="165" fontId="9" fillId="0" borderId="7" xfId="8" applyNumberFormat="1" applyFont="1" applyBorder="1" applyAlignment="1">
      <alignment horizontal="center" vertical="center"/>
    </xf>
    <xf numFmtId="165" fontId="8" fillId="0" borderId="6" xfId="8" applyNumberFormat="1" applyFont="1" applyBorder="1"/>
    <xf numFmtId="165" fontId="5" fillId="4" borderId="15" xfId="8" applyNumberFormat="1" applyFont="1" applyFill="1" applyBorder="1"/>
    <xf numFmtId="165" fontId="6" fillId="4" borderId="15" xfId="8" applyNumberFormat="1" applyFont="1" applyFill="1" applyBorder="1"/>
    <xf numFmtId="165" fontId="9" fillId="4" borderId="15" xfId="8" applyNumberFormat="1" applyFont="1" applyFill="1" applyBorder="1"/>
    <xf numFmtId="165" fontId="6" fillId="4" borderId="15" xfId="8" applyNumberFormat="1" applyFont="1" applyFill="1" applyBorder="1" applyAlignment="1">
      <alignment horizontal="center" vertical="center"/>
    </xf>
    <xf numFmtId="165" fontId="5" fillId="0" borderId="18" xfId="8" applyNumberFormat="1" applyFont="1" applyBorder="1"/>
    <xf numFmtId="165" fontId="6" fillId="0" borderId="18" xfId="8" applyNumberFormat="1" applyFont="1" applyBorder="1"/>
    <xf numFmtId="165" fontId="9" fillId="0" borderId="18" xfId="8" applyNumberFormat="1" applyFont="1" applyBorder="1"/>
    <xf numFmtId="165" fontId="6" fillId="0" borderId="18" xfId="8" applyNumberFormat="1" applyFont="1" applyBorder="1" applyAlignment="1">
      <alignment horizontal="center" vertical="center"/>
    </xf>
    <xf numFmtId="165" fontId="6" fillId="0" borderId="19" xfId="8" applyNumberFormat="1" applyFont="1" applyBorder="1"/>
    <xf numFmtId="165" fontId="5" fillId="4" borderId="18" xfId="8" applyNumberFormat="1" applyFont="1" applyFill="1" applyBorder="1"/>
    <xf numFmtId="165" fontId="6" fillId="4" borderId="18" xfId="8" applyNumberFormat="1" applyFont="1" applyFill="1" applyBorder="1"/>
    <xf numFmtId="165" fontId="9" fillId="4" borderId="18" xfId="8" applyNumberFormat="1" applyFont="1" applyFill="1" applyBorder="1"/>
    <xf numFmtId="165" fontId="6" fillId="4" borderId="18" xfId="8" applyNumberFormat="1" applyFont="1" applyFill="1" applyBorder="1" applyAlignment="1">
      <alignment horizontal="center" vertical="center"/>
    </xf>
    <xf numFmtId="165" fontId="6" fillId="4" borderId="19" xfId="8" applyNumberFormat="1" applyFont="1" applyFill="1" applyBorder="1"/>
    <xf numFmtId="165" fontId="8" fillId="4" borderId="18" xfId="8" applyNumberFormat="1" applyFont="1" applyFill="1" applyBorder="1"/>
    <xf numFmtId="165" fontId="9" fillId="4" borderId="18" xfId="8" applyNumberFormat="1" applyFont="1" applyFill="1" applyBorder="1" applyAlignment="1">
      <alignment horizontal="right" vertical="center"/>
    </xf>
    <xf numFmtId="165" fontId="5" fillId="0" borderId="21" xfId="21" applyNumberFormat="1" applyFont="1" applyBorder="1"/>
    <xf numFmtId="165" fontId="9" fillId="0" borderId="21" xfId="21" applyNumberFormat="1" applyFont="1" applyBorder="1"/>
    <xf numFmtId="165" fontId="6" fillId="0" borderId="21" xfId="21" applyNumberFormat="1" applyFont="1" applyBorder="1"/>
    <xf numFmtId="165" fontId="6" fillId="0" borderId="21" xfId="1" applyNumberFormat="1" applyFont="1" applyBorder="1"/>
    <xf numFmtId="165" fontId="8" fillId="4" borderId="6" xfId="21" applyNumberFormat="1" applyFont="1" applyFill="1" applyBorder="1"/>
    <xf numFmtId="165" fontId="9" fillId="4" borderId="6" xfId="21" applyNumberFormat="1" applyFont="1" applyFill="1" applyBorder="1"/>
    <xf numFmtId="165" fontId="9" fillId="4" borderId="6" xfId="21" applyNumberFormat="1" applyFont="1" applyFill="1" applyBorder="1" applyAlignment="1">
      <alignment horizontal="center" vertical="center"/>
    </xf>
    <xf numFmtId="165" fontId="6" fillId="0" borderId="0" xfId="2" applyNumberFormat="1" applyFont="1"/>
    <xf numFmtId="9" fontId="6" fillId="3" borderId="18" xfId="22" applyFont="1" applyFill="1" applyBorder="1"/>
    <xf numFmtId="9" fontId="6" fillId="4" borderId="18" xfId="22" applyFont="1" applyFill="1" applyBorder="1"/>
    <xf numFmtId="9" fontId="6" fillId="0" borderId="18" xfId="22" applyFont="1" applyBorder="1"/>
    <xf numFmtId="9" fontId="9" fillId="4" borderId="18" xfId="22" applyFont="1" applyFill="1" applyBorder="1"/>
    <xf numFmtId="9" fontId="6" fillId="0" borderId="21" xfId="22" applyFont="1" applyBorder="1"/>
    <xf numFmtId="43" fontId="6" fillId="0" borderId="19" xfId="1" applyFont="1" applyBorder="1"/>
    <xf numFmtId="43" fontId="9" fillId="4" borderId="19" xfId="1" applyFont="1" applyFill="1" applyBorder="1"/>
    <xf numFmtId="43" fontId="6" fillId="0" borderId="22" xfId="1" applyFont="1" applyBorder="1"/>
    <xf numFmtId="43" fontId="9" fillId="4" borderId="7" xfId="1" applyFont="1" applyFill="1" applyBorder="1"/>
    <xf numFmtId="9" fontId="6" fillId="0" borderId="0" xfId="22" applyFont="1"/>
    <xf numFmtId="9" fontId="6" fillId="0" borderId="5" xfId="22" applyFont="1" applyBorder="1"/>
    <xf numFmtId="9" fontId="6" fillId="0" borderId="6" xfId="22" applyFont="1" applyBorder="1"/>
    <xf numFmtId="9" fontId="6" fillId="0" borderId="12" xfId="22" applyFont="1" applyBorder="1" applyAlignment="1">
      <alignment horizontal="center" vertical="center"/>
    </xf>
    <xf numFmtId="9" fontId="5" fillId="0" borderId="12" xfId="22" applyFont="1" applyFill="1" applyBorder="1" applyAlignment="1">
      <alignment horizontal="center" vertical="center" wrapText="1"/>
    </xf>
    <xf numFmtId="9" fontId="6" fillId="0" borderId="3" xfId="22" applyFont="1" applyBorder="1" applyAlignment="1">
      <alignment horizontal="center" vertical="center"/>
    </xf>
    <xf numFmtId="9" fontId="5" fillId="0" borderId="3" xfId="22" applyFont="1" applyFill="1" applyBorder="1" applyAlignment="1">
      <alignment horizontal="center" vertical="center" wrapText="1"/>
    </xf>
    <xf numFmtId="9" fontId="6" fillId="0" borderId="0" xfId="22" applyFont="1" applyBorder="1"/>
    <xf numFmtId="9" fontId="6" fillId="0" borderId="0" xfId="22" applyFont="1" applyFill="1"/>
    <xf numFmtId="9" fontId="6" fillId="0" borderId="0" xfId="22" applyFont="1" applyFill="1" applyBorder="1" applyAlignment="1">
      <alignment vertical="center"/>
    </xf>
    <xf numFmtId="9" fontId="6" fillId="0" borderId="11" xfId="22" applyFont="1" applyBorder="1" applyAlignment="1">
      <alignment horizontal="center" vertical="center"/>
    </xf>
    <xf numFmtId="9" fontId="5" fillId="0" borderId="11" xfId="22" applyFont="1" applyFill="1" applyBorder="1" applyAlignment="1">
      <alignment horizontal="center" vertical="center" wrapText="1"/>
    </xf>
    <xf numFmtId="165" fontId="6" fillId="0" borderId="27" xfId="20" applyNumberFormat="1" applyFont="1" applyBorder="1" applyAlignment="1">
      <alignment vertical="center"/>
    </xf>
    <xf numFmtId="9" fontId="9" fillId="0" borderId="5" xfId="22" applyFont="1" applyBorder="1"/>
    <xf numFmtId="9" fontId="9" fillId="0" borderId="6" xfId="22" applyFont="1" applyBorder="1"/>
    <xf numFmtId="165" fontId="9" fillId="0" borderId="6" xfId="13" applyNumberFormat="1" applyFont="1" applyBorder="1"/>
    <xf numFmtId="165" fontId="9" fillId="0" borderId="7" xfId="13" applyNumberFormat="1" applyFont="1" applyBorder="1"/>
    <xf numFmtId="43" fontId="6" fillId="0" borderId="0" xfId="1" applyFont="1"/>
    <xf numFmtId="10" fontId="6" fillId="0" borderId="0" xfId="22" applyNumberFormat="1" applyFont="1"/>
    <xf numFmtId="43" fontId="6" fillId="0" borderId="11" xfId="8" applyFont="1" applyFill="1" applyBorder="1" applyAlignment="1">
      <alignment horizontal="center"/>
    </xf>
    <xf numFmtId="43" fontId="6" fillId="0" borderId="28" xfId="8" applyFont="1" applyBorder="1"/>
    <xf numFmtId="43" fontId="6" fillId="0" borderId="29" xfId="8" applyFont="1" applyBorder="1" applyAlignment="1">
      <alignment horizontal="center" vertical="center"/>
    </xf>
    <xf numFmtId="43" fontId="5" fillId="0" borderId="29" xfId="8" applyFont="1" applyBorder="1"/>
    <xf numFmtId="165" fontId="5" fillId="0" borderId="29" xfId="8" applyNumberFormat="1" applyFont="1" applyBorder="1"/>
    <xf numFmtId="165" fontId="6" fillId="0" borderId="29" xfId="8" applyNumberFormat="1" applyFont="1" applyBorder="1"/>
    <xf numFmtId="165" fontId="9" fillId="0" borderId="29" xfId="8" applyNumberFormat="1" applyFont="1" applyBorder="1"/>
    <xf numFmtId="165" fontId="6" fillId="0" borderId="29" xfId="8" applyNumberFormat="1" applyFont="1" applyBorder="1" applyAlignment="1">
      <alignment horizontal="center" vertical="center"/>
    </xf>
    <xf numFmtId="9" fontId="6" fillId="0" borderId="29" xfId="22" applyFont="1" applyBorder="1"/>
    <xf numFmtId="43" fontId="6" fillId="0" borderId="30" xfId="1" applyFont="1" applyBorder="1"/>
    <xf numFmtId="9" fontId="6" fillId="0" borderId="3" xfId="22" applyFont="1" applyFill="1" applyBorder="1" applyAlignment="1">
      <alignment horizontal="center" vertical="center"/>
    </xf>
    <xf numFmtId="43" fontId="6" fillId="4" borderId="16" xfId="8" applyFont="1" applyFill="1" applyBorder="1" applyAlignment="1">
      <alignment horizontal="center" vertical="center"/>
    </xf>
    <xf numFmtId="166" fontId="6" fillId="4" borderId="10" xfId="8" applyNumberFormat="1" applyFont="1" applyFill="1" applyBorder="1" applyAlignment="1">
      <alignment horizontal="center" vertical="center"/>
    </xf>
    <xf numFmtId="166" fontId="9" fillId="4" borderId="20" xfId="8" applyNumberFormat="1" applyFont="1" applyFill="1" applyBorder="1" applyAlignment="1">
      <alignment horizontal="center" vertical="center"/>
    </xf>
    <xf numFmtId="43" fontId="9" fillId="4" borderId="20" xfId="8" applyFont="1" applyFill="1" applyBorder="1"/>
    <xf numFmtId="43" fontId="9" fillId="4" borderId="21" xfId="8" applyFont="1" applyFill="1" applyBorder="1" applyAlignment="1">
      <alignment horizontal="center" vertical="center"/>
    </xf>
    <xf numFmtId="43" fontId="8" fillId="4" borderId="21" xfId="8" applyFont="1" applyFill="1" applyBorder="1"/>
    <xf numFmtId="165" fontId="8" fillId="4" borderId="21" xfId="8" applyNumberFormat="1" applyFont="1" applyFill="1" applyBorder="1"/>
    <xf numFmtId="165" fontId="9" fillId="4" borderId="21" xfId="8" applyNumberFormat="1" applyFont="1" applyFill="1" applyBorder="1"/>
    <xf numFmtId="165" fontId="9" fillId="4" borderId="21" xfId="8" applyNumberFormat="1" applyFont="1" applyFill="1" applyBorder="1" applyAlignment="1">
      <alignment horizontal="right" vertical="center"/>
    </xf>
    <xf numFmtId="9" fontId="9" fillId="4" borderId="21" xfId="22" applyFont="1" applyFill="1" applyBorder="1"/>
    <xf numFmtId="43" fontId="9" fillId="4" borderId="22" xfId="1" applyFont="1" applyFill="1" applyBorder="1"/>
    <xf numFmtId="14" fontId="8" fillId="0" borderId="0" xfId="1" applyNumberFormat="1" applyFont="1" applyFill="1" applyBorder="1" applyAlignment="1">
      <alignment horizontal="center" vertical="center" wrapText="1"/>
    </xf>
    <xf numFmtId="10" fontId="6" fillId="0" borderId="0" xfId="22" applyNumberFormat="1" applyFont="1" applyFill="1" applyBorder="1" applyAlignment="1">
      <alignment vertical="center"/>
    </xf>
    <xf numFmtId="10" fontId="6" fillId="0" borderId="3" xfId="22" applyNumberFormat="1" applyFont="1" applyBorder="1" applyAlignment="1">
      <alignment horizontal="center" vertical="center"/>
    </xf>
    <xf numFmtId="10" fontId="6" fillId="0" borderId="11" xfId="22" applyNumberFormat="1" applyFont="1" applyBorder="1" applyAlignment="1">
      <alignment horizontal="center" vertical="center"/>
    </xf>
    <xf numFmtId="43" fontId="9" fillId="0" borderId="6" xfId="13" applyNumberFormat="1" applyFont="1" applyBorder="1"/>
    <xf numFmtId="43" fontId="6" fillId="0" borderId="0" xfId="20" applyFont="1" applyFill="1" applyBorder="1" applyAlignment="1">
      <alignment vertical="center"/>
    </xf>
    <xf numFmtId="168" fontId="5" fillId="0" borderId="12" xfId="22" applyNumberFormat="1" applyFont="1" applyFill="1" applyBorder="1" applyAlignment="1">
      <alignment horizontal="center" vertical="center" wrapText="1"/>
    </xf>
    <xf numFmtId="168" fontId="5" fillId="0" borderId="3" xfId="22" applyNumberFormat="1" applyFont="1" applyFill="1" applyBorder="1" applyAlignment="1">
      <alignment horizontal="center" vertical="center" wrapText="1"/>
    </xf>
    <xf numFmtId="0" fontId="5" fillId="0" borderId="3" xfId="1" applyNumberFormat="1" applyFont="1" applyFill="1" applyBorder="1" applyAlignment="1">
      <alignment horizontal="left" vertical="center" wrapText="1"/>
    </xf>
    <xf numFmtId="166" fontId="9" fillId="0" borderId="5" xfId="8" applyNumberFormat="1" applyFont="1" applyFill="1" applyBorder="1" applyAlignment="1">
      <alignment horizontal="center" vertical="center"/>
    </xf>
    <xf numFmtId="43" fontId="9" fillId="0" borderId="6" xfId="8" applyFont="1" applyFill="1" applyBorder="1"/>
    <xf numFmtId="43" fontId="9" fillId="0" borderId="6" xfId="8" applyFont="1" applyFill="1" applyBorder="1" applyAlignment="1">
      <alignment horizontal="center" vertical="center"/>
    </xf>
    <xf numFmtId="43" fontId="8" fillId="0" borderId="6" xfId="8" applyFont="1" applyFill="1" applyBorder="1"/>
    <xf numFmtId="165" fontId="8" fillId="0" borderId="6" xfId="8" applyNumberFormat="1" applyFont="1" applyFill="1" applyBorder="1"/>
    <xf numFmtId="165" fontId="9" fillId="0" borderId="6" xfId="8" applyNumberFormat="1" applyFont="1" applyFill="1" applyBorder="1"/>
    <xf numFmtId="165" fontId="9" fillId="0" borderId="6" xfId="8" applyNumberFormat="1" applyFont="1" applyFill="1" applyBorder="1" applyAlignment="1">
      <alignment horizontal="right" vertical="center"/>
    </xf>
    <xf numFmtId="9" fontId="9" fillId="0" borderId="6" xfId="22" applyFont="1" applyFill="1" applyBorder="1"/>
    <xf numFmtId="43" fontId="9" fillId="0" borderId="7" xfId="1" applyFont="1" applyFill="1" applyBorder="1"/>
    <xf numFmtId="0" fontId="6" fillId="0" borderId="0" xfId="13" applyFont="1" applyAlignment="1">
      <alignment horizontal="right" vertical="center"/>
    </xf>
    <xf numFmtId="43" fontId="8" fillId="0" borderId="0" xfId="17" applyFont="1" applyFill="1" applyBorder="1" applyAlignment="1">
      <alignment horizontal="center" vertical="center" wrapText="1"/>
    </xf>
    <xf numFmtId="0" fontId="5" fillId="0" borderId="0" xfId="1" applyNumberFormat="1" applyFont="1" applyBorder="1" applyAlignment="1">
      <alignment horizontal="left" vertical="center" wrapText="1"/>
    </xf>
    <xf numFmtId="0" fontId="5" fillId="0" borderId="0" xfId="18" applyFont="1" applyAlignment="1">
      <alignment horizontal="center" vertical="center"/>
    </xf>
    <xf numFmtId="165" fontId="5" fillId="0" borderId="0" xfId="1" applyNumberFormat="1" applyFont="1" applyFill="1" applyBorder="1" applyAlignment="1">
      <alignment horizontal="center" vertical="center"/>
    </xf>
    <xf numFmtId="165" fontId="5" fillId="0" borderId="12" xfId="1" applyNumberFormat="1" applyFont="1" applyFill="1" applyBorder="1" applyAlignment="1">
      <alignment horizontal="right" vertical="center"/>
    </xf>
    <xf numFmtId="43" fontId="8" fillId="0" borderId="6" xfId="17" applyFont="1" applyFill="1" applyBorder="1" applyAlignment="1">
      <alignment horizontal="center" vertical="center" wrapText="1"/>
    </xf>
    <xf numFmtId="0" fontId="5" fillId="0" borderId="4" xfId="1" applyNumberFormat="1" applyFont="1" applyBorder="1" applyAlignment="1">
      <alignment horizontal="left" vertical="center" wrapText="1"/>
    </xf>
    <xf numFmtId="0" fontId="6" fillId="0" borderId="1" xfId="1" applyNumberFormat="1" applyFont="1" applyFill="1" applyBorder="1" applyAlignment="1">
      <alignment vertical="center" wrapText="1"/>
    </xf>
    <xf numFmtId="43" fontId="5" fillId="0" borderId="1" xfId="17" applyFont="1" applyFill="1" applyBorder="1" applyAlignment="1">
      <alignment horizontal="center" vertical="center" wrapText="1"/>
    </xf>
    <xf numFmtId="0" fontId="6" fillId="0" borderId="4" xfId="1" applyNumberFormat="1" applyFont="1" applyFill="1" applyBorder="1" applyAlignment="1">
      <alignment vertical="center" wrapText="1"/>
    </xf>
    <xf numFmtId="43" fontId="5" fillId="0" borderId="4" xfId="17" applyFont="1" applyFill="1" applyBorder="1" applyAlignment="1">
      <alignment horizontal="center" vertical="center" wrapText="1"/>
    </xf>
    <xf numFmtId="166" fontId="9" fillId="4" borderId="5" xfId="8" applyNumberFormat="1" applyFont="1" applyFill="1" applyBorder="1" applyAlignment="1">
      <alignment horizontal="center" vertical="center"/>
    </xf>
    <xf numFmtId="43" fontId="9" fillId="4" borderId="6" xfId="8" applyFont="1" applyFill="1" applyBorder="1"/>
    <xf numFmtId="43" fontId="9" fillId="4" borderId="6" xfId="8" applyFont="1" applyFill="1" applyBorder="1" applyAlignment="1">
      <alignment horizontal="center" vertical="center"/>
    </xf>
    <xf numFmtId="43" fontId="8" fillId="4" borderId="6" xfId="8" applyFont="1" applyFill="1" applyBorder="1"/>
    <xf numFmtId="165" fontId="8" fillId="4" borderId="6" xfId="8" applyNumberFormat="1" applyFont="1" applyFill="1" applyBorder="1"/>
    <xf numFmtId="165" fontId="9" fillId="4" borderId="6" xfId="8" applyNumberFormat="1" applyFont="1" applyFill="1" applyBorder="1"/>
    <xf numFmtId="165" fontId="9" fillId="4" borderId="6" xfId="8" applyNumberFormat="1" applyFont="1" applyFill="1" applyBorder="1" applyAlignment="1">
      <alignment horizontal="right" vertical="center"/>
    </xf>
    <xf numFmtId="9" fontId="9" fillId="4" borderId="6" xfId="22" applyFont="1" applyFill="1" applyBorder="1"/>
    <xf numFmtId="9" fontId="5" fillId="0" borderId="0" xfId="22" applyFont="1" applyAlignment="1">
      <alignment vertical="center" wrapText="1"/>
    </xf>
    <xf numFmtId="9" fontId="9" fillId="0" borderId="2" xfId="22" applyFont="1" applyBorder="1" applyAlignment="1">
      <alignment horizontal="center" vertical="center"/>
    </xf>
    <xf numFmtId="9" fontId="6" fillId="0" borderId="0" xfId="22" applyFont="1" applyFill="1" applyBorder="1" applyAlignment="1">
      <alignment horizontal="center" vertical="center"/>
    </xf>
    <xf numFmtId="9" fontId="9" fillId="0" borderId="6" xfId="22" applyFont="1" applyBorder="1" applyAlignment="1">
      <alignment horizontal="right" vertical="center"/>
    </xf>
    <xf numFmtId="9" fontId="6" fillId="4" borderId="15" xfId="22" applyFont="1" applyFill="1" applyBorder="1"/>
    <xf numFmtId="165" fontId="9" fillId="0" borderId="7" xfId="1" applyNumberFormat="1" applyFont="1" applyFill="1" applyBorder="1"/>
    <xf numFmtId="165" fontId="9" fillId="0" borderId="2" xfId="8" applyNumberFormat="1" applyFont="1" applyBorder="1" applyAlignment="1">
      <alignment horizontal="center" vertical="center"/>
    </xf>
  </cellXfs>
  <cellStyles count="23">
    <cellStyle name="Comma" xfId="1" builtinId="3"/>
    <cellStyle name="Millares 10" xfId="6" xr:uid="{804B22F7-197F-49DB-B319-DAFD2C6DCE5E}"/>
    <cellStyle name="Millares 10 2" xfId="17" xr:uid="{3B7D3359-A1B3-42CF-9C34-987D3FB55DE0}"/>
    <cellStyle name="Millares 12 2" xfId="8" xr:uid="{53FEBB58-259D-454D-9D04-FC413F6B90DE}"/>
    <cellStyle name="Millares 12 2 2" xfId="21" xr:uid="{95BD7490-A196-474A-8B18-C009B882DE9A}"/>
    <cellStyle name="Millares 2" xfId="20" xr:uid="{A6FF7238-A9AB-44A8-8A00-83DA05CE29AA}"/>
    <cellStyle name="Millares 3 2" xfId="11" xr:uid="{824F02ED-6AE6-49B4-82AD-D53D982066B4}"/>
    <cellStyle name="Millares 3 2 2" xfId="14" xr:uid="{D0B85086-D3A1-42A3-9145-83F7FD18C3AF}"/>
    <cellStyle name="Millares 7" xfId="9" xr:uid="{A05EE1F2-1FE8-4977-89C0-057B9C8A21E1}"/>
    <cellStyle name="Normal" xfId="0" builtinId="0"/>
    <cellStyle name="Normal 12" xfId="5" xr:uid="{8F76F462-7E95-49A2-8B7F-11530A7468E3}"/>
    <cellStyle name="Normal 2" xfId="2" xr:uid="{2550D01F-833B-43AC-90F4-06899CA0A571}"/>
    <cellStyle name="Normal 2 2" xfId="3" xr:uid="{4A6E4377-8A1E-4B86-B424-13A46A02CE17}"/>
    <cellStyle name="Normal 2 3" xfId="13" xr:uid="{F3740502-818F-4575-8FA8-87AF78E748C4}"/>
    <cellStyle name="Normal 2 5" xfId="7" xr:uid="{E1FC2C82-0317-4234-9E15-1777C7D0DB1A}"/>
    <cellStyle name="Normal 2 5 2" xfId="18" xr:uid="{99A3F76D-1C42-4700-ACF1-66E3B524727D}"/>
    <cellStyle name="Normal 4 2" xfId="12" xr:uid="{4BD0B669-9F11-4017-B234-6F01A6A2DC62}"/>
    <cellStyle name="Percent" xfId="22" builtinId="5"/>
    <cellStyle name="Porcentaje 2 2" xfId="10" xr:uid="{44EF45F1-FCBF-4D54-9C9A-397AA7E1EB7E}"/>
    <cellStyle name="Porcentaje 2 2 2" xfId="16" xr:uid="{B70FAB79-76B6-4DF6-A812-40E8CE9E623D}"/>
    <cellStyle name="Porcentaje 5" xfId="4" xr:uid="{3D0A2745-CD79-4D44-8C07-D676152F6112}"/>
    <cellStyle name="Porcentaje 5 2" xfId="15" xr:uid="{E35A1E54-21B3-4D9A-A685-8248C79F3B30}"/>
    <cellStyle name="Porcentual 2" xfId="19" xr:uid="{237C300D-AD9F-4AE2-B675-61542C9C5709}"/>
  </cellStyles>
  <dxfs count="5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/>
        <i val="0"/>
        <color rgb="FFC00000"/>
      </font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2422854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2BA1479D-EB26-4C9E-ADF8-CE2C54993F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88670" y="85725"/>
          <a:ext cx="2403804" cy="51625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2422854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4622C5C1-0921-4847-A964-D80C9198D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5775" y="85725"/>
          <a:ext cx="2403804" cy="5143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2422854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AF88C6AC-5293-4344-86CC-E79683D41A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9110" y="85725"/>
          <a:ext cx="2403804" cy="53911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2422854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D03E114A-BFF5-4192-9498-F6F9EC59E7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9110" y="85725"/>
          <a:ext cx="2403804" cy="53911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2419044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2A7AF50D-B4E9-4BC6-8D90-61EADA759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9110" y="85725"/>
          <a:ext cx="2403804" cy="539115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2419044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52095896-96AB-46D2-BD77-D01630FBAB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9110" y="85725"/>
          <a:ext cx="2399994" cy="5391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2419044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72375C25-1211-4131-9D6B-04D0E5C3AE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5775" y="85725"/>
          <a:ext cx="2399994" cy="5143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2419044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8A63AEB8-CC90-4CD1-ABEA-F09B5C3169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5775" y="85725"/>
          <a:ext cx="2399994" cy="5143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2419044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351EC7B2-2E18-429E-A408-39C308E42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5775" y="85725"/>
          <a:ext cx="2399994" cy="5143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2422854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23F1EA00-8D7B-4414-BDA4-E67238F96F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85775" y="85725"/>
          <a:ext cx="2399994" cy="5143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2419044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8ADBC62E-01D9-4984-A9A5-8420540D08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9110" y="85725"/>
          <a:ext cx="2399994" cy="539115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2422854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2804EAD9-4247-4377-850F-089E01E832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9110" y="85725"/>
          <a:ext cx="2399994" cy="53911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2422854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5437C943-0AB1-4961-9901-B518912186E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9110" y="85725"/>
          <a:ext cx="2403804" cy="539115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2419044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EC2D52F6-98A3-4089-A196-9FD9C955DC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9110" y="85725"/>
          <a:ext cx="2403804" cy="539115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85725</xdr:rowOff>
    </xdr:from>
    <xdr:to>
      <xdr:col>1</xdr:col>
      <xdr:colOff>2422854</xdr:colOff>
      <xdr:row>3</xdr:row>
      <xdr:rowOff>114300</xdr:rowOff>
    </xdr:to>
    <xdr:pic>
      <xdr:nvPicPr>
        <xdr:cNvPr id="2" name="1 Imagen" descr="Logo ArqIng Encabezado.png">
          <a:extLst>
            <a:ext uri="{FF2B5EF4-FFF2-40B4-BE49-F238E27FC236}">
              <a16:creationId xmlns:a16="http://schemas.microsoft.com/office/drawing/2014/main" id="{BE1157FC-E098-4DFD-91F9-AC4744406D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9110" y="85725"/>
          <a:ext cx="2399994" cy="5391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BA3AB-38A9-4950-9371-A21B577523E5}">
  <dimension ref="A1:N208"/>
  <sheetViews>
    <sheetView zoomScaleNormal="100" workbookViewId="0">
      <selection activeCell="B14" sqref="B14"/>
    </sheetView>
  </sheetViews>
  <sheetFormatPr defaultColWidth="11.54296875" defaultRowHeight="12.75" customHeight="1" x14ac:dyDescent="0.3"/>
  <cols>
    <col min="1" max="1" width="7" style="1" bestFit="1" customWidth="1"/>
    <col min="2" max="2" width="56.36328125" style="2" customWidth="1"/>
    <col min="3" max="3" width="4.08984375" style="3" bestFit="1" customWidth="1"/>
    <col min="4" max="4" width="7" style="4" bestFit="1" customWidth="1"/>
    <col min="5" max="5" width="14.36328125" style="86" bestFit="1" customWidth="1"/>
    <col min="6" max="6" width="15.6328125" style="86" bestFit="1" customWidth="1"/>
    <col min="7" max="7" width="14.6328125" style="87" bestFit="1" customWidth="1"/>
    <col min="8" max="8" width="8.54296875" style="92" bestFit="1" customWidth="1"/>
    <col min="9" max="9" width="14" style="92" bestFit="1" customWidth="1"/>
    <col min="10" max="10" width="12.08984375" style="92" customWidth="1"/>
    <col min="11" max="11" width="11.36328125" style="92" bestFit="1" customWidth="1"/>
    <col min="12" max="12" width="9.36328125" style="92" bestFit="1" customWidth="1"/>
    <col min="13" max="14" width="12.453125" style="92" bestFit="1" customWidth="1"/>
    <col min="15" max="15" width="12.08984375" style="5" customWidth="1"/>
    <col min="16" max="16384" width="11.54296875" style="5"/>
  </cols>
  <sheetData>
    <row r="1" spans="1:14" ht="12.75" customHeight="1" x14ac:dyDescent="0.3">
      <c r="F1" s="162" t="s">
        <v>0</v>
      </c>
      <c r="G1" s="162" t="s">
        <v>1</v>
      </c>
    </row>
    <row r="2" spans="1:14" ht="13" x14ac:dyDescent="0.3">
      <c r="F2" s="163">
        <v>1066.5</v>
      </c>
      <c r="G2" s="163">
        <v>1170</v>
      </c>
    </row>
    <row r="3" spans="1:14" s="10" customFormat="1" ht="13" x14ac:dyDescent="0.25">
      <c r="A3" s="6"/>
      <c r="B3" s="7"/>
      <c r="C3" s="8"/>
      <c r="D3" s="9"/>
      <c r="E3" s="9"/>
      <c r="F3" s="9"/>
      <c r="G3" s="164"/>
      <c r="H3" s="165"/>
      <c r="I3" s="165"/>
      <c r="J3" s="165"/>
      <c r="K3" s="165"/>
      <c r="L3" s="165"/>
      <c r="M3" s="165"/>
      <c r="N3" s="165"/>
    </row>
    <row r="4" spans="1:14" s="10" customFormat="1" ht="13" x14ac:dyDescent="0.25">
      <c r="A4" s="6"/>
      <c r="B4" s="7"/>
      <c r="C4" s="8"/>
      <c r="D4" s="9"/>
      <c r="E4" s="9"/>
      <c r="F4" s="166">
        <v>45667</v>
      </c>
      <c r="G4" s="164"/>
      <c r="H4" s="165"/>
      <c r="I4" s="165"/>
      <c r="J4" s="165"/>
      <c r="K4" s="165"/>
      <c r="L4" s="165"/>
      <c r="M4" s="165"/>
      <c r="N4" s="165"/>
    </row>
    <row r="5" spans="1:14" s="10" customFormat="1" ht="13" x14ac:dyDescent="0.3">
      <c r="A5" s="6"/>
      <c r="B5" s="90" t="s">
        <v>2</v>
      </c>
      <c r="C5" s="8"/>
      <c r="D5" s="9"/>
      <c r="E5" s="167"/>
      <c r="F5" s="167"/>
      <c r="G5" s="164"/>
      <c r="H5" s="165"/>
      <c r="I5" s="168" t="s">
        <v>3</v>
      </c>
      <c r="J5" s="169">
        <v>1</v>
      </c>
      <c r="K5" s="170"/>
      <c r="L5" s="170"/>
      <c r="M5" s="171"/>
      <c r="N5" s="49">
        <v>45747</v>
      </c>
    </row>
    <row r="6" spans="1:14" s="10" customFormat="1" ht="13" x14ac:dyDescent="0.25">
      <c r="A6" s="6"/>
      <c r="B6" s="90" t="s">
        <v>4</v>
      </c>
      <c r="C6" s="8"/>
      <c r="D6" s="9"/>
      <c r="E6" s="172"/>
      <c r="F6" s="172"/>
      <c r="G6" s="164"/>
      <c r="H6" s="165"/>
      <c r="I6" s="165"/>
      <c r="J6" s="165"/>
      <c r="K6" s="165"/>
      <c r="L6" s="165"/>
      <c r="M6" s="165"/>
      <c r="N6" s="165"/>
    </row>
    <row r="7" spans="1:14" s="10" customFormat="1" ht="13" x14ac:dyDescent="0.25">
      <c r="A7" s="6"/>
      <c r="B7" s="91" t="s">
        <v>5</v>
      </c>
      <c r="C7" s="11"/>
      <c r="D7" s="12"/>
      <c r="E7" s="173"/>
      <c r="F7" s="172"/>
      <c r="G7" s="164"/>
      <c r="H7" s="165"/>
      <c r="I7" s="330" t="s">
        <v>6</v>
      </c>
      <c r="J7" s="330"/>
      <c r="K7" s="330"/>
      <c r="L7" s="330" t="s">
        <v>7</v>
      </c>
      <c r="M7" s="330"/>
      <c r="N7" s="330"/>
    </row>
    <row r="8" spans="1:14" ht="13" x14ac:dyDescent="0.3">
      <c r="A8" s="13" t="s">
        <v>8</v>
      </c>
      <c r="B8" s="14" t="s">
        <v>9</v>
      </c>
      <c r="C8" s="15" t="s">
        <v>10</v>
      </c>
      <c r="D8" s="16" t="s">
        <v>11</v>
      </c>
      <c r="E8" s="175" t="s">
        <v>12</v>
      </c>
      <c r="F8" s="175" t="s">
        <v>13</v>
      </c>
      <c r="I8" s="174" t="s">
        <v>14</v>
      </c>
      <c r="J8" s="174" t="s">
        <v>15</v>
      </c>
      <c r="K8" s="174" t="s">
        <v>16</v>
      </c>
      <c r="L8" s="174" t="s">
        <v>14</v>
      </c>
      <c r="M8" s="174" t="s">
        <v>15</v>
      </c>
      <c r="N8" s="174" t="s">
        <v>16</v>
      </c>
    </row>
    <row r="9" spans="1:14" ht="12.75" customHeight="1" x14ac:dyDescent="0.3">
      <c r="A9" s="13">
        <v>4</v>
      </c>
      <c r="B9" s="17" t="s">
        <v>17</v>
      </c>
      <c r="C9" s="18"/>
      <c r="D9" s="19"/>
      <c r="E9" s="19"/>
      <c r="F9" s="19"/>
      <c r="G9" s="176">
        <f>+SUM(F10:F23)</f>
        <v>51045774</v>
      </c>
      <c r="H9" s="245">
        <f>+G9/$G$195</f>
        <v>6.0420265274428106E-2</v>
      </c>
      <c r="I9" s="246"/>
      <c r="J9" s="247"/>
      <c r="K9" s="247"/>
      <c r="L9" s="178"/>
      <c r="M9" s="178"/>
      <c r="N9" s="179"/>
    </row>
    <row r="10" spans="1:14" ht="12.75" customHeight="1" x14ac:dyDescent="0.3">
      <c r="A10" s="20">
        <v>4.01</v>
      </c>
      <c r="B10" s="21" t="s">
        <v>18</v>
      </c>
      <c r="C10" s="93" t="s">
        <v>19</v>
      </c>
      <c r="D10" s="94">
        <v>621</v>
      </c>
      <c r="E10" s="180">
        <v>22140</v>
      </c>
      <c r="F10" s="181">
        <f t="shared" ref="F10:F73" si="0">+E10*D10</f>
        <v>13748940</v>
      </c>
      <c r="G10" s="182"/>
      <c r="H10" s="245"/>
      <c r="I10" s="248"/>
      <c r="J10" s="248"/>
      <c r="K10" s="249">
        <f t="shared" ref="K10" si="1">+I10+J10</f>
        <v>0</v>
      </c>
      <c r="L10" s="50">
        <f t="shared" ref="L10" si="2">+F10*I10</f>
        <v>0</v>
      </c>
      <c r="M10" s="50">
        <f t="shared" ref="M10" si="3">+F10*J10</f>
        <v>0</v>
      </c>
      <c r="N10" s="50">
        <f t="shared" ref="N10" si="4">+F10*K10</f>
        <v>0</v>
      </c>
    </row>
    <row r="11" spans="1:14" ht="12.75" customHeight="1" x14ac:dyDescent="0.3">
      <c r="A11" s="24">
        <v>4.0199999999999996</v>
      </c>
      <c r="B11" s="95" t="s">
        <v>20</v>
      </c>
      <c r="C11" s="30" t="s">
        <v>19</v>
      </c>
      <c r="D11" s="31">
        <v>780</v>
      </c>
      <c r="E11" s="183">
        <v>24437</v>
      </c>
      <c r="F11" s="181">
        <f t="shared" si="0"/>
        <v>19060860</v>
      </c>
      <c r="G11" s="182"/>
      <c r="H11" s="245"/>
      <c r="I11" s="250"/>
      <c r="J11" s="250"/>
      <c r="K11" s="251">
        <f t="shared" ref="K11:K74" si="5">+I11+J11</f>
        <v>0</v>
      </c>
      <c r="L11" s="50">
        <f t="shared" ref="L11:L74" si="6">+F11*I11</f>
        <v>0</v>
      </c>
      <c r="M11" s="50">
        <f t="shared" ref="M11:M74" si="7">+F11*J11</f>
        <v>0</v>
      </c>
      <c r="N11" s="50">
        <f t="shared" ref="N11:N74" si="8">+F11*K11</f>
        <v>0</v>
      </c>
    </row>
    <row r="12" spans="1:14" ht="12.75" customHeight="1" x14ac:dyDescent="0.3">
      <c r="A12" s="24">
        <v>4.03</v>
      </c>
      <c r="B12" s="25" t="s">
        <v>21</v>
      </c>
      <c r="C12" s="30" t="s">
        <v>19</v>
      </c>
      <c r="D12" s="31">
        <v>56</v>
      </c>
      <c r="E12" s="183">
        <v>23248</v>
      </c>
      <c r="F12" s="181">
        <f t="shared" si="0"/>
        <v>1301888</v>
      </c>
      <c r="G12" s="182"/>
      <c r="H12" s="245"/>
      <c r="I12" s="250"/>
      <c r="J12" s="250"/>
      <c r="K12" s="251">
        <f t="shared" si="5"/>
        <v>0</v>
      </c>
      <c r="L12" s="50">
        <f t="shared" si="6"/>
        <v>0</v>
      </c>
      <c r="M12" s="50">
        <f t="shared" si="7"/>
        <v>0</v>
      </c>
      <c r="N12" s="50">
        <f t="shared" si="8"/>
        <v>0</v>
      </c>
    </row>
    <row r="13" spans="1:14" ht="12.75" customHeight="1" x14ac:dyDescent="0.3">
      <c r="A13" s="24">
        <v>4.04</v>
      </c>
      <c r="B13" s="25" t="s">
        <v>22</v>
      </c>
      <c r="C13" s="30" t="s">
        <v>19</v>
      </c>
      <c r="D13" s="31">
        <v>42</v>
      </c>
      <c r="E13" s="183">
        <v>28746</v>
      </c>
      <c r="F13" s="181">
        <f t="shared" si="0"/>
        <v>1207332</v>
      </c>
      <c r="G13" s="182"/>
      <c r="H13" s="245"/>
      <c r="I13" s="250"/>
      <c r="J13" s="250"/>
      <c r="K13" s="251">
        <f t="shared" si="5"/>
        <v>0</v>
      </c>
      <c r="L13" s="50">
        <f t="shared" si="6"/>
        <v>0</v>
      </c>
      <c r="M13" s="50">
        <f t="shared" si="7"/>
        <v>0</v>
      </c>
      <c r="N13" s="50">
        <f t="shared" si="8"/>
        <v>0</v>
      </c>
    </row>
    <row r="14" spans="1:14" ht="12.75" customHeight="1" x14ac:dyDescent="0.3">
      <c r="A14" s="24">
        <v>4.05</v>
      </c>
      <c r="B14" s="25" t="s">
        <v>23</v>
      </c>
      <c r="C14" s="30" t="s">
        <v>19</v>
      </c>
      <c r="D14" s="31">
        <v>70</v>
      </c>
      <c r="E14" s="183">
        <v>36933</v>
      </c>
      <c r="F14" s="181">
        <f t="shared" si="0"/>
        <v>2585310</v>
      </c>
      <c r="G14" s="182"/>
      <c r="H14" s="245"/>
      <c r="I14" s="250"/>
      <c r="J14" s="250"/>
      <c r="K14" s="251">
        <f t="shared" si="5"/>
        <v>0</v>
      </c>
      <c r="L14" s="50">
        <f t="shared" si="6"/>
        <v>0</v>
      </c>
      <c r="M14" s="50">
        <f t="shared" si="7"/>
        <v>0</v>
      </c>
      <c r="N14" s="50">
        <f t="shared" si="8"/>
        <v>0</v>
      </c>
    </row>
    <row r="15" spans="1:14" ht="12.75" customHeight="1" x14ac:dyDescent="0.3">
      <c r="A15" s="24">
        <v>4.0599999999999996</v>
      </c>
      <c r="B15" s="25" t="s">
        <v>24</v>
      </c>
      <c r="C15" s="30" t="s">
        <v>19</v>
      </c>
      <c r="D15" s="31">
        <v>5</v>
      </c>
      <c r="E15" s="183">
        <v>28672</v>
      </c>
      <c r="F15" s="181">
        <f t="shared" si="0"/>
        <v>143360</v>
      </c>
      <c r="G15" s="182"/>
      <c r="H15" s="245"/>
      <c r="I15" s="250"/>
      <c r="J15" s="250"/>
      <c r="K15" s="251">
        <f t="shared" si="5"/>
        <v>0</v>
      </c>
      <c r="L15" s="50">
        <f t="shared" si="6"/>
        <v>0</v>
      </c>
      <c r="M15" s="50">
        <f t="shared" si="7"/>
        <v>0</v>
      </c>
      <c r="N15" s="50">
        <f t="shared" si="8"/>
        <v>0</v>
      </c>
    </row>
    <row r="16" spans="1:14" ht="12.75" customHeight="1" x14ac:dyDescent="0.3">
      <c r="A16" s="24">
        <v>4.07</v>
      </c>
      <c r="B16" s="25" t="s">
        <v>25</v>
      </c>
      <c r="C16" s="30" t="s">
        <v>19</v>
      </c>
      <c r="D16" s="37">
        <v>193</v>
      </c>
      <c r="E16" s="183">
        <v>18611</v>
      </c>
      <c r="F16" s="181">
        <f t="shared" si="0"/>
        <v>3591923</v>
      </c>
      <c r="G16" s="182"/>
      <c r="H16" s="245"/>
      <c r="I16" s="250"/>
      <c r="J16" s="250"/>
      <c r="K16" s="251">
        <f t="shared" si="5"/>
        <v>0</v>
      </c>
      <c r="L16" s="50">
        <f t="shared" si="6"/>
        <v>0</v>
      </c>
      <c r="M16" s="50">
        <f t="shared" si="7"/>
        <v>0</v>
      </c>
      <c r="N16" s="50">
        <f t="shared" si="8"/>
        <v>0</v>
      </c>
    </row>
    <row r="17" spans="1:14" ht="12.75" customHeight="1" x14ac:dyDescent="0.3">
      <c r="A17" s="24">
        <v>4.08</v>
      </c>
      <c r="B17" s="25" t="s">
        <v>26</v>
      </c>
      <c r="C17" s="30" t="s">
        <v>27</v>
      </c>
      <c r="D17" s="37">
        <v>61</v>
      </c>
      <c r="E17" s="183">
        <v>28578</v>
      </c>
      <c r="F17" s="181">
        <f t="shared" si="0"/>
        <v>1743258</v>
      </c>
      <c r="G17" s="182"/>
      <c r="H17" s="245"/>
      <c r="I17" s="250"/>
      <c r="J17" s="250"/>
      <c r="K17" s="251">
        <f t="shared" si="5"/>
        <v>0</v>
      </c>
      <c r="L17" s="50">
        <f t="shared" si="6"/>
        <v>0</v>
      </c>
      <c r="M17" s="50">
        <f t="shared" si="7"/>
        <v>0</v>
      </c>
      <c r="N17" s="50">
        <f t="shared" si="8"/>
        <v>0</v>
      </c>
    </row>
    <row r="18" spans="1:14" ht="12.75" customHeight="1" x14ac:dyDescent="0.3">
      <c r="A18" s="24">
        <v>4.09</v>
      </c>
      <c r="B18" s="25" t="s">
        <v>28</v>
      </c>
      <c r="C18" s="30" t="s">
        <v>29</v>
      </c>
      <c r="D18" s="37">
        <v>1</v>
      </c>
      <c r="E18" s="183">
        <v>280823</v>
      </c>
      <c r="F18" s="181">
        <f t="shared" si="0"/>
        <v>280823</v>
      </c>
      <c r="G18" s="182"/>
      <c r="H18" s="245"/>
      <c r="I18" s="250"/>
      <c r="J18" s="250"/>
      <c r="K18" s="251">
        <f t="shared" si="5"/>
        <v>0</v>
      </c>
      <c r="L18" s="50">
        <f t="shared" si="6"/>
        <v>0</v>
      </c>
      <c r="M18" s="50">
        <f t="shared" si="7"/>
        <v>0</v>
      </c>
      <c r="N18" s="50">
        <f t="shared" si="8"/>
        <v>0</v>
      </c>
    </row>
    <row r="19" spans="1:14" ht="12.75" customHeight="1" x14ac:dyDescent="0.3">
      <c r="A19" s="24">
        <v>4.0999999999999996</v>
      </c>
      <c r="B19" s="25" t="s">
        <v>30</v>
      </c>
      <c r="C19" s="30" t="s">
        <v>29</v>
      </c>
      <c r="D19" s="37">
        <v>1</v>
      </c>
      <c r="E19" s="183">
        <v>801214</v>
      </c>
      <c r="F19" s="181">
        <f t="shared" si="0"/>
        <v>801214</v>
      </c>
      <c r="G19" s="182"/>
      <c r="H19" s="245"/>
      <c r="I19" s="250"/>
      <c r="J19" s="250"/>
      <c r="K19" s="251">
        <f t="shared" si="5"/>
        <v>0</v>
      </c>
      <c r="L19" s="50">
        <f t="shared" si="6"/>
        <v>0</v>
      </c>
      <c r="M19" s="50">
        <f t="shared" si="7"/>
        <v>0</v>
      </c>
      <c r="N19" s="50">
        <f t="shared" si="8"/>
        <v>0</v>
      </c>
    </row>
    <row r="20" spans="1:14" ht="12.75" customHeight="1" x14ac:dyDescent="0.3">
      <c r="A20" s="24">
        <v>4.1100000000000003</v>
      </c>
      <c r="B20" s="25" t="s">
        <v>31</v>
      </c>
      <c r="C20" s="30" t="s">
        <v>29</v>
      </c>
      <c r="D20" s="37">
        <v>1</v>
      </c>
      <c r="E20" s="183">
        <v>525234</v>
      </c>
      <c r="F20" s="181">
        <f t="shared" si="0"/>
        <v>525234</v>
      </c>
      <c r="G20" s="182"/>
      <c r="H20" s="245"/>
      <c r="I20" s="250"/>
      <c r="J20" s="250"/>
      <c r="K20" s="251">
        <f t="shared" si="5"/>
        <v>0</v>
      </c>
      <c r="L20" s="50">
        <f t="shared" si="6"/>
        <v>0</v>
      </c>
      <c r="M20" s="50">
        <f t="shared" si="7"/>
        <v>0</v>
      </c>
      <c r="N20" s="50">
        <f t="shared" si="8"/>
        <v>0</v>
      </c>
    </row>
    <row r="21" spans="1:14" ht="12.75" customHeight="1" x14ac:dyDescent="0.3">
      <c r="A21" s="24">
        <v>4.12</v>
      </c>
      <c r="B21" s="25" t="s">
        <v>32</v>
      </c>
      <c r="C21" s="30" t="s">
        <v>33</v>
      </c>
      <c r="D21" s="37">
        <v>3</v>
      </c>
      <c r="E21" s="183">
        <v>237784</v>
      </c>
      <c r="F21" s="181">
        <f t="shared" si="0"/>
        <v>713352</v>
      </c>
      <c r="G21" s="182"/>
      <c r="H21" s="245"/>
      <c r="I21" s="250"/>
      <c r="J21" s="250"/>
      <c r="K21" s="251">
        <f t="shared" si="5"/>
        <v>0</v>
      </c>
      <c r="L21" s="50">
        <f t="shared" si="6"/>
        <v>0</v>
      </c>
      <c r="M21" s="50">
        <f t="shared" si="7"/>
        <v>0</v>
      </c>
      <c r="N21" s="50">
        <f t="shared" si="8"/>
        <v>0</v>
      </c>
    </row>
    <row r="22" spans="1:14" ht="12.75" customHeight="1" x14ac:dyDescent="0.3">
      <c r="A22" s="24">
        <v>4.13</v>
      </c>
      <c r="B22" s="25" t="s">
        <v>34</v>
      </c>
      <c r="C22" s="30" t="s">
        <v>27</v>
      </c>
      <c r="D22" s="37">
        <v>40</v>
      </c>
      <c r="E22" s="183">
        <v>98026</v>
      </c>
      <c r="F22" s="181">
        <f t="shared" si="0"/>
        <v>3921040</v>
      </c>
      <c r="G22" s="182"/>
      <c r="H22" s="245"/>
      <c r="I22" s="250"/>
      <c r="J22" s="250"/>
      <c r="K22" s="251">
        <f t="shared" si="5"/>
        <v>0</v>
      </c>
      <c r="L22" s="50">
        <f t="shared" si="6"/>
        <v>0</v>
      </c>
      <c r="M22" s="50">
        <f t="shared" si="7"/>
        <v>0</v>
      </c>
      <c r="N22" s="50">
        <f t="shared" si="8"/>
        <v>0</v>
      </c>
    </row>
    <row r="23" spans="1:14" ht="12.75" customHeight="1" x14ac:dyDescent="0.3">
      <c r="A23" s="24">
        <v>4.1399999999999997</v>
      </c>
      <c r="B23" s="38" t="s">
        <v>35</v>
      </c>
      <c r="C23" s="34" t="s">
        <v>33</v>
      </c>
      <c r="D23" s="96">
        <v>8</v>
      </c>
      <c r="E23" s="183">
        <v>177655</v>
      </c>
      <c r="F23" s="181">
        <f t="shared" si="0"/>
        <v>1421240</v>
      </c>
      <c r="G23" s="182"/>
      <c r="H23" s="245"/>
      <c r="I23" s="250"/>
      <c r="J23" s="250"/>
      <c r="K23" s="251">
        <f t="shared" si="5"/>
        <v>0</v>
      </c>
      <c r="L23" s="50">
        <f t="shared" si="6"/>
        <v>0</v>
      </c>
      <c r="M23" s="50">
        <f t="shared" si="7"/>
        <v>0</v>
      </c>
      <c r="N23" s="50">
        <f t="shared" si="8"/>
        <v>0</v>
      </c>
    </row>
    <row r="24" spans="1:14" ht="12.75" customHeight="1" x14ac:dyDescent="0.3">
      <c r="A24" s="13">
        <v>5</v>
      </c>
      <c r="B24" s="40" t="s">
        <v>36</v>
      </c>
      <c r="C24" s="18"/>
      <c r="D24" s="19"/>
      <c r="E24" s="19"/>
      <c r="F24" s="19"/>
      <c r="G24" s="176">
        <f>+SUM(F25:F31)</f>
        <v>19239698</v>
      </c>
      <c r="H24" s="245">
        <f>+G24/$G$195</f>
        <v>2.2773043993022494E-2</v>
      </c>
      <c r="I24" s="246"/>
      <c r="J24" s="247"/>
      <c r="K24" s="247"/>
      <c r="L24" s="178"/>
      <c r="M24" s="178"/>
      <c r="N24" s="179"/>
    </row>
    <row r="25" spans="1:14" ht="12.75" customHeight="1" x14ac:dyDescent="0.3">
      <c r="A25" s="20">
        <v>5.01</v>
      </c>
      <c r="B25" s="21" t="s">
        <v>37</v>
      </c>
      <c r="C25" s="93" t="s">
        <v>27</v>
      </c>
      <c r="D25" s="97">
        <v>136</v>
      </c>
      <c r="E25" s="183">
        <v>6496</v>
      </c>
      <c r="F25" s="181">
        <f t="shared" si="0"/>
        <v>883456</v>
      </c>
      <c r="G25" s="182"/>
      <c r="H25" s="245"/>
      <c r="I25" s="250"/>
      <c r="J25" s="250"/>
      <c r="K25" s="251">
        <f t="shared" si="5"/>
        <v>0</v>
      </c>
      <c r="L25" s="50">
        <f t="shared" si="6"/>
        <v>0</v>
      </c>
      <c r="M25" s="50">
        <f t="shared" si="7"/>
        <v>0</v>
      </c>
      <c r="N25" s="50">
        <f t="shared" si="8"/>
        <v>0</v>
      </c>
    </row>
    <row r="26" spans="1:14" ht="12.75" customHeight="1" x14ac:dyDescent="0.3">
      <c r="A26" s="24">
        <v>5.0199999999999996</v>
      </c>
      <c r="B26" s="98" t="s">
        <v>38</v>
      </c>
      <c r="C26" s="30" t="s">
        <v>19</v>
      </c>
      <c r="D26" s="31">
        <v>77</v>
      </c>
      <c r="E26" s="184">
        <v>33270</v>
      </c>
      <c r="F26" s="183">
        <f t="shared" si="0"/>
        <v>2561790</v>
      </c>
      <c r="G26" s="182"/>
      <c r="H26" s="245"/>
      <c r="I26" s="250"/>
      <c r="J26" s="250"/>
      <c r="K26" s="251">
        <f t="shared" si="5"/>
        <v>0</v>
      </c>
      <c r="L26" s="50">
        <f t="shared" si="6"/>
        <v>0</v>
      </c>
      <c r="M26" s="50">
        <f t="shared" si="7"/>
        <v>0</v>
      </c>
      <c r="N26" s="50">
        <f t="shared" si="8"/>
        <v>0</v>
      </c>
    </row>
    <row r="27" spans="1:14" ht="12.75" customHeight="1" x14ac:dyDescent="0.3">
      <c r="A27" s="24">
        <v>5.03</v>
      </c>
      <c r="B27" s="25" t="s">
        <v>39</v>
      </c>
      <c r="C27" s="30" t="s">
        <v>19</v>
      </c>
      <c r="D27" s="31">
        <v>107</v>
      </c>
      <c r="E27" s="184">
        <v>6496</v>
      </c>
      <c r="F27" s="181">
        <f t="shared" si="0"/>
        <v>695072</v>
      </c>
      <c r="G27" s="182"/>
      <c r="H27" s="245"/>
      <c r="I27" s="250"/>
      <c r="J27" s="250"/>
      <c r="K27" s="251">
        <f t="shared" si="5"/>
        <v>0</v>
      </c>
      <c r="L27" s="50">
        <f t="shared" si="6"/>
        <v>0</v>
      </c>
      <c r="M27" s="50">
        <f t="shared" si="7"/>
        <v>0</v>
      </c>
      <c r="N27" s="50">
        <f t="shared" si="8"/>
        <v>0</v>
      </c>
    </row>
    <row r="28" spans="1:14" ht="12.75" customHeight="1" x14ac:dyDescent="0.3">
      <c r="A28" s="24">
        <v>5.04</v>
      </c>
      <c r="B28" s="25" t="s">
        <v>40</v>
      </c>
      <c r="C28" s="30" t="s">
        <v>19</v>
      </c>
      <c r="D28" s="31">
        <v>186</v>
      </c>
      <c r="E28" s="184">
        <v>4832</v>
      </c>
      <c r="F28" s="181">
        <f t="shared" si="0"/>
        <v>898752</v>
      </c>
      <c r="G28" s="182"/>
      <c r="H28" s="245"/>
      <c r="I28" s="250"/>
      <c r="J28" s="250"/>
      <c r="K28" s="251">
        <f t="shared" si="5"/>
        <v>0</v>
      </c>
      <c r="L28" s="50">
        <f t="shared" si="6"/>
        <v>0</v>
      </c>
      <c r="M28" s="50">
        <f t="shared" si="7"/>
        <v>0</v>
      </c>
      <c r="N28" s="50">
        <f t="shared" si="8"/>
        <v>0</v>
      </c>
    </row>
    <row r="29" spans="1:14" ht="12.75" customHeight="1" x14ac:dyDescent="0.3">
      <c r="A29" s="24">
        <v>5.05</v>
      </c>
      <c r="B29" s="25" t="s">
        <v>41</v>
      </c>
      <c r="C29" s="30" t="s">
        <v>19</v>
      </c>
      <c r="D29" s="31">
        <v>186</v>
      </c>
      <c r="E29" s="184">
        <v>4134</v>
      </c>
      <c r="F29" s="181">
        <f t="shared" si="0"/>
        <v>768924</v>
      </c>
      <c r="G29" s="182"/>
      <c r="H29" s="245"/>
      <c r="I29" s="250"/>
      <c r="J29" s="250"/>
      <c r="K29" s="251">
        <f t="shared" si="5"/>
        <v>0</v>
      </c>
      <c r="L29" s="50">
        <f t="shared" si="6"/>
        <v>0</v>
      </c>
      <c r="M29" s="50">
        <f t="shared" si="7"/>
        <v>0</v>
      </c>
      <c r="N29" s="50">
        <f t="shared" si="8"/>
        <v>0</v>
      </c>
    </row>
    <row r="30" spans="1:14" ht="12.75" customHeight="1" x14ac:dyDescent="0.3">
      <c r="A30" s="24">
        <v>5.0599999999999996</v>
      </c>
      <c r="B30" s="25" t="s">
        <v>42</v>
      </c>
      <c r="C30" s="99" t="s">
        <v>19</v>
      </c>
      <c r="D30" s="31">
        <v>390</v>
      </c>
      <c r="E30" s="184">
        <v>28187</v>
      </c>
      <c r="F30" s="181">
        <f t="shared" si="0"/>
        <v>10992930</v>
      </c>
      <c r="G30" s="185"/>
      <c r="H30" s="245"/>
      <c r="I30" s="250"/>
      <c r="J30" s="250"/>
      <c r="K30" s="251">
        <f t="shared" si="5"/>
        <v>0</v>
      </c>
      <c r="L30" s="50">
        <f t="shared" si="6"/>
        <v>0</v>
      </c>
      <c r="M30" s="50">
        <f t="shared" si="7"/>
        <v>0</v>
      </c>
      <c r="N30" s="50">
        <f t="shared" si="8"/>
        <v>0</v>
      </c>
    </row>
    <row r="31" spans="1:14" ht="12.75" customHeight="1" x14ac:dyDescent="0.3">
      <c r="A31" s="24">
        <v>5.07</v>
      </c>
      <c r="B31" s="25" t="s">
        <v>43</v>
      </c>
      <c r="C31" s="99" t="s">
        <v>29</v>
      </c>
      <c r="D31" s="31">
        <v>1</v>
      </c>
      <c r="E31" s="184">
        <v>2438774</v>
      </c>
      <c r="F31" s="181">
        <f t="shared" si="0"/>
        <v>2438774</v>
      </c>
      <c r="G31" s="186"/>
      <c r="H31" s="245"/>
      <c r="I31" s="250"/>
      <c r="J31" s="250"/>
      <c r="K31" s="251">
        <f t="shared" si="5"/>
        <v>0</v>
      </c>
      <c r="L31" s="50">
        <f t="shared" si="6"/>
        <v>0</v>
      </c>
      <c r="M31" s="50">
        <f t="shared" si="7"/>
        <v>0</v>
      </c>
      <c r="N31" s="50">
        <f t="shared" si="8"/>
        <v>0</v>
      </c>
    </row>
    <row r="32" spans="1:14" ht="12.75" customHeight="1" x14ac:dyDescent="0.3">
      <c r="A32" s="13">
        <v>6</v>
      </c>
      <c r="B32" s="17" t="s">
        <v>44</v>
      </c>
      <c r="C32" s="18"/>
      <c r="D32" s="19"/>
      <c r="E32" s="19"/>
      <c r="F32" s="19"/>
      <c r="G32" s="176">
        <f>+SUM(F33)</f>
        <v>1722875</v>
      </c>
      <c r="H32" s="245">
        <f>+G32/$G$195</f>
        <v>2.0392787958251023E-3</v>
      </c>
      <c r="I32" s="246"/>
      <c r="J32" s="247"/>
      <c r="K32" s="247"/>
      <c r="L32" s="178"/>
      <c r="M32" s="178"/>
      <c r="N32" s="179"/>
    </row>
    <row r="33" spans="1:14" ht="12.75" customHeight="1" x14ac:dyDescent="0.3">
      <c r="A33" s="100">
        <v>6.02</v>
      </c>
      <c r="B33" s="38" t="s">
        <v>45</v>
      </c>
      <c r="C33" s="101" t="s">
        <v>27</v>
      </c>
      <c r="D33" s="102">
        <v>55</v>
      </c>
      <c r="E33" s="181">
        <v>31325</v>
      </c>
      <c r="F33" s="181">
        <f t="shared" si="0"/>
        <v>1722875</v>
      </c>
      <c r="G33" s="185"/>
      <c r="H33" s="245"/>
      <c r="I33" s="250"/>
      <c r="J33" s="250"/>
      <c r="K33" s="251">
        <f t="shared" si="5"/>
        <v>0</v>
      </c>
      <c r="L33" s="50">
        <f t="shared" si="6"/>
        <v>0</v>
      </c>
      <c r="M33" s="50">
        <f t="shared" si="7"/>
        <v>0</v>
      </c>
      <c r="N33" s="50">
        <f t="shared" si="8"/>
        <v>0</v>
      </c>
    </row>
    <row r="34" spans="1:14" ht="12.75" customHeight="1" x14ac:dyDescent="0.3">
      <c r="A34" s="13">
        <v>7</v>
      </c>
      <c r="B34" s="40" t="s">
        <v>46</v>
      </c>
      <c r="C34" s="18"/>
      <c r="D34" s="19"/>
      <c r="E34" s="19"/>
      <c r="F34" s="19"/>
      <c r="G34" s="176">
        <f>+SUM(F35:F40)</f>
        <v>92324467</v>
      </c>
      <c r="H34" s="245">
        <f>+G34/$G$195</f>
        <v>0.10927973758337338</v>
      </c>
      <c r="I34" s="246"/>
      <c r="J34" s="247"/>
      <c r="K34" s="247"/>
      <c r="L34" s="178"/>
      <c r="M34" s="178"/>
      <c r="N34" s="179"/>
    </row>
    <row r="35" spans="1:14" ht="12.75" customHeight="1" x14ac:dyDescent="0.3">
      <c r="A35" s="20">
        <v>7.01</v>
      </c>
      <c r="B35" s="103" t="s">
        <v>47</v>
      </c>
      <c r="C35" s="93" t="s">
        <v>19</v>
      </c>
      <c r="D35" s="94">
        <v>879</v>
      </c>
      <c r="E35" s="180">
        <v>19943</v>
      </c>
      <c r="F35" s="180">
        <f t="shared" si="0"/>
        <v>17529897</v>
      </c>
      <c r="G35" s="187"/>
      <c r="H35" s="245"/>
      <c r="I35" s="250"/>
      <c r="J35" s="250"/>
      <c r="K35" s="251">
        <f t="shared" si="5"/>
        <v>0</v>
      </c>
      <c r="L35" s="50">
        <f t="shared" si="6"/>
        <v>0</v>
      </c>
      <c r="M35" s="50">
        <f t="shared" si="7"/>
        <v>0</v>
      </c>
      <c r="N35" s="50">
        <f t="shared" si="8"/>
        <v>0</v>
      </c>
    </row>
    <row r="36" spans="1:14" ht="12.75" customHeight="1" x14ac:dyDescent="0.3">
      <c r="A36" s="24">
        <v>7.02</v>
      </c>
      <c r="B36" s="104" t="s">
        <v>48</v>
      </c>
      <c r="C36" s="30" t="s">
        <v>19</v>
      </c>
      <c r="D36" s="31">
        <v>716</v>
      </c>
      <c r="E36" s="181">
        <v>26767</v>
      </c>
      <c r="F36" s="181">
        <f t="shared" si="0"/>
        <v>19165172</v>
      </c>
      <c r="G36" s="185"/>
      <c r="H36" s="245"/>
      <c r="I36" s="250"/>
      <c r="J36" s="250"/>
      <c r="K36" s="251">
        <f t="shared" si="5"/>
        <v>0</v>
      </c>
      <c r="L36" s="50">
        <f t="shared" si="6"/>
        <v>0</v>
      </c>
      <c r="M36" s="50">
        <f t="shared" si="7"/>
        <v>0</v>
      </c>
      <c r="N36" s="50">
        <f t="shared" si="8"/>
        <v>0</v>
      </c>
    </row>
    <row r="37" spans="1:14" ht="12.75" customHeight="1" x14ac:dyDescent="0.3">
      <c r="A37" s="24">
        <v>7.03</v>
      </c>
      <c r="B37" s="25" t="s">
        <v>49</v>
      </c>
      <c r="C37" s="30" t="s">
        <v>19</v>
      </c>
      <c r="D37" s="31">
        <v>1439</v>
      </c>
      <c r="E37" s="181">
        <v>22963</v>
      </c>
      <c r="F37" s="181">
        <f t="shared" si="0"/>
        <v>33043757</v>
      </c>
      <c r="G37" s="185"/>
      <c r="H37" s="245"/>
      <c r="I37" s="250"/>
      <c r="J37" s="250"/>
      <c r="K37" s="251">
        <f t="shared" si="5"/>
        <v>0</v>
      </c>
      <c r="L37" s="50">
        <f t="shared" si="6"/>
        <v>0</v>
      </c>
      <c r="M37" s="50">
        <f t="shared" si="7"/>
        <v>0</v>
      </c>
      <c r="N37" s="50">
        <f t="shared" si="8"/>
        <v>0</v>
      </c>
    </row>
    <row r="38" spans="1:14" ht="12.75" customHeight="1" x14ac:dyDescent="0.3">
      <c r="A38" s="100">
        <v>7.04</v>
      </c>
      <c r="B38" s="105" t="s">
        <v>50</v>
      </c>
      <c r="C38" s="30" t="s">
        <v>27</v>
      </c>
      <c r="D38" s="31">
        <v>347</v>
      </c>
      <c r="E38" s="181">
        <v>16909</v>
      </c>
      <c r="F38" s="181">
        <f t="shared" si="0"/>
        <v>5867423</v>
      </c>
      <c r="G38" s="185"/>
      <c r="H38" s="245"/>
      <c r="I38" s="250"/>
      <c r="J38" s="250"/>
      <c r="K38" s="251">
        <f t="shared" si="5"/>
        <v>0</v>
      </c>
      <c r="L38" s="50">
        <f t="shared" si="6"/>
        <v>0</v>
      </c>
      <c r="M38" s="50">
        <f t="shared" si="7"/>
        <v>0</v>
      </c>
      <c r="N38" s="50">
        <f t="shared" si="8"/>
        <v>0</v>
      </c>
    </row>
    <row r="39" spans="1:14" ht="12.75" customHeight="1" x14ac:dyDescent="0.3">
      <c r="A39" s="24">
        <v>7.05</v>
      </c>
      <c r="B39" s="105" t="s">
        <v>51</v>
      </c>
      <c r="C39" s="30" t="s">
        <v>52</v>
      </c>
      <c r="D39" s="31">
        <v>132</v>
      </c>
      <c r="E39" s="181">
        <v>19384</v>
      </c>
      <c r="F39" s="181">
        <f t="shared" si="0"/>
        <v>2558688</v>
      </c>
      <c r="G39" s="185"/>
      <c r="H39" s="245"/>
      <c r="I39" s="250"/>
      <c r="J39" s="250"/>
      <c r="K39" s="251">
        <f t="shared" si="5"/>
        <v>0</v>
      </c>
      <c r="L39" s="50">
        <f t="shared" si="6"/>
        <v>0</v>
      </c>
      <c r="M39" s="50">
        <f t="shared" si="7"/>
        <v>0</v>
      </c>
      <c r="N39" s="50">
        <f t="shared" si="8"/>
        <v>0</v>
      </c>
    </row>
    <row r="40" spans="1:14" ht="12.75" customHeight="1" x14ac:dyDescent="0.3">
      <c r="A40" s="100">
        <v>7.06</v>
      </c>
      <c r="B40" s="25" t="s">
        <v>53</v>
      </c>
      <c r="C40" s="30" t="s">
        <v>19</v>
      </c>
      <c r="D40" s="31">
        <v>710</v>
      </c>
      <c r="E40" s="181">
        <v>19943</v>
      </c>
      <c r="F40" s="181">
        <f t="shared" si="0"/>
        <v>14159530</v>
      </c>
      <c r="G40" s="185"/>
      <c r="H40" s="245"/>
      <c r="I40" s="250"/>
      <c r="J40" s="250"/>
      <c r="K40" s="251">
        <f t="shared" si="5"/>
        <v>0</v>
      </c>
      <c r="L40" s="50">
        <f t="shared" si="6"/>
        <v>0</v>
      </c>
      <c r="M40" s="50">
        <f t="shared" si="7"/>
        <v>0</v>
      </c>
      <c r="N40" s="50">
        <f t="shared" si="8"/>
        <v>0</v>
      </c>
    </row>
    <row r="41" spans="1:14" ht="12.75" customHeight="1" x14ac:dyDescent="0.3">
      <c r="A41" s="13">
        <v>8</v>
      </c>
      <c r="B41" s="17" t="s">
        <v>54</v>
      </c>
      <c r="C41" s="18"/>
      <c r="D41" s="19"/>
      <c r="E41" s="19"/>
      <c r="F41" s="19"/>
      <c r="G41" s="176">
        <f>+SUM(F42:F49)</f>
        <v>49520833</v>
      </c>
      <c r="H41" s="245">
        <f>+G41/$G$195</f>
        <v>5.8615270805192479E-2</v>
      </c>
      <c r="I41" s="246"/>
      <c r="J41" s="247"/>
      <c r="K41" s="247"/>
      <c r="L41" s="178"/>
      <c r="M41" s="178"/>
      <c r="N41" s="179"/>
    </row>
    <row r="42" spans="1:14" ht="12.75" customHeight="1" x14ac:dyDescent="0.3">
      <c r="A42" s="20">
        <v>8.01</v>
      </c>
      <c r="B42" s="21" t="s">
        <v>55</v>
      </c>
      <c r="C42" s="93" t="s">
        <v>19</v>
      </c>
      <c r="D42" s="94">
        <v>107</v>
      </c>
      <c r="E42" s="183">
        <v>58580</v>
      </c>
      <c r="F42" s="183">
        <f t="shared" si="0"/>
        <v>6268060</v>
      </c>
      <c r="G42" s="182"/>
      <c r="H42" s="245"/>
      <c r="I42" s="250"/>
      <c r="J42" s="250"/>
      <c r="K42" s="251">
        <f t="shared" si="5"/>
        <v>0</v>
      </c>
      <c r="L42" s="50">
        <f t="shared" si="6"/>
        <v>0</v>
      </c>
      <c r="M42" s="50">
        <f t="shared" si="7"/>
        <v>0</v>
      </c>
      <c r="N42" s="50">
        <f t="shared" si="8"/>
        <v>0</v>
      </c>
    </row>
    <row r="43" spans="1:14" ht="12.75" customHeight="1" x14ac:dyDescent="0.3">
      <c r="A43" s="106">
        <v>8.02</v>
      </c>
      <c r="B43" s="107" t="s">
        <v>56</v>
      </c>
      <c r="C43" s="108" t="s">
        <v>19</v>
      </c>
      <c r="D43" s="32">
        <v>258</v>
      </c>
      <c r="E43" s="183">
        <v>38729</v>
      </c>
      <c r="F43" s="183">
        <f t="shared" si="0"/>
        <v>9992082</v>
      </c>
      <c r="G43" s="182"/>
      <c r="H43" s="245"/>
      <c r="I43" s="250"/>
      <c r="J43" s="250"/>
      <c r="K43" s="251">
        <f t="shared" si="5"/>
        <v>0</v>
      </c>
      <c r="L43" s="50">
        <f t="shared" si="6"/>
        <v>0</v>
      </c>
      <c r="M43" s="50">
        <f t="shared" si="7"/>
        <v>0</v>
      </c>
      <c r="N43" s="50">
        <f t="shared" si="8"/>
        <v>0</v>
      </c>
    </row>
    <row r="44" spans="1:14" ht="12.75" customHeight="1" x14ac:dyDescent="0.3">
      <c r="A44" s="24">
        <v>8.0299999999999994</v>
      </c>
      <c r="B44" s="25" t="s">
        <v>57</v>
      </c>
      <c r="C44" s="30" t="s">
        <v>19</v>
      </c>
      <c r="D44" s="31">
        <v>425</v>
      </c>
      <c r="E44" s="183">
        <v>22943</v>
      </c>
      <c r="F44" s="183">
        <f t="shared" si="0"/>
        <v>9750775</v>
      </c>
      <c r="G44" s="182"/>
      <c r="H44" s="245"/>
      <c r="I44" s="250"/>
      <c r="J44" s="250"/>
      <c r="K44" s="251">
        <f t="shared" si="5"/>
        <v>0</v>
      </c>
      <c r="L44" s="50">
        <f t="shared" si="6"/>
        <v>0</v>
      </c>
      <c r="M44" s="50">
        <f t="shared" si="7"/>
        <v>0</v>
      </c>
      <c r="N44" s="50">
        <f t="shared" si="8"/>
        <v>0</v>
      </c>
    </row>
    <row r="45" spans="1:14" ht="12.75" customHeight="1" x14ac:dyDescent="0.3">
      <c r="A45" s="106">
        <v>8.0399999999999991</v>
      </c>
      <c r="B45" s="25" t="s">
        <v>58</v>
      </c>
      <c r="C45" s="30" t="s">
        <v>19</v>
      </c>
      <c r="D45" s="31">
        <v>200</v>
      </c>
      <c r="E45" s="183">
        <v>40355</v>
      </c>
      <c r="F45" s="183">
        <f t="shared" si="0"/>
        <v>8071000</v>
      </c>
      <c r="G45" s="182"/>
      <c r="H45" s="245"/>
      <c r="I45" s="250"/>
      <c r="J45" s="250"/>
      <c r="K45" s="251">
        <f t="shared" si="5"/>
        <v>0</v>
      </c>
      <c r="L45" s="50">
        <f t="shared" si="6"/>
        <v>0</v>
      </c>
      <c r="M45" s="50">
        <f t="shared" si="7"/>
        <v>0</v>
      </c>
      <c r="N45" s="50">
        <f t="shared" si="8"/>
        <v>0</v>
      </c>
    </row>
    <row r="46" spans="1:14" ht="12.75" customHeight="1" x14ac:dyDescent="0.3">
      <c r="A46" s="24">
        <v>8.0500000000000007</v>
      </c>
      <c r="B46" s="25" t="s">
        <v>59</v>
      </c>
      <c r="C46" s="30" t="s">
        <v>19</v>
      </c>
      <c r="D46" s="31">
        <v>77</v>
      </c>
      <c r="E46" s="183">
        <v>31515</v>
      </c>
      <c r="F46" s="183">
        <f t="shared" si="0"/>
        <v>2426655</v>
      </c>
      <c r="G46" s="182"/>
      <c r="H46" s="245"/>
      <c r="I46" s="250"/>
      <c r="J46" s="250"/>
      <c r="K46" s="251">
        <f t="shared" si="5"/>
        <v>0</v>
      </c>
      <c r="L46" s="50">
        <f t="shared" si="6"/>
        <v>0</v>
      </c>
      <c r="M46" s="50">
        <f t="shared" si="7"/>
        <v>0</v>
      </c>
      <c r="N46" s="50">
        <f t="shared" si="8"/>
        <v>0</v>
      </c>
    </row>
    <row r="47" spans="1:14" ht="12.75" customHeight="1" x14ac:dyDescent="0.3">
      <c r="A47" s="106">
        <v>8.06</v>
      </c>
      <c r="B47" s="25" t="s">
        <v>60</v>
      </c>
      <c r="C47" s="30" t="s">
        <v>19</v>
      </c>
      <c r="D47" s="31">
        <v>77</v>
      </c>
      <c r="E47" s="183">
        <v>19683</v>
      </c>
      <c r="F47" s="183">
        <f t="shared" si="0"/>
        <v>1515591</v>
      </c>
      <c r="G47" s="182"/>
      <c r="H47" s="245"/>
      <c r="I47" s="250"/>
      <c r="J47" s="250"/>
      <c r="K47" s="251">
        <f t="shared" si="5"/>
        <v>0</v>
      </c>
      <c r="L47" s="50">
        <f t="shared" si="6"/>
        <v>0</v>
      </c>
      <c r="M47" s="50">
        <f t="shared" si="7"/>
        <v>0</v>
      </c>
      <c r="N47" s="50">
        <f t="shared" si="8"/>
        <v>0</v>
      </c>
    </row>
    <row r="48" spans="1:14" ht="12.75" customHeight="1" x14ac:dyDescent="0.3">
      <c r="A48" s="24">
        <v>8.07</v>
      </c>
      <c r="B48" s="25" t="s">
        <v>61</v>
      </c>
      <c r="C48" s="30" t="s">
        <v>19</v>
      </c>
      <c r="D48" s="31">
        <v>442</v>
      </c>
      <c r="E48" s="183">
        <v>14335</v>
      </c>
      <c r="F48" s="183">
        <f t="shared" si="0"/>
        <v>6336070</v>
      </c>
      <c r="G48" s="182"/>
      <c r="H48" s="245"/>
      <c r="I48" s="250"/>
      <c r="J48" s="250"/>
      <c r="K48" s="251">
        <f t="shared" si="5"/>
        <v>0</v>
      </c>
      <c r="L48" s="50">
        <f t="shared" si="6"/>
        <v>0</v>
      </c>
      <c r="M48" s="50">
        <f t="shared" si="7"/>
        <v>0</v>
      </c>
      <c r="N48" s="50">
        <f t="shared" si="8"/>
        <v>0</v>
      </c>
    </row>
    <row r="49" spans="1:14" ht="12.75" customHeight="1" x14ac:dyDescent="0.3">
      <c r="A49" s="106">
        <v>8.08</v>
      </c>
      <c r="B49" s="25" t="s">
        <v>62</v>
      </c>
      <c r="C49" s="30" t="s">
        <v>19</v>
      </c>
      <c r="D49" s="31">
        <v>360</v>
      </c>
      <c r="E49" s="183">
        <v>14335</v>
      </c>
      <c r="F49" s="183">
        <f t="shared" si="0"/>
        <v>5160600</v>
      </c>
      <c r="G49" s="182"/>
      <c r="H49" s="245"/>
      <c r="I49" s="250"/>
      <c r="J49" s="250"/>
      <c r="K49" s="251">
        <f t="shared" si="5"/>
        <v>0</v>
      </c>
      <c r="L49" s="50">
        <f t="shared" si="6"/>
        <v>0</v>
      </c>
      <c r="M49" s="50">
        <f t="shared" si="7"/>
        <v>0</v>
      </c>
      <c r="N49" s="50">
        <f t="shared" si="8"/>
        <v>0</v>
      </c>
    </row>
    <row r="50" spans="1:14" ht="12.75" customHeight="1" x14ac:dyDescent="0.3">
      <c r="A50" s="13">
        <v>9</v>
      </c>
      <c r="B50" s="17" t="s">
        <v>63</v>
      </c>
      <c r="C50" s="18"/>
      <c r="D50" s="19"/>
      <c r="E50" s="19"/>
      <c r="F50" s="19"/>
      <c r="G50" s="176">
        <f>+SUM(F51:F53)</f>
        <v>4852846</v>
      </c>
      <c r="H50" s="245">
        <f>+G50/$G$195</f>
        <v>5.7440649769743392E-3</v>
      </c>
      <c r="I50" s="246"/>
      <c r="J50" s="247"/>
      <c r="K50" s="247"/>
      <c r="L50" s="178"/>
      <c r="M50" s="178"/>
      <c r="N50" s="179"/>
    </row>
    <row r="51" spans="1:14" ht="12.75" customHeight="1" x14ac:dyDescent="0.3">
      <c r="A51" s="20">
        <v>9.01</v>
      </c>
      <c r="B51" s="21" t="s">
        <v>64</v>
      </c>
      <c r="C51" s="109" t="s">
        <v>29</v>
      </c>
      <c r="D51" s="94">
        <v>1</v>
      </c>
      <c r="E51" s="181">
        <v>2109310</v>
      </c>
      <c r="F51" s="181">
        <f t="shared" si="0"/>
        <v>2109310</v>
      </c>
      <c r="G51" s="186"/>
      <c r="H51" s="245"/>
      <c r="I51" s="250"/>
      <c r="J51" s="250"/>
      <c r="K51" s="251">
        <f t="shared" si="5"/>
        <v>0</v>
      </c>
      <c r="L51" s="50">
        <f t="shared" si="6"/>
        <v>0</v>
      </c>
      <c r="M51" s="50">
        <f t="shared" si="7"/>
        <v>0</v>
      </c>
      <c r="N51" s="50">
        <f t="shared" si="8"/>
        <v>0</v>
      </c>
    </row>
    <row r="52" spans="1:14" ht="12.75" customHeight="1" x14ac:dyDescent="0.3">
      <c r="A52" s="24">
        <v>9.02</v>
      </c>
      <c r="B52" s="25" t="s">
        <v>65</v>
      </c>
      <c r="C52" s="110" t="s">
        <v>52</v>
      </c>
      <c r="D52" s="31">
        <v>81</v>
      </c>
      <c r="E52" s="181">
        <v>28022</v>
      </c>
      <c r="F52" s="181">
        <f t="shared" si="0"/>
        <v>2269782</v>
      </c>
      <c r="G52" s="186"/>
      <c r="H52" s="252"/>
      <c r="I52" s="250"/>
      <c r="J52" s="250"/>
      <c r="K52" s="251">
        <f t="shared" si="5"/>
        <v>0</v>
      </c>
      <c r="L52" s="50">
        <f t="shared" si="6"/>
        <v>0</v>
      </c>
      <c r="M52" s="50">
        <f t="shared" si="7"/>
        <v>0</v>
      </c>
      <c r="N52" s="50">
        <f t="shared" si="8"/>
        <v>0</v>
      </c>
    </row>
    <row r="53" spans="1:14" ht="12.75" customHeight="1" x14ac:dyDescent="0.3">
      <c r="A53" s="33">
        <v>9.0299999999999994</v>
      </c>
      <c r="B53" s="38" t="s">
        <v>66</v>
      </c>
      <c r="C53" s="111" t="s">
        <v>27</v>
      </c>
      <c r="D53" s="35">
        <v>46</v>
      </c>
      <c r="E53" s="181">
        <v>10299</v>
      </c>
      <c r="F53" s="181">
        <f t="shared" si="0"/>
        <v>473754</v>
      </c>
      <c r="G53" s="186"/>
      <c r="H53" s="252"/>
      <c r="I53" s="250"/>
      <c r="J53" s="250"/>
      <c r="K53" s="251">
        <f t="shared" si="5"/>
        <v>0</v>
      </c>
      <c r="L53" s="50">
        <f t="shared" si="6"/>
        <v>0</v>
      </c>
      <c r="M53" s="50">
        <f t="shared" si="7"/>
        <v>0</v>
      </c>
      <c r="N53" s="50">
        <f t="shared" si="8"/>
        <v>0</v>
      </c>
    </row>
    <row r="54" spans="1:14" ht="12.75" customHeight="1" x14ac:dyDescent="0.3">
      <c r="A54" s="13">
        <v>10</v>
      </c>
      <c r="B54" s="40" t="s">
        <v>67</v>
      </c>
      <c r="C54" s="18"/>
      <c r="D54" s="19"/>
      <c r="E54" s="19"/>
      <c r="F54" s="19"/>
      <c r="G54" s="176">
        <f>+SUM(F55:F58)</f>
        <v>4184652</v>
      </c>
      <c r="H54" s="245">
        <f>+G54/$G$195</f>
        <v>4.9531580013100814E-3</v>
      </c>
      <c r="I54" s="246"/>
      <c r="J54" s="247"/>
      <c r="K54" s="247"/>
      <c r="L54" s="178"/>
      <c r="M54" s="178"/>
      <c r="N54" s="179"/>
    </row>
    <row r="55" spans="1:14" ht="12.75" customHeight="1" x14ac:dyDescent="0.3">
      <c r="A55" s="24">
        <v>10.01</v>
      </c>
      <c r="B55" s="25" t="s">
        <v>68</v>
      </c>
      <c r="C55" s="112" t="s">
        <v>29</v>
      </c>
      <c r="D55" s="27">
        <v>1</v>
      </c>
      <c r="E55" s="181">
        <v>1844532</v>
      </c>
      <c r="F55" s="181">
        <f t="shared" si="0"/>
        <v>1844532</v>
      </c>
      <c r="G55" s="188"/>
      <c r="H55" s="245"/>
      <c r="I55" s="250"/>
      <c r="J55" s="250"/>
      <c r="K55" s="251">
        <f t="shared" si="5"/>
        <v>0</v>
      </c>
      <c r="L55" s="50">
        <f t="shared" si="6"/>
        <v>0</v>
      </c>
      <c r="M55" s="50">
        <f t="shared" si="7"/>
        <v>0</v>
      </c>
      <c r="N55" s="50">
        <f t="shared" si="8"/>
        <v>0</v>
      </c>
    </row>
    <row r="56" spans="1:14" ht="12.75" customHeight="1" x14ac:dyDescent="0.3">
      <c r="A56" s="24">
        <v>10.02</v>
      </c>
      <c r="B56" s="25" t="s">
        <v>69</v>
      </c>
      <c r="C56" s="112" t="s">
        <v>29</v>
      </c>
      <c r="D56" s="27">
        <v>1</v>
      </c>
      <c r="E56" s="181">
        <v>1214937</v>
      </c>
      <c r="F56" s="181">
        <f t="shared" si="0"/>
        <v>1214937</v>
      </c>
      <c r="H56" s="245"/>
      <c r="I56" s="250"/>
      <c r="J56" s="250"/>
      <c r="K56" s="251">
        <f t="shared" si="5"/>
        <v>0</v>
      </c>
      <c r="L56" s="50">
        <f t="shared" si="6"/>
        <v>0</v>
      </c>
      <c r="M56" s="50">
        <f t="shared" si="7"/>
        <v>0</v>
      </c>
      <c r="N56" s="50">
        <f t="shared" si="8"/>
        <v>0</v>
      </c>
    </row>
    <row r="57" spans="1:14" ht="12.75" customHeight="1" x14ac:dyDescent="0.3">
      <c r="A57" s="24">
        <v>10.029999999999999</v>
      </c>
      <c r="B57" s="25" t="s">
        <v>70</v>
      </c>
      <c r="C57" s="112" t="s">
        <v>29</v>
      </c>
      <c r="D57" s="27">
        <v>1</v>
      </c>
      <c r="E57" s="181">
        <v>539833</v>
      </c>
      <c r="F57" s="181">
        <f t="shared" si="0"/>
        <v>539833</v>
      </c>
      <c r="H57" s="245"/>
      <c r="I57" s="250"/>
      <c r="J57" s="250"/>
      <c r="K57" s="251">
        <f t="shared" si="5"/>
        <v>0</v>
      </c>
      <c r="L57" s="50">
        <f t="shared" si="6"/>
        <v>0</v>
      </c>
      <c r="M57" s="50">
        <f t="shared" si="7"/>
        <v>0</v>
      </c>
      <c r="N57" s="50">
        <f t="shared" si="8"/>
        <v>0</v>
      </c>
    </row>
    <row r="58" spans="1:14" ht="12.75" customHeight="1" x14ac:dyDescent="0.3">
      <c r="A58" s="24">
        <v>10.039999999999999</v>
      </c>
      <c r="B58" s="25" t="s">
        <v>71</v>
      </c>
      <c r="C58" s="30" t="s">
        <v>33</v>
      </c>
      <c r="D58" s="31">
        <v>10</v>
      </c>
      <c r="E58" s="181">
        <v>58535</v>
      </c>
      <c r="F58" s="181">
        <f t="shared" si="0"/>
        <v>585350</v>
      </c>
      <c r="G58" s="182"/>
      <c r="H58" s="245"/>
      <c r="I58" s="250"/>
      <c r="J58" s="250"/>
      <c r="K58" s="251">
        <f t="shared" si="5"/>
        <v>0</v>
      </c>
      <c r="L58" s="50">
        <f t="shared" si="6"/>
        <v>0</v>
      </c>
      <c r="M58" s="50">
        <f t="shared" si="7"/>
        <v>0</v>
      </c>
      <c r="N58" s="50">
        <f t="shared" si="8"/>
        <v>0</v>
      </c>
    </row>
    <row r="59" spans="1:14" ht="12.75" customHeight="1" x14ac:dyDescent="0.3">
      <c r="A59" s="13">
        <v>11</v>
      </c>
      <c r="B59" s="17" t="s">
        <v>72</v>
      </c>
      <c r="C59" s="18"/>
      <c r="D59" s="19"/>
      <c r="E59" s="19"/>
      <c r="F59" s="19"/>
      <c r="G59" s="176">
        <f>+SUM(F60:F70)</f>
        <v>31170783</v>
      </c>
      <c r="H59" s="245">
        <f>+G59/$G$195</f>
        <v>3.6895257532418527E-2</v>
      </c>
      <c r="I59" s="246"/>
      <c r="J59" s="247"/>
      <c r="K59" s="247"/>
      <c r="L59" s="178"/>
      <c r="M59" s="178"/>
      <c r="N59" s="179"/>
    </row>
    <row r="60" spans="1:14" ht="12.75" customHeight="1" x14ac:dyDescent="0.3">
      <c r="A60" s="20">
        <v>11.01</v>
      </c>
      <c r="B60" s="21" t="s">
        <v>73</v>
      </c>
      <c r="C60" s="109" t="s">
        <v>19</v>
      </c>
      <c r="D60" s="94">
        <v>0</v>
      </c>
      <c r="E60" s="181">
        <v>0</v>
      </c>
      <c r="F60" s="181">
        <f t="shared" si="0"/>
        <v>0</v>
      </c>
      <c r="G60" s="185"/>
      <c r="H60" s="252"/>
      <c r="I60" s="250"/>
      <c r="J60" s="250"/>
      <c r="K60" s="251">
        <f t="shared" si="5"/>
        <v>0</v>
      </c>
      <c r="L60" s="50">
        <f t="shared" si="6"/>
        <v>0</v>
      </c>
      <c r="M60" s="50">
        <f t="shared" si="7"/>
        <v>0</v>
      </c>
      <c r="N60" s="50">
        <f t="shared" si="8"/>
        <v>0</v>
      </c>
    </row>
    <row r="61" spans="1:14" ht="12.75" customHeight="1" x14ac:dyDescent="0.3">
      <c r="A61" s="24">
        <v>11.02</v>
      </c>
      <c r="B61" s="25" t="s">
        <v>74</v>
      </c>
      <c r="C61" s="110" t="s">
        <v>19</v>
      </c>
      <c r="D61" s="31">
        <v>39</v>
      </c>
      <c r="E61" s="181">
        <v>19280</v>
      </c>
      <c r="F61" s="181">
        <f t="shared" si="0"/>
        <v>751920</v>
      </c>
      <c r="G61" s="186"/>
      <c r="H61" s="252"/>
      <c r="I61" s="250"/>
      <c r="J61" s="250"/>
      <c r="K61" s="251">
        <f t="shared" si="5"/>
        <v>0</v>
      </c>
      <c r="L61" s="50">
        <f t="shared" si="6"/>
        <v>0</v>
      </c>
      <c r="M61" s="50">
        <f t="shared" si="7"/>
        <v>0</v>
      </c>
      <c r="N61" s="50">
        <f t="shared" si="8"/>
        <v>0</v>
      </c>
    </row>
    <row r="62" spans="1:14" ht="12.75" customHeight="1" x14ac:dyDescent="0.3">
      <c r="A62" s="24">
        <v>11.03</v>
      </c>
      <c r="B62" s="25" t="s">
        <v>75</v>
      </c>
      <c r="C62" s="110" t="s">
        <v>19</v>
      </c>
      <c r="D62" s="31">
        <v>48</v>
      </c>
      <c r="E62" s="181">
        <v>25362</v>
      </c>
      <c r="F62" s="181">
        <f t="shared" si="0"/>
        <v>1217376</v>
      </c>
      <c r="G62" s="186"/>
      <c r="H62" s="252"/>
      <c r="I62" s="250"/>
      <c r="J62" s="250"/>
      <c r="K62" s="251">
        <f t="shared" si="5"/>
        <v>0</v>
      </c>
      <c r="L62" s="50">
        <f t="shared" si="6"/>
        <v>0</v>
      </c>
      <c r="M62" s="50">
        <f t="shared" si="7"/>
        <v>0</v>
      </c>
      <c r="N62" s="50">
        <f t="shared" si="8"/>
        <v>0</v>
      </c>
    </row>
    <row r="63" spans="1:14" ht="12.75" customHeight="1" x14ac:dyDescent="0.3">
      <c r="A63" s="24">
        <v>11.04</v>
      </c>
      <c r="B63" s="25" t="s">
        <v>76</v>
      </c>
      <c r="C63" s="30" t="s">
        <v>19</v>
      </c>
      <c r="D63" s="31">
        <v>174</v>
      </c>
      <c r="E63" s="181">
        <v>19164</v>
      </c>
      <c r="F63" s="181">
        <f t="shared" si="0"/>
        <v>3334536</v>
      </c>
      <c r="G63" s="182"/>
      <c r="H63" s="245"/>
      <c r="I63" s="250"/>
      <c r="J63" s="250"/>
      <c r="K63" s="251">
        <f t="shared" si="5"/>
        <v>0</v>
      </c>
      <c r="L63" s="50">
        <f t="shared" si="6"/>
        <v>0</v>
      </c>
      <c r="M63" s="50">
        <f t="shared" si="7"/>
        <v>0</v>
      </c>
      <c r="N63" s="50">
        <f t="shared" si="8"/>
        <v>0</v>
      </c>
    </row>
    <row r="64" spans="1:14" ht="12.75" customHeight="1" x14ac:dyDescent="0.3">
      <c r="A64" s="24">
        <v>11.05</v>
      </c>
      <c r="B64" s="25" t="s">
        <v>77</v>
      </c>
      <c r="C64" s="110" t="s">
        <v>19</v>
      </c>
      <c r="D64" s="31">
        <v>92</v>
      </c>
      <c r="E64" s="181">
        <v>19164</v>
      </c>
      <c r="F64" s="181">
        <f t="shared" si="0"/>
        <v>1763088</v>
      </c>
      <c r="G64" s="185"/>
      <c r="H64" s="252"/>
      <c r="I64" s="250"/>
      <c r="J64" s="250"/>
      <c r="K64" s="251">
        <f t="shared" si="5"/>
        <v>0</v>
      </c>
      <c r="L64" s="50">
        <f t="shared" si="6"/>
        <v>0</v>
      </c>
      <c r="M64" s="50">
        <f t="shared" si="7"/>
        <v>0</v>
      </c>
      <c r="N64" s="50">
        <f t="shared" si="8"/>
        <v>0</v>
      </c>
    </row>
    <row r="65" spans="1:14" ht="12.75" customHeight="1" x14ac:dyDescent="0.3">
      <c r="A65" s="24">
        <v>11.06</v>
      </c>
      <c r="B65" s="25" t="s">
        <v>78</v>
      </c>
      <c r="C65" s="30" t="s">
        <v>19</v>
      </c>
      <c r="D65" s="31">
        <v>8</v>
      </c>
      <c r="E65" s="181">
        <v>14043</v>
      </c>
      <c r="F65" s="181">
        <f t="shared" si="0"/>
        <v>112344</v>
      </c>
      <c r="G65" s="182"/>
      <c r="H65" s="245"/>
      <c r="I65" s="250"/>
      <c r="J65" s="250"/>
      <c r="K65" s="251">
        <f t="shared" si="5"/>
        <v>0</v>
      </c>
      <c r="L65" s="50">
        <f t="shared" si="6"/>
        <v>0</v>
      </c>
      <c r="M65" s="50">
        <f t="shared" si="7"/>
        <v>0</v>
      </c>
      <c r="N65" s="50">
        <f t="shared" si="8"/>
        <v>0</v>
      </c>
    </row>
    <row r="66" spans="1:14" ht="12.75" customHeight="1" x14ac:dyDescent="0.3">
      <c r="A66" s="24">
        <v>11.07</v>
      </c>
      <c r="B66" s="25" t="s">
        <v>79</v>
      </c>
      <c r="C66" s="110" t="s">
        <v>19</v>
      </c>
      <c r="D66" s="31">
        <v>46</v>
      </c>
      <c r="E66" s="181">
        <v>26630</v>
      </c>
      <c r="F66" s="181">
        <f t="shared" si="0"/>
        <v>1224980</v>
      </c>
      <c r="G66" s="186"/>
      <c r="H66" s="252"/>
      <c r="I66" s="250"/>
      <c r="J66" s="250"/>
      <c r="K66" s="251">
        <f t="shared" si="5"/>
        <v>0</v>
      </c>
      <c r="L66" s="50">
        <f t="shared" si="6"/>
        <v>0</v>
      </c>
      <c r="M66" s="50">
        <f t="shared" si="7"/>
        <v>0</v>
      </c>
      <c r="N66" s="50">
        <f t="shared" si="8"/>
        <v>0</v>
      </c>
    </row>
    <row r="67" spans="1:14" ht="12.75" customHeight="1" x14ac:dyDescent="0.3">
      <c r="A67" s="24">
        <v>11.08</v>
      </c>
      <c r="B67" s="25" t="s">
        <v>80</v>
      </c>
      <c r="C67" s="110" t="s">
        <v>19</v>
      </c>
      <c r="D67" s="31">
        <v>562</v>
      </c>
      <c r="E67" s="181">
        <v>25362</v>
      </c>
      <c r="F67" s="181">
        <f t="shared" si="0"/>
        <v>14253444</v>
      </c>
      <c r="G67" s="186"/>
      <c r="H67" s="252"/>
      <c r="I67" s="250"/>
      <c r="J67" s="250"/>
      <c r="K67" s="251">
        <f t="shared" si="5"/>
        <v>0</v>
      </c>
      <c r="L67" s="50">
        <f t="shared" si="6"/>
        <v>0</v>
      </c>
      <c r="M67" s="50">
        <f t="shared" si="7"/>
        <v>0</v>
      </c>
      <c r="N67" s="50">
        <f t="shared" si="8"/>
        <v>0</v>
      </c>
    </row>
    <row r="68" spans="1:14" ht="12.75" customHeight="1" x14ac:dyDescent="0.3">
      <c r="A68" s="24">
        <v>11.09</v>
      </c>
      <c r="B68" s="25" t="s">
        <v>81</v>
      </c>
      <c r="C68" s="113" t="s">
        <v>19</v>
      </c>
      <c r="D68" s="32">
        <v>73</v>
      </c>
      <c r="E68" s="181">
        <v>30109</v>
      </c>
      <c r="F68" s="181">
        <f t="shared" si="0"/>
        <v>2197957</v>
      </c>
      <c r="G68" s="186"/>
      <c r="H68" s="252"/>
      <c r="I68" s="250"/>
      <c r="J68" s="250"/>
      <c r="K68" s="251">
        <f t="shared" si="5"/>
        <v>0</v>
      </c>
      <c r="L68" s="50">
        <f t="shared" si="6"/>
        <v>0</v>
      </c>
      <c r="M68" s="50">
        <f t="shared" si="7"/>
        <v>0</v>
      </c>
      <c r="N68" s="50">
        <f t="shared" si="8"/>
        <v>0</v>
      </c>
    </row>
    <row r="69" spans="1:14" ht="12.75" customHeight="1" x14ac:dyDescent="0.3">
      <c r="A69" s="24">
        <v>11.1</v>
      </c>
      <c r="B69" s="25" t="s">
        <v>82</v>
      </c>
      <c r="C69" s="113" t="s">
        <v>19</v>
      </c>
      <c r="D69" s="32">
        <v>143</v>
      </c>
      <c r="E69" s="181">
        <v>25362</v>
      </c>
      <c r="F69" s="181">
        <f t="shared" si="0"/>
        <v>3626766</v>
      </c>
      <c r="G69" s="186"/>
      <c r="H69" s="252"/>
      <c r="I69" s="250"/>
      <c r="J69" s="250"/>
      <c r="K69" s="251">
        <f t="shared" si="5"/>
        <v>0</v>
      </c>
      <c r="L69" s="50">
        <f t="shared" si="6"/>
        <v>0</v>
      </c>
      <c r="M69" s="50">
        <f t="shared" si="7"/>
        <v>0</v>
      </c>
      <c r="N69" s="50">
        <f t="shared" si="8"/>
        <v>0</v>
      </c>
    </row>
    <row r="70" spans="1:14" ht="12.75" customHeight="1" x14ac:dyDescent="0.3">
      <c r="A70" s="24">
        <v>11.11</v>
      </c>
      <c r="B70" s="25" t="s">
        <v>83</v>
      </c>
      <c r="C70" s="111" t="s">
        <v>19</v>
      </c>
      <c r="D70" s="35">
        <v>106</v>
      </c>
      <c r="E70" s="181">
        <v>25362</v>
      </c>
      <c r="F70" s="181">
        <f t="shared" si="0"/>
        <v>2688372</v>
      </c>
      <c r="G70" s="186"/>
      <c r="H70" s="252"/>
      <c r="I70" s="250"/>
      <c r="J70" s="250"/>
      <c r="K70" s="251">
        <f t="shared" si="5"/>
        <v>0</v>
      </c>
      <c r="L70" s="50">
        <f t="shared" si="6"/>
        <v>0</v>
      </c>
      <c r="M70" s="50">
        <f t="shared" si="7"/>
        <v>0</v>
      </c>
      <c r="N70" s="50">
        <f t="shared" si="8"/>
        <v>0</v>
      </c>
    </row>
    <row r="71" spans="1:14" ht="12.75" customHeight="1" x14ac:dyDescent="0.3">
      <c r="A71" s="13">
        <v>12</v>
      </c>
      <c r="B71" s="17" t="s">
        <v>84</v>
      </c>
      <c r="C71" s="18"/>
      <c r="D71" s="19"/>
      <c r="E71" s="19"/>
      <c r="F71" s="19"/>
      <c r="G71" s="176">
        <f>+SUM(F72:F74)</f>
        <v>8990052</v>
      </c>
      <c r="H71" s="245">
        <f>+G71/$G$195</f>
        <v>1.0641063580912749E-2</v>
      </c>
      <c r="I71" s="246"/>
      <c r="J71" s="247"/>
      <c r="K71" s="247"/>
      <c r="L71" s="178"/>
      <c r="M71" s="178"/>
      <c r="N71" s="179"/>
    </row>
    <row r="72" spans="1:14" ht="12.75" customHeight="1" x14ac:dyDescent="0.3">
      <c r="A72" s="20">
        <f>+A71+0.01</f>
        <v>12.01</v>
      </c>
      <c r="B72" s="21" t="s">
        <v>85</v>
      </c>
      <c r="C72" s="109" t="s">
        <v>27</v>
      </c>
      <c r="D72" s="94">
        <v>19</v>
      </c>
      <c r="E72" s="181">
        <v>6496</v>
      </c>
      <c r="F72" s="181">
        <f t="shared" si="0"/>
        <v>123424</v>
      </c>
      <c r="H72" s="245"/>
      <c r="I72" s="250"/>
      <c r="J72" s="250"/>
      <c r="K72" s="251">
        <f t="shared" si="5"/>
        <v>0</v>
      </c>
      <c r="L72" s="50">
        <f t="shared" si="6"/>
        <v>0</v>
      </c>
      <c r="M72" s="50">
        <f t="shared" si="7"/>
        <v>0</v>
      </c>
      <c r="N72" s="50">
        <f t="shared" si="8"/>
        <v>0</v>
      </c>
    </row>
    <row r="73" spans="1:14" ht="12.75" customHeight="1" x14ac:dyDescent="0.3">
      <c r="A73" s="106">
        <v>12.02</v>
      </c>
      <c r="B73" s="25" t="s">
        <v>86</v>
      </c>
      <c r="C73" s="114" t="s">
        <v>27</v>
      </c>
      <c r="D73" s="31">
        <v>626</v>
      </c>
      <c r="E73" s="181">
        <v>9059</v>
      </c>
      <c r="F73" s="181">
        <f t="shared" si="0"/>
        <v>5670934</v>
      </c>
      <c r="H73" s="245"/>
      <c r="I73" s="250"/>
      <c r="J73" s="250"/>
      <c r="K73" s="251">
        <f t="shared" si="5"/>
        <v>0</v>
      </c>
      <c r="L73" s="50">
        <f t="shared" si="6"/>
        <v>0</v>
      </c>
      <c r="M73" s="50">
        <f t="shared" si="7"/>
        <v>0</v>
      </c>
      <c r="N73" s="50">
        <f t="shared" si="8"/>
        <v>0</v>
      </c>
    </row>
    <row r="74" spans="1:14" ht="12.75" customHeight="1" x14ac:dyDescent="0.3">
      <c r="A74" s="106">
        <v>12.03</v>
      </c>
      <c r="B74" s="107" t="s">
        <v>87</v>
      </c>
      <c r="C74" s="114" t="s">
        <v>27</v>
      </c>
      <c r="D74" s="35">
        <v>386</v>
      </c>
      <c r="E74" s="181">
        <v>8279</v>
      </c>
      <c r="F74" s="181">
        <f t="shared" ref="F74:F137" si="9">+E74*D74</f>
        <v>3195694</v>
      </c>
      <c r="H74" s="245"/>
      <c r="I74" s="250"/>
      <c r="J74" s="250"/>
      <c r="K74" s="251">
        <f t="shared" si="5"/>
        <v>0</v>
      </c>
      <c r="L74" s="50">
        <f t="shared" si="6"/>
        <v>0</v>
      </c>
      <c r="M74" s="50">
        <f t="shared" si="7"/>
        <v>0</v>
      </c>
      <c r="N74" s="50">
        <f t="shared" si="8"/>
        <v>0</v>
      </c>
    </row>
    <row r="75" spans="1:14" ht="12.75" customHeight="1" x14ac:dyDescent="0.3">
      <c r="A75" s="13">
        <v>13</v>
      </c>
      <c r="B75" s="17" t="s">
        <v>88</v>
      </c>
      <c r="C75" s="18"/>
      <c r="D75" s="19"/>
      <c r="E75" s="19"/>
      <c r="F75" s="19"/>
      <c r="G75" s="176">
        <f>+SUM(F76:F79)</f>
        <v>14836279</v>
      </c>
      <c r="H75" s="245">
        <f>+G75/$G$195</f>
        <v>1.7560942711250239E-2</v>
      </c>
      <c r="I75" s="246"/>
      <c r="J75" s="247"/>
      <c r="K75" s="247"/>
      <c r="L75" s="178"/>
      <c r="M75" s="178"/>
      <c r="N75" s="179"/>
    </row>
    <row r="76" spans="1:14" ht="12.75" customHeight="1" x14ac:dyDescent="0.3">
      <c r="A76" s="115">
        <v>13.01</v>
      </c>
      <c r="B76" s="116" t="s">
        <v>89</v>
      </c>
      <c r="C76" s="117" t="s">
        <v>19</v>
      </c>
      <c r="D76" s="23">
        <v>413</v>
      </c>
      <c r="E76" s="181">
        <v>30109</v>
      </c>
      <c r="F76" s="181">
        <f t="shared" si="9"/>
        <v>12435017</v>
      </c>
      <c r="H76" s="245"/>
      <c r="I76" s="250"/>
      <c r="J76" s="250"/>
      <c r="K76" s="251">
        <f t="shared" ref="K76:K138" si="10">+I76+J76</f>
        <v>0</v>
      </c>
      <c r="L76" s="50">
        <f t="shared" ref="L76:L138" si="11">+F76*I76</f>
        <v>0</v>
      </c>
      <c r="M76" s="50">
        <f t="shared" ref="M76:M138" si="12">+F76*J76</f>
        <v>0</v>
      </c>
      <c r="N76" s="50">
        <f t="shared" ref="N76:N138" si="13">+F76*K76</f>
        <v>0</v>
      </c>
    </row>
    <row r="77" spans="1:14" ht="12.75" customHeight="1" x14ac:dyDescent="0.3">
      <c r="A77" s="118">
        <v>13.02</v>
      </c>
      <c r="B77" s="119" t="s">
        <v>90</v>
      </c>
      <c r="C77" s="120" t="s">
        <v>19</v>
      </c>
      <c r="D77" s="121">
        <v>18</v>
      </c>
      <c r="E77" s="181">
        <v>30109</v>
      </c>
      <c r="F77" s="181">
        <f t="shared" si="9"/>
        <v>541962</v>
      </c>
      <c r="H77" s="245"/>
      <c r="I77" s="250"/>
      <c r="J77" s="250"/>
      <c r="K77" s="251">
        <f t="shared" si="10"/>
        <v>0</v>
      </c>
      <c r="L77" s="50">
        <f t="shared" si="11"/>
        <v>0</v>
      </c>
      <c r="M77" s="50">
        <f t="shared" si="12"/>
        <v>0</v>
      </c>
      <c r="N77" s="50">
        <f t="shared" si="13"/>
        <v>0</v>
      </c>
    </row>
    <row r="78" spans="1:14" ht="12.75" customHeight="1" x14ac:dyDescent="0.3">
      <c r="A78" s="100">
        <v>13.03</v>
      </c>
      <c r="B78" s="119" t="s">
        <v>91</v>
      </c>
      <c r="C78" s="110" t="s">
        <v>19</v>
      </c>
      <c r="D78" s="31">
        <v>20</v>
      </c>
      <c r="E78" s="181">
        <v>92965</v>
      </c>
      <c r="F78" s="181">
        <f t="shared" si="9"/>
        <v>1859300</v>
      </c>
      <c r="G78" s="186"/>
      <c r="H78" s="252"/>
      <c r="I78" s="250"/>
      <c r="J78" s="250"/>
      <c r="K78" s="251">
        <f t="shared" si="10"/>
        <v>0</v>
      </c>
      <c r="L78" s="50">
        <f t="shared" si="11"/>
        <v>0</v>
      </c>
      <c r="M78" s="50">
        <f t="shared" si="12"/>
        <v>0</v>
      </c>
      <c r="N78" s="50">
        <f t="shared" si="13"/>
        <v>0</v>
      </c>
    </row>
    <row r="79" spans="1:14" ht="12.75" customHeight="1" x14ac:dyDescent="0.3">
      <c r="A79" s="100">
        <v>13.04</v>
      </c>
      <c r="B79" s="25" t="s">
        <v>92</v>
      </c>
      <c r="C79" s="110" t="s">
        <v>19</v>
      </c>
      <c r="D79" s="31">
        <v>0</v>
      </c>
      <c r="E79" s="181">
        <v>0</v>
      </c>
      <c r="F79" s="181">
        <f t="shared" si="9"/>
        <v>0</v>
      </c>
      <c r="G79" s="186"/>
      <c r="H79" s="252"/>
      <c r="I79" s="250"/>
      <c r="J79" s="250"/>
      <c r="K79" s="251">
        <f t="shared" si="10"/>
        <v>0</v>
      </c>
      <c r="L79" s="50">
        <f t="shared" si="11"/>
        <v>0</v>
      </c>
      <c r="M79" s="50">
        <f t="shared" si="12"/>
        <v>0</v>
      </c>
      <c r="N79" s="50">
        <f t="shared" si="13"/>
        <v>0</v>
      </c>
    </row>
    <row r="80" spans="1:14" ht="12.75" customHeight="1" x14ac:dyDescent="0.3">
      <c r="A80" s="13">
        <v>14</v>
      </c>
      <c r="B80" s="17" t="s">
        <v>93</v>
      </c>
      <c r="C80" s="18"/>
      <c r="D80" s="19"/>
      <c r="E80" s="19"/>
      <c r="F80" s="19"/>
      <c r="G80" s="176">
        <f>+SUM(F81:F87)</f>
        <v>33813897</v>
      </c>
      <c r="H80" s="245">
        <f>+G80/$G$195</f>
        <v>4.0023776046616291E-2</v>
      </c>
      <c r="I80" s="246"/>
      <c r="J80" s="247"/>
      <c r="K80" s="247"/>
      <c r="L80" s="178"/>
      <c r="M80" s="178"/>
      <c r="N80" s="179"/>
    </row>
    <row r="81" spans="1:14" ht="12.75" customHeight="1" x14ac:dyDescent="0.3">
      <c r="A81" s="20">
        <f>+A80+0.01</f>
        <v>14.01</v>
      </c>
      <c r="B81" s="21" t="s">
        <v>94</v>
      </c>
      <c r="C81" s="117" t="s">
        <v>19</v>
      </c>
      <c r="D81" s="23">
        <v>460</v>
      </c>
      <c r="E81" s="181">
        <v>23624</v>
      </c>
      <c r="F81" s="181">
        <f t="shared" si="9"/>
        <v>10867040</v>
      </c>
      <c r="H81" s="245"/>
      <c r="I81" s="250"/>
      <c r="J81" s="250"/>
      <c r="K81" s="251">
        <f t="shared" si="10"/>
        <v>0</v>
      </c>
      <c r="L81" s="50">
        <f t="shared" si="11"/>
        <v>0</v>
      </c>
      <c r="M81" s="50">
        <f t="shared" si="12"/>
        <v>0</v>
      </c>
      <c r="N81" s="50">
        <f t="shared" si="13"/>
        <v>0</v>
      </c>
    </row>
    <row r="82" spans="1:14" ht="12.75" customHeight="1" x14ac:dyDescent="0.3">
      <c r="A82" s="106">
        <v>14.02</v>
      </c>
      <c r="B82" s="107" t="s">
        <v>95</v>
      </c>
      <c r="C82" s="120" t="s">
        <v>27</v>
      </c>
      <c r="D82" s="121">
        <v>434</v>
      </c>
      <c r="E82" s="181">
        <v>16659</v>
      </c>
      <c r="F82" s="181">
        <f t="shared" si="9"/>
        <v>7230006</v>
      </c>
      <c r="H82" s="245"/>
      <c r="I82" s="250"/>
      <c r="J82" s="250"/>
      <c r="K82" s="251">
        <f t="shared" si="10"/>
        <v>0</v>
      </c>
      <c r="L82" s="50">
        <f t="shared" si="11"/>
        <v>0</v>
      </c>
      <c r="M82" s="50">
        <f t="shared" si="12"/>
        <v>0</v>
      </c>
      <c r="N82" s="50">
        <f t="shared" si="13"/>
        <v>0</v>
      </c>
    </row>
    <row r="83" spans="1:14" ht="12.75" customHeight="1" x14ac:dyDescent="0.3">
      <c r="A83" s="24">
        <v>14.03</v>
      </c>
      <c r="B83" s="25" t="s">
        <v>96</v>
      </c>
      <c r="C83" s="112" t="s">
        <v>19</v>
      </c>
      <c r="D83" s="27">
        <v>115</v>
      </c>
      <c r="E83" s="181">
        <v>35817</v>
      </c>
      <c r="F83" s="181">
        <f t="shared" si="9"/>
        <v>4118955</v>
      </c>
      <c r="H83" s="245"/>
      <c r="I83" s="250"/>
      <c r="J83" s="250"/>
      <c r="K83" s="251">
        <f t="shared" si="10"/>
        <v>0</v>
      </c>
      <c r="L83" s="50">
        <f t="shared" si="11"/>
        <v>0</v>
      </c>
      <c r="M83" s="50">
        <f t="shared" si="12"/>
        <v>0</v>
      </c>
      <c r="N83" s="50">
        <f t="shared" si="13"/>
        <v>0</v>
      </c>
    </row>
    <row r="84" spans="1:14" ht="12.75" customHeight="1" x14ac:dyDescent="0.3">
      <c r="A84" s="106">
        <v>14.04</v>
      </c>
      <c r="B84" s="25" t="s">
        <v>97</v>
      </c>
      <c r="C84" s="112" t="s">
        <v>19</v>
      </c>
      <c r="D84" s="27">
        <v>89</v>
      </c>
      <c r="E84" s="181">
        <v>41132</v>
      </c>
      <c r="F84" s="181">
        <f t="shared" si="9"/>
        <v>3660748</v>
      </c>
      <c r="H84" s="245"/>
      <c r="I84" s="250"/>
      <c r="J84" s="250"/>
      <c r="K84" s="251">
        <f t="shared" si="10"/>
        <v>0</v>
      </c>
      <c r="L84" s="50">
        <f t="shared" si="11"/>
        <v>0</v>
      </c>
      <c r="M84" s="50">
        <f t="shared" si="12"/>
        <v>0</v>
      </c>
      <c r="N84" s="50">
        <f t="shared" si="13"/>
        <v>0</v>
      </c>
    </row>
    <row r="85" spans="1:14" ht="12.75" customHeight="1" x14ac:dyDescent="0.3">
      <c r="A85" s="24">
        <v>14.05</v>
      </c>
      <c r="B85" s="25" t="s">
        <v>98</v>
      </c>
      <c r="C85" s="112" t="s">
        <v>27</v>
      </c>
      <c r="D85" s="27">
        <v>530</v>
      </c>
      <c r="E85" s="181">
        <v>9274</v>
      </c>
      <c r="F85" s="181">
        <f t="shared" si="9"/>
        <v>4915220</v>
      </c>
      <c r="H85" s="245"/>
      <c r="I85" s="250"/>
      <c r="J85" s="250"/>
      <c r="K85" s="251">
        <f t="shared" si="10"/>
        <v>0</v>
      </c>
      <c r="L85" s="50">
        <f t="shared" si="11"/>
        <v>0</v>
      </c>
      <c r="M85" s="50">
        <f t="shared" si="12"/>
        <v>0</v>
      </c>
      <c r="N85" s="50">
        <f t="shared" si="13"/>
        <v>0</v>
      </c>
    </row>
    <row r="86" spans="1:14" ht="12.75" customHeight="1" x14ac:dyDescent="0.3">
      <c r="A86" s="106">
        <v>14.06</v>
      </c>
      <c r="B86" s="25" t="s">
        <v>99</v>
      </c>
      <c r="C86" s="112" t="s">
        <v>27</v>
      </c>
      <c r="D86" s="27">
        <v>56</v>
      </c>
      <c r="E86" s="181">
        <v>9274</v>
      </c>
      <c r="F86" s="181">
        <f t="shared" si="9"/>
        <v>519344</v>
      </c>
      <c r="H86" s="245"/>
      <c r="I86" s="250"/>
      <c r="J86" s="250"/>
      <c r="K86" s="251">
        <f t="shared" si="10"/>
        <v>0</v>
      </c>
      <c r="L86" s="50">
        <f t="shared" si="11"/>
        <v>0</v>
      </c>
      <c r="M86" s="50">
        <f t="shared" si="12"/>
        <v>0</v>
      </c>
      <c r="N86" s="50">
        <f t="shared" si="13"/>
        <v>0</v>
      </c>
    </row>
    <row r="87" spans="1:14" ht="12.75" customHeight="1" x14ac:dyDescent="0.3">
      <c r="A87" s="24">
        <v>14.07</v>
      </c>
      <c r="B87" s="25" t="s">
        <v>100</v>
      </c>
      <c r="C87" s="112" t="s">
        <v>19</v>
      </c>
      <c r="D87" s="27">
        <v>469</v>
      </c>
      <c r="E87" s="181">
        <v>5336</v>
      </c>
      <c r="F87" s="181">
        <f t="shared" si="9"/>
        <v>2502584</v>
      </c>
      <c r="H87" s="245"/>
      <c r="I87" s="250"/>
      <c r="J87" s="250"/>
      <c r="K87" s="251">
        <f t="shared" si="10"/>
        <v>0</v>
      </c>
      <c r="L87" s="50">
        <f t="shared" si="11"/>
        <v>0</v>
      </c>
      <c r="M87" s="50">
        <f t="shared" si="12"/>
        <v>0</v>
      </c>
      <c r="N87" s="50">
        <f t="shared" si="13"/>
        <v>0</v>
      </c>
    </row>
    <row r="88" spans="1:14" ht="12.75" customHeight="1" x14ac:dyDescent="0.3">
      <c r="A88" s="13">
        <v>15</v>
      </c>
      <c r="B88" s="17" t="s">
        <v>101</v>
      </c>
      <c r="C88" s="18"/>
      <c r="D88" s="19"/>
      <c r="E88" s="19"/>
      <c r="F88" s="19"/>
      <c r="G88" s="176">
        <f>+SUM(F89:F100)</f>
        <v>81675029</v>
      </c>
      <c r="H88" s="245">
        <f>+G88/$G$195</f>
        <v>9.667454388049064E-2</v>
      </c>
      <c r="I88" s="246"/>
      <c r="J88" s="247"/>
      <c r="K88" s="247"/>
      <c r="L88" s="178"/>
      <c r="M88" s="178"/>
      <c r="N88" s="179"/>
    </row>
    <row r="89" spans="1:14" ht="12.75" customHeight="1" x14ac:dyDescent="0.3">
      <c r="A89" s="115">
        <v>15.01</v>
      </c>
      <c r="B89" s="116" t="s">
        <v>102</v>
      </c>
      <c r="C89" s="122" t="s">
        <v>19</v>
      </c>
      <c r="D89" s="123">
        <v>739</v>
      </c>
      <c r="E89" s="181">
        <v>22075</v>
      </c>
      <c r="F89" s="181">
        <f t="shared" si="9"/>
        <v>16313425</v>
      </c>
      <c r="G89" s="186"/>
      <c r="H89" s="253"/>
      <c r="I89" s="250"/>
      <c r="J89" s="250"/>
      <c r="K89" s="251">
        <f t="shared" si="10"/>
        <v>0</v>
      </c>
      <c r="L89" s="50">
        <f t="shared" si="11"/>
        <v>0</v>
      </c>
      <c r="M89" s="50">
        <f t="shared" si="12"/>
        <v>0</v>
      </c>
      <c r="N89" s="50">
        <f t="shared" si="13"/>
        <v>0</v>
      </c>
    </row>
    <row r="90" spans="1:14" ht="12.75" customHeight="1" x14ac:dyDescent="0.3">
      <c r="A90" s="100">
        <v>15.02</v>
      </c>
      <c r="B90" s="25" t="s">
        <v>103</v>
      </c>
      <c r="C90" s="110" t="s">
        <v>19</v>
      </c>
      <c r="D90" s="29">
        <v>1439</v>
      </c>
      <c r="E90" s="181">
        <v>8883</v>
      </c>
      <c r="F90" s="181">
        <f t="shared" si="9"/>
        <v>12782637</v>
      </c>
      <c r="G90" s="186"/>
      <c r="H90" s="253"/>
      <c r="I90" s="250"/>
      <c r="J90" s="250"/>
      <c r="K90" s="251">
        <f t="shared" si="10"/>
        <v>0</v>
      </c>
      <c r="L90" s="50">
        <f t="shared" si="11"/>
        <v>0</v>
      </c>
      <c r="M90" s="50">
        <f t="shared" si="12"/>
        <v>0</v>
      </c>
      <c r="N90" s="50">
        <f t="shared" si="13"/>
        <v>0</v>
      </c>
    </row>
    <row r="91" spans="1:14" ht="12.75" customHeight="1" x14ac:dyDescent="0.3">
      <c r="A91" s="100">
        <v>15.03</v>
      </c>
      <c r="B91" s="25" t="s">
        <v>104</v>
      </c>
      <c r="C91" s="110" t="s">
        <v>19</v>
      </c>
      <c r="D91" s="29">
        <v>462</v>
      </c>
      <c r="E91" s="181">
        <v>14295</v>
      </c>
      <c r="F91" s="181">
        <f t="shared" si="9"/>
        <v>6604290</v>
      </c>
      <c r="G91" s="186"/>
      <c r="H91" s="253"/>
      <c r="I91" s="250"/>
      <c r="J91" s="250"/>
      <c r="K91" s="251">
        <f t="shared" si="10"/>
        <v>0</v>
      </c>
      <c r="L91" s="50">
        <f t="shared" si="11"/>
        <v>0</v>
      </c>
      <c r="M91" s="50">
        <f t="shared" si="12"/>
        <v>0</v>
      </c>
      <c r="N91" s="50">
        <f t="shared" si="13"/>
        <v>0</v>
      </c>
    </row>
    <row r="92" spans="1:14" ht="12.75" customHeight="1" x14ac:dyDescent="0.3">
      <c r="A92" s="100">
        <v>15.04</v>
      </c>
      <c r="B92" s="25" t="s">
        <v>105</v>
      </c>
      <c r="C92" s="110" t="s">
        <v>19</v>
      </c>
      <c r="D92" s="29">
        <v>144</v>
      </c>
      <c r="E92" s="181">
        <v>7538</v>
      </c>
      <c r="F92" s="181">
        <f t="shared" si="9"/>
        <v>1085472</v>
      </c>
      <c r="G92" s="186"/>
      <c r="H92" s="253"/>
      <c r="I92" s="250"/>
      <c r="J92" s="250"/>
      <c r="K92" s="251">
        <f t="shared" si="10"/>
        <v>0</v>
      </c>
      <c r="L92" s="50">
        <f t="shared" si="11"/>
        <v>0</v>
      </c>
      <c r="M92" s="50">
        <f t="shared" si="12"/>
        <v>0</v>
      </c>
      <c r="N92" s="50">
        <f t="shared" si="13"/>
        <v>0</v>
      </c>
    </row>
    <row r="93" spans="1:14" ht="12.75" customHeight="1" x14ac:dyDescent="0.3">
      <c r="A93" s="100">
        <v>15.05</v>
      </c>
      <c r="B93" s="25" t="s">
        <v>106</v>
      </c>
      <c r="C93" s="110" t="s">
        <v>19</v>
      </c>
      <c r="D93" s="29">
        <v>460</v>
      </c>
      <c r="E93" s="181">
        <v>8883</v>
      </c>
      <c r="F93" s="181">
        <f t="shared" si="9"/>
        <v>4086180</v>
      </c>
      <c r="G93" s="186"/>
      <c r="H93" s="253"/>
      <c r="I93" s="250"/>
      <c r="J93" s="250"/>
      <c r="K93" s="251">
        <f t="shared" si="10"/>
        <v>0</v>
      </c>
      <c r="L93" s="50">
        <f t="shared" si="11"/>
        <v>0</v>
      </c>
      <c r="M93" s="50">
        <f t="shared" si="12"/>
        <v>0</v>
      </c>
      <c r="N93" s="50">
        <f t="shared" si="13"/>
        <v>0</v>
      </c>
    </row>
    <row r="94" spans="1:14" ht="12.75" customHeight="1" x14ac:dyDescent="0.3">
      <c r="A94" s="100">
        <v>15.06</v>
      </c>
      <c r="B94" s="25" t="s">
        <v>107</v>
      </c>
      <c r="C94" s="110" t="s">
        <v>19</v>
      </c>
      <c r="D94" s="29">
        <v>204</v>
      </c>
      <c r="E94" s="181">
        <v>15750</v>
      </c>
      <c r="F94" s="181">
        <f t="shared" si="9"/>
        <v>3213000</v>
      </c>
      <c r="G94" s="186"/>
      <c r="H94" s="253"/>
      <c r="I94" s="250"/>
      <c r="J94" s="250"/>
      <c r="K94" s="251">
        <f t="shared" si="10"/>
        <v>0</v>
      </c>
      <c r="L94" s="50">
        <f t="shared" si="11"/>
        <v>0</v>
      </c>
      <c r="M94" s="50">
        <f t="shared" si="12"/>
        <v>0</v>
      </c>
      <c r="N94" s="50">
        <f t="shared" si="13"/>
        <v>0</v>
      </c>
    </row>
    <row r="95" spans="1:14" ht="12.75" customHeight="1" x14ac:dyDescent="0.3">
      <c r="A95" s="100">
        <v>15.07</v>
      </c>
      <c r="B95" s="25" t="s">
        <v>108</v>
      </c>
      <c r="C95" s="28" t="s">
        <v>19</v>
      </c>
      <c r="D95" s="29">
        <v>262</v>
      </c>
      <c r="E95" s="181">
        <v>17154</v>
      </c>
      <c r="F95" s="181">
        <f t="shared" si="9"/>
        <v>4494348</v>
      </c>
      <c r="G95" s="186"/>
      <c r="H95" s="245"/>
      <c r="I95" s="250"/>
      <c r="J95" s="250"/>
      <c r="K95" s="251">
        <f t="shared" si="10"/>
        <v>0</v>
      </c>
      <c r="L95" s="50">
        <f t="shared" si="11"/>
        <v>0</v>
      </c>
      <c r="M95" s="50">
        <f t="shared" si="12"/>
        <v>0</v>
      </c>
      <c r="N95" s="50">
        <f t="shared" si="13"/>
        <v>0</v>
      </c>
    </row>
    <row r="96" spans="1:14" ht="12.75" customHeight="1" x14ac:dyDescent="0.3">
      <c r="A96" s="100">
        <v>15.08</v>
      </c>
      <c r="B96" s="25" t="s">
        <v>109</v>
      </c>
      <c r="C96" s="110" t="s">
        <v>19</v>
      </c>
      <c r="D96" s="31">
        <v>756</v>
      </c>
      <c r="E96" s="181">
        <v>26534</v>
      </c>
      <c r="F96" s="181">
        <f t="shared" si="9"/>
        <v>20059704</v>
      </c>
      <c r="G96" s="186"/>
      <c r="H96" s="252"/>
      <c r="I96" s="250"/>
      <c r="J96" s="250"/>
      <c r="K96" s="251">
        <f t="shared" si="10"/>
        <v>0</v>
      </c>
      <c r="L96" s="50">
        <f t="shared" si="11"/>
        <v>0</v>
      </c>
      <c r="M96" s="50">
        <f t="shared" si="12"/>
        <v>0</v>
      </c>
      <c r="N96" s="50">
        <f t="shared" si="13"/>
        <v>0</v>
      </c>
    </row>
    <row r="97" spans="1:14" ht="12.75" customHeight="1" x14ac:dyDescent="0.3">
      <c r="A97" s="100">
        <v>15.09</v>
      </c>
      <c r="B97" s="25" t="s">
        <v>110</v>
      </c>
      <c r="C97" s="110" t="s">
        <v>19</v>
      </c>
      <c r="D97" s="31">
        <v>56</v>
      </c>
      <c r="E97" s="181">
        <v>31737</v>
      </c>
      <c r="F97" s="181">
        <f t="shared" si="9"/>
        <v>1777272</v>
      </c>
      <c r="G97" s="186"/>
      <c r="H97" s="252"/>
      <c r="I97" s="250"/>
      <c r="J97" s="250"/>
      <c r="K97" s="251">
        <f t="shared" si="10"/>
        <v>0</v>
      </c>
      <c r="L97" s="50">
        <f t="shared" si="11"/>
        <v>0</v>
      </c>
      <c r="M97" s="50">
        <f t="shared" si="12"/>
        <v>0</v>
      </c>
      <c r="N97" s="50">
        <f t="shared" si="13"/>
        <v>0</v>
      </c>
    </row>
    <row r="98" spans="1:14" ht="12.75" customHeight="1" x14ac:dyDescent="0.3">
      <c r="A98" s="100">
        <v>15.1</v>
      </c>
      <c r="B98" s="25" t="s">
        <v>111</v>
      </c>
      <c r="C98" s="110" t="s">
        <v>29</v>
      </c>
      <c r="D98" s="31">
        <v>1</v>
      </c>
      <c r="E98" s="181">
        <v>885031</v>
      </c>
      <c r="F98" s="181">
        <f t="shared" si="9"/>
        <v>885031</v>
      </c>
      <c r="H98" s="245"/>
      <c r="I98" s="250"/>
      <c r="J98" s="250"/>
      <c r="K98" s="251">
        <f t="shared" si="10"/>
        <v>0</v>
      </c>
      <c r="L98" s="50">
        <f t="shared" si="11"/>
        <v>0</v>
      </c>
      <c r="M98" s="50">
        <f t="shared" si="12"/>
        <v>0</v>
      </c>
      <c r="N98" s="50">
        <f t="shared" si="13"/>
        <v>0</v>
      </c>
    </row>
    <row r="99" spans="1:14" ht="12.75" customHeight="1" x14ac:dyDescent="0.3">
      <c r="A99" s="100">
        <v>15.11</v>
      </c>
      <c r="B99" s="25" t="s">
        <v>112</v>
      </c>
      <c r="C99" s="110" t="s">
        <v>52</v>
      </c>
      <c r="D99" s="31">
        <v>73</v>
      </c>
      <c r="E99" s="181">
        <v>83386</v>
      </c>
      <c r="F99" s="181">
        <f t="shared" si="9"/>
        <v>6087178</v>
      </c>
      <c r="H99" s="245"/>
      <c r="I99" s="250"/>
      <c r="J99" s="250"/>
      <c r="K99" s="251">
        <f t="shared" si="10"/>
        <v>0</v>
      </c>
      <c r="L99" s="50">
        <f t="shared" si="11"/>
        <v>0</v>
      </c>
      <c r="M99" s="50">
        <f t="shared" si="12"/>
        <v>0</v>
      </c>
      <c r="N99" s="50">
        <f t="shared" si="13"/>
        <v>0</v>
      </c>
    </row>
    <row r="100" spans="1:14" ht="12.75" customHeight="1" x14ac:dyDescent="0.3">
      <c r="A100" s="100">
        <v>15.12</v>
      </c>
      <c r="B100" s="124" t="s">
        <v>113</v>
      </c>
      <c r="C100" s="111" t="s">
        <v>29</v>
      </c>
      <c r="D100" s="35">
        <v>1</v>
      </c>
      <c r="E100" s="181">
        <v>4286492</v>
      </c>
      <c r="F100" s="181">
        <f t="shared" si="9"/>
        <v>4286492</v>
      </c>
      <c r="H100" s="245"/>
      <c r="I100" s="250"/>
      <c r="J100" s="250"/>
      <c r="K100" s="251">
        <f t="shared" si="10"/>
        <v>0</v>
      </c>
      <c r="L100" s="50">
        <f t="shared" si="11"/>
        <v>0</v>
      </c>
      <c r="M100" s="50">
        <f t="shared" si="12"/>
        <v>0</v>
      </c>
      <c r="N100" s="50">
        <f t="shared" si="13"/>
        <v>0</v>
      </c>
    </row>
    <row r="101" spans="1:14" ht="12.75" customHeight="1" x14ac:dyDescent="0.3">
      <c r="A101" s="13">
        <v>16</v>
      </c>
      <c r="B101" s="125" t="s">
        <v>114</v>
      </c>
      <c r="C101" s="18"/>
      <c r="D101" s="19"/>
      <c r="E101" s="19"/>
      <c r="F101" s="19"/>
      <c r="G101" s="176">
        <f>+SUM(F102)</f>
        <v>0</v>
      </c>
      <c r="H101" s="245">
        <f>+G101/$G$195</f>
        <v>0</v>
      </c>
      <c r="I101" s="246"/>
      <c r="J101" s="247"/>
      <c r="K101" s="247"/>
      <c r="L101" s="178"/>
      <c r="M101" s="178"/>
      <c r="N101" s="179"/>
    </row>
    <row r="102" spans="1:14" ht="12.75" customHeight="1" x14ac:dyDescent="0.3">
      <c r="A102" s="20"/>
      <c r="B102" s="21"/>
      <c r="C102" s="93"/>
      <c r="D102" s="94"/>
      <c r="E102" s="184">
        <v>0</v>
      </c>
      <c r="F102" s="183">
        <f t="shared" si="9"/>
        <v>0</v>
      </c>
      <c r="G102" s="185"/>
      <c r="H102" s="252"/>
      <c r="I102" s="250"/>
      <c r="J102" s="250"/>
      <c r="K102" s="251">
        <f t="shared" si="10"/>
        <v>0</v>
      </c>
      <c r="L102" s="50">
        <f t="shared" si="11"/>
        <v>0</v>
      </c>
      <c r="M102" s="50">
        <f t="shared" si="12"/>
        <v>0</v>
      </c>
      <c r="N102" s="50">
        <f t="shared" si="13"/>
        <v>0</v>
      </c>
    </row>
    <row r="103" spans="1:14" ht="12.75" customHeight="1" x14ac:dyDescent="0.3">
      <c r="A103" s="13">
        <v>17</v>
      </c>
      <c r="B103" s="17" t="s">
        <v>115</v>
      </c>
      <c r="C103" s="18"/>
      <c r="D103" s="19"/>
      <c r="E103" s="19"/>
      <c r="F103" s="19"/>
      <c r="G103" s="176">
        <f>+SUM(F104:F107)</f>
        <v>9415299</v>
      </c>
      <c r="H103" s="245">
        <f>+G103/$G$195</f>
        <v>1.1144406649962005E-2</v>
      </c>
      <c r="I103" s="246"/>
      <c r="J103" s="247"/>
      <c r="K103" s="247"/>
      <c r="L103" s="178"/>
      <c r="M103" s="178"/>
      <c r="N103" s="179"/>
    </row>
    <row r="104" spans="1:14" ht="12.75" customHeight="1" x14ac:dyDescent="0.3">
      <c r="A104" s="20">
        <f>+A103+0.01</f>
        <v>17.010000000000002</v>
      </c>
      <c r="B104" s="126" t="s">
        <v>116</v>
      </c>
      <c r="C104" s="127" t="s">
        <v>33</v>
      </c>
      <c r="D104" s="94">
        <v>57</v>
      </c>
      <c r="E104" s="180">
        <v>79321</v>
      </c>
      <c r="F104" s="180">
        <f t="shared" si="9"/>
        <v>4521297</v>
      </c>
      <c r="G104" s="182"/>
      <c r="H104" s="245"/>
      <c r="I104" s="250"/>
      <c r="J104" s="250"/>
      <c r="K104" s="251">
        <f t="shared" si="10"/>
        <v>0</v>
      </c>
      <c r="L104" s="50">
        <f t="shared" si="11"/>
        <v>0</v>
      </c>
      <c r="M104" s="50">
        <f t="shared" si="12"/>
        <v>0</v>
      </c>
      <c r="N104" s="50">
        <f t="shared" si="13"/>
        <v>0</v>
      </c>
    </row>
    <row r="105" spans="1:14" ht="12.75" customHeight="1" x14ac:dyDescent="0.3">
      <c r="A105" s="24">
        <v>17.02</v>
      </c>
      <c r="B105" s="128" t="s">
        <v>117</v>
      </c>
      <c r="C105" s="129" t="s">
        <v>33</v>
      </c>
      <c r="D105" s="31">
        <v>11</v>
      </c>
      <c r="E105" s="181">
        <v>79321</v>
      </c>
      <c r="F105" s="181">
        <f t="shared" si="9"/>
        <v>872531</v>
      </c>
      <c r="G105" s="182"/>
      <c r="H105" s="245"/>
      <c r="I105" s="250"/>
      <c r="J105" s="250"/>
      <c r="K105" s="251">
        <f t="shared" si="10"/>
        <v>0</v>
      </c>
      <c r="L105" s="50">
        <f t="shared" si="11"/>
        <v>0</v>
      </c>
      <c r="M105" s="50">
        <f t="shared" si="12"/>
        <v>0</v>
      </c>
      <c r="N105" s="50">
        <f t="shared" si="13"/>
        <v>0</v>
      </c>
    </row>
    <row r="106" spans="1:14" ht="12.75" customHeight="1" x14ac:dyDescent="0.3">
      <c r="A106" s="24">
        <v>17.03</v>
      </c>
      <c r="B106" s="128" t="s">
        <v>118</v>
      </c>
      <c r="C106" s="129" t="s">
        <v>33</v>
      </c>
      <c r="D106" s="31">
        <v>65</v>
      </c>
      <c r="E106" s="181">
        <v>51161</v>
      </c>
      <c r="F106" s="181">
        <f t="shared" si="9"/>
        <v>3325465</v>
      </c>
      <c r="G106" s="182"/>
      <c r="H106" s="245"/>
      <c r="I106" s="250"/>
      <c r="J106" s="250"/>
      <c r="K106" s="251">
        <f t="shared" si="10"/>
        <v>0</v>
      </c>
      <c r="L106" s="50">
        <f t="shared" si="11"/>
        <v>0</v>
      </c>
      <c r="M106" s="50">
        <f t="shared" si="12"/>
        <v>0</v>
      </c>
      <c r="N106" s="50">
        <f t="shared" si="13"/>
        <v>0</v>
      </c>
    </row>
    <row r="107" spans="1:14" ht="12.75" customHeight="1" x14ac:dyDescent="0.3">
      <c r="A107" s="130">
        <v>17.04</v>
      </c>
      <c r="B107" s="38" t="s">
        <v>119</v>
      </c>
      <c r="C107" s="34" t="s">
        <v>33</v>
      </c>
      <c r="D107" s="35">
        <v>6</v>
      </c>
      <c r="E107" s="189">
        <v>116001</v>
      </c>
      <c r="F107" s="189">
        <f t="shared" si="9"/>
        <v>696006</v>
      </c>
      <c r="G107" s="182"/>
      <c r="H107" s="245"/>
      <c r="I107" s="250"/>
      <c r="J107" s="250"/>
      <c r="K107" s="251">
        <f t="shared" si="10"/>
        <v>0</v>
      </c>
      <c r="L107" s="50">
        <f t="shared" si="11"/>
        <v>0</v>
      </c>
      <c r="M107" s="50">
        <f t="shared" si="12"/>
        <v>0</v>
      </c>
      <c r="N107" s="50">
        <f t="shared" si="13"/>
        <v>0</v>
      </c>
    </row>
    <row r="108" spans="1:14" ht="12.75" customHeight="1" x14ac:dyDescent="0.3">
      <c r="A108" s="13">
        <v>18</v>
      </c>
      <c r="B108" s="40" t="s">
        <v>120</v>
      </c>
      <c r="C108" s="18"/>
      <c r="D108" s="19"/>
      <c r="E108" s="19"/>
      <c r="F108" s="19"/>
      <c r="G108" s="176">
        <f>+SUM(F109:F141)</f>
        <v>87609553</v>
      </c>
      <c r="H108" s="245">
        <f>+G108/$G$195</f>
        <v>0.10369893564223492</v>
      </c>
      <c r="I108" s="246"/>
      <c r="J108" s="247"/>
      <c r="K108" s="247"/>
      <c r="L108" s="178"/>
      <c r="M108" s="178"/>
      <c r="N108" s="179"/>
    </row>
    <row r="109" spans="1:14" ht="12.75" customHeight="1" x14ac:dyDescent="0.3">
      <c r="A109" s="115">
        <f>+A108+0.01</f>
        <v>18.010000000000002</v>
      </c>
      <c r="B109" s="131" t="s">
        <v>121</v>
      </c>
      <c r="C109" s="132" t="s">
        <v>33</v>
      </c>
      <c r="D109" s="94">
        <v>260</v>
      </c>
      <c r="E109" s="180">
        <v>76531</v>
      </c>
      <c r="F109" s="180">
        <f t="shared" si="9"/>
        <v>19898060</v>
      </c>
      <c r="H109" s="245"/>
      <c r="I109" s="250"/>
      <c r="J109" s="250"/>
      <c r="K109" s="251">
        <f t="shared" si="10"/>
        <v>0</v>
      </c>
      <c r="L109" s="50">
        <f t="shared" si="11"/>
        <v>0</v>
      </c>
      <c r="M109" s="50">
        <f t="shared" si="12"/>
        <v>0</v>
      </c>
      <c r="N109" s="50">
        <f t="shared" si="13"/>
        <v>0</v>
      </c>
    </row>
    <row r="110" spans="1:14" ht="12.75" customHeight="1" x14ac:dyDescent="0.3">
      <c r="A110" s="100">
        <v>18.02</v>
      </c>
      <c r="B110" s="98" t="s">
        <v>122</v>
      </c>
      <c r="C110" s="133" t="s">
        <v>33</v>
      </c>
      <c r="D110" s="31">
        <v>62</v>
      </c>
      <c r="E110" s="181">
        <v>73235</v>
      </c>
      <c r="F110" s="181">
        <f t="shared" si="9"/>
        <v>4540570</v>
      </c>
      <c r="H110" s="245"/>
      <c r="I110" s="250"/>
      <c r="J110" s="250"/>
      <c r="K110" s="251">
        <f t="shared" si="10"/>
        <v>0</v>
      </c>
      <c r="L110" s="50">
        <f t="shared" si="11"/>
        <v>0</v>
      </c>
      <c r="M110" s="50">
        <f t="shared" si="12"/>
        <v>0</v>
      </c>
      <c r="N110" s="50">
        <f t="shared" si="13"/>
        <v>0</v>
      </c>
    </row>
    <row r="111" spans="1:14" ht="12.75" customHeight="1" x14ac:dyDescent="0.3">
      <c r="A111" s="100">
        <v>18.03</v>
      </c>
      <c r="B111" s="98" t="s">
        <v>123</v>
      </c>
      <c r="C111" s="133" t="s">
        <v>33</v>
      </c>
      <c r="D111" s="31">
        <v>12</v>
      </c>
      <c r="E111" s="181">
        <v>73235</v>
      </c>
      <c r="F111" s="181">
        <f t="shared" si="9"/>
        <v>878820</v>
      </c>
      <c r="H111" s="245"/>
      <c r="I111" s="250"/>
      <c r="J111" s="250"/>
      <c r="K111" s="251">
        <f t="shared" si="10"/>
        <v>0</v>
      </c>
      <c r="L111" s="50">
        <f t="shared" si="11"/>
        <v>0</v>
      </c>
      <c r="M111" s="50">
        <f t="shared" si="12"/>
        <v>0</v>
      </c>
      <c r="N111" s="50">
        <f t="shared" si="13"/>
        <v>0</v>
      </c>
    </row>
    <row r="112" spans="1:14" ht="12.75" customHeight="1" x14ac:dyDescent="0.3">
      <c r="A112" s="100">
        <v>18.04</v>
      </c>
      <c r="B112" s="98" t="s">
        <v>124</v>
      </c>
      <c r="C112" s="133" t="s">
        <v>33</v>
      </c>
      <c r="D112" s="31">
        <v>16</v>
      </c>
      <c r="E112" s="181">
        <v>73235</v>
      </c>
      <c r="F112" s="181">
        <f t="shared" si="9"/>
        <v>1171760</v>
      </c>
      <c r="H112" s="245"/>
      <c r="I112" s="250"/>
      <c r="J112" s="250"/>
      <c r="K112" s="251">
        <f t="shared" si="10"/>
        <v>0</v>
      </c>
      <c r="L112" s="50">
        <f t="shared" si="11"/>
        <v>0</v>
      </c>
      <c r="M112" s="50">
        <f t="shared" si="12"/>
        <v>0</v>
      </c>
      <c r="N112" s="50">
        <f t="shared" si="13"/>
        <v>0</v>
      </c>
    </row>
    <row r="113" spans="1:14" ht="12.75" customHeight="1" x14ac:dyDescent="0.3">
      <c r="A113" s="100">
        <v>18.05</v>
      </c>
      <c r="B113" s="98" t="s">
        <v>125</v>
      </c>
      <c r="C113" s="133" t="s">
        <v>33</v>
      </c>
      <c r="D113" s="31">
        <v>1</v>
      </c>
      <c r="E113" s="181">
        <v>73235</v>
      </c>
      <c r="F113" s="181">
        <f t="shared" si="9"/>
        <v>73235</v>
      </c>
      <c r="H113" s="245"/>
      <c r="I113" s="250"/>
      <c r="J113" s="250"/>
      <c r="K113" s="251">
        <f t="shared" si="10"/>
        <v>0</v>
      </c>
      <c r="L113" s="50">
        <f t="shared" si="11"/>
        <v>0</v>
      </c>
      <c r="M113" s="50">
        <f t="shared" si="12"/>
        <v>0</v>
      </c>
      <c r="N113" s="50">
        <f t="shared" si="13"/>
        <v>0</v>
      </c>
    </row>
    <row r="114" spans="1:14" ht="12.75" customHeight="1" x14ac:dyDescent="0.3">
      <c r="A114" s="100">
        <v>18.059999999999999</v>
      </c>
      <c r="B114" s="98" t="s">
        <v>126</v>
      </c>
      <c r="C114" s="133" t="s">
        <v>33</v>
      </c>
      <c r="D114" s="31">
        <v>24</v>
      </c>
      <c r="E114" s="181">
        <v>73235</v>
      </c>
      <c r="F114" s="181">
        <f t="shared" si="9"/>
        <v>1757640</v>
      </c>
      <c r="H114" s="245"/>
      <c r="I114" s="250"/>
      <c r="J114" s="250"/>
      <c r="K114" s="251">
        <f t="shared" si="10"/>
        <v>0</v>
      </c>
      <c r="L114" s="50">
        <f t="shared" si="11"/>
        <v>0</v>
      </c>
      <c r="M114" s="50">
        <f t="shared" si="12"/>
        <v>0</v>
      </c>
      <c r="N114" s="50">
        <f t="shared" si="13"/>
        <v>0</v>
      </c>
    </row>
    <row r="115" spans="1:14" ht="12.75" customHeight="1" x14ac:dyDescent="0.3">
      <c r="A115" s="100">
        <v>18.07</v>
      </c>
      <c r="B115" s="98" t="s">
        <v>127</v>
      </c>
      <c r="C115" s="133" t="s">
        <v>33</v>
      </c>
      <c r="D115" s="31">
        <v>226</v>
      </c>
      <c r="E115" s="181">
        <v>69154</v>
      </c>
      <c r="F115" s="181">
        <f t="shared" si="9"/>
        <v>15628804</v>
      </c>
      <c r="H115" s="245"/>
      <c r="I115" s="250"/>
      <c r="J115" s="250"/>
      <c r="K115" s="251">
        <f t="shared" si="10"/>
        <v>0</v>
      </c>
      <c r="L115" s="50">
        <f t="shared" si="11"/>
        <v>0</v>
      </c>
      <c r="M115" s="50">
        <f t="shared" si="12"/>
        <v>0</v>
      </c>
      <c r="N115" s="50">
        <f t="shared" si="13"/>
        <v>0</v>
      </c>
    </row>
    <row r="116" spans="1:14" ht="12.75" customHeight="1" x14ac:dyDescent="0.3">
      <c r="A116" s="100">
        <v>18.079999999999998</v>
      </c>
      <c r="B116" s="98" t="s">
        <v>128</v>
      </c>
      <c r="C116" s="133" t="s">
        <v>33</v>
      </c>
      <c r="D116" s="31">
        <v>32</v>
      </c>
      <c r="E116" s="181">
        <v>95308</v>
      </c>
      <c r="F116" s="181">
        <f t="shared" si="9"/>
        <v>3049856</v>
      </c>
      <c r="H116" s="245"/>
      <c r="I116" s="250"/>
      <c r="J116" s="250"/>
      <c r="K116" s="251">
        <f t="shared" si="10"/>
        <v>0</v>
      </c>
      <c r="L116" s="50">
        <f t="shared" si="11"/>
        <v>0</v>
      </c>
      <c r="M116" s="50">
        <f t="shared" si="12"/>
        <v>0</v>
      </c>
      <c r="N116" s="50">
        <f t="shared" si="13"/>
        <v>0</v>
      </c>
    </row>
    <row r="117" spans="1:14" ht="12.75" customHeight="1" x14ac:dyDescent="0.3">
      <c r="A117" s="100">
        <v>18.09</v>
      </c>
      <c r="B117" s="98" t="s">
        <v>129</v>
      </c>
      <c r="C117" s="133" t="s">
        <v>33</v>
      </c>
      <c r="D117" s="31">
        <v>8</v>
      </c>
      <c r="E117" s="181">
        <v>69154</v>
      </c>
      <c r="F117" s="181">
        <f t="shared" si="9"/>
        <v>553232</v>
      </c>
      <c r="H117" s="245"/>
      <c r="I117" s="250"/>
      <c r="J117" s="250"/>
      <c r="K117" s="251">
        <f t="shared" si="10"/>
        <v>0</v>
      </c>
      <c r="L117" s="50">
        <f t="shared" si="11"/>
        <v>0</v>
      </c>
      <c r="M117" s="50">
        <f t="shared" si="12"/>
        <v>0</v>
      </c>
      <c r="N117" s="50">
        <f t="shared" si="13"/>
        <v>0</v>
      </c>
    </row>
    <row r="118" spans="1:14" ht="12.75" customHeight="1" x14ac:dyDescent="0.3">
      <c r="A118" s="100">
        <v>18.100000000000001</v>
      </c>
      <c r="B118" s="98" t="s">
        <v>130</v>
      </c>
      <c r="C118" s="133" t="s">
        <v>33</v>
      </c>
      <c r="D118" s="31">
        <v>8</v>
      </c>
      <c r="E118" s="181">
        <v>69154</v>
      </c>
      <c r="F118" s="181">
        <f t="shared" si="9"/>
        <v>553232</v>
      </c>
      <c r="H118" s="245"/>
      <c r="I118" s="250"/>
      <c r="J118" s="250"/>
      <c r="K118" s="251">
        <f t="shared" si="10"/>
        <v>0</v>
      </c>
      <c r="L118" s="50">
        <f t="shared" si="11"/>
        <v>0</v>
      </c>
      <c r="M118" s="50">
        <f t="shared" si="12"/>
        <v>0</v>
      </c>
      <c r="N118" s="50">
        <f t="shared" si="13"/>
        <v>0</v>
      </c>
    </row>
    <row r="119" spans="1:14" ht="12.75" customHeight="1" x14ac:dyDescent="0.3">
      <c r="A119" s="100">
        <v>18.11</v>
      </c>
      <c r="B119" s="98" t="s">
        <v>131</v>
      </c>
      <c r="C119" s="133" t="s">
        <v>33</v>
      </c>
      <c r="D119" s="31">
        <v>26</v>
      </c>
      <c r="E119" s="181">
        <v>50616</v>
      </c>
      <c r="F119" s="181">
        <f t="shared" si="9"/>
        <v>1316016</v>
      </c>
      <c r="H119" s="245"/>
      <c r="I119" s="250"/>
      <c r="J119" s="250"/>
      <c r="K119" s="251">
        <f t="shared" si="10"/>
        <v>0</v>
      </c>
      <c r="L119" s="50">
        <f t="shared" si="11"/>
        <v>0</v>
      </c>
      <c r="M119" s="50">
        <f t="shared" si="12"/>
        <v>0</v>
      </c>
      <c r="N119" s="50">
        <f t="shared" si="13"/>
        <v>0</v>
      </c>
    </row>
    <row r="120" spans="1:14" ht="12.75" customHeight="1" x14ac:dyDescent="0.3">
      <c r="A120" s="100">
        <v>18.12</v>
      </c>
      <c r="B120" s="98" t="s">
        <v>132</v>
      </c>
      <c r="C120" s="133" t="s">
        <v>33</v>
      </c>
      <c r="D120" s="31">
        <v>27</v>
      </c>
      <c r="E120" s="181">
        <v>50616</v>
      </c>
      <c r="F120" s="181">
        <f t="shared" si="9"/>
        <v>1366632</v>
      </c>
      <c r="H120" s="245"/>
      <c r="I120" s="250"/>
      <c r="J120" s="250"/>
      <c r="K120" s="251">
        <f t="shared" si="10"/>
        <v>0</v>
      </c>
      <c r="L120" s="50">
        <f t="shared" si="11"/>
        <v>0</v>
      </c>
      <c r="M120" s="50">
        <f t="shared" si="12"/>
        <v>0</v>
      </c>
      <c r="N120" s="50">
        <f t="shared" si="13"/>
        <v>0</v>
      </c>
    </row>
    <row r="121" spans="1:14" ht="12.75" customHeight="1" x14ac:dyDescent="0.3">
      <c r="A121" s="100">
        <v>18.13</v>
      </c>
      <c r="B121" s="98" t="s">
        <v>133</v>
      </c>
      <c r="C121" s="133" t="s">
        <v>33</v>
      </c>
      <c r="D121" s="31">
        <v>9</v>
      </c>
      <c r="E121" s="181">
        <v>50616</v>
      </c>
      <c r="F121" s="181">
        <f t="shared" si="9"/>
        <v>455544</v>
      </c>
      <c r="H121" s="245"/>
      <c r="I121" s="250"/>
      <c r="J121" s="250"/>
      <c r="K121" s="251">
        <f t="shared" si="10"/>
        <v>0</v>
      </c>
      <c r="L121" s="50">
        <f t="shared" si="11"/>
        <v>0</v>
      </c>
      <c r="M121" s="50">
        <f t="shared" si="12"/>
        <v>0</v>
      </c>
      <c r="N121" s="50">
        <f t="shared" si="13"/>
        <v>0</v>
      </c>
    </row>
    <row r="122" spans="1:14" ht="12.75" customHeight="1" x14ac:dyDescent="0.3">
      <c r="A122" s="100">
        <v>18.14</v>
      </c>
      <c r="B122" s="98" t="s">
        <v>134</v>
      </c>
      <c r="C122" s="133" t="s">
        <v>33</v>
      </c>
      <c r="D122" s="31">
        <v>29</v>
      </c>
      <c r="E122" s="181">
        <v>50616</v>
      </c>
      <c r="F122" s="181">
        <f t="shared" si="9"/>
        <v>1467864</v>
      </c>
      <c r="H122" s="245"/>
      <c r="I122" s="250"/>
      <c r="J122" s="250"/>
      <c r="K122" s="251">
        <f t="shared" si="10"/>
        <v>0</v>
      </c>
      <c r="L122" s="50">
        <f t="shared" si="11"/>
        <v>0</v>
      </c>
      <c r="M122" s="50">
        <f t="shared" si="12"/>
        <v>0</v>
      </c>
      <c r="N122" s="50">
        <f t="shared" si="13"/>
        <v>0</v>
      </c>
    </row>
    <row r="123" spans="1:14" ht="12.75" customHeight="1" x14ac:dyDescent="0.3">
      <c r="A123" s="100">
        <v>18.149999999999999</v>
      </c>
      <c r="B123" s="98" t="s">
        <v>135</v>
      </c>
      <c r="C123" s="133" t="s">
        <v>33</v>
      </c>
      <c r="D123" s="31">
        <v>3</v>
      </c>
      <c r="E123" s="181">
        <v>50616</v>
      </c>
      <c r="F123" s="181">
        <f t="shared" si="9"/>
        <v>151848</v>
      </c>
      <c r="H123" s="245"/>
      <c r="I123" s="250"/>
      <c r="J123" s="250"/>
      <c r="K123" s="251">
        <f t="shared" si="10"/>
        <v>0</v>
      </c>
      <c r="L123" s="50">
        <f t="shared" si="11"/>
        <v>0</v>
      </c>
      <c r="M123" s="50">
        <f t="shared" si="12"/>
        <v>0</v>
      </c>
      <c r="N123" s="50">
        <f t="shared" si="13"/>
        <v>0</v>
      </c>
    </row>
    <row r="124" spans="1:14" ht="12.75" customHeight="1" x14ac:dyDescent="0.3">
      <c r="A124" s="100">
        <v>18.16</v>
      </c>
      <c r="B124" s="98" t="s">
        <v>136</v>
      </c>
      <c r="C124" s="133" t="s">
        <v>33</v>
      </c>
      <c r="D124" s="31">
        <v>1</v>
      </c>
      <c r="E124" s="181">
        <v>2245770</v>
      </c>
      <c r="F124" s="181">
        <f t="shared" si="9"/>
        <v>2245770</v>
      </c>
      <c r="H124" s="245"/>
      <c r="I124" s="250"/>
      <c r="J124" s="250"/>
      <c r="K124" s="251">
        <f t="shared" si="10"/>
        <v>0</v>
      </c>
      <c r="L124" s="50">
        <f t="shared" si="11"/>
        <v>0</v>
      </c>
      <c r="M124" s="50">
        <f t="shared" si="12"/>
        <v>0</v>
      </c>
      <c r="N124" s="50">
        <f t="shared" si="13"/>
        <v>0</v>
      </c>
    </row>
    <row r="125" spans="1:14" ht="12.75" customHeight="1" x14ac:dyDescent="0.3">
      <c r="A125" s="100">
        <v>18.170000000000002</v>
      </c>
      <c r="B125" s="98" t="s">
        <v>137</v>
      </c>
      <c r="C125" s="133" t="s">
        <v>33</v>
      </c>
      <c r="D125" s="31">
        <v>1</v>
      </c>
      <c r="E125" s="181">
        <v>1116033</v>
      </c>
      <c r="F125" s="181">
        <f t="shared" si="9"/>
        <v>1116033</v>
      </c>
      <c r="H125" s="245"/>
      <c r="I125" s="250"/>
      <c r="J125" s="250"/>
      <c r="K125" s="251">
        <f t="shared" si="10"/>
        <v>0</v>
      </c>
      <c r="L125" s="50">
        <f t="shared" si="11"/>
        <v>0</v>
      </c>
      <c r="M125" s="50">
        <f t="shared" si="12"/>
        <v>0</v>
      </c>
      <c r="N125" s="50">
        <f t="shared" si="13"/>
        <v>0</v>
      </c>
    </row>
    <row r="126" spans="1:14" ht="12.75" customHeight="1" x14ac:dyDescent="0.3">
      <c r="A126" s="100">
        <v>18.18</v>
      </c>
      <c r="B126" s="98" t="s">
        <v>138</v>
      </c>
      <c r="C126" s="133" t="s">
        <v>33</v>
      </c>
      <c r="D126" s="31">
        <v>2</v>
      </c>
      <c r="E126" s="181">
        <v>530996</v>
      </c>
      <c r="F126" s="181">
        <f t="shared" si="9"/>
        <v>1061992</v>
      </c>
      <c r="H126" s="245"/>
      <c r="I126" s="250"/>
      <c r="J126" s="250"/>
      <c r="K126" s="251">
        <f t="shared" si="10"/>
        <v>0</v>
      </c>
      <c r="L126" s="50">
        <f t="shared" si="11"/>
        <v>0</v>
      </c>
      <c r="M126" s="50">
        <f t="shared" si="12"/>
        <v>0</v>
      </c>
      <c r="N126" s="50">
        <f t="shared" si="13"/>
        <v>0</v>
      </c>
    </row>
    <row r="127" spans="1:14" ht="12.75" customHeight="1" x14ac:dyDescent="0.3">
      <c r="A127" s="100">
        <v>18.190000000000001</v>
      </c>
      <c r="B127" s="98" t="s">
        <v>139</v>
      </c>
      <c r="C127" s="133" t="s">
        <v>33</v>
      </c>
      <c r="D127" s="31">
        <v>9</v>
      </c>
      <c r="E127" s="181">
        <v>595409</v>
      </c>
      <c r="F127" s="181">
        <f t="shared" si="9"/>
        <v>5358681</v>
      </c>
      <c r="H127" s="245"/>
      <c r="I127" s="250"/>
      <c r="J127" s="250"/>
      <c r="K127" s="251">
        <f t="shared" si="10"/>
        <v>0</v>
      </c>
      <c r="L127" s="50">
        <f t="shared" si="11"/>
        <v>0</v>
      </c>
      <c r="M127" s="50">
        <f t="shared" si="12"/>
        <v>0</v>
      </c>
      <c r="N127" s="50">
        <f t="shared" si="13"/>
        <v>0</v>
      </c>
    </row>
    <row r="128" spans="1:14" ht="12.75" customHeight="1" x14ac:dyDescent="0.3">
      <c r="A128" s="100">
        <v>18.2</v>
      </c>
      <c r="B128" s="98" t="s">
        <v>140</v>
      </c>
      <c r="C128" s="133" t="s">
        <v>29</v>
      </c>
      <c r="D128" s="31">
        <v>1</v>
      </c>
      <c r="E128" s="181">
        <v>6378278</v>
      </c>
      <c r="F128" s="181">
        <f t="shared" si="9"/>
        <v>6378278</v>
      </c>
      <c r="H128" s="245"/>
      <c r="I128" s="250"/>
      <c r="J128" s="250"/>
      <c r="K128" s="251">
        <f t="shared" si="10"/>
        <v>0</v>
      </c>
      <c r="L128" s="50">
        <f t="shared" si="11"/>
        <v>0</v>
      </c>
      <c r="M128" s="50">
        <f t="shared" si="12"/>
        <v>0</v>
      </c>
      <c r="N128" s="50">
        <f t="shared" si="13"/>
        <v>0</v>
      </c>
    </row>
    <row r="129" spans="1:14" ht="12.75" customHeight="1" x14ac:dyDescent="0.3">
      <c r="A129" s="100">
        <v>18.21</v>
      </c>
      <c r="B129" s="98" t="s">
        <v>141</v>
      </c>
      <c r="C129" s="133" t="s">
        <v>29</v>
      </c>
      <c r="D129" s="31">
        <v>1</v>
      </c>
      <c r="E129" s="181">
        <v>1695726</v>
      </c>
      <c r="F129" s="181">
        <f t="shared" si="9"/>
        <v>1695726</v>
      </c>
      <c r="H129" s="245"/>
      <c r="I129" s="250"/>
      <c r="J129" s="250"/>
      <c r="K129" s="251">
        <f t="shared" si="10"/>
        <v>0</v>
      </c>
      <c r="L129" s="50">
        <f t="shared" si="11"/>
        <v>0</v>
      </c>
      <c r="M129" s="50">
        <f t="shared" si="12"/>
        <v>0</v>
      </c>
      <c r="N129" s="50">
        <f t="shared" si="13"/>
        <v>0</v>
      </c>
    </row>
    <row r="130" spans="1:14" ht="12.75" customHeight="1" x14ac:dyDescent="0.3">
      <c r="A130" s="100">
        <v>18.22</v>
      </c>
      <c r="B130" s="98" t="s">
        <v>142</v>
      </c>
      <c r="C130" s="133" t="s">
        <v>29</v>
      </c>
      <c r="D130" s="31">
        <v>1</v>
      </c>
      <c r="E130" s="181">
        <v>1695726</v>
      </c>
      <c r="F130" s="181">
        <f t="shared" si="9"/>
        <v>1695726</v>
      </c>
      <c r="H130" s="245"/>
      <c r="I130" s="250"/>
      <c r="J130" s="250"/>
      <c r="K130" s="251">
        <f t="shared" si="10"/>
        <v>0</v>
      </c>
      <c r="L130" s="50">
        <f t="shared" si="11"/>
        <v>0</v>
      </c>
      <c r="M130" s="50">
        <f t="shared" si="12"/>
        <v>0</v>
      </c>
      <c r="N130" s="50">
        <f t="shared" si="13"/>
        <v>0</v>
      </c>
    </row>
    <row r="131" spans="1:14" ht="12.75" customHeight="1" x14ac:dyDescent="0.3">
      <c r="A131" s="100">
        <v>18.23</v>
      </c>
      <c r="B131" s="98" t="s">
        <v>143</v>
      </c>
      <c r="C131" s="133" t="s">
        <v>33</v>
      </c>
      <c r="D131" s="31">
        <v>16</v>
      </c>
      <c r="E131" s="181">
        <v>15984</v>
      </c>
      <c r="F131" s="181">
        <f t="shared" si="9"/>
        <v>255744</v>
      </c>
      <c r="H131" s="245"/>
      <c r="I131" s="250"/>
      <c r="J131" s="250"/>
      <c r="K131" s="251">
        <f t="shared" si="10"/>
        <v>0</v>
      </c>
      <c r="L131" s="50">
        <f t="shared" si="11"/>
        <v>0</v>
      </c>
      <c r="M131" s="50">
        <f t="shared" si="12"/>
        <v>0</v>
      </c>
      <c r="N131" s="50">
        <f t="shared" si="13"/>
        <v>0</v>
      </c>
    </row>
    <row r="132" spans="1:14" ht="12.75" customHeight="1" x14ac:dyDescent="0.3">
      <c r="A132" s="100">
        <v>18.239999999999998</v>
      </c>
      <c r="B132" s="98" t="s">
        <v>144</v>
      </c>
      <c r="C132" s="133" t="s">
        <v>33</v>
      </c>
      <c r="D132" s="31">
        <v>140</v>
      </c>
      <c r="E132" s="181">
        <v>10416</v>
      </c>
      <c r="F132" s="181">
        <f t="shared" si="9"/>
        <v>1458240</v>
      </c>
      <c r="H132" s="245"/>
      <c r="I132" s="250"/>
      <c r="J132" s="250"/>
      <c r="K132" s="251">
        <f t="shared" si="10"/>
        <v>0</v>
      </c>
      <c r="L132" s="50">
        <f t="shared" si="11"/>
        <v>0</v>
      </c>
      <c r="M132" s="50">
        <f t="shared" si="12"/>
        <v>0</v>
      </c>
      <c r="N132" s="50">
        <f t="shared" si="13"/>
        <v>0</v>
      </c>
    </row>
    <row r="133" spans="1:14" ht="12.75" customHeight="1" x14ac:dyDescent="0.3">
      <c r="A133" s="100">
        <v>18.25</v>
      </c>
      <c r="B133" s="98" t="s">
        <v>145</v>
      </c>
      <c r="C133" s="133" t="s">
        <v>33</v>
      </c>
      <c r="D133" s="31">
        <v>226</v>
      </c>
      <c r="E133" s="181">
        <v>10416</v>
      </c>
      <c r="F133" s="181">
        <f t="shared" si="9"/>
        <v>2354016</v>
      </c>
      <c r="H133" s="245"/>
      <c r="I133" s="250"/>
      <c r="J133" s="250"/>
      <c r="K133" s="251">
        <f t="shared" si="10"/>
        <v>0</v>
      </c>
      <c r="L133" s="50">
        <f t="shared" si="11"/>
        <v>0</v>
      </c>
      <c r="M133" s="50">
        <f t="shared" si="12"/>
        <v>0</v>
      </c>
      <c r="N133" s="50">
        <f t="shared" si="13"/>
        <v>0</v>
      </c>
    </row>
    <row r="134" spans="1:14" ht="12.75" customHeight="1" x14ac:dyDescent="0.3">
      <c r="A134" s="100">
        <v>18.260000000000002</v>
      </c>
      <c r="B134" s="98" t="s">
        <v>146</v>
      </c>
      <c r="C134" s="133" t="s">
        <v>33</v>
      </c>
      <c r="D134" s="31">
        <v>8</v>
      </c>
      <c r="E134" s="181">
        <v>25377</v>
      </c>
      <c r="F134" s="181">
        <f t="shared" si="9"/>
        <v>203016</v>
      </c>
      <c r="H134" s="245"/>
      <c r="I134" s="250"/>
      <c r="J134" s="250"/>
      <c r="K134" s="251">
        <f t="shared" si="10"/>
        <v>0</v>
      </c>
      <c r="L134" s="50">
        <f t="shared" si="11"/>
        <v>0</v>
      </c>
      <c r="M134" s="50">
        <f t="shared" si="12"/>
        <v>0</v>
      </c>
      <c r="N134" s="50">
        <f t="shared" si="13"/>
        <v>0</v>
      </c>
    </row>
    <row r="135" spans="1:14" ht="12.75" customHeight="1" x14ac:dyDescent="0.3">
      <c r="A135" s="100">
        <v>18.27</v>
      </c>
      <c r="B135" s="98" t="s">
        <v>147</v>
      </c>
      <c r="C135" s="133" t="s">
        <v>33</v>
      </c>
      <c r="D135" s="31">
        <v>24</v>
      </c>
      <c r="E135" s="181">
        <v>93081</v>
      </c>
      <c r="F135" s="181">
        <f t="shared" si="9"/>
        <v>2233944</v>
      </c>
      <c r="H135" s="245"/>
      <c r="I135" s="250"/>
      <c r="J135" s="250"/>
      <c r="K135" s="251">
        <f t="shared" si="10"/>
        <v>0</v>
      </c>
      <c r="L135" s="50">
        <f t="shared" si="11"/>
        <v>0</v>
      </c>
      <c r="M135" s="50">
        <f t="shared" si="12"/>
        <v>0</v>
      </c>
      <c r="N135" s="50">
        <f t="shared" si="13"/>
        <v>0</v>
      </c>
    </row>
    <row r="136" spans="1:14" ht="12.75" customHeight="1" x14ac:dyDescent="0.3">
      <c r="A136" s="100">
        <v>18.28</v>
      </c>
      <c r="B136" s="98" t="s">
        <v>148</v>
      </c>
      <c r="C136" s="133" t="s">
        <v>33</v>
      </c>
      <c r="D136" s="31">
        <v>12</v>
      </c>
      <c r="E136" s="181">
        <v>25377</v>
      </c>
      <c r="F136" s="181">
        <f t="shared" si="9"/>
        <v>304524</v>
      </c>
      <c r="H136" s="245"/>
      <c r="I136" s="250"/>
      <c r="J136" s="250"/>
      <c r="K136" s="251">
        <f t="shared" si="10"/>
        <v>0</v>
      </c>
      <c r="L136" s="50">
        <f t="shared" si="11"/>
        <v>0</v>
      </c>
      <c r="M136" s="50">
        <f t="shared" si="12"/>
        <v>0</v>
      </c>
      <c r="N136" s="50">
        <f t="shared" si="13"/>
        <v>0</v>
      </c>
    </row>
    <row r="137" spans="1:14" ht="12.75" customHeight="1" x14ac:dyDescent="0.3">
      <c r="A137" s="100">
        <v>18.2899999999999</v>
      </c>
      <c r="B137" s="98" t="s">
        <v>149</v>
      </c>
      <c r="C137" s="133" t="s">
        <v>33</v>
      </c>
      <c r="D137" s="31">
        <v>1</v>
      </c>
      <c r="E137" s="181">
        <v>25377</v>
      </c>
      <c r="F137" s="181">
        <f t="shared" si="9"/>
        <v>25377</v>
      </c>
      <c r="H137" s="245"/>
      <c r="I137" s="250"/>
      <c r="J137" s="250"/>
      <c r="K137" s="251">
        <f t="shared" si="10"/>
        <v>0</v>
      </c>
      <c r="L137" s="50">
        <f t="shared" si="11"/>
        <v>0</v>
      </c>
      <c r="M137" s="50">
        <f t="shared" si="12"/>
        <v>0</v>
      </c>
      <c r="N137" s="50">
        <f t="shared" si="13"/>
        <v>0</v>
      </c>
    </row>
    <row r="138" spans="1:14" ht="12.75" customHeight="1" x14ac:dyDescent="0.3">
      <c r="A138" s="100">
        <v>18.299999999999901</v>
      </c>
      <c r="B138" s="98" t="s">
        <v>150</v>
      </c>
      <c r="C138" s="133" t="s">
        <v>33</v>
      </c>
      <c r="D138" s="31">
        <v>109</v>
      </c>
      <c r="E138" s="181">
        <v>15984</v>
      </c>
      <c r="F138" s="181">
        <f t="shared" ref="F138:F194" si="14">+E138*D138</f>
        <v>1742256</v>
      </c>
      <c r="H138" s="245"/>
      <c r="I138" s="250"/>
      <c r="J138" s="250"/>
      <c r="K138" s="251">
        <f t="shared" si="10"/>
        <v>0</v>
      </c>
      <c r="L138" s="50">
        <f t="shared" si="11"/>
        <v>0</v>
      </c>
      <c r="M138" s="50">
        <f t="shared" si="12"/>
        <v>0</v>
      </c>
      <c r="N138" s="50">
        <f t="shared" si="13"/>
        <v>0</v>
      </c>
    </row>
    <row r="139" spans="1:14" ht="12.75" customHeight="1" x14ac:dyDescent="0.3">
      <c r="A139" s="100">
        <v>18.309999999999899</v>
      </c>
      <c r="B139" s="98" t="s">
        <v>151</v>
      </c>
      <c r="C139" s="133" t="s">
        <v>29</v>
      </c>
      <c r="D139" s="31">
        <v>1</v>
      </c>
      <c r="E139" s="181">
        <v>5516929</v>
      </c>
      <c r="F139" s="181">
        <f t="shared" si="14"/>
        <v>5516929</v>
      </c>
      <c r="H139" s="245"/>
      <c r="I139" s="250"/>
      <c r="J139" s="250"/>
      <c r="K139" s="251">
        <f t="shared" ref="K139:K194" si="15">+I139+J139</f>
        <v>0</v>
      </c>
      <c r="L139" s="50">
        <f t="shared" ref="L139:L194" si="16">+F139*I139</f>
        <v>0</v>
      </c>
      <c r="M139" s="50">
        <f t="shared" ref="M139:M194" si="17">+F139*J139</f>
        <v>0</v>
      </c>
      <c r="N139" s="50">
        <f t="shared" ref="N139:N194" si="18">+F139*K139</f>
        <v>0</v>
      </c>
    </row>
    <row r="140" spans="1:14" ht="12.75" customHeight="1" x14ac:dyDescent="0.3">
      <c r="A140" s="100">
        <v>18.319999999999901</v>
      </c>
      <c r="B140" s="98" t="s">
        <v>152</v>
      </c>
      <c r="C140" s="133" t="s">
        <v>29</v>
      </c>
      <c r="D140" s="31">
        <v>1</v>
      </c>
      <c r="E140" s="181">
        <v>957554</v>
      </c>
      <c r="F140" s="181">
        <f t="shared" si="14"/>
        <v>957554</v>
      </c>
      <c r="H140" s="245"/>
      <c r="I140" s="250"/>
      <c r="J140" s="250"/>
      <c r="K140" s="251">
        <f t="shared" si="15"/>
        <v>0</v>
      </c>
      <c r="L140" s="50">
        <f t="shared" si="16"/>
        <v>0</v>
      </c>
      <c r="M140" s="50">
        <f t="shared" si="17"/>
        <v>0</v>
      </c>
      <c r="N140" s="50">
        <f t="shared" si="18"/>
        <v>0</v>
      </c>
    </row>
    <row r="141" spans="1:14" ht="12.75" customHeight="1" x14ac:dyDescent="0.3">
      <c r="A141" s="100">
        <v>18.329999999999899</v>
      </c>
      <c r="B141" s="134" t="s">
        <v>153</v>
      </c>
      <c r="C141" s="135" t="s">
        <v>29</v>
      </c>
      <c r="D141" s="35">
        <v>1</v>
      </c>
      <c r="E141" s="181">
        <v>142634</v>
      </c>
      <c r="F141" s="181">
        <f t="shared" si="14"/>
        <v>142634</v>
      </c>
      <c r="H141" s="245"/>
      <c r="I141" s="250"/>
      <c r="J141" s="250"/>
      <c r="K141" s="251">
        <f t="shared" si="15"/>
        <v>0</v>
      </c>
      <c r="L141" s="50">
        <f t="shared" si="16"/>
        <v>0</v>
      </c>
      <c r="M141" s="50">
        <f t="shared" si="17"/>
        <v>0</v>
      </c>
      <c r="N141" s="50">
        <f t="shared" si="18"/>
        <v>0</v>
      </c>
    </row>
    <row r="142" spans="1:14" ht="12.75" customHeight="1" x14ac:dyDescent="0.3">
      <c r="A142" s="13">
        <v>19</v>
      </c>
      <c r="B142" s="40" t="s">
        <v>154</v>
      </c>
      <c r="C142" s="18"/>
      <c r="D142" s="19"/>
      <c r="E142" s="190"/>
      <c r="F142" s="190"/>
      <c r="G142" s="191"/>
      <c r="H142" s="245"/>
      <c r="I142" s="246"/>
      <c r="J142" s="247"/>
      <c r="K142" s="247"/>
      <c r="L142" s="178"/>
      <c r="M142" s="178"/>
      <c r="N142" s="179"/>
    </row>
    <row r="143" spans="1:14" ht="12.75" customHeight="1" x14ac:dyDescent="0.3">
      <c r="A143" s="13"/>
      <c r="B143" s="40" t="s">
        <v>155</v>
      </c>
      <c r="C143" s="18"/>
      <c r="D143" s="19"/>
      <c r="E143" s="19"/>
      <c r="F143" s="19"/>
      <c r="G143" s="192">
        <f>+SUM(F144:F146)</f>
        <v>21227962</v>
      </c>
      <c r="H143" s="245">
        <f>+G143/$G$195</f>
        <v>2.5126450140132647E-2</v>
      </c>
      <c r="I143" s="246"/>
      <c r="J143" s="247"/>
      <c r="K143" s="247"/>
      <c r="L143" s="178"/>
      <c r="M143" s="178"/>
      <c r="N143" s="179"/>
    </row>
    <row r="144" spans="1:14" ht="12.75" customHeight="1" x14ac:dyDescent="0.3">
      <c r="A144" s="20">
        <v>19.010000000000002</v>
      </c>
      <c r="B144" s="136" t="s">
        <v>156</v>
      </c>
      <c r="C144" s="122" t="s">
        <v>29</v>
      </c>
      <c r="D144" s="123">
        <v>1</v>
      </c>
      <c r="E144" s="183">
        <v>6793844</v>
      </c>
      <c r="F144" s="183">
        <f t="shared" si="14"/>
        <v>6793844</v>
      </c>
      <c r="H144" s="245"/>
      <c r="I144" s="250"/>
      <c r="J144" s="250"/>
      <c r="K144" s="251">
        <f t="shared" si="15"/>
        <v>0</v>
      </c>
      <c r="L144" s="50">
        <f t="shared" si="16"/>
        <v>0</v>
      </c>
      <c r="M144" s="50">
        <f t="shared" si="17"/>
        <v>0</v>
      </c>
      <c r="N144" s="50">
        <f t="shared" si="18"/>
        <v>0</v>
      </c>
    </row>
    <row r="145" spans="1:14" ht="12.75" customHeight="1" x14ac:dyDescent="0.3">
      <c r="A145" s="24">
        <v>19.02</v>
      </c>
      <c r="B145" s="36" t="s">
        <v>157</v>
      </c>
      <c r="C145" s="28" t="s">
        <v>29</v>
      </c>
      <c r="D145" s="29">
        <v>1</v>
      </c>
      <c r="E145" s="181">
        <v>9552583</v>
      </c>
      <c r="F145" s="181">
        <f t="shared" si="14"/>
        <v>9552583</v>
      </c>
      <c r="H145" s="245"/>
      <c r="I145" s="250"/>
      <c r="J145" s="250"/>
      <c r="K145" s="251">
        <f t="shared" si="15"/>
        <v>0</v>
      </c>
      <c r="L145" s="50">
        <f t="shared" si="16"/>
        <v>0</v>
      </c>
      <c r="M145" s="50">
        <f t="shared" si="17"/>
        <v>0</v>
      </c>
      <c r="N145" s="50">
        <f t="shared" si="18"/>
        <v>0</v>
      </c>
    </row>
    <row r="146" spans="1:14" ht="12.75" customHeight="1" x14ac:dyDescent="0.3">
      <c r="A146" s="33">
        <v>19.03</v>
      </c>
      <c r="B146" s="137" t="s">
        <v>158</v>
      </c>
      <c r="C146" s="138" t="s">
        <v>29</v>
      </c>
      <c r="D146" s="139">
        <v>1</v>
      </c>
      <c r="E146" s="181">
        <v>4881535</v>
      </c>
      <c r="F146" s="181">
        <f t="shared" si="14"/>
        <v>4881535</v>
      </c>
      <c r="H146" s="245"/>
      <c r="I146" s="250"/>
      <c r="J146" s="250"/>
      <c r="K146" s="251">
        <f t="shared" si="15"/>
        <v>0</v>
      </c>
      <c r="L146" s="50">
        <f t="shared" si="16"/>
        <v>0</v>
      </c>
      <c r="M146" s="50">
        <f t="shared" si="17"/>
        <v>0</v>
      </c>
      <c r="N146" s="50">
        <f t="shared" si="18"/>
        <v>0</v>
      </c>
    </row>
    <row r="147" spans="1:14" ht="12.75" customHeight="1" x14ac:dyDescent="0.3">
      <c r="A147" s="140"/>
      <c r="B147" s="141" t="s">
        <v>159</v>
      </c>
      <c r="C147" s="11"/>
      <c r="D147" s="12"/>
      <c r="E147" s="19"/>
      <c r="F147" s="19"/>
      <c r="G147" s="192">
        <f>+SUM(F148:F150)</f>
        <v>7075989</v>
      </c>
      <c r="H147" s="245">
        <f>+G147/$G$195</f>
        <v>8.3754853527920892E-3</v>
      </c>
      <c r="I147" s="246"/>
      <c r="J147" s="247"/>
      <c r="K147" s="247"/>
      <c r="L147" s="178"/>
      <c r="M147" s="178"/>
      <c r="N147" s="179"/>
    </row>
    <row r="148" spans="1:14" ht="12.75" customHeight="1" x14ac:dyDescent="0.3">
      <c r="A148" s="20">
        <v>19.04</v>
      </c>
      <c r="B148" s="136" t="s">
        <v>160</v>
      </c>
      <c r="C148" s="122" t="s">
        <v>29</v>
      </c>
      <c r="D148" s="123">
        <v>1</v>
      </c>
      <c r="E148" s="181">
        <v>2476596</v>
      </c>
      <c r="F148" s="181">
        <f t="shared" si="14"/>
        <v>2476596</v>
      </c>
      <c r="H148" s="245"/>
      <c r="I148" s="250"/>
      <c r="J148" s="250"/>
      <c r="K148" s="251">
        <f t="shared" si="15"/>
        <v>0</v>
      </c>
      <c r="L148" s="50">
        <f t="shared" si="16"/>
        <v>0</v>
      </c>
      <c r="M148" s="50">
        <f t="shared" si="17"/>
        <v>0</v>
      </c>
      <c r="N148" s="50">
        <f t="shared" si="18"/>
        <v>0</v>
      </c>
    </row>
    <row r="149" spans="1:14" ht="12.75" customHeight="1" x14ac:dyDescent="0.3">
      <c r="A149" s="24">
        <v>19.05</v>
      </c>
      <c r="B149" s="36" t="s">
        <v>161</v>
      </c>
      <c r="C149" s="28" t="s">
        <v>29</v>
      </c>
      <c r="D149" s="29">
        <v>1</v>
      </c>
      <c r="E149" s="181">
        <v>3537994</v>
      </c>
      <c r="F149" s="181">
        <f t="shared" si="14"/>
        <v>3537994</v>
      </c>
      <c r="H149" s="245"/>
      <c r="I149" s="250"/>
      <c r="J149" s="250"/>
      <c r="K149" s="251">
        <f t="shared" si="15"/>
        <v>0</v>
      </c>
      <c r="L149" s="50">
        <f t="shared" si="16"/>
        <v>0</v>
      </c>
      <c r="M149" s="50">
        <f t="shared" si="17"/>
        <v>0</v>
      </c>
      <c r="N149" s="50">
        <f t="shared" si="18"/>
        <v>0</v>
      </c>
    </row>
    <row r="150" spans="1:14" ht="12.75" customHeight="1" x14ac:dyDescent="0.3">
      <c r="A150" s="33">
        <v>19.059999999999999</v>
      </c>
      <c r="B150" s="137" t="s">
        <v>162</v>
      </c>
      <c r="C150" s="138" t="s">
        <v>29</v>
      </c>
      <c r="D150" s="139">
        <v>1</v>
      </c>
      <c r="E150" s="181">
        <v>1061399</v>
      </c>
      <c r="F150" s="181">
        <f t="shared" si="14"/>
        <v>1061399</v>
      </c>
      <c r="H150" s="245"/>
      <c r="I150" s="250"/>
      <c r="J150" s="250"/>
      <c r="K150" s="251">
        <f t="shared" si="15"/>
        <v>0</v>
      </c>
      <c r="L150" s="50">
        <f t="shared" si="16"/>
        <v>0</v>
      </c>
      <c r="M150" s="50">
        <f t="shared" si="17"/>
        <v>0</v>
      </c>
      <c r="N150" s="50">
        <f t="shared" si="18"/>
        <v>0</v>
      </c>
    </row>
    <row r="151" spans="1:14" ht="12.75" customHeight="1" x14ac:dyDescent="0.3">
      <c r="A151" s="13"/>
      <c r="B151" s="40" t="s">
        <v>163</v>
      </c>
      <c r="C151" s="18"/>
      <c r="D151" s="19"/>
      <c r="E151" s="19"/>
      <c r="F151" s="19"/>
      <c r="G151" s="192">
        <f>+SUM(F152:F156)</f>
        <v>34829620</v>
      </c>
      <c r="H151" s="245">
        <f>+G151/$G$195</f>
        <v>4.1226035279777064E-2</v>
      </c>
      <c r="I151" s="246"/>
      <c r="J151" s="247"/>
      <c r="K151" s="247"/>
      <c r="L151" s="178"/>
      <c r="M151" s="178"/>
      <c r="N151" s="179"/>
    </row>
    <row r="152" spans="1:14" ht="12.75" customHeight="1" x14ac:dyDescent="0.3">
      <c r="A152" s="115">
        <v>19.07</v>
      </c>
      <c r="B152" s="142" t="s">
        <v>164</v>
      </c>
      <c r="C152" s="122" t="s">
        <v>29</v>
      </c>
      <c r="D152" s="123">
        <v>1</v>
      </c>
      <c r="E152" s="180">
        <v>3263223</v>
      </c>
      <c r="F152" s="180">
        <f t="shared" si="14"/>
        <v>3263223</v>
      </c>
      <c r="H152" s="245"/>
      <c r="I152" s="250"/>
      <c r="J152" s="250"/>
      <c r="K152" s="251">
        <f t="shared" si="15"/>
        <v>0</v>
      </c>
      <c r="L152" s="50">
        <f t="shared" si="16"/>
        <v>0</v>
      </c>
      <c r="M152" s="50">
        <f t="shared" si="17"/>
        <v>0</v>
      </c>
      <c r="N152" s="50">
        <f t="shared" si="18"/>
        <v>0</v>
      </c>
    </row>
    <row r="153" spans="1:14" ht="12.75" customHeight="1" x14ac:dyDescent="0.3">
      <c r="A153" s="100">
        <v>19.079999999999998</v>
      </c>
      <c r="B153" s="143" t="s">
        <v>165</v>
      </c>
      <c r="C153" s="28" t="s">
        <v>29</v>
      </c>
      <c r="D153" s="29">
        <v>1</v>
      </c>
      <c r="E153" s="181">
        <v>3665831</v>
      </c>
      <c r="F153" s="181">
        <f t="shared" si="14"/>
        <v>3665831</v>
      </c>
      <c r="H153" s="245"/>
      <c r="I153" s="250"/>
      <c r="J153" s="250"/>
      <c r="K153" s="251">
        <f t="shared" si="15"/>
        <v>0</v>
      </c>
      <c r="L153" s="50">
        <f t="shared" si="16"/>
        <v>0</v>
      </c>
      <c r="M153" s="50">
        <f t="shared" si="17"/>
        <v>0</v>
      </c>
      <c r="N153" s="50">
        <f t="shared" si="18"/>
        <v>0</v>
      </c>
    </row>
    <row r="154" spans="1:14" ht="12.75" customHeight="1" x14ac:dyDescent="0.3">
      <c r="A154" s="100">
        <v>19.09</v>
      </c>
      <c r="B154" s="144" t="s">
        <v>166</v>
      </c>
      <c r="C154" s="28" t="s">
        <v>29</v>
      </c>
      <c r="D154" s="29">
        <v>1</v>
      </c>
      <c r="E154" s="181">
        <v>3263223</v>
      </c>
      <c r="F154" s="181">
        <f t="shared" si="14"/>
        <v>3263223</v>
      </c>
      <c r="H154" s="245"/>
      <c r="I154" s="250"/>
      <c r="J154" s="250"/>
      <c r="K154" s="251">
        <f t="shared" si="15"/>
        <v>0</v>
      </c>
      <c r="L154" s="50">
        <f t="shared" si="16"/>
        <v>0</v>
      </c>
      <c r="M154" s="50">
        <f t="shared" si="17"/>
        <v>0</v>
      </c>
      <c r="N154" s="50">
        <f t="shared" si="18"/>
        <v>0</v>
      </c>
    </row>
    <row r="155" spans="1:14" ht="12.75" customHeight="1" x14ac:dyDescent="0.3">
      <c r="A155" s="100">
        <v>19.100000000000001</v>
      </c>
      <c r="B155" s="143" t="s">
        <v>167</v>
      </c>
      <c r="C155" s="28" t="s">
        <v>29</v>
      </c>
      <c r="D155" s="29">
        <v>1</v>
      </c>
      <c r="E155" s="181">
        <v>18413869</v>
      </c>
      <c r="F155" s="181">
        <f t="shared" si="14"/>
        <v>18413869</v>
      </c>
      <c r="H155" s="245"/>
      <c r="I155" s="250"/>
      <c r="J155" s="250"/>
      <c r="K155" s="251">
        <f t="shared" si="15"/>
        <v>0</v>
      </c>
      <c r="L155" s="50">
        <f t="shared" si="16"/>
        <v>0</v>
      </c>
      <c r="M155" s="50">
        <f t="shared" si="17"/>
        <v>0</v>
      </c>
      <c r="N155" s="50">
        <f t="shared" si="18"/>
        <v>0</v>
      </c>
    </row>
    <row r="156" spans="1:14" ht="12.75" customHeight="1" x14ac:dyDescent="0.3">
      <c r="A156" s="100">
        <v>19.11</v>
      </c>
      <c r="B156" s="145" t="s">
        <v>168</v>
      </c>
      <c r="C156" s="138" t="s">
        <v>29</v>
      </c>
      <c r="D156" s="139">
        <v>1</v>
      </c>
      <c r="E156" s="189">
        <v>6223474</v>
      </c>
      <c r="F156" s="189">
        <f t="shared" si="14"/>
        <v>6223474</v>
      </c>
      <c r="H156" s="245"/>
      <c r="I156" s="250"/>
      <c r="J156" s="250"/>
      <c r="K156" s="251">
        <f t="shared" si="15"/>
        <v>0</v>
      </c>
      <c r="L156" s="50">
        <f t="shared" si="16"/>
        <v>0</v>
      </c>
      <c r="M156" s="50">
        <f t="shared" si="17"/>
        <v>0</v>
      </c>
      <c r="N156" s="50">
        <f t="shared" si="18"/>
        <v>0</v>
      </c>
    </row>
    <row r="157" spans="1:14" ht="12.75" customHeight="1" x14ac:dyDescent="0.3">
      <c r="A157" s="13"/>
      <c r="B157" s="40" t="s">
        <v>169</v>
      </c>
      <c r="C157" s="18"/>
      <c r="D157" s="19"/>
      <c r="E157" s="19"/>
      <c r="F157" s="19"/>
      <c r="G157" s="192">
        <f>+SUM(F158)</f>
        <v>2637801</v>
      </c>
      <c r="H157" s="245">
        <f>+G157/$G$195</f>
        <v>3.1222297885257206E-3</v>
      </c>
      <c r="I157" s="246"/>
      <c r="J157" s="247"/>
      <c r="K157" s="247"/>
      <c r="L157" s="178"/>
      <c r="M157" s="178"/>
      <c r="N157" s="179"/>
    </row>
    <row r="158" spans="1:14" ht="12.75" customHeight="1" x14ac:dyDescent="0.3">
      <c r="A158" s="24">
        <v>19.12</v>
      </c>
      <c r="B158" s="36" t="s">
        <v>170</v>
      </c>
      <c r="C158" s="28" t="s">
        <v>29</v>
      </c>
      <c r="D158" s="29">
        <v>1</v>
      </c>
      <c r="E158" s="181">
        <v>2637801</v>
      </c>
      <c r="F158" s="181">
        <f t="shared" si="14"/>
        <v>2637801</v>
      </c>
      <c r="H158" s="245"/>
      <c r="I158" s="250"/>
      <c r="J158" s="250"/>
      <c r="K158" s="251">
        <f t="shared" si="15"/>
        <v>0</v>
      </c>
      <c r="L158" s="50">
        <f t="shared" si="16"/>
        <v>0</v>
      </c>
      <c r="M158" s="50">
        <f t="shared" si="17"/>
        <v>0</v>
      </c>
      <c r="N158" s="50">
        <f t="shared" si="18"/>
        <v>0</v>
      </c>
    </row>
    <row r="159" spans="1:14" ht="12.75" customHeight="1" x14ac:dyDescent="0.3">
      <c r="A159" s="13"/>
      <c r="B159" s="40" t="s">
        <v>171</v>
      </c>
      <c r="C159" s="18"/>
      <c r="D159" s="19"/>
      <c r="E159" s="19"/>
      <c r="F159" s="19"/>
      <c r="G159" s="192">
        <f>+SUM(F160:F161)</f>
        <v>39784561</v>
      </c>
      <c r="H159" s="245">
        <f>+G159/$G$195</f>
        <v>4.7090944873255651E-2</v>
      </c>
      <c r="I159" s="246"/>
      <c r="J159" s="247"/>
      <c r="K159" s="247"/>
      <c r="L159" s="178"/>
      <c r="M159" s="178"/>
      <c r="N159" s="179"/>
    </row>
    <row r="160" spans="1:14" ht="12.75" customHeight="1" x14ac:dyDescent="0.3">
      <c r="A160" s="20">
        <v>19.13</v>
      </c>
      <c r="B160" s="136" t="s">
        <v>172</v>
      </c>
      <c r="C160" s="122" t="s">
        <v>29</v>
      </c>
      <c r="D160" s="123">
        <v>1</v>
      </c>
      <c r="E160" s="181">
        <v>36002858</v>
      </c>
      <c r="F160" s="181">
        <f t="shared" si="14"/>
        <v>36002858</v>
      </c>
      <c r="H160" s="245"/>
      <c r="I160" s="250"/>
      <c r="J160" s="250"/>
      <c r="K160" s="251">
        <f t="shared" si="15"/>
        <v>0</v>
      </c>
      <c r="L160" s="50">
        <f t="shared" si="16"/>
        <v>0</v>
      </c>
      <c r="M160" s="50">
        <f t="shared" si="17"/>
        <v>0</v>
      </c>
      <c r="N160" s="50">
        <f t="shared" si="18"/>
        <v>0</v>
      </c>
    </row>
    <row r="161" spans="1:14" ht="12.75" customHeight="1" x14ac:dyDescent="0.3">
      <c r="A161" s="33">
        <v>19.14</v>
      </c>
      <c r="B161" s="137" t="s">
        <v>173</v>
      </c>
      <c r="C161" s="138" t="s">
        <v>29</v>
      </c>
      <c r="D161" s="139">
        <v>1</v>
      </c>
      <c r="E161" s="181">
        <v>3781703</v>
      </c>
      <c r="F161" s="181">
        <f t="shared" si="14"/>
        <v>3781703</v>
      </c>
      <c r="H161" s="245"/>
      <c r="I161" s="250"/>
      <c r="J161" s="250"/>
      <c r="K161" s="251">
        <f t="shared" si="15"/>
        <v>0</v>
      </c>
      <c r="L161" s="50">
        <f t="shared" si="16"/>
        <v>0</v>
      </c>
      <c r="M161" s="50">
        <f t="shared" si="17"/>
        <v>0</v>
      </c>
      <c r="N161" s="50">
        <f t="shared" si="18"/>
        <v>0</v>
      </c>
    </row>
    <row r="162" spans="1:14" ht="12.75" customHeight="1" x14ac:dyDescent="0.3">
      <c r="A162" s="13"/>
      <c r="B162" s="40" t="s">
        <v>174</v>
      </c>
      <c r="C162" s="18"/>
      <c r="D162" s="19"/>
      <c r="E162" s="19"/>
      <c r="F162" s="19"/>
      <c r="G162" s="192">
        <f>+SUM(F163)</f>
        <v>6439007</v>
      </c>
      <c r="H162" s="245">
        <f>+G162/$G$195</f>
        <v>7.6215224211097178E-3</v>
      </c>
      <c r="I162" s="246"/>
      <c r="J162" s="247"/>
      <c r="K162" s="247"/>
      <c r="L162" s="178"/>
      <c r="M162" s="178"/>
      <c r="N162" s="179"/>
    </row>
    <row r="163" spans="1:14" ht="12.75" customHeight="1" x14ac:dyDescent="0.3">
      <c r="A163" s="24">
        <v>19.149999999999999</v>
      </c>
      <c r="B163" s="98" t="s">
        <v>175</v>
      </c>
      <c r="C163" s="28" t="s">
        <v>29</v>
      </c>
      <c r="D163" s="29">
        <v>1</v>
      </c>
      <c r="E163" s="181">
        <v>6439007</v>
      </c>
      <c r="F163" s="181">
        <f t="shared" si="14"/>
        <v>6439007</v>
      </c>
      <c r="H163" s="245"/>
      <c r="I163" s="250"/>
      <c r="J163" s="250"/>
      <c r="K163" s="251">
        <f t="shared" si="15"/>
        <v>0</v>
      </c>
      <c r="L163" s="50">
        <f t="shared" si="16"/>
        <v>0</v>
      </c>
      <c r="M163" s="50">
        <f t="shared" si="17"/>
        <v>0</v>
      </c>
      <c r="N163" s="50">
        <f t="shared" si="18"/>
        <v>0</v>
      </c>
    </row>
    <row r="164" spans="1:14" ht="12.75" customHeight="1" x14ac:dyDescent="0.3">
      <c r="A164" s="13"/>
      <c r="B164" s="40" t="s">
        <v>176</v>
      </c>
      <c r="C164" s="18"/>
      <c r="D164" s="19"/>
      <c r="E164" s="19"/>
      <c r="F164" s="19"/>
      <c r="G164" s="192">
        <f>+SUM(F165:F168)</f>
        <v>33172785</v>
      </c>
      <c r="H164" s="245">
        <f t="shared" ref="H164:H192" si="19">+G164/$G$195</f>
        <v>3.9264924645702685E-2</v>
      </c>
      <c r="I164" s="246"/>
      <c r="J164" s="247"/>
      <c r="K164" s="247"/>
      <c r="L164" s="178"/>
      <c r="M164" s="178"/>
      <c r="N164" s="179"/>
    </row>
    <row r="165" spans="1:14" ht="12.75" customHeight="1" x14ac:dyDescent="0.3">
      <c r="A165" s="24">
        <v>19.16</v>
      </c>
      <c r="B165" s="143" t="s">
        <v>177</v>
      </c>
      <c r="C165" s="28" t="s">
        <v>29</v>
      </c>
      <c r="D165" s="29">
        <v>1</v>
      </c>
      <c r="E165" s="181">
        <v>27794007</v>
      </c>
      <c r="F165" s="181">
        <f t="shared" si="14"/>
        <v>27794007</v>
      </c>
      <c r="H165" s="245"/>
      <c r="I165" s="250"/>
      <c r="J165" s="250"/>
      <c r="K165" s="251">
        <f t="shared" si="15"/>
        <v>0</v>
      </c>
      <c r="L165" s="50">
        <f t="shared" si="16"/>
        <v>0</v>
      </c>
      <c r="M165" s="50">
        <f t="shared" si="17"/>
        <v>0</v>
      </c>
      <c r="N165" s="50">
        <f t="shared" si="18"/>
        <v>0</v>
      </c>
    </row>
    <row r="166" spans="1:14" ht="12.75" customHeight="1" x14ac:dyDescent="0.3">
      <c r="A166" s="24">
        <v>19.170000000000002</v>
      </c>
      <c r="B166" s="146" t="s">
        <v>178</v>
      </c>
      <c r="C166" s="147" t="s">
        <v>33</v>
      </c>
      <c r="D166" s="148">
        <v>8</v>
      </c>
      <c r="E166" s="181">
        <v>59973</v>
      </c>
      <c r="F166" s="181">
        <f t="shared" si="14"/>
        <v>479784</v>
      </c>
      <c r="H166" s="245"/>
      <c r="I166" s="250"/>
      <c r="J166" s="250"/>
      <c r="K166" s="251">
        <f t="shared" si="15"/>
        <v>0</v>
      </c>
      <c r="L166" s="50">
        <f t="shared" si="16"/>
        <v>0</v>
      </c>
      <c r="M166" s="50">
        <f t="shared" si="17"/>
        <v>0</v>
      </c>
      <c r="N166" s="50">
        <f t="shared" si="18"/>
        <v>0</v>
      </c>
    </row>
    <row r="167" spans="1:14" ht="12.75" customHeight="1" x14ac:dyDescent="0.3">
      <c r="A167" s="24">
        <v>19.18</v>
      </c>
      <c r="B167" s="146" t="s">
        <v>179</v>
      </c>
      <c r="C167" s="147" t="s">
        <v>29</v>
      </c>
      <c r="D167" s="148">
        <v>8</v>
      </c>
      <c r="E167" s="181">
        <v>27640</v>
      </c>
      <c r="F167" s="181">
        <f t="shared" si="14"/>
        <v>221120</v>
      </c>
      <c r="H167" s="245"/>
      <c r="I167" s="250"/>
      <c r="J167" s="250"/>
      <c r="K167" s="251">
        <f t="shared" si="15"/>
        <v>0</v>
      </c>
      <c r="L167" s="50">
        <f t="shared" si="16"/>
        <v>0</v>
      </c>
      <c r="M167" s="50">
        <f t="shared" si="17"/>
        <v>0</v>
      </c>
      <c r="N167" s="50">
        <f t="shared" si="18"/>
        <v>0</v>
      </c>
    </row>
    <row r="168" spans="1:14" ht="12.75" customHeight="1" x14ac:dyDescent="0.3">
      <c r="A168" s="100">
        <v>19.190000000000001</v>
      </c>
      <c r="B168" s="145" t="s">
        <v>180</v>
      </c>
      <c r="C168" s="138" t="s">
        <v>29</v>
      </c>
      <c r="D168" s="139">
        <v>1</v>
      </c>
      <c r="E168" s="181">
        <v>4677874</v>
      </c>
      <c r="F168" s="181">
        <f t="shared" si="14"/>
        <v>4677874</v>
      </c>
      <c r="H168" s="245"/>
      <c r="I168" s="250"/>
      <c r="J168" s="250"/>
      <c r="K168" s="251">
        <f t="shared" si="15"/>
        <v>0</v>
      </c>
      <c r="L168" s="50">
        <f t="shared" si="16"/>
        <v>0</v>
      </c>
      <c r="M168" s="50">
        <f t="shared" si="17"/>
        <v>0</v>
      </c>
      <c r="N168" s="50">
        <f t="shared" si="18"/>
        <v>0</v>
      </c>
    </row>
    <row r="169" spans="1:14" ht="12.75" customHeight="1" x14ac:dyDescent="0.3">
      <c r="A169" s="13">
        <v>20</v>
      </c>
      <c r="B169" s="40" t="s">
        <v>181</v>
      </c>
      <c r="C169" s="18"/>
      <c r="D169" s="19"/>
      <c r="E169" s="19"/>
      <c r="F169" s="19"/>
      <c r="G169" s="192">
        <f>+SUM(F170:F171)</f>
        <v>0</v>
      </c>
      <c r="H169" s="245">
        <f t="shared" si="19"/>
        <v>0</v>
      </c>
      <c r="I169" s="246"/>
      <c r="J169" s="247"/>
      <c r="K169" s="247"/>
      <c r="L169" s="178"/>
      <c r="M169" s="178"/>
      <c r="N169" s="179"/>
    </row>
    <row r="170" spans="1:14" ht="12.75" customHeight="1" x14ac:dyDescent="0.3">
      <c r="A170" s="106">
        <v>20.010000000000002</v>
      </c>
      <c r="B170" s="107" t="s">
        <v>182</v>
      </c>
      <c r="C170" s="120" t="s">
        <v>33</v>
      </c>
      <c r="D170" s="121">
        <v>0</v>
      </c>
      <c r="E170" s="183">
        <v>0</v>
      </c>
      <c r="F170" s="183">
        <f t="shared" si="14"/>
        <v>0</v>
      </c>
      <c r="H170" s="245"/>
      <c r="I170" s="250"/>
      <c r="J170" s="250"/>
      <c r="K170" s="251">
        <f t="shared" si="15"/>
        <v>0</v>
      </c>
      <c r="L170" s="50">
        <f t="shared" si="16"/>
        <v>0</v>
      </c>
      <c r="M170" s="50">
        <f t="shared" si="17"/>
        <v>0</v>
      </c>
      <c r="N170" s="50">
        <f t="shared" si="18"/>
        <v>0</v>
      </c>
    </row>
    <row r="171" spans="1:14" ht="12.75" customHeight="1" x14ac:dyDescent="0.3">
      <c r="A171" s="24">
        <v>20.02</v>
      </c>
      <c r="B171" s="25" t="s">
        <v>183</v>
      </c>
      <c r="C171" s="112" t="s">
        <v>33</v>
      </c>
      <c r="D171" s="27">
        <v>0</v>
      </c>
      <c r="E171" s="181">
        <v>0</v>
      </c>
      <c r="F171" s="181">
        <f t="shared" si="14"/>
        <v>0</v>
      </c>
      <c r="H171" s="245"/>
      <c r="I171" s="250"/>
      <c r="J171" s="250"/>
      <c r="K171" s="251">
        <f t="shared" si="15"/>
        <v>0</v>
      </c>
      <c r="L171" s="50">
        <f t="shared" si="16"/>
        <v>0</v>
      </c>
      <c r="M171" s="50">
        <f t="shared" si="17"/>
        <v>0</v>
      </c>
      <c r="N171" s="50">
        <f t="shared" si="18"/>
        <v>0</v>
      </c>
    </row>
    <row r="172" spans="1:14" ht="12.75" customHeight="1" x14ac:dyDescent="0.3">
      <c r="A172" s="13">
        <v>21</v>
      </c>
      <c r="B172" s="40" t="s">
        <v>184</v>
      </c>
      <c r="C172" s="18"/>
      <c r="D172" s="19"/>
      <c r="E172" s="19"/>
      <c r="F172" s="19"/>
      <c r="G172" s="192">
        <f>+SUM(F173)</f>
        <v>0</v>
      </c>
      <c r="H172" s="245">
        <f t="shared" si="19"/>
        <v>0</v>
      </c>
      <c r="I172" s="246"/>
      <c r="J172" s="247"/>
      <c r="K172" s="247"/>
      <c r="L172" s="178"/>
      <c r="M172" s="178"/>
      <c r="N172" s="179"/>
    </row>
    <row r="173" spans="1:14" ht="12.75" customHeight="1" x14ac:dyDescent="0.3">
      <c r="A173" s="149">
        <v>21.01</v>
      </c>
      <c r="B173" s="150" t="s">
        <v>185</v>
      </c>
      <c r="C173" s="151" t="s">
        <v>29</v>
      </c>
      <c r="D173" s="152">
        <v>1</v>
      </c>
      <c r="E173" s="184">
        <v>0</v>
      </c>
      <c r="F173" s="181">
        <f t="shared" si="14"/>
        <v>0</v>
      </c>
      <c r="G173" s="182"/>
      <c r="H173" s="245"/>
      <c r="I173" s="250"/>
      <c r="J173" s="250"/>
      <c r="K173" s="251">
        <f t="shared" si="15"/>
        <v>0</v>
      </c>
      <c r="L173" s="50">
        <f t="shared" si="16"/>
        <v>0</v>
      </c>
      <c r="M173" s="50">
        <f t="shared" si="17"/>
        <v>0</v>
      </c>
      <c r="N173" s="50">
        <f t="shared" si="18"/>
        <v>0</v>
      </c>
    </row>
    <row r="174" spans="1:14" ht="12.75" customHeight="1" x14ac:dyDescent="0.3">
      <c r="A174" s="13">
        <v>22</v>
      </c>
      <c r="B174" s="40" t="s">
        <v>186</v>
      </c>
      <c r="C174" s="18"/>
      <c r="D174" s="19"/>
      <c r="E174" s="19"/>
      <c r="F174" s="19"/>
      <c r="G174" s="192">
        <f>+SUM(F175:F176)</f>
        <v>2934560</v>
      </c>
      <c r="H174" s="245">
        <f t="shared" si="19"/>
        <v>3.4734882002910904E-3</v>
      </c>
      <c r="I174" s="246"/>
      <c r="J174" s="247"/>
      <c r="K174" s="247"/>
      <c r="L174" s="178"/>
      <c r="M174" s="178"/>
      <c r="N174" s="179"/>
    </row>
    <row r="175" spans="1:14" ht="12.75" customHeight="1" x14ac:dyDescent="0.3">
      <c r="A175" s="115">
        <v>22.01</v>
      </c>
      <c r="B175" s="131" t="s">
        <v>187</v>
      </c>
      <c r="C175" s="132" t="s">
        <v>33</v>
      </c>
      <c r="D175" s="153">
        <v>8</v>
      </c>
      <c r="E175" s="184">
        <v>91705</v>
      </c>
      <c r="F175" s="183">
        <f t="shared" si="14"/>
        <v>733640</v>
      </c>
      <c r="H175" s="245"/>
      <c r="I175" s="250"/>
      <c r="J175" s="250"/>
      <c r="K175" s="251">
        <f t="shared" si="15"/>
        <v>0</v>
      </c>
      <c r="L175" s="50">
        <f t="shared" si="16"/>
        <v>0</v>
      </c>
      <c r="M175" s="50">
        <f t="shared" si="17"/>
        <v>0</v>
      </c>
      <c r="N175" s="50">
        <f t="shared" si="18"/>
        <v>0</v>
      </c>
    </row>
    <row r="176" spans="1:14" ht="12.75" customHeight="1" x14ac:dyDescent="0.3">
      <c r="A176" s="100">
        <v>22.02</v>
      </c>
      <c r="B176" s="98" t="s">
        <v>188</v>
      </c>
      <c r="C176" s="133" t="s">
        <v>33</v>
      </c>
      <c r="D176" s="153">
        <v>24</v>
      </c>
      <c r="E176" s="184">
        <v>91705</v>
      </c>
      <c r="F176" s="183">
        <f t="shared" si="14"/>
        <v>2200920</v>
      </c>
      <c r="H176" s="245"/>
      <c r="I176" s="250"/>
      <c r="J176" s="250"/>
      <c r="K176" s="251">
        <f t="shared" si="15"/>
        <v>0</v>
      </c>
      <c r="L176" s="50">
        <f t="shared" si="16"/>
        <v>0</v>
      </c>
      <c r="M176" s="50">
        <f t="shared" si="17"/>
        <v>0</v>
      </c>
      <c r="N176" s="50">
        <f t="shared" si="18"/>
        <v>0</v>
      </c>
    </row>
    <row r="177" spans="1:14" ht="12.75" customHeight="1" x14ac:dyDescent="0.3">
      <c r="A177" s="13">
        <v>23</v>
      </c>
      <c r="B177" s="40" t="s">
        <v>189</v>
      </c>
      <c r="C177" s="18"/>
      <c r="D177" s="19"/>
      <c r="E177" s="19"/>
      <c r="F177" s="19"/>
      <c r="G177" s="192">
        <f>+SUM(F178:F181)</f>
        <v>19050437</v>
      </c>
      <c r="H177" s="245">
        <f t="shared" si="19"/>
        <v>2.2549025451818604E-2</v>
      </c>
      <c r="I177" s="246"/>
      <c r="J177" s="247"/>
      <c r="K177" s="247"/>
      <c r="L177" s="178"/>
      <c r="M177" s="178"/>
      <c r="N177" s="179"/>
    </row>
    <row r="178" spans="1:14" ht="12.75" customHeight="1" x14ac:dyDescent="0.3">
      <c r="A178" s="115">
        <v>23.01</v>
      </c>
      <c r="B178" s="21" t="s">
        <v>190</v>
      </c>
      <c r="C178" s="93" t="s">
        <v>29</v>
      </c>
      <c r="D178" s="94">
        <v>6</v>
      </c>
      <c r="E178" s="180">
        <v>259063</v>
      </c>
      <c r="F178" s="180">
        <f t="shared" si="14"/>
        <v>1554378</v>
      </c>
      <c r="G178" s="182"/>
      <c r="H178" s="245"/>
      <c r="I178" s="250"/>
      <c r="J178" s="250"/>
      <c r="K178" s="251">
        <f t="shared" si="15"/>
        <v>0</v>
      </c>
      <c r="L178" s="50">
        <f t="shared" si="16"/>
        <v>0</v>
      </c>
      <c r="M178" s="50">
        <f t="shared" si="17"/>
        <v>0</v>
      </c>
      <c r="N178" s="50">
        <f t="shared" si="18"/>
        <v>0</v>
      </c>
    </row>
    <row r="179" spans="1:14" ht="12.75" customHeight="1" x14ac:dyDescent="0.3">
      <c r="A179" s="100">
        <v>23.02</v>
      </c>
      <c r="B179" s="25" t="s">
        <v>191</v>
      </c>
      <c r="C179" s="30" t="s">
        <v>29</v>
      </c>
      <c r="D179" s="31">
        <v>1</v>
      </c>
      <c r="E179" s="181">
        <v>793947</v>
      </c>
      <c r="F179" s="181">
        <f t="shared" si="14"/>
        <v>793947</v>
      </c>
      <c r="H179" s="245"/>
      <c r="I179" s="250"/>
      <c r="J179" s="250"/>
      <c r="K179" s="251">
        <f t="shared" si="15"/>
        <v>0</v>
      </c>
      <c r="L179" s="50">
        <f t="shared" si="16"/>
        <v>0</v>
      </c>
      <c r="M179" s="50">
        <f t="shared" si="17"/>
        <v>0</v>
      </c>
      <c r="N179" s="50">
        <f t="shared" si="18"/>
        <v>0</v>
      </c>
    </row>
    <row r="180" spans="1:14" ht="12.75" customHeight="1" x14ac:dyDescent="0.3">
      <c r="A180" s="100">
        <v>23.03</v>
      </c>
      <c r="B180" s="25" t="s">
        <v>192</v>
      </c>
      <c r="C180" s="30" t="s">
        <v>19</v>
      </c>
      <c r="D180" s="31">
        <v>26</v>
      </c>
      <c r="E180" s="181">
        <v>27076</v>
      </c>
      <c r="F180" s="181">
        <f t="shared" si="14"/>
        <v>703976</v>
      </c>
      <c r="H180" s="245"/>
      <c r="I180" s="250"/>
      <c r="J180" s="250"/>
      <c r="K180" s="251">
        <f t="shared" si="15"/>
        <v>0</v>
      </c>
      <c r="L180" s="50">
        <f t="shared" si="16"/>
        <v>0</v>
      </c>
      <c r="M180" s="50">
        <f t="shared" si="17"/>
        <v>0</v>
      </c>
      <c r="N180" s="50">
        <f t="shared" si="18"/>
        <v>0</v>
      </c>
    </row>
    <row r="181" spans="1:14" ht="12.75" customHeight="1" x14ac:dyDescent="0.3">
      <c r="A181" s="130">
        <v>23.04</v>
      </c>
      <c r="B181" s="154" t="s">
        <v>193</v>
      </c>
      <c r="C181" s="155" t="s">
        <v>19</v>
      </c>
      <c r="D181" s="102">
        <v>231</v>
      </c>
      <c r="E181" s="189">
        <v>69256</v>
      </c>
      <c r="F181" s="189">
        <f t="shared" si="14"/>
        <v>15998136</v>
      </c>
      <c r="H181" s="245"/>
      <c r="I181" s="250"/>
      <c r="J181" s="250"/>
      <c r="K181" s="251">
        <f t="shared" si="15"/>
        <v>0</v>
      </c>
      <c r="L181" s="50">
        <f t="shared" si="16"/>
        <v>0</v>
      </c>
      <c r="M181" s="50">
        <f t="shared" si="17"/>
        <v>0</v>
      </c>
      <c r="N181" s="50">
        <f t="shared" si="18"/>
        <v>0</v>
      </c>
    </row>
    <row r="182" spans="1:14" ht="12.75" customHeight="1" x14ac:dyDescent="0.3">
      <c r="A182" s="13">
        <v>24</v>
      </c>
      <c r="B182" s="40" t="s">
        <v>194</v>
      </c>
      <c r="C182" s="18"/>
      <c r="D182" s="19"/>
      <c r="E182" s="19"/>
      <c r="F182" s="19"/>
      <c r="G182" s="193">
        <f>+SUM(F183:F191)</f>
        <v>76903896</v>
      </c>
      <c r="H182" s="245">
        <f t="shared" si="19"/>
        <v>9.1027198391722505E-2</v>
      </c>
      <c r="I182" s="246"/>
      <c r="J182" s="247"/>
      <c r="K182" s="247"/>
      <c r="L182" s="178"/>
      <c r="M182" s="178"/>
      <c r="N182" s="179"/>
    </row>
    <row r="183" spans="1:14" ht="12.75" customHeight="1" x14ac:dyDescent="0.3">
      <c r="A183" s="20">
        <v>24.01</v>
      </c>
      <c r="B183" s="156" t="s">
        <v>195</v>
      </c>
      <c r="C183" s="22" t="s">
        <v>196</v>
      </c>
      <c r="D183" s="94">
        <v>17</v>
      </c>
      <c r="E183" s="181">
        <v>973327</v>
      </c>
      <c r="F183" s="181">
        <f t="shared" si="14"/>
        <v>16546559</v>
      </c>
      <c r="H183" s="245"/>
      <c r="I183" s="250"/>
      <c r="J183" s="288">
        <v>0.05</v>
      </c>
      <c r="K183" s="251">
        <f t="shared" si="15"/>
        <v>0.05</v>
      </c>
      <c r="L183" s="50">
        <f t="shared" si="16"/>
        <v>0</v>
      </c>
      <c r="M183" s="50">
        <f t="shared" si="17"/>
        <v>827327.95000000007</v>
      </c>
      <c r="N183" s="50">
        <f t="shared" si="18"/>
        <v>827327.95000000007</v>
      </c>
    </row>
    <row r="184" spans="1:14" ht="12.75" customHeight="1" x14ac:dyDescent="0.3">
      <c r="A184" s="24">
        <v>24.02</v>
      </c>
      <c r="B184" s="157" t="s">
        <v>197</v>
      </c>
      <c r="C184" s="26" t="s">
        <v>196</v>
      </c>
      <c r="D184" s="31">
        <v>4</v>
      </c>
      <c r="E184" s="181">
        <v>2005316</v>
      </c>
      <c r="F184" s="181">
        <f t="shared" si="14"/>
        <v>8021264</v>
      </c>
      <c r="H184" s="245"/>
      <c r="I184" s="250"/>
      <c r="J184" s="288">
        <v>0.25</v>
      </c>
      <c r="K184" s="251">
        <f t="shared" si="15"/>
        <v>0.25</v>
      </c>
      <c r="L184" s="50">
        <f t="shared" si="16"/>
        <v>0</v>
      </c>
      <c r="M184" s="50">
        <f t="shared" si="17"/>
        <v>2005316</v>
      </c>
      <c r="N184" s="50">
        <f t="shared" si="18"/>
        <v>2005316</v>
      </c>
    </row>
    <row r="185" spans="1:14" ht="12.75" customHeight="1" x14ac:dyDescent="0.3">
      <c r="A185" s="24">
        <v>24.03</v>
      </c>
      <c r="B185" s="158" t="s">
        <v>198</v>
      </c>
      <c r="C185" s="26" t="s">
        <v>196</v>
      </c>
      <c r="D185" s="31">
        <v>17</v>
      </c>
      <c r="E185" s="181">
        <v>199910</v>
      </c>
      <c r="F185" s="181">
        <f t="shared" si="14"/>
        <v>3398470</v>
      </c>
      <c r="H185" s="245"/>
      <c r="I185" s="250"/>
      <c r="J185" s="288">
        <v>0.05</v>
      </c>
      <c r="K185" s="251">
        <f t="shared" si="15"/>
        <v>0.05</v>
      </c>
      <c r="L185" s="50">
        <f t="shared" si="16"/>
        <v>0</v>
      </c>
      <c r="M185" s="50">
        <f t="shared" si="17"/>
        <v>169923.5</v>
      </c>
      <c r="N185" s="50">
        <f t="shared" si="18"/>
        <v>169923.5</v>
      </c>
    </row>
    <row r="186" spans="1:14" ht="12.75" customHeight="1" x14ac:dyDescent="0.3">
      <c r="A186" s="24">
        <v>24.04</v>
      </c>
      <c r="B186" s="158" t="s">
        <v>199</v>
      </c>
      <c r="C186" s="26" t="s">
        <v>29</v>
      </c>
      <c r="D186" s="27">
        <v>1</v>
      </c>
      <c r="E186" s="181">
        <v>6284456</v>
      </c>
      <c r="F186" s="181">
        <f t="shared" si="14"/>
        <v>6284456</v>
      </c>
      <c r="H186" s="245"/>
      <c r="I186" s="250"/>
      <c r="J186" s="288"/>
      <c r="K186" s="251">
        <f t="shared" si="15"/>
        <v>0</v>
      </c>
      <c r="L186" s="50">
        <f t="shared" si="16"/>
        <v>0</v>
      </c>
      <c r="M186" s="50">
        <f t="shared" si="17"/>
        <v>0</v>
      </c>
      <c r="N186" s="50">
        <f t="shared" si="18"/>
        <v>0</v>
      </c>
    </row>
    <row r="187" spans="1:14" ht="12.75" customHeight="1" x14ac:dyDescent="0.3">
      <c r="A187" s="24">
        <v>24.05</v>
      </c>
      <c r="B187" s="158" t="s">
        <v>200</v>
      </c>
      <c r="C187" s="159" t="s">
        <v>196</v>
      </c>
      <c r="D187" s="31">
        <v>17</v>
      </c>
      <c r="E187" s="181">
        <v>873895</v>
      </c>
      <c r="F187" s="181">
        <f t="shared" si="14"/>
        <v>14856215</v>
      </c>
      <c r="G187" s="194"/>
      <c r="H187" s="245"/>
      <c r="I187" s="250"/>
      <c r="J187" s="288"/>
      <c r="K187" s="251">
        <f t="shared" si="15"/>
        <v>0</v>
      </c>
      <c r="L187" s="50">
        <f t="shared" si="16"/>
        <v>0</v>
      </c>
      <c r="M187" s="50">
        <f t="shared" si="17"/>
        <v>0</v>
      </c>
      <c r="N187" s="50">
        <f t="shared" si="18"/>
        <v>0</v>
      </c>
    </row>
    <row r="188" spans="1:14" ht="12.75" customHeight="1" x14ac:dyDescent="0.3">
      <c r="A188" s="24">
        <v>24.06</v>
      </c>
      <c r="B188" s="158" t="s">
        <v>201</v>
      </c>
      <c r="C188" s="159" t="s">
        <v>196</v>
      </c>
      <c r="D188" s="31">
        <v>17</v>
      </c>
      <c r="E188" s="181">
        <v>577178</v>
      </c>
      <c r="F188" s="181">
        <f t="shared" si="14"/>
        <v>9812026</v>
      </c>
      <c r="G188" s="194"/>
      <c r="H188" s="245"/>
      <c r="I188" s="250"/>
      <c r="J188" s="288"/>
      <c r="K188" s="251">
        <f t="shared" si="15"/>
        <v>0</v>
      </c>
      <c r="L188" s="50">
        <f t="shared" si="16"/>
        <v>0</v>
      </c>
      <c r="M188" s="50">
        <f t="shared" si="17"/>
        <v>0</v>
      </c>
      <c r="N188" s="50">
        <f t="shared" si="18"/>
        <v>0</v>
      </c>
    </row>
    <row r="189" spans="1:14" ht="12.75" customHeight="1" x14ac:dyDescent="0.3">
      <c r="A189" s="24">
        <v>24.07</v>
      </c>
      <c r="B189" s="158" t="s">
        <v>202</v>
      </c>
      <c r="C189" s="159" t="s">
        <v>29</v>
      </c>
      <c r="D189" s="27">
        <v>1</v>
      </c>
      <c r="E189" s="181">
        <v>5277814</v>
      </c>
      <c r="F189" s="181">
        <f t="shared" si="14"/>
        <v>5277814</v>
      </c>
      <c r="G189" s="194"/>
      <c r="H189" s="245"/>
      <c r="I189" s="250"/>
      <c r="J189" s="288"/>
      <c r="K189" s="251">
        <f t="shared" si="15"/>
        <v>0</v>
      </c>
      <c r="L189" s="50">
        <f t="shared" si="16"/>
        <v>0</v>
      </c>
      <c r="M189" s="50">
        <f t="shared" si="17"/>
        <v>0</v>
      </c>
      <c r="N189" s="50">
        <f t="shared" si="18"/>
        <v>0</v>
      </c>
    </row>
    <row r="190" spans="1:14" ht="12.75" customHeight="1" x14ac:dyDescent="0.3">
      <c r="A190" s="24">
        <v>24.08</v>
      </c>
      <c r="B190" s="158" t="s">
        <v>203</v>
      </c>
      <c r="C190" s="159" t="s">
        <v>196</v>
      </c>
      <c r="D190" s="31">
        <v>17</v>
      </c>
      <c r="E190" s="181">
        <v>399819</v>
      </c>
      <c r="F190" s="181">
        <f t="shared" si="14"/>
        <v>6796923</v>
      </c>
      <c r="G190" s="194"/>
      <c r="H190" s="245"/>
      <c r="I190" s="250"/>
      <c r="J190" s="288">
        <v>0.03</v>
      </c>
      <c r="K190" s="251">
        <f t="shared" si="15"/>
        <v>0.03</v>
      </c>
      <c r="L190" s="50">
        <f t="shared" si="16"/>
        <v>0</v>
      </c>
      <c r="M190" s="50">
        <f t="shared" si="17"/>
        <v>203907.69</v>
      </c>
      <c r="N190" s="50">
        <f t="shared" si="18"/>
        <v>203907.69</v>
      </c>
    </row>
    <row r="191" spans="1:14" ht="12.75" customHeight="1" x14ac:dyDescent="0.3">
      <c r="A191" s="24">
        <v>24.09</v>
      </c>
      <c r="B191" s="160" t="s">
        <v>204</v>
      </c>
      <c r="C191" s="161" t="s">
        <v>196</v>
      </c>
      <c r="D191" s="31">
        <v>17</v>
      </c>
      <c r="E191" s="189">
        <v>347657</v>
      </c>
      <c r="F191" s="189">
        <f t="shared" si="14"/>
        <v>5910169</v>
      </c>
      <c r="G191" s="194"/>
      <c r="H191" s="245"/>
      <c r="I191" s="250"/>
      <c r="J191" s="288">
        <v>0.03</v>
      </c>
      <c r="K191" s="251">
        <f t="shared" si="15"/>
        <v>0.03</v>
      </c>
      <c r="L191" s="50">
        <f t="shared" si="16"/>
        <v>0</v>
      </c>
      <c r="M191" s="50">
        <f t="shared" si="17"/>
        <v>177305.07</v>
      </c>
      <c r="N191" s="50">
        <f t="shared" si="18"/>
        <v>177305.07</v>
      </c>
    </row>
    <row r="192" spans="1:14" ht="12.75" customHeight="1" x14ac:dyDescent="0.3">
      <c r="A192" s="13">
        <v>25</v>
      </c>
      <c r="B192" s="40" t="s">
        <v>205</v>
      </c>
      <c r="C192" s="18"/>
      <c r="D192" s="19"/>
      <c r="E192" s="19"/>
      <c r="F192" s="19"/>
      <c r="G192" s="193">
        <f>+SUM(F193:F194)</f>
        <v>110386593</v>
      </c>
      <c r="H192" s="245">
        <f t="shared" si="19"/>
        <v>0.13065894998086086</v>
      </c>
      <c r="I192" s="246"/>
      <c r="J192" s="247"/>
      <c r="K192" s="247"/>
      <c r="L192" s="178"/>
      <c r="M192" s="178"/>
      <c r="N192" s="179"/>
    </row>
    <row r="193" spans="1:14" ht="12.75" customHeight="1" x14ac:dyDescent="0.3">
      <c r="A193" s="20">
        <v>25.01</v>
      </c>
      <c r="B193" s="21" t="s">
        <v>206</v>
      </c>
      <c r="C193" s="93" t="s">
        <v>196</v>
      </c>
      <c r="D193" s="94">
        <v>17</v>
      </c>
      <c r="E193" s="184">
        <v>5826965</v>
      </c>
      <c r="F193" s="183">
        <f t="shared" si="14"/>
        <v>99058405</v>
      </c>
      <c r="G193" s="195"/>
      <c r="H193" s="245"/>
      <c r="I193" s="250"/>
      <c r="J193" s="288">
        <v>0.05</v>
      </c>
      <c r="K193" s="251">
        <f t="shared" si="15"/>
        <v>0.05</v>
      </c>
      <c r="L193" s="50">
        <f t="shared" si="16"/>
        <v>0</v>
      </c>
      <c r="M193" s="50">
        <f t="shared" si="17"/>
        <v>4952920.25</v>
      </c>
      <c r="N193" s="50">
        <f t="shared" si="18"/>
        <v>4952920.25</v>
      </c>
    </row>
    <row r="194" spans="1:14" ht="12.75" customHeight="1" x14ac:dyDescent="0.3">
      <c r="A194" s="33">
        <v>25.02</v>
      </c>
      <c r="B194" s="38" t="s">
        <v>207</v>
      </c>
      <c r="C194" s="34" t="s">
        <v>196</v>
      </c>
      <c r="D194" s="35">
        <v>17</v>
      </c>
      <c r="E194" s="184">
        <v>666364</v>
      </c>
      <c r="F194" s="181">
        <f t="shared" si="14"/>
        <v>11328188</v>
      </c>
      <c r="G194" s="196"/>
      <c r="H194" s="245"/>
      <c r="I194" s="255"/>
      <c r="J194" s="289">
        <v>0.05</v>
      </c>
      <c r="K194" s="256">
        <f t="shared" si="15"/>
        <v>0.05</v>
      </c>
      <c r="L194" s="257">
        <f t="shared" si="16"/>
        <v>0</v>
      </c>
      <c r="M194" s="257">
        <f t="shared" si="17"/>
        <v>566409.4</v>
      </c>
      <c r="N194" s="257">
        <f t="shared" si="18"/>
        <v>566409.4</v>
      </c>
    </row>
    <row r="195" spans="1:14" ht="12.75" customHeight="1" x14ac:dyDescent="0.3">
      <c r="A195" s="13"/>
      <c r="B195" s="40" t="s">
        <v>208</v>
      </c>
      <c r="C195" s="18"/>
      <c r="D195" s="19"/>
      <c r="E195" s="19"/>
      <c r="F195" s="197">
        <f>SUM(F9:F194)</f>
        <v>844845248</v>
      </c>
      <c r="G195" s="192">
        <f>SUM(G9:G194)</f>
        <v>844845248</v>
      </c>
      <c r="H195" s="245">
        <f>+SUM(H9:H194)</f>
        <v>0.99999999999999978</v>
      </c>
      <c r="I195" s="258"/>
      <c r="J195" s="259"/>
      <c r="K195" s="259"/>
      <c r="L195" s="260">
        <f>+SUM(L10:L194)</f>
        <v>0</v>
      </c>
      <c r="M195" s="290">
        <f>+SUM(M10:M194)</f>
        <v>8903109.8599999994</v>
      </c>
      <c r="N195" s="261">
        <f>+SUM(N10:N194)</f>
        <v>8903109.8599999994</v>
      </c>
    </row>
    <row r="196" spans="1:14" s="41" customFormat="1" ht="13" x14ac:dyDescent="0.3">
      <c r="A196" s="43"/>
      <c r="B196" s="44"/>
      <c r="C196" s="45"/>
      <c r="D196" s="46"/>
      <c r="E196" s="198"/>
      <c r="F196" s="198"/>
      <c r="G196" s="199"/>
      <c r="H196" s="177"/>
      <c r="I196" s="200"/>
      <c r="J196" s="200"/>
      <c r="K196" s="200"/>
      <c r="L196" s="200"/>
      <c r="M196" s="287">
        <f>+M195/G195</f>
        <v>1.0538154627816525E-2</v>
      </c>
      <c r="N196" s="254">
        <f>+N195/G195</f>
        <v>1.0538154627816525E-2</v>
      </c>
    </row>
    <row r="197" spans="1:14" s="41" customFormat="1" ht="13" x14ac:dyDescent="0.3">
      <c r="A197" s="42"/>
      <c r="B197" s="88"/>
      <c r="C197" s="89"/>
      <c r="D197" s="9"/>
      <c r="E197" s="201"/>
      <c r="F197" s="201"/>
      <c r="G197" s="166"/>
      <c r="H197" s="177"/>
      <c r="I197" s="200"/>
      <c r="J197" s="200"/>
      <c r="K197" s="200"/>
      <c r="L197" s="200"/>
      <c r="M197" s="51"/>
      <c r="N197" s="51"/>
    </row>
    <row r="198" spans="1:14" ht="12.75" customHeight="1" x14ac:dyDescent="0.3">
      <c r="A198" s="39"/>
      <c r="B198" s="47"/>
      <c r="D198" s="48"/>
      <c r="E198" s="9"/>
      <c r="F198" s="9"/>
      <c r="G198" s="202"/>
      <c r="I198" s="200"/>
      <c r="J198" s="200"/>
      <c r="K198" s="200"/>
      <c r="L198" s="200"/>
      <c r="M198" s="51"/>
      <c r="N198" s="51"/>
    </row>
    <row r="199" spans="1:14" ht="12.75" customHeight="1" x14ac:dyDescent="0.3">
      <c r="A199" s="52"/>
      <c r="B199" s="53" t="s">
        <v>209</v>
      </c>
      <c r="C199" s="54"/>
      <c r="D199" s="55"/>
      <c r="E199" s="203"/>
      <c r="F199" s="204"/>
      <c r="G199" s="205"/>
      <c r="H199" s="205"/>
      <c r="I199" s="204"/>
      <c r="J199" s="206"/>
      <c r="K199" s="207" t="s">
        <v>210</v>
      </c>
      <c r="L199" s="208">
        <f>+J5</f>
        <v>1</v>
      </c>
      <c r="M199" s="209"/>
      <c r="N199" s="57">
        <f>+N5</f>
        <v>45747</v>
      </c>
    </row>
    <row r="200" spans="1:14" ht="12.75" customHeight="1" x14ac:dyDescent="0.3">
      <c r="A200" s="58"/>
      <c r="B200" s="53" t="s">
        <v>9</v>
      </c>
      <c r="C200" s="56"/>
      <c r="D200" s="59"/>
      <c r="E200" s="211"/>
      <c r="F200" s="205"/>
      <c r="G200" s="205"/>
      <c r="H200" s="205"/>
      <c r="I200" s="205"/>
      <c r="J200" s="209"/>
      <c r="K200" s="205"/>
      <c r="L200" s="205"/>
      <c r="M200" s="209" t="s">
        <v>211</v>
      </c>
      <c r="N200" s="210" t="s">
        <v>212</v>
      </c>
    </row>
    <row r="201" spans="1:14" ht="12.75" customHeight="1" x14ac:dyDescent="0.3">
      <c r="A201" s="60" t="s">
        <v>213</v>
      </c>
      <c r="B201" s="61" t="s">
        <v>214</v>
      </c>
      <c r="C201" s="60"/>
      <c r="D201" s="62"/>
      <c r="E201" s="212"/>
      <c r="F201" s="213"/>
      <c r="G201" s="214"/>
      <c r="H201" s="214"/>
      <c r="I201" s="213"/>
      <c r="J201" s="215"/>
      <c r="K201" s="213"/>
      <c r="L201" s="213"/>
      <c r="M201" s="213"/>
      <c r="N201" s="63">
        <f>+G195</f>
        <v>844845248</v>
      </c>
    </row>
    <row r="202" spans="1:14" ht="12.75" customHeight="1" x14ac:dyDescent="0.3">
      <c r="A202" s="64" t="s">
        <v>215</v>
      </c>
      <c r="B202" s="65" t="s">
        <v>216</v>
      </c>
      <c r="C202" s="66"/>
      <c r="D202" s="67"/>
      <c r="E202" s="216"/>
      <c r="F202" s="217"/>
      <c r="G202" s="218"/>
      <c r="H202" s="218"/>
      <c r="I202" s="217"/>
      <c r="J202" s="219"/>
      <c r="K202" s="217"/>
      <c r="L202" s="217"/>
      <c r="M202" s="236">
        <v>0.1</v>
      </c>
      <c r="N202" s="220">
        <f>+M202*N201</f>
        <v>84484524.800000012</v>
      </c>
    </row>
    <row r="203" spans="1:14" ht="12.75" customHeight="1" x14ac:dyDescent="0.3">
      <c r="A203" s="68" t="s">
        <v>217</v>
      </c>
      <c r="B203" s="69" t="s">
        <v>218</v>
      </c>
      <c r="C203" s="70"/>
      <c r="D203" s="71"/>
      <c r="E203" s="221"/>
      <c r="F203" s="222"/>
      <c r="G203" s="223"/>
      <c r="H203" s="223"/>
      <c r="I203" s="222"/>
      <c r="J203" s="224"/>
      <c r="K203" s="222"/>
      <c r="L203" s="222"/>
      <c r="M203" s="237"/>
      <c r="N203" s="225">
        <f>+M195</f>
        <v>8903109.8599999994</v>
      </c>
    </row>
    <row r="204" spans="1:14" ht="12.75" customHeight="1" x14ac:dyDescent="0.3">
      <c r="A204" s="64" t="s">
        <v>219</v>
      </c>
      <c r="B204" s="65" t="s">
        <v>220</v>
      </c>
      <c r="C204" s="66"/>
      <c r="D204" s="67"/>
      <c r="E204" s="216"/>
      <c r="F204" s="217"/>
      <c r="G204" s="218"/>
      <c r="H204" s="218"/>
      <c r="I204" s="217"/>
      <c r="J204" s="219"/>
      <c r="K204" s="217"/>
      <c r="L204" s="217"/>
      <c r="M204" s="238">
        <f>-M202</f>
        <v>-0.1</v>
      </c>
      <c r="N204" s="241">
        <f>+M204*N203</f>
        <v>-890310.98600000003</v>
      </c>
    </row>
    <row r="205" spans="1:14" ht="12.75" customHeight="1" x14ac:dyDescent="0.3">
      <c r="A205" s="72" t="s">
        <v>221</v>
      </c>
      <c r="B205" s="73" t="s">
        <v>222</v>
      </c>
      <c r="C205" s="74"/>
      <c r="D205" s="75"/>
      <c r="E205" s="226"/>
      <c r="F205" s="223"/>
      <c r="G205" s="223"/>
      <c r="H205" s="223"/>
      <c r="I205" s="223" t="s">
        <v>223</v>
      </c>
      <c r="J205" s="227" t="s">
        <v>224</v>
      </c>
      <c r="K205" s="223"/>
      <c r="L205" s="223"/>
      <c r="M205" s="239"/>
      <c r="N205" s="242">
        <f>+N203+N204</f>
        <v>8012798.8739999998</v>
      </c>
    </row>
    <row r="206" spans="1:14" ht="12.75" customHeight="1" x14ac:dyDescent="0.3">
      <c r="A206" s="76" t="s">
        <v>225</v>
      </c>
      <c r="B206" s="77" t="s">
        <v>226</v>
      </c>
      <c r="C206" s="78"/>
      <c r="D206" s="79"/>
      <c r="E206" s="228"/>
      <c r="F206" s="229"/>
      <c r="G206" s="230"/>
      <c r="H206" s="229"/>
      <c r="I206" s="231">
        <v>15356.4</v>
      </c>
      <c r="J206" s="231">
        <v>15852.4</v>
      </c>
      <c r="K206" s="230"/>
      <c r="L206" s="80">
        <f>J206/I206</f>
        <v>1.0322992368002917</v>
      </c>
      <c r="M206" s="240">
        <f>L206-1</f>
        <v>3.2299236800291675E-2</v>
      </c>
      <c r="N206" s="243">
        <f>N205*M206</f>
        <v>258807.2882644365</v>
      </c>
    </row>
    <row r="207" spans="1:14" ht="12.75" customHeight="1" x14ac:dyDescent="0.3">
      <c r="A207" s="81" t="s">
        <v>227</v>
      </c>
      <c r="B207" s="82" t="s">
        <v>228</v>
      </c>
      <c r="C207" s="83"/>
      <c r="D207" s="84"/>
      <c r="E207" s="232"/>
      <c r="F207" s="233"/>
      <c r="G207" s="233"/>
      <c r="H207" s="233"/>
      <c r="I207" s="233"/>
      <c r="J207" s="234"/>
      <c r="K207" s="233"/>
      <c r="L207" s="233"/>
      <c r="M207" s="233"/>
      <c r="N207" s="244">
        <f>N205+N206</f>
        <v>8271606.1622644365</v>
      </c>
    </row>
    <row r="208" spans="1:14" ht="12.75" customHeight="1" x14ac:dyDescent="0.3">
      <c r="C208" s="85"/>
      <c r="H208" s="235"/>
      <c r="I208" s="235"/>
      <c r="J208" s="235"/>
      <c r="K208" s="235"/>
      <c r="L208" s="235"/>
      <c r="M208" s="235"/>
      <c r="N208" s="235"/>
    </row>
  </sheetData>
  <mergeCells count="2">
    <mergeCell ref="I7:K7"/>
    <mergeCell ref="L7:N7"/>
  </mergeCells>
  <conditionalFormatting sqref="C3:C197">
    <cfRule type="cellIs" dxfId="55" priority="2" operator="equal">
      <formula>"x"</formula>
    </cfRule>
  </conditionalFormatting>
  <conditionalFormatting sqref="K10:K23 K25:K31 K33 K35:K40 K42:K49 K51:K53 K55:K58 K60:K70 K72:K74 K76:K79 K81:K87 K89:K100 K102 K104:K107 K109:K141 K144:K146 K148:K150 K152:K156 K158 K160:K161 K163 K165:K168 K170:K171 K173 K175:K176 K178:K181 K183:K191 K193:K194">
    <cfRule type="cellIs" dxfId="54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7CFB3-75E7-44BB-B4D4-19F000AF1E9F}">
  <dimension ref="A1:N208"/>
  <sheetViews>
    <sheetView topLeftCell="A179" zoomScaleNormal="100" workbookViewId="0">
      <selection activeCell="M196" sqref="M196"/>
    </sheetView>
  </sheetViews>
  <sheetFormatPr defaultColWidth="11.54296875" defaultRowHeight="12.75" customHeight="1" x14ac:dyDescent="0.3"/>
  <cols>
    <col min="1" max="1" width="7" style="1" bestFit="1" customWidth="1"/>
    <col min="2" max="2" width="56.36328125" style="2" customWidth="1"/>
    <col min="3" max="3" width="4.08984375" style="3" bestFit="1" customWidth="1"/>
    <col min="4" max="4" width="7" style="4" bestFit="1" customWidth="1"/>
    <col min="5" max="5" width="14.36328125" style="86" bestFit="1" customWidth="1"/>
    <col min="6" max="6" width="15.6328125" style="86" bestFit="1" customWidth="1"/>
    <col min="7" max="7" width="14.6328125" style="87" bestFit="1" customWidth="1"/>
    <col min="8" max="8" width="8.54296875" style="92" bestFit="1" customWidth="1"/>
    <col min="9" max="9" width="14" style="92" bestFit="1" customWidth="1"/>
    <col min="10" max="10" width="12.08984375" style="92" customWidth="1"/>
    <col min="11" max="11" width="11.36328125" style="92" bestFit="1" customWidth="1"/>
    <col min="12" max="12" width="13.36328125" style="92" customWidth="1"/>
    <col min="13" max="13" width="12.453125" style="92" bestFit="1" customWidth="1"/>
    <col min="14" max="14" width="15.6328125" style="92" customWidth="1"/>
    <col min="15" max="15" width="12.08984375" style="5" customWidth="1"/>
    <col min="16" max="16384" width="11.54296875" style="5"/>
  </cols>
  <sheetData>
    <row r="1" spans="1:14" ht="12.75" customHeight="1" x14ac:dyDescent="0.3">
      <c r="F1" s="162" t="s">
        <v>0</v>
      </c>
      <c r="G1" s="162" t="s">
        <v>1</v>
      </c>
    </row>
    <row r="2" spans="1:14" ht="13" x14ac:dyDescent="0.3">
      <c r="F2" s="163">
        <v>1066.5</v>
      </c>
      <c r="G2" s="163">
        <v>1170</v>
      </c>
    </row>
    <row r="3" spans="1:14" s="10" customFormat="1" ht="13" x14ac:dyDescent="0.25">
      <c r="A3" s="6"/>
      <c r="B3" s="7"/>
      <c r="C3" s="8"/>
      <c r="D3" s="9"/>
      <c r="E3" s="9"/>
      <c r="F3" s="9"/>
      <c r="G3" s="164"/>
      <c r="H3" s="165"/>
      <c r="I3" s="165"/>
      <c r="J3" s="165"/>
      <c r="K3" s="165"/>
      <c r="L3" s="165"/>
      <c r="M3" s="165"/>
      <c r="N3" s="165"/>
    </row>
    <row r="4" spans="1:14" s="10" customFormat="1" ht="13" x14ac:dyDescent="0.25">
      <c r="A4" s="6"/>
      <c r="B4" s="7"/>
      <c r="C4" s="8"/>
      <c r="D4" s="9"/>
      <c r="E4" s="9"/>
      <c r="F4" s="166">
        <v>45667</v>
      </c>
      <c r="G4" s="164"/>
      <c r="H4" s="165"/>
      <c r="I4" s="165"/>
      <c r="J4" s="165"/>
      <c r="K4" s="165"/>
      <c r="L4" s="165"/>
      <c r="M4" s="165"/>
      <c r="N4" s="165"/>
    </row>
    <row r="5" spans="1:14" s="10" customFormat="1" ht="13" x14ac:dyDescent="0.3">
      <c r="A5" s="6"/>
      <c r="B5" s="90" t="s">
        <v>2</v>
      </c>
      <c r="C5" s="8"/>
      <c r="D5" s="9"/>
      <c r="E5" s="167"/>
      <c r="F5" s="167"/>
      <c r="G5" s="164"/>
      <c r="H5" s="165"/>
      <c r="I5" s="168" t="s">
        <v>3</v>
      </c>
      <c r="J5" s="169">
        <v>2</v>
      </c>
      <c r="K5" s="170"/>
      <c r="L5" s="170"/>
      <c r="M5" s="171"/>
      <c r="N5" s="49">
        <v>45777</v>
      </c>
    </row>
    <row r="6" spans="1:14" s="10" customFormat="1" ht="13" x14ac:dyDescent="0.25">
      <c r="A6" s="6"/>
      <c r="B6" s="90" t="s">
        <v>4</v>
      </c>
      <c r="C6" s="8"/>
      <c r="D6" s="9"/>
      <c r="E6" s="172"/>
      <c r="F6" s="172"/>
      <c r="G6" s="164"/>
      <c r="H6" s="165"/>
      <c r="I6" s="165"/>
      <c r="J6" s="165"/>
      <c r="K6" s="165"/>
      <c r="L6" s="165"/>
      <c r="M6" s="165"/>
      <c r="N6" s="165"/>
    </row>
    <row r="7" spans="1:14" s="10" customFormat="1" ht="13" x14ac:dyDescent="0.25">
      <c r="A7" s="6"/>
      <c r="B7" s="91" t="s">
        <v>5</v>
      </c>
      <c r="C7" s="11"/>
      <c r="D7" s="12"/>
      <c r="E7" s="173"/>
      <c r="F7" s="172"/>
      <c r="G7" s="164"/>
      <c r="H7" s="165"/>
      <c r="I7" s="330" t="s">
        <v>6</v>
      </c>
      <c r="J7" s="330"/>
      <c r="K7" s="330"/>
      <c r="L7" s="330" t="s">
        <v>7</v>
      </c>
      <c r="M7" s="330"/>
      <c r="N7" s="330"/>
    </row>
    <row r="8" spans="1:14" ht="13" x14ac:dyDescent="0.3">
      <c r="A8" s="13" t="s">
        <v>8</v>
      </c>
      <c r="B8" s="14" t="s">
        <v>9</v>
      </c>
      <c r="C8" s="15" t="s">
        <v>10</v>
      </c>
      <c r="D8" s="16" t="s">
        <v>11</v>
      </c>
      <c r="E8" s="175" t="s">
        <v>12</v>
      </c>
      <c r="F8" s="175" t="s">
        <v>13</v>
      </c>
      <c r="I8" s="174" t="s">
        <v>14</v>
      </c>
      <c r="J8" s="174" t="s">
        <v>15</v>
      </c>
      <c r="K8" s="174" t="s">
        <v>16</v>
      </c>
      <c r="L8" s="174" t="s">
        <v>14</v>
      </c>
      <c r="M8" s="174" t="s">
        <v>15</v>
      </c>
      <c r="N8" s="174" t="s">
        <v>16</v>
      </c>
    </row>
    <row r="9" spans="1:14" ht="12.75" customHeight="1" x14ac:dyDescent="0.3">
      <c r="A9" s="13">
        <v>4</v>
      </c>
      <c r="B9" s="17" t="s">
        <v>17</v>
      </c>
      <c r="C9" s="18"/>
      <c r="D9" s="19"/>
      <c r="E9" s="19"/>
      <c r="F9" s="19"/>
      <c r="G9" s="176">
        <f>+SUM(F10:F23)</f>
        <v>51045774</v>
      </c>
      <c r="H9" s="245">
        <f>+G9/$G$195</f>
        <v>6.0420265274428106E-2</v>
      </c>
      <c r="I9" s="246"/>
      <c r="J9" s="247"/>
      <c r="K9" s="247"/>
      <c r="L9" s="178"/>
      <c r="M9" s="178"/>
      <c r="N9" s="179"/>
    </row>
    <row r="10" spans="1:14" ht="12.75" customHeight="1" x14ac:dyDescent="0.3">
      <c r="A10" s="20">
        <v>4.01</v>
      </c>
      <c r="B10" s="21" t="s">
        <v>18</v>
      </c>
      <c r="C10" s="93" t="s">
        <v>19</v>
      </c>
      <c r="D10" s="94">
        <v>621</v>
      </c>
      <c r="E10" s="180">
        <v>22140</v>
      </c>
      <c r="F10" s="181">
        <f t="shared" ref="F10:F73" si="0">+E10*D10</f>
        <v>13748940</v>
      </c>
      <c r="G10" s="182"/>
      <c r="H10" s="245"/>
      <c r="I10" s="248">
        <f>'GDR 3760_Pto. 02_Cert. 01'!K10</f>
        <v>0</v>
      </c>
      <c r="J10" s="248"/>
      <c r="K10" s="249">
        <f t="shared" ref="K10:K73" si="1">+I10+J10</f>
        <v>0</v>
      </c>
      <c r="L10" s="50">
        <f t="shared" ref="L10:L73" si="2">+F10*I10</f>
        <v>0</v>
      </c>
      <c r="M10" s="50">
        <f t="shared" ref="M10:M73" si="3">+F10*J10</f>
        <v>0</v>
      </c>
      <c r="N10" s="50">
        <f t="shared" ref="N10:N73" si="4">+F10*K10</f>
        <v>0</v>
      </c>
    </row>
    <row r="11" spans="1:14" ht="12.75" customHeight="1" x14ac:dyDescent="0.3">
      <c r="A11" s="24">
        <v>4.0199999999999996</v>
      </c>
      <c r="B11" s="95" t="s">
        <v>20</v>
      </c>
      <c r="C11" s="30" t="s">
        <v>19</v>
      </c>
      <c r="D11" s="31">
        <v>780</v>
      </c>
      <c r="E11" s="183">
        <v>24437</v>
      </c>
      <c r="F11" s="181">
        <f t="shared" si="0"/>
        <v>19060860</v>
      </c>
      <c r="G11" s="182"/>
      <c r="H11" s="245"/>
      <c r="I11" s="250">
        <f>'GDR 3760_Pto. 02_Cert. 01'!K11</f>
        <v>0</v>
      </c>
      <c r="J11" s="250"/>
      <c r="K11" s="251">
        <f t="shared" si="1"/>
        <v>0</v>
      </c>
      <c r="L11" s="50">
        <f t="shared" si="2"/>
        <v>0</v>
      </c>
      <c r="M11" s="50">
        <f t="shared" si="3"/>
        <v>0</v>
      </c>
      <c r="N11" s="50">
        <f t="shared" si="4"/>
        <v>0</v>
      </c>
    </row>
    <row r="12" spans="1:14" ht="12.75" customHeight="1" x14ac:dyDescent="0.3">
      <c r="A12" s="24">
        <v>4.03</v>
      </c>
      <c r="B12" s="25" t="s">
        <v>21</v>
      </c>
      <c r="C12" s="30" t="s">
        <v>19</v>
      </c>
      <c r="D12" s="31">
        <v>56</v>
      </c>
      <c r="E12" s="183">
        <v>23248</v>
      </c>
      <c r="F12" s="181">
        <f t="shared" si="0"/>
        <v>1301888</v>
      </c>
      <c r="G12" s="182"/>
      <c r="H12" s="245"/>
      <c r="I12" s="250">
        <f>'GDR 3760_Pto. 02_Cert. 01'!K12</f>
        <v>0</v>
      </c>
      <c r="J12" s="250"/>
      <c r="K12" s="251">
        <f t="shared" si="1"/>
        <v>0</v>
      </c>
      <c r="L12" s="50">
        <f t="shared" si="2"/>
        <v>0</v>
      </c>
      <c r="M12" s="50">
        <f t="shared" si="3"/>
        <v>0</v>
      </c>
      <c r="N12" s="50">
        <f t="shared" si="4"/>
        <v>0</v>
      </c>
    </row>
    <row r="13" spans="1:14" ht="12.75" customHeight="1" x14ac:dyDescent="0.3">
      <c r="A13" s="24">
        <v>4.04</v>
      </c>
      <c r="B13" s="25" t="s">
        <v>22</v>
      </c>
      <c r="C13" s="30" t="s">
        <v>19</v>
      </c>
      <c r="D13" s="31">
        <v>42</v>
      </c>
      <c r="E13" s="183">
        <v>28746</v>
      </c>
      <c r="F13" s="181">
        <f t="shared" si="0"/>
        <v>1207332</v>
      </c>
      <c r="G13" s="182"/>
      <c r="H13" s="245"/>
      <c r="I13" s="250">
        <f>'GDR 3760_Pto. 02_Cert. 01'!K13</f>
        <v>0</v>
      </c>
      <c r="J13" s="250"/>
      <c r="K13" s="251">
        <f t="shared" si="1"/>
        <v>0</v>
      </c>
      <c r="L13" s="50">
        <f t="shared" si="2"/>
        <v>0</v>
      </c>
      <c r="M13" s="50">
        <f t="shared" si="3"/>
        <v>0</v>
      </c>
      <c r="N13" s="50">
        <f t="shared" si="4"/>
        <v>0</v>
      </c>
    </row>
    <row r="14" spans="1:14" ht="12.75" customHeight="1" x14ac:dyDescent="0.3">
      <c r="A14" s="24">
        <v>4.05</v>
      </c>
      <c r="B14" s="25" t="s">
        <v>23</v>
      </c>
      <c r="C14" s="30" t="s">
        <v>19</v>
      </c>
      <c r="D14" s="31">
        <v>70</v>
      </c>
      <c r="E14" s="183">
        <v>36933</v>
      </c>
      <c r="F14" s="181">
        <f t="shared" si="0"/>
        <v>2585310</v>
      </c>
      <c r="G14" s="182"/>
      <c r="H14" s="245"/>
      <c r="I14" s="250">
        <f>'GDR 3760_Pto. 02_Cert. 01'!K14</f>
        <v>0</v>
      </c>
      <c r="J14" s="250"/>
      <c r="K14" s="251">
        <f t="shared" si="1"/>
        <v>0</v>
      </c>
      <c r="L14" s="50">
        <f t="shared" si="2"/>
        <v>0</v>
      </c>
      <c r="M14" s="50">
        <f t="shared" si="3"/>
        <v>0</v>
      </c>
      <c r="N14" s="50">
        <f t="shared" si="4"/>
        <v>0</v>
      </c>
    </row>
    <row r="15" spans="1:14" ht="12.75" customHeight="1" x14ac:dyDescent="0.3">
      <c r="A15" s="24">
        <v>4.0599999999999996</v>
      </c>
      <c r="B15" s="25" t="s">
        <v>24</v>
      </c>
      <c r="C15" s="30" t="s">
        <v>19</v>
      </c>
      <c r="D15" s="31">
        <v>5</v>
      </c>
      <c r="E15" s="183">
        <v>28672</v>
      </c>
      <c r="F15" s="181">
        <f t="shared" si="0"/>
        <v>143360</v>
      </c>
      <c r="G15" s="182"/>
      <c r="H15" s="245"/>
      <c r="I15" s="250">
        <f>'GDR 3760_Pto. 02_Cert. 01'!K15</f>
        <v>0</v>
      </c>
      <c r="J15" s="250"/>
      <c r="K15" s="251">
        <f t="shared" si="1"/>
        <v>0</v>
      </c>
      <c r="L15" s="50">
        <f t="shared" si="2"/>
        <v>0</v>
      </c>
      <c r="M15" s="50">
        <f t="shared" si="3"/>
        <v>0</v>
      </c>
      <c r="N15" s="50">
        <f t="shared" si="4"/>
        <v>0</v>
      </c>
    </row>
    <row r="16" spans="1:14" ht="12.75" customHeight="1" x14ac:dyDescent="0.3">
      <c r="A16" s="24">
        <v>4.07</v>
      </c>
      <c r="B16" s="25" t="s">
        <v>25</v>
      </c>
      <c r="C16" s="30" t="s">
        <v>19</v>
      </c>
      <c r="D16" s="37">
        <v>193</v>
      </c>
      <c r="E16" s="183">
        <v>18611</v>
      </c>
      <c r="F16" s="181">
        <f t="shared" si="0"/>
        <v>3591923</v>
      </c>
      <c r="G16" s="182"/>
      <c r="H16" s="245"/>
      <c r="I16" s="250">
        <f>'GDR 3760_Pto. 02_Cert. 01'!K16</f>
        <v>0</v>
      </c>
      <c r="J16" s="250"/>
      <c r="K16" s="251">
        <f t="shared" si="1"/>
        <v>0</v>
      </c>
      <c r="L16" s="50">
        <f t="shared" si="2"/>
        <v>0</v>
      </c>
      <c r="M16" s="50">
        <f t="shared" si="3"/>
        <v>0</v>
      </c>
      <c r="N16" s="50">
        <f t="shared" si="4"/>
        <v>0</v>
      </c>
    </row>
    <row r="17" spans="1:14" ht="12.75" customHeight="1" x14ac:dyDescent="0.3">
      <c r="A17" s="24">
        <v>4.08</v>
      </c>
      <c r="B17" s="25" t="s">
        <v>26</v>
      </c>
      <c r="C17" s="30" t="s">
        <v>27</v>
      </c>
      <c r="D17" s="37">
        <v>61</v>
      </c>
      <c r="E17" s="183">
        <v>28578</v>
      </c>
      <c r="F17" s="181">
        <f t="shared" si="0"/>
        <v>1743258</v>
      </c>
      <c r="G17" s="182"/>
      <c r="H17" s="245"/>
      <c r="I17" s="250">
        <f>'GDR 3760_Pto. 02_Cert. 01'!K17</f>
        <v>0</v>
      </c>
      <c r="J17" s="250"/>
      <c r="K17" s="251">
        <f t="shared" si="1"/>
        <v>0</v>
      </c>
      <c r="L17" s="50">
        <f t="shared" si="2"/>
        <v>0</v>
      </c>
      <c r="M17" s="50">
        <f t="shared" si="3"/>
        <v>0</v>
      </c>
      <c r="N17" s="50">
        <f t="shared" si="4"/>
        <v>0</v>
      </c>
    </row>
    <row r="18" spans="1:14" ht="12.75" customHeight="1" x14ac:dyDescent="0.3">
      <c r="A18" s="24">
        <v>4.09</v>
      </c>
      <c r="B18" s="25" t="s">
        <v>28</v>
      </c>
      <c r="C18" s="30" t="s">
        <v>29</v>
      </c>
      <c r="D18" s="37">
        <v>1</v>
      </c>
      <c r="E18" s="183">
        <v>280823</v>
      </c>
      <c r="F18" s="181">
        <f t="shared" si="0"/>
        <v>280823</v>
      </c>
      <c r="G18" s="182"/>
      <c r="H18" s="245"/>
      <c r="I18" s="250">
        <f>'GDR 3760_Pto. 02_Cert. 01'!K18</f>
        <v>0</v>
      </c>
      <c r="J18" s="250"/>
      <c r="K18" s="251">
        <f t="shared" si="1"/>
        <v>0</v>
      </c>
      <c r="L18" s="50">
        <f t="shared" si="2"/>
        <v>0</v>
      </c>
      <c r="M18" s="50">
        <f t="shared" si="3"/>
        <v>0</v>
      </c>
      <c r="N18" s="50">
        <f t="shared" si="4"/>
        <v>0</v>
      </c>
    </row>
    <row r="19" spans="1:14" ht="12.75" customHeight="1" x14ac:dyDescent="0.3">
      <c r="A19" s="24">
        <v>4.0999999999999996</v>
      </c>
      <c r="B19" s="25" t="s">
        <v>30</v>
      </c>
      <c r="C19" s="30" t="s">
        <v>29</v>
      </c>
      <c r="D19" s="37">
        <v>1</v>
      </c>
      <c r="E19" s="183">
        <v>801214</v>
      </c>
      <c r="F19" s="181">
        <f t="shared" si="0"/>
        <v>801214</v>
      </c>
      <c r="G19" s="182"/>
      <c r="H19" s="245"/>
      <c r="I19" s="250">
        <f>'GDR 3760_Pto. 02_Cert. 01'!K19</f>
        <v>0</v>
      </c>
      <c r="J19" s="250"/>
      <c r="K19" s="251">
        <f t="shared" si="1"/>
        <v>0</v>
      </c>
      <c r="L19" s="50">
        <f t="shared" si="2"/>
        <v>0</v>
      </c>
      <c r="M19" s="50">
        <f t="shared" si="3"/>
        <v>0</v>
      </c>
      <c r="N19" s="50">
        <f t="shared" si="4"/>
        <v>0</v>
      </c>
    </row>
    <row r="20" spans="1:14" ht="12.75" customHeight="1" x14ac:dyDescent="0.3">
      <c r="A20" s="24">
        <v>4.1100000000000003</v>
      </c>
      <c r="B20" s="25" t="s">
        <v>31</v>
      </c>
      <c r="C20" s="30" t="s">
        <v>29</v>
      </c>
      <c r="D20" s="37">
        <v>1</v>
      </c>
      <c r="E20" s="183">
        <v>525234</v>
      </c>
      <c r="F20" s="181">
        <f t="shared" si="0"/>
        <v>525234</v>
      </c>
      <c r="G20" s="182"/>
      <c r="H20" s="245"/>
      <c r="I20" s="250">
        <f>'GDR 3760_Pto. 02_Cert. 01'!K20</f>
        <v>0</v>
      </c>
      <c r="J20" s="250"/>
      <c r="K20" s="251">
        <f t="shared" si="1"/>
        <v>0</v>
      </c>
      <c r="L20" s="50">
        <f t="shared" si="2"/>
        <v>0</v>
      </c>
      <c r="M20" s="50">
        <f t="shared" si="3"/>
        <v>0</v>
      </c>
      <c r="N20" s="50">
        <f t="shared" si="4"/>
        <v>0</v>
      </c>
    </row>
    <row r="21" spans="1:14" ht="12.75" customHeight="1" x14ac:dyDescent="0.3">
      <c r="A21" s="24">
        <v>4.12</v>
      </c>
      <c r="B21" s="25" t="s">
        <v>32</v>
      </c>
      <c r="C21" s="30" t="s">
        <v>33</v>
      </c>
      <c r="D21" s="37">
        <v>3</v>
      </c>
      <c r="E21" s="183">
        <v>237784</v>
      </c>
      <c r="F21" s="181">
        <f t="shared" si="0"/>
        <v>713352</v>
      </c>
      <c r="G21" s="182"/>
      <c r="H21" s="245"/>
      <c r="I21" s="250">
        <f>'GDR 3760_Pto. 02_Cert. 01'!K21</f>
        <v>0</v>
      </c>
      <c r="J21" s="250"/>
      <c r="K21" s="251">
        <f t="shared" si="1"/>
        <v>0</v>
      </c>
      <c r="L21" s="50">
        <f t="shared" si="2"/>
        <v>0</v>
      </c>
      <c r="M21" s="50">
        <f t="shared" si="3"/>
        <v>0</v>
      </c>
      <c r="N21" s="50">
        <f t="shared" si="4"/>
        <v>0</v>
      </c>
    </row>
    <row r="22" spans="1:14" ht="12.75" customHeight="1" x14ac:dyDescent="0.3">
      <c r="A22" s="24">
        <v>4.13</v>
      </c>
      <c r="B22" s="25" t="s">
        <v>34</v>
      </c>
      <c r="C22" s="30" t="s">
        <v>27</v>
      </c>
      <c r="D22" s="37">
        <v>40</v>
      </c>
      <c r="E22" s="183">
        <v>98026</v>
      </c>
      <c r="F22" s="181">
        <f t="shared" si="0"/>
        <v>3921040</v>
      </c>
      <c r="G22" s="182"/>
      <c r="H22" s="245"/>
      <c r="I22" s="250">
        <f>'GDR 3760_Pto. 02_Cert. 01'!K22</f>
        <v>0</v>
      </c>
      <c r="J22" s="250"/>
      <c r="K22" s="251">
        <f t="shared" si="1"/>
        <v>0</v>
      </c>
      <c r="L22" s="50">
        <f t="shared" si="2"/>
        <v>0</v>
      </c>
      <c r="M22" s="50">
        <f t="shared" si="3"/>
        <v>0</v>
      </c>
      <c r="N22" s="50">
        <f t="shared" si="4"/>
        <v>0</v>
      </c>
    </row>
    <row r="23" spans="1:14" ht="12.75" customHeight="1" x14ac:dyDescent="0.3">
      <c r="A23" s="24">
        <v>4.1399999999999997</v>
      </c>
      <c r="B23" s="38" t="s">
        <v>35</v>
      </c>
      <c r="C23" s="34" t="s">
        <v>33</v>
      </c>
      <c r="D23" s="96">
        <v>8</v>
      </c>
      <c r="E23" s="183">
        <v>177655</v>
      </c>
      <c r="F23" s="181">
        <f t="shared" si="0"/>
        <v>1421240</v>
      </c>
      <c r="G23" s="182"/>
      <c r="H23" s="245"/>
      <c r="I23" s="250">
        <f>'GDR 3760_Pto. 02_Cert. 01'!K23</f>
        <v>0</v>
      </c>
      <c r="J23" s="250"/>
      <c r="K23" s="251">
        <f t="shared" si="1"/>
        <v>0</v>
      </c>
      <c r="L23" s="50">
        <f t="shared" si="2"/>
        <v>0</v>
      </c>
      <c r="M23" s="50">
        <f t="shared" si="3"/>
        <v>0</v>
      </c>
      <c r="N23" s="50">
        <f t="shared" si="4"/>
        <v>0</v>
      </c>
    </row>
    <row r="24" spans="1:14" ht="12.75" customHeight="1" x14ac:dyDescent="0.3">
      <c r="A24" s="13">
        <v>5</v>
      </c>
      <c r="B24" s="40" t="s">
        <v>36</v>
      </c>
      <c r="C24" s="18"/>
      <c r="D24" s="19"/>
      <c r="E24" s="19"/>
      <c r="F24" s="19"/>
      <c r="G24" s="176">
        <f>+SUM(F25:F31)</f>
        <v>19239698</v>
      </c>
      <c r="H24" s="245">
        <f>+G24/$G$195</f>
        <v>2.2773043993022494E-2</v>
      </c>
      <c r="I24" s="246"/>
      <c r="J24" s="247"/>
      <c r="K24" s="247"/>
      <c r="L24" s="178"/>
      <c r="M24" s="178"/>
      <c r="N24" s="179"/>
    </row>
    <row r="25" spans="1:14" ht="12.75" customHeight="1" x14ac:dyDescent="0.3">
      <c r="A25" s="20">
        <v>5.01</v>
      </c>
      <c r="B25" s="21" t="s">
        <v>37</v>
      </c>
      <c r="C25" s="93" t="s">
        <v>27</v>
      </c>
      <c r="D25" s="97">
        <v>136</v>
      </c>
      <c r="E25" s="183">
        <v>6496</v>
      </c>
      <c r="F25" s="181">
        <f t="shared" si="0"/>
        <v>883456</v>
      </c>
      <c r="G25" s="182"/>
      <c r="H25" s="245"/>
      <c r="I25" s="250">
        <f>'GDR 3760_Pto. 02_Cert. 01'!K25</f>
        <v>0</v>
      </c>
      <c r="J25" s="250"/>
      <c r="K25" s="251">
        <f t="shared" si="1"/>
        <v>0</v>
      </c>
      <c r="L25" s="50">
        <f t="shared" si="2"/>
        <v>0</v>
      </c>
      <c r="M25" s="50">
        <f t="shared" si="3"/>
        <v>0</v>
      </c>
      <c r="N25" s="50">
        <f t="shared" si="4"/>
        <v>0</v>
      </c>
    </row>
    <row r="26" spans="1:14" ht="12.75" customHeight="1" x14ac:dyDescent="0.3">
      <c r="A26" s="24">
        <v>5.0199999999999996</v>
      </c>
      <c r="B26" s="98" t="s">
        <v>38</v>
      </c>
      <c r="C26" s="30" t="s">
        <v>19</v>
      </c>
      <c r="D26" s="31">
        <v>77</v>
      </c>
      <c r="E26" s="184">
        <v>33270</v>
      </c>
      <c r="F26" s="183">
        <f t="shared" si="0"/>
        <v>2561790</v>
      </c>
      <c r="G26" s="182"/>
      <c r="H26" s="245"/>
      <c r="I26" s="250">
        <f>'GDR 3760_Pto. 02_Cert. 01'!K26</f>
        <v>0</v>
      </c>
      <c r="J26" s="250"/>
      <c r="K26" s="251">
        <f t="shared" si="1"/>
        <v>0</v>
      </c>
      <c r="L26" s="50">
        <f t="shared" si="2"/>
        <v>0</v>
      </c>
      <c r="M26" s="50">
        <f t="shared" si="3"/>
        <v>0</v>
      </c>
      <c r="N26" s="50">
        <f t="shared" si="4"/>
        <v>0</v>
      </c>
    </row>
    <row r="27" spans="1:14" ht="12.75" customHeight="1" x14ac:dyDescent="0.3">
      <c r="A27" s="24">
        <v>5.03</v>
      </c>
      <c r="B27" s="25" t="s">
        <v>39</v>
      </c>
      <c r="C27" s="30" t="s">
        <v>19</v>
      </c>
      <c r="D27" s="31">
        <v>107</v>
      </c>
      <c r="E27" s="184">
        <v>6496</v>
      </c>
      <c r="F27" s="181">
        <f t="shared" si="0"/>
        <v>695072</v>
      </c>
      <c r="G27" s="182"/>
      <c r="H27" s="245"/>
      <c r="I27" s="250">
        <f>'GDR 3760_Pto. 02_Cert. 01'!K27</f>
        <v>0</v>
      </c>
      <c r="J27" s="250"/>
      <c r="K27" s="251">
        <f t="shared" si="1"/>
        <v>0</v>
      </c>
      <c r="L27" s="50">
        <f t="shared" si="2"/>
        <v>0</v>
      </c>
      <c r="M27" s="50">
        <f t="shared" si="3"/>
        <v>0</v>
      </c>
      <c r="N27" s="50">
        <f t="shared" si="4"/>
        <v>0</v>
      </c>
    </row>
    <row r="28" spans="1:14" ht="12.75" customHeight="1" x14ac:dyDescent="0.3">
      <c r="A28" s="24">
        <v>5.04</v>
      </c>
      <c r="B28" s="25" t="s">
        <v>40</v>
      </c>
      <c r="C28" s="30" t="s">
        <v>19</v>
      </c>
      <c r="D28" s="31">
        <v>186</v>
      </c>
      <c r="E28" s="184">
        <v>4832</v>
      </c>
      <c r="F28" s="181">
        <f t="shared" si="0"/>
        <v>898752</v>
      </c>
      <c r="G28" s="182"/>
      <c r="H28" s="245"/>
      <c r="I28" s="250">
        <f>'GDR 3760_Pto. 02_Cert. 01'!K28</f>
        <v>0</v>
      </c>
      <c r="J28" s="250"/>
      <c r="K28" s="251">
        <f t="shared" si="1"/>
        <v>0</v>
      </c>
      <c r="L28" s="50">
        <f t="shared" si="2"/>
        <v>0</v>
      </c>
      <c r="M28" s="50">
        <f t="shared" si="3"/>
        <v>0</v>
      </c>
      <c r="N28" s="50">
        <f t="shared" si="4"/>
        <v>0</v>
      </c>
    </row>
    <row r="29" spans="1:14" ht="12.75" customHeight="1" x14ac:dyDescent="0.3">
      <c r="A29" s="24">
        <v>5.05</v>
      </c>
      <c r="B29" s="25" t="s">
        <v>41</v>
      </c>
      <c r="C29" s="30" t="s">
        <v>19</v>
      </c>
      <c r="D29" s="31">
        <v>186</v>
      </c>
      <c r="E29" s="184">
        <v>4134</v>
      </c>
      <c r="F29" s="181">
        <f t="shared" si="0"/>
        <v>768924</v>
      </c>
      <c r="G29" s="182"/>
      <c r="H29" s="245"/>
      <c r="I29" s="250">
        <f>'GDR 3760_Pto. 02_Cert. 01'!K29</f>
        <v>0</v>
      </c>
      <c r="J29" s="250"/>
      <c r="K29" s="251">
        <f t="shared" si="1"/>
        <v>0</v>
      </c>
      <c r="L29" s="50">
        <f t="shared" si="2"/>
        <v>0</v>
      </c>
      <c r="M29" s="50">
        <f t="shared" si="3"/>
        <v>0</v>
      </c>
      <c r="N29" s="50">
        <f t="shared" si="4"/>
        <v>0</v>
      </c>
    </row>
    <row r="30" spans="1:14" ht="12.75" customHeight="1" x14ac:dyDescent="0.3">
      <c r="A30" s="24">
        <v>5.0599999999999996</v>
      </c>
      <c r="B30" s="25" t="s">
        <v>42</v>
      </c>
      <c r="C30" s="99" t="s">
        <v>19</v>
      </c>
      <c r="D30" s="31">
        <v>390</v>
      </c>
      <c r="E30" s="184">
        <v>28187</v>
      </c>
      <c r="F30" s="181">
        <f t="shared" si="0"/>
        <v>10992930</v>
      </c>
      <c r="G30" s="185"/>
      <c r="H30" s="245"/>
      <c r="I30" s="250">
        <f>'GDR 3760_Pto. 02_Cert. 01'!K30</f>
        <v>0</v>
      </c>
      <c r="J30" s="250"/>
      <c r="K30" s="251">
        <f t="shared" si="1"/>
        <v>0</v>
      </c>
      <c r="L30" s="50">
        <f t="shared" si="2"/>
        <v>0</v>
      </c>
      <c r="M30" s="50">
        <f t="shared" si="3"/>
        <v>0</v>
      </c>
      <c r="N30" s="50">
        <f t="shared" si="4"/>
        <v>0</v>
      </c>
    </row>
    <row r="31" spans="1:14" ht="12.75" customHeight="1" x14ac:dyDescent="0.3">
      <c r="A31" s="24">
        <v>5.07</v>
      </c>
      <c r="B31" s="25" t="s">
        <v>43</v>
      </c>
      <c r="C31" s="99" t="s">
        <v>29</v>
      </c>
      <c r="D31" s="31">
        <v>1</v>
      </c>
      <c r="E31" s="184">
        <v>2438774</v>
      </c>
      <c r="F31" s="181">
        <f t="shared" si="0"/>
        <v>2438774</v>
      </c>
      <c r="G31" s="186"/>
      <c r="H31" s="245"/>
      <c r="I31" s="250">
        <f>'GDR 3760_Pto. 02_Cert. 01'!K31</f>
        <v>0</v>
      </c>
      <c r="J31" s="250"/>
      <c r="K31" s="251">
        <f t="shared" si="1"/>
        <v>0</v>
      </c>
      <c r="L31" s="50">
        <f t="shared" si="2"/>
        <v>0</v>
      </c>
      <c r="M31" s="50">
        <f t="shared" si="3"/>
        <v>0</v>
      </c>
      <c r="N31" s="50">
        <f t="shared" si="4"/>
        <v>0</v>
      </c>
    </row>
    <row r="32" spans="1:14" ht="12.75" customHeight="1" x14ac:dyDescent="0.3">
      <c r="A32" s="13">
        <v>6</v>
      </c>
      <c r="B32" s="17" t="s">
        <v>44</v>
      </c>
      <c r="C32" s="18"/>
      <c r="D32" s="19"/>
      <c r="E32" s="19"/>
      <c r="F32" s="19"/>
      <c r="G32" s="176">
        <f>+SUM(F33)</f>
        <v>1722875</v>
      </c>
      <c r="H32" s="245">
        <f>+G32/$G$195</f>
        <v>2.0392787958251023E-3</v>
      </c>
      <c r="I32" s="246"/>
      <c r="J32" s="247"/>
      <c r="K32" s="247"/>
      <c r="L32" s="178"/>
      <c r="M32" s="178"/>
      <c r="N32" s="179"/>
    </row>
    <row r="33" spans="1:14" ht="12.75" customHeight="1" x14ac:dyDescent="0.3">
      <c r="A33" s="100">
        <v>6.02</v>
      </c>
      <c r="B33" s="38" t="s">
        <v>45</v>
      </c>
      <c r="C33" s="101" t="s">
        <v>27</v>
      </c>
      <c r="D33" s="102">
        <v>55</v>
      </c>
      <c r="E33" s="181">
        <v>31325</v>
      </c>
      <c r="F33" s="181">
        <f t="shared" si="0"/>
        <v>1722875</v>
      </c>
      <c r="G33" s="185"/>
      <c r="H33" s="245"/>
      <c r="I33" s="250">
        <f>'GDR 3760_Pto. 02_Cert. 01'!K33</f>
        <v>0</v>
      </c>
      <c r="J33" s="250"/>
      <c r="K33" s="251">
        <f t="shared" si="1"/>
        <v>0</v>
      </c>
      <c r="L33" s="50">
        <f t="shared" si="2"/>
        <v>0</v>
      </c>
      <c r="M33" s="50">
        <f t="shared" si="3"/>
        <v>0</v>
      </c>
      <c r="N33" s="50">
        <f t="shared" si="4"/>
        <v>0</v>
      </c>
    </row>
    <row r="34" spans="1:14" ht="12.75" customHeight="1" x14ac:dyDescent="0.3">
      <c r="A34" s="13">
        <v>7</v>
      </c>
      <c r="B34" s="40" t="s">
        <v>46</v>
      </c>
      <c r="C34" s="18"/>
      <c r="D34" s="19"/>
      <c r="E34" s="19"/>
      <c r="F34" s="19"/>
      <c r="G34" s="176">
        <f>+SUM(F35:F40)</f>
        <v>92324467</v>
      </c>
      <c r="H34" s="245">
        <f>+G34/$G$195</f>
        <v>0.10927973758337338</v>
      </c>
      <c r="I34" s="246"/>
      <c r="J34" s="247"/>
      <c r="K34" s="247"/>
      <c r="L34" s="178"/>
      <c r="M34" s="178"/>
      <c r="N34" s="179"/>
    </row>
    <row r="35" spans="1:14" ht="12.75" customHeight="1" x14ac:dyDescent="0.3">
      <c r="A35" s="20">
        <v>7.01</v>
      </c>
      <c r="B35" s="103" t="s">
        <v>47</v>
      </c>
      <c r="C35" s="93" t="s">
        <v>19</v>
      </c>
      <c r="D35" s="94">
        <v>879</v>
      </c>
      <c r="E35" s="180">
        <v>19943</v>
      </c>
      <c r="F35" s="180">
        <f t="shared" si="0"/>
        <v>17529897</v>
      </c>
      <c r="G35" s="187"/>
      <c r="H35" s="245"/>
      <c r="I35" s="250">
        <f>'GDR 3760_Pto. 02_Cert. 01'!K35</f>
        <v>0</v>
      </c>
      <c r="J35" s="250"/>
      <c r="K35" s="251">
        <f t="shared" si="1"/>
        <v>0</v>
      </c>
      <c r="L35" s="50">
        <f t="shared" si="2"/>
        <v>0</v>
      </c>
      <c r="M35" s="50">
        <f t="shared" si="3"/>
        <v>0</v>
      </c>
      <c r="N35" s="50">
        <f t="shared" si="4"/>
        <v>0</v>
      </c>
    </row>
    <row r="36" spans="1:14" ht="12.75" customHeight="1" x14ac:dyDescent="0.3">
      <c r="A36" s="24">
        <v>7.02</v>
      </c>
      <c r="B36" s="104" t="s">
        <v>48</v>
      </c>
      <c r="C36" s="30" t="s">
        <v>19</v>
      </c>
      <c r="D36" s="31">
        <v>716</v>
      </c>
      <c r="E36" s="181">
        <v>26767</v>
      </c>
      <c r="F36" s="181">
        <f t="shared" si="0"/>
        <v>19165172</v>
      </c>
      <c r="G36" s="185"/>
      <c r="H36" s="245"/>
      <c r="I36" s="250">
        <f>'GDR 3760_Pto. 02_Cert. 01'!K36</f>
        <v>0</v>
      </c>
      <c r="J36" s="250"/>
      <c r="K36" s="251">
        <f t="shared" si="1"/>
        <v>0</v>
      </c>
      <c r="L36" s="50">
        <f t="shared" si="2"/>
        <v>0</v>
      </c>
      <c r="M36" s="50">
        <f t="shared" si="3"/>
        <v>0</v>
      </c>
      <c r="N36" s="50">
        <f t="shared" si="4"/>
        <v>0</v>
      </c>
    </row>
    <row r="37" spans="1:14" ht="12.75" customHeight="1" x14ac:dyDescent="0.3">
      <c r="A37" s="24">
        <v>7.03</v>
      </c>
      <c r="B37" s="25" t="s">
        <v>49</v>
      </c>
      <c r="C37" s="30" t="s">
        <v>19</v>
      </c>
      <c r="D37" s="31">
        <v>1439</v>
      </c>
      <c r="E37" s="181">
        <v>22963</v>
      </c>
      <c r="F37" s="181">
        <f t="shared" si="0"/>
        <v>33043757</v>
      </c>
      <c r="G37" s="185"/>
      <c r="H37" s="245"/>
      <c r="I37" s="250">
        <f>'GDR 3760_Pto. 02_Cert. 01'!K37</f>
        <v>0</v>
      </c>
      <c r="J37" s="250"/>
      <c r="K37" s="251">
        <f t="shared" si="1"/>
        <v>0</v>
      </c>
      <c r="L37" s="50">
        <f t="shared" si="2"/>
        <v>0</v>
      </c>
      <c r="M37" s="50">
        <f t="shared" si="3"/>
        <v>0</v>
      </c>
      <c r="N37" s="50">
        <f t="shared" si="4"/>
        <v>0</v>
      </c>
    </row>
    <row r="38" spans="1:14" ht="12.75" customHeight="1" x14ac:dyDescent="0.3">
      <c r="A38" s="100">
        <v>7.04</v>
      </c>
      <c r="B38" s="105" t="s">
        <v>50</v>
      </c>
      <c r="C38" s="30" t="s">
        <v>27</v>
      </c>
      <c r="D38" s="31">
        <v>347</v>
      </c>
      <c r="E38" s="181">
        <v>16909</v>
      </c>
      <c r="F38" s="181">
        <f t="shared" si="0"/>
        <v>5867423</v>
      </c>
      <c r="G38" s="185"/>
      <c r="H38" s="245"/>
      <c r="I38" s="250">
        <f>'GDR 3760_Pto. 02_Cert. 01'!K38</f>
        <v>0</v>
      </c>
      <c r="J38" s="250"/>
      <c r="K38" s="251">
        <f t="shared" si="1"/>
        <v>0</v>
      </c>
      <c r="L38" s="50">
        <f t="shared" si="2"/>
        <v>0</v>
      </c>
      <c r="M38" s="50">
        <f t="shared" si="3"/>
        <v>0</v>
      </c>
      <c r="N38" s="50">
        <f t="shared" si="4"/>
        <v>0</v>
      </c>
    </row>
    <row r="39" spans="1:14" ht="12.75" customHeight="1" x14ac:dyDescent="0.3">
      <c r="A39" s="24">
        <v>7.05</v>
      </c>
      <c r="B39" s="105" t="s">
        <v>51</v>
      </c>
      <c r="C39" s="30" t="s">
        <v>52</v>
      </c>
      <c r="D39" s="31">
        <v>132</v>
      </c>
      <c r="E39" s="181">
        <v>19384</v>
      </c>
      <c r="F39" s="181">
        <f t="shared" si="0"/>
        <v>2558688</v>
      </c>
      <c r="G39" s="185"/>
      <c r="H39" s="245"/>
      <c r="I39" s="250">
        <f>'GDR 3760_Pto. 02_Cert. 01'!K39</f>
        <v>0</v>
      </c>
      <c r="J39" s="250"/>
      <c r="K39" s="251">
        <f t="shared" si="1"/>
        <v>0</v>
      </c>
      <c r="L39" s="50">
        <f t="shared" si="2"/>
        <v>0</v>
      </c>
      <c r="M39" s="50">
        <f t="shared" si="3"/>
        <v>0</v>
      </c>
      <c r="N39" s="50">
        <f t="shared" si="4"/>
        <v>0</v>
      </c>
    </row>
    <row r="40" spans="1:14" ht="12.75" customHeight="1" x14ac:dyDescent="0.3">
      <c r="A40" s="100">
        <v>7.06</v>
      </c>
      <c r="B40" s="25" t="s">
        <v>53</v>
      </c>
      <c r="C40" s="30" t="s">
        <v>19</v>
      </c>
      <c r="D40" s="31">
        <v>710</v>
      </c>
      <c r="E40" s="181">
        <v>19943</v>
      </c>
      <c r="F40" s="181">
        <f t="shared" si="0"/>
        <v>14159530</v>
      </c>
      <c r="G40" s="185"/>
      <c r="H40" s="245"/>
      <c r="I40" s="250">
        <f>'GDR 3760_Pto. 02_Cert. 01'!K40</f>
        <v>0</v>
      </c>
      <c r="J40" s="250"/>
      <c r="K40" s="251">
        <f t="shared" si="1"/>
        <v>0</v>
      </c>
      <c r="L40" s="50">
        <f t="shared" si="2"/>
        <v>0</v>
      </c>
      <c r="M40" s="50">
        <f t="shared" si="3"/>
        <v>0</v>
      </c>
      <c r="N40" s="50">
        <f t="shared" si="4"/>
        <v>0</v>
      </c>
    </row>
    <row r="41" spans="1:14" ht="12.75" customHeight="1" x14ac:dyDescent="0.3">
      <c r="A41" s="13">
        <v>8</v>
      </c>
      <c r="B41" s="17" t="s">
        <v>54</v>
      </c>
      <c r="C41" s="18"/>
      <c r="D41" s="19"/>
      <c r="E41" s="19"/>
      <c r="F41" s="19"/>
      <c r="G41" s="176">
        <f>+SUM(F42:F49)</f>
        <v>49520833</v>
      </c>
      <c r="H41" s="245">
        <f>+G41/$G$195</f>
        <v>5.8615270805192479E-2</v>
      </c>
      <c r="I41" s="246"/>
      <c r="J41" s="247"/>
      <c r="K41" s="247"/>
      <c r="L41" s="178"/>
      <c r="M41" s="178"/>
      <c r="N41" s="179"/>
    </row>
    <row r="42" spans="1:14" ht="12.75" customHeight="1" x14ac:dyDescent="0.3">
      <c r="A42" s="20">
        <v>8.01</v>
      </c>
      <c r="B42" s="21" t="s">
        <v>55</v>
      </c>
      <c r="C42" s="93" t="s">
        <v>19</v>
      </c>
      <c r="D42" s="94">
        <v>107</v>
      </c>
      <c r="E42" s="183">
        <v>58580</v>
      </c>
      <c r="F42" s="183">
        <f t="shared" si="0"/>
        <v>6268060</v>
      </c>
      <c r="G42" s="182"/>
      <c r="H42" s="245"/>
      <c r="I42" s="250">
        <f>'GDR 3760_Pto. 02_Cert. 01'!K42</f>
        <v>0</v>
      </c>
      <c r="J42" s="250"/>
      <c r="K42" s="251">
        <f t="shared" si="1"/>
        <v>0</v>
      </c>
      <c r="L42" s="50">
        <f t="shared" si="2"/>
        <v>0</v>
      </c>
      <c r="M42" s="50">
        <f t="shared" si="3"/>
        <v>0</v>
      </c>
      <c r="N42" s="50">
        <f t="shared" si="4"/>
        <v>0</v>
      </c>
    </row>
    <row r="43" spans="1:14" ht="12.75" customHeight="1" x14ac:dyDescent="0.3">
      <c r="A43" s="106">
        <v>8.02</v>
      </c>
      <c r="B43" s="107" t="s">
        <v>56</v>
      </c>
      <c r="C43" s="108" t="s">
        <v>19</v>
      </c>
      <c r="D43" s="32">
        <v>258</v>
      </c>
      <c r="E43" s="183">
        <v>38729</v>
      </c>
      <c r="F43" s="183">
        <f t="shared" si="0"/>
        <v>9992082</v>
      </c>
      <c r="G43" s="182"/>
      <c r="H43" s="245"/>
      <c r="I43" s="250">
        <f>'GDR 3760_Pto. 02_Cert. 01'!K43</f>
        <v>0</v>
      </c>
      <c r="J43" s="250"/>
      <c r="K43" s="251">
        <f t="shared" si="1"/>
        <v>0</v>
      </c>
      <c r="L43" s="50">
        <f t="shared" si="2"/>
        <v>0</v>
      </c>
      <c r="M43" s="50">
        <f t="shared" si="3"/>
        <v>0</v>
      </c>
      <c r="N43" s="50">
        <f t="shared" si="4"/>
        <v>0</v>
      </c>
    </row>
    <row r="44" spans="1:14" ht="12.75" customHeight="1" x14ac:dyDescent="0.3">
      <c r="A44" s="24">
        <v>8.0299999999999994</v>
      </c>
      <c r="B44" s="25" t="s">
        <v>57</v>
      </c>
      <c r="C44" s="30" t="s">
        <v>19</v>
      </c>
      <c r="D44" s="31">
        <v>425</v>
      </c>
      <c r="E44" s="183">
        <v>22943</v>
      </c>
      <c r="F44" s="183">
        <f t="shared" si="0"/>
        <v>9750775</v>
      </c>
      <c r="G44" s="182"/>
      <c r="H44" s="245"/>
      <c r="I44" s="250">
        <f>'GDR 3760_Pto. 02_Cert. 01'!K44</f>
        <v>0</v>
      </c>
      <c r="J44" s="250"/>
      <c r="K44" s="251">
        <f t="shared" si="1"/>
        <v>0</v>
      </c>
      <c r="L44" s="50">
        <f t="shared" si="2"/>
        <v>0</v>
      </c>
      <c r="M44" s="50">
        <f t="shared" si="3"/>
        <v>0</v>
      </c>
      <c r="N44" s="50">
        <f t="shared" si="4"/>
        <v>0</v>
      </c>
    </row>
    <row r="45" spans="1:14" ht="12.75" customHeight="1" x14ac:dyDescent="0.3">
      <c r="A45" s="106">
        <v>8.0399999999999991</v>
      </c>
      <c r="B45" s="25" t="s">
        <v>58</v>
      </c>
      <c r="C45" s="30" t="s">
        <v>19</v>
      </c>
      <c r="D45" s="31">
        <v>200</v>
      </c>
      <c r="E45" s="183">
        <v>40355</v>
      </c>
      <c r="F45" s="183">
        <f t="shared" si="0"/>
        <v>8071000</v>
      </c>
      <c r="G45" s="182"/>
      <c r="H45" s="245"/>
      <c r="I45" s="250">
        <f>'GDR 3760_Pto. 02_Cert. 01'!K45</f>
        <v>0</v>
      </c>
      <c r="J45" s="250"/>
      <c r="K45" s="251">
        <f t="shared" si="1"/>
        <v>0</v>
      </c>
      <c r="L45" s="50">
        <f t="shared" si="2"/>
        <v>0</v>
      </c>
      <c r="M45" s="50">
        <f t="shared" si="3"/>
        <v>0</v>
      </c>
      <c r="N45" s="50">
        <f t="shared" si="4"/>
        <v>0</v>
      </c>
    </row>
    <row r="46" spans="1:14" ht="12.75" customHeight="1" x14ac:dyDescent="0.3">
      <c r="A46" s="24">
        <v>8.0500000000000007</v>
      </c>
      <c r="B46" s="25" t="s">
        <v>59</v>
      </c>
      <c r="C46" s="30" t="s">
        <v>19</v>
      </c>
      <c r="D46" s="31">
        <v>77</v>
      </c>
      <c r="E46" s="183">
        <v>31515</v>
      </c>
      <c r="F46" s="183">
        <f t="shared" si="0"/>
        <v>2426655</v>
      </c>
      <c r="G46" s="182"/>
      <c r="H46" s="245"/>
      <c r="I46" s="250">
        <f>'GDR 3760_Pto. 02_Cert. 01'!K46</f>
        <v>0</v>
      </c>
      <c r="J46" s="250"/>
      <c r="K46" s="251">
        <f t="shared" si="1"/>
        <v>0</v>
      </c>
      <c r="L46" s="50">
        <f t="shared" si="2"/>
        <v>0</v>
      </c>
      <c r="M46" s="50">
        <f t="shared" si="3"/>
        <v>0</v>
      </c>
      <c r="N46" s="50">
        <f t="shared" si="4"/>
        <v>0</v>
      </c>
    </row>
    <row r="47" spans="1:14" ht="12.75" customHeight="1" x14ac:dyDescent="0.3">
      <c r="A47" s="106">
        <v>8.06</v>
      </c>
      <c r="B47" s="25" t="s">
        <v>60</v>
      </c>
      <c r="C47" s="30" t="s">
        <v>19</v>
      </c>
      <c r="D47" s="31">
        <v>77</v>
      </c>
      <c r="E47" s="183">
        <v>19683</v>
      </c>
      <c r="F47" s="183">
        <f t="shared" si="0"/>
        <v>1515591</v>
      </c>
      <c r="G47" s="182"/>
      <c r="H47" s="245"/>
      <c r="I47" s="250">
        <f>'GDR 3760_Pto. 02_Cert. 01'!K47</f>
        <v>0</v>
      </c>
      <c r="J47" s="250"/>
      <c r="K47" s="251">
        <f t="shared" si="1"/>
        <v>0</v>
      </c>
      <c r="L47" s="50">
        <f t="shared" si="2"/>
        <v>0</v>
      </c>
      <c r="M47" s="50">
        <f t="shared" si="3"/>
        <v>0</v>
      </c>
      <c r="N47" s="50">
        <f t="shared" si="4"/>
        <v>0</v>
      </c>
    </row>
    <row r="48" spans="1:14" ht="12.75" customHeight="1" x14ac:dyDescent="0.3">
      <c r="A48" s="24">
        <v>8.07</v>
      </c>
      <c r="B48" s="25" t="s">
        <v>61</v>
      </c>
      <c r="C48" s="30" t="s">
        <v>19</v>
      </c>
      <c r="D48" s="31">
        <v>442</v>
      </c>
      <c r="E48" s="183">
        <v>14335</v>
      </c>
      <c r="F48" s="183">
        <f t="shared" si="0"/>
        <v>6336070</v>
      </c>
      <c r="G48" s="182"/>
      <c r="H48" s="245"/>
      <c r="I48" s="250">
        <f>'GDR 3760_Pto. 02_Cert. 01'!K48</f>
        <v>0</v>
      </c>
      <c r="J48" s="250"/>
      <c r="K48" s="251">
        <f t="shared" si="1"/>
        <v>0</v>
      </c>
      <c r="L48" s="50">
        <f t="shared" si="2"/>
        <v>0</v>
      </c>
      <c r="M48" s="50">
        <f t="shared" si="3"/>
        <v>0</v>
      </c>
      <c r="N48" s="50">
        <f t="shared" si="4"/>
        <v>0</v>
      </c>
    </row>
    <row r="49" spans="1:14" ht="12.75" customHeight="1" x14ac:dyDescent="0.3">
      <c r="A49" s="106">
        <v>8.08</v>
      </c>
      <c r="B49" s="25" t="s">
        <v>62</v>
      </c>
      <c r="C49" s="30" t="s">
        <v>19</v>
      </c>
      <c r="D49" s="31">
        <v>360</v>
      </c>
      <c r="E49" s="183">
        <v>14335</v>
      </c>
      <c r="F49" s="183">
        <f t="shared" si="0"/>
        <v>5160600</v>
      </c>
      <c r="G49" s="182"/>
      <c r="H49" s="245"/>
      <c r="I49" s="250">
        <f>'GDR 3760_Pto. 02_Cert. 01'!K49</f>
        <v>0</v>
      </c>
      <c r="J49" s="250"/>
      <c r="K49" s="251">
        <f t="shared" si="1"/>
        <v>0</v>
      </c>
      <c r="L49" s="50">
        <f t="shared" si="2"/>
        <v>0</v>
      </c>
      <c r="M49" s="50">
        <f t="shared" si="3"/>
        <v>0</v>
      </c>
      <c r="N49" s="50">
        <f t="shared" si="4"/>
        <v>0</v>
      </c>
    </row>
    <row r="50" spans="1:14" ht="12.75" customHeight="1" x14ac:dyDescent="0.3">
      <c r="A50" s="13">
        <v>9</v>
      </c>
      <c r="B50" s="17" t="s">
        <v>63</v>
      </c>
      <c r="C50" s="18"/>
      <c r="D50" s="19"/>
      <c r="E50" s="19"/>
      <c r="F50" s="19"/>
      <c r="G50" s="176">
        <f>+SUM(F51:F53)</f>
        <v>4852846</v>
      </c>
      <c r="H50" s="245">
        <f>+G50/$G$195</f>
        <v>5.7440649769743392E-3</v>
      </c>
      <c r="I50" s="246"/>
      <c r="J50" s="247"/>
      <c r="K50" s="247"/>
      <c r="L50" s="178"/>
      <c r="M50" s="178"/>
      <c r="N50" s="179"/>
    </row>
    <row r="51" spans="1:14" ht="12.75" customHeight="1" x14ac:dyDescent="0.3">
      <c r="A51" s="20">
        <v>9.01</v>
      </c>
      <c r="B51" s="21" t="s">
        <v>64</v>
      </c>
      <c r="C51" s="109" t="s">
        <v>29</v>
      </c>
      <c r="D51" s="94">
        <v>1</v>
      </c>
      <c r="E51" s="181">
        <v>2109310</v>
      </c>
      <c r="F51" s="181">
        <f t="shared" si="0"/>
        <v>2109310</v>
      </c>
      <c r="G51" s="186"/>
      <c r="H51" s="245"/>
      <c r="I51" s="250">
        <f>'GDR 3760_Pto. 02_Cert. 01'!K51</f>
        <v>0</v>
      </c>
      <c r="J51" s="250"/>
      <c r="K51" s="251">
        <f t="shared" si="1"/>
        <v>0</v>
      </c>
      <c r="L51" s="50">
        <f t="shared" si="2"/>
        <v>0</v>
      </c>
      <c r="M51" s="50">
        <f t="shared" si="3"/>
        <v>0</v>
      </c>
      <c r="N51" s="50">
        <f t="shared" si="4"/>
        <v>0</v>
      </c>
    </row>
    <row r="52" spans="1:14" ht="12.75" customHeight="1" x14ac:dyDescent="0.3">
      <c r="A52" s="24">
        <v>9.02</v>
      </c>
      <c r="B52" s="25" t="s">
        <v>65</v>
      </c>
      <c r="C52" s="110" t="s">
        <v>52</v>
      </c>
      <c r="D52" s="31">
        <v>81</v>
      </c>
      <c r="E52" s="181">
        <v>28022</v>
      </c>
      <c r="F52" s="181">
        <f t="shared" si="0"/>
        <v>2269782</v>
      </c>
      <c r="G52" s="186"/>
      <c r="H52" s="252"/>
      <c r="I52" s="250">
        <f>'GDR 3760_Pto. 02_Cert. 01'!K52</f>
        <v>0</v>
      </c>
      <c r="J52" s="250"/>
      <c r="K52" s="251">
        <f t="shared" si="1"/>
        <v>0</v>
      </c>
      <c r="L52" s="50">
        <f t="shared" si="2"/>
        <v>0</v>
      </c>
      <c r="M52" s="50">
        <f t="shared" si="3"/>
        <v>0</v>
      </c>
      <c r="N52" s="50">
        <f t="shared" si="4"/>
        <v>0</v>
      </c>
    </row>
    <row r="53" spans="1:14" ht="12.75" customHeight="1" x14ac:dyDescent="0.3">
      <c r="A53" s="33">
        <v>9.0299999999999994</v>
      </c>
      <c r="B53" s="38" t="s">
        <v>66</v>
      </c>
      <c r="C53" s="111" t="s">
        <v>27</v>
      </c>
      <c r="D53" s="35">
        <v>46</v>
      </c>
      <c r="E53" s="181">
        <v>10299</v>
      </c>
      <c r="F53" s="181">
        <f t="shared" si="0"/>
        <v>473754</v>
      </c>
      <c r="G53" s="186"/>
      <c r="H53" s="252"/>
      <c r="I53" s="250">
        <f>'GDR 3760_Pto. 02_Cert. 01'!K53</f>
        <v>0</v>
      </c>
      <c r="J53" s="250"/>
      <c r="K53" s="251">
        <f t="shared" si="1"/>
        <v>0</v>
      </c>
      <c r="L53" s="50">
        <f t="shared" si="2"/>
        <v>0</v>
      </c>
      <c r="M53" s="50">
        <f t="shared" si="3"/>
        <v>0</v>
      </c>
      <c r="N53" s="50">
        <f t="shared" si="4"/>
        <v>0</v>
      </c>
    </row>
    <row r="54" spans="1:14" ht="12.75" customHeight="1" x14ac:dyDescent="0.3">
      <c r="A54" s="13">
        <v>10</v>
      </c>
      <c r="B54" s="40" t="s">
        <v>67</v>
      </c>
      <c r="C54" s="18"/>
      <c r="D54" s="19"/>
      <c r="E54" s="19"/>
      <c r="F54" s="19"/>
      <c r="G54" s="176">
        <f>+SUM(F55:F58)</f>
        <v>4184652</v>
      </c>
      <c r="H54" s="245">
        <f>+G54/$G$195</f>
        <v>4.9531580013100814E-3</v>
      </c>
      <c r="I54" s="246"/>
      <c r="J54" s="247"/>
      <c r="K54" s="247"/>
      <c r="L54" s="178"/>
      <c r="M54" s="178"/>
      <c r="N54" s="179"/>
    </row>
    <row r="55" spans="1:14" ht="12.75" customHeight="1" x14ac:dyDescent="0.3">
      <c r="A55" s="24">
        <v>10.01</v>
      </c>
      <c r="B55" s="25" t="s">
        <v>68</v>
      </c>
      <c r="C55" s="112" t="s">
        <v>29</v>
      </c>
      <c r="D55" s="27">
        <v>1</v>
      </c>
      <c r="E55" s="181">
        <v>1844532</v>
      </c>
      <c r="F55" s="181">
        <f t="shared" si="0"/>
        <v>1844532</v>
      </c>
      <c r="G55" s="188"/>
      <c r="H55" s="245"/>
      <c r="I55" s="250">
        <f>'GDR 3760_Pto. 02_Cert. 01'!K55</f>
        <v>0</v>
      </c>
      <c r="J55" s="250"/>
      <c r="K55" s="251">
        <f t="shared" si="1"/>
        <v>0</v>
      </c>
      <c r="L55" s="50">
        <f t="shared" si="2"/>
        <v>0</v>
      </c>
      <c r="M55" s="50">
        <f t="shared" si="3"/>
        <v>0</v>
      </c>
      <c r="N55" s="50">
        <f t="shared" si="4"/>
        <v>0</v>
      </c>
    </row>
    <row r="56" spans="1:14" ht="12.75" customHeight="1" x14ac:dyDescent="0.3">
      <c r="A56" s="24">
        <v>10.02</v>
      </c>
      <c r="B56" s="25" t="s">
        <v>69</v>
      </c>
      <c r="C56" s="112" t="s">
        <v>29</v>
      </c>
      <c r="D56" s="27">
        <v>1</v>
      </c>
      <c r="E56" s="181">
        <v>1214937</v>
      </c>
      <c r="F56" s="181">
        <f t="shared" si="0"/>
        <v>1214937</v>
      </c>
      <c r="H56" s="245"/>
      <c r="I56" s="250">
        <f>'GDR 3760_Pto. 02_Cert. 01'!K56</f>
        <v>0</v>
      </c>
      <c r="J56" s="250"/>
      <c r="K56" s="251">
        <f t="shared" si="1"/>
        <v>0</v>
      </c>
      <c r="L56" s="50">
        <f t="shared" si="2"/>
        <v>0</v>
      </c>
      <c r="M56" s="50">
        <f t="shared" si="3"/>
        <v>0</v>
      </c>
      <c r="N56" s="50">
        <f t="shared" si="4"/>
        <v>0</v>
      </c>
    </row>
    <row r="57" spans="1:14" ht="12.75" customHeight="1" x14ac:dyDescent="0.3">
      <c r="A57" s="24">
        <v>10.029999999999999</v>
      </c>
      <c r="B57" s="25" t="s">
        <v>70</v>
      </c>
      <c r="C57" s="112" t="s">
        <v>29</v>
      </c>
      <c r="D57" s="27">
        <v>1</v>
      </c>
      <c r="E57" s="181">
        <v>539833</v>
      </c>
      <c r="F57" s="181">
        <f t="shared" si="0"/>
        <v>539833</v>
      </c>
      <c r="H57" s="245"/>
      <c r="I57" s="250">
        <f>'GDR 3760_Pto. 02_Cert. 01'!K57</f>
        <v>0</v>
      </c>
      <c r="J57" s="250"/>
      <c r="K57" s="251">
        <f t="shared" si="1"/>
        <v>0</v>
      </c>
      <c r="L57" s="50">
        <f t="shared" si="2"/>
        <v>0</v>
      </c>
      <c r="M57" s="50">
        <f t="shared" si="3"/>
        <v>0</v>
      </c>
      <c r="N57" s="50">
        <f t="shared" si="4"/>
        <v>0</v>
      </c>
    </row>
    <row r="58" spans="1:14" ht="12.75" customHeight="1" x14ac:dyDescent="0.3">
      <c r="A58" s="24">
        <v>10.039999999999999</v>
      </c>
      <c r="B58" s="25" t="s">
        <v>71</v>
      </c>
      <c r="C58" s="30" t="s">
        <v>33</v>
      </c>
      <c r="D58" s="31">
        <v>10</v>
      </c>
      <c r="E58" s="181">
        <v>58535</v>
      </c>
      <c r="F58" s="181">
        <f t="shared" si="0"/>
        <v>585350</v>
      </c>
      <c r="G58" s="182"/>
      <c r="H58" s="245"/>
      <c r="I58" s="250">
        <f>'GDR 3760_Pto. 02_Cert. 01'!K58</f>
        <v>0</v>
      </c>
      <c r="J58" s="250"/>
      <c r="K58" s="251">
        <f t="shared" si="1"/>
        <v>0</v>
      </c>
      <c r="L58" s="50">
        <f t="shared" si="2"/>
        <v>0</v>
      </c>
      <c r="M58" s="50">
        <f t="shared" si="3"/>
        <v>0</v>
      </c>
      <c r="N58" s="50">
        <f t="shared" si="4"/>
        <v>0</v>
      </c>
    </row>
    <row r="59" spans="1:14" ht="12.75" customHeight="1" x14ac:dyDescent="0.3">
      <c r="A59" s="13">
        <v>11</v>
      </c>
      <c r="B59" s="17" t="s">
        <v>72</v>
      </c>
      <c r="C59" s="18"/>
      <c r="D59" s="19"/>
      <c r="E59" s="19"/>
      <c r="F59" s="19"/>
      <c r="G59" s="176">
        <f>+SUM(F60:F70)</f>
        <v>31170783</v>
      </c>
      <c r="H59" s="245">
        <f>+G59/$G$195</f>
        <v>3.6895257532418527E-2</v>
      </c>
      <c r="I59" s="246"/>
      <c r="J59" s="247"/>
      <c r="K59" s="247"/>
      <c r="L59" s="178"/>
      <c r="M59" s="178"/>
      <c r="N59" s="179"/>
    </row>
    <row r="60" spans="1:14" ht="12.75" customHeight="1" x14ac:dyDescent="0.3">
      <c r="A60" s="20">
        <v>11.01</v>
      </c>
      <c r="B60" s="21" t="s">
        <v>73</v>
      </c>
      <c r="C60" s="109" t="s">
        <v>19</v>
      </c>
      <c r="D60" s="94">
        <v>0</v>
      </c>
      <c r="E60" s="181">
        <v>0</v>
      </c>
      <c r="F60" s="181">
        <f t="shared" si="0"/>
        <v>0</v>
      </c>
      <c r="G60" s="185"/>
      <c r="H60" s="252"/>
      <c r="I60" s="250">
        <f>'GDR 3760_Pto. 02_Cert. 01'!K60</f>
        <v>0</v>
      </c>
      <c r="J60" s="250"/>
      <c r="K60" s="251">
        <f t="shared" si="1"/>
        <v>0</v>
      </c>
      <c r="L60" s="50">
        <f t="shared" si="2"/>
        <v>0</v>
      </c>
      <c r="M60" s="50">
        <f t="shared" si="3"/>
        <v>0</v>
      </c>
      <c r="N60" s="50">
        <f t="shared" si="4"/>
        <v>0</v>
      </c>
    </row>
    <row r="61" spans="1:14" ht="12.75" customHeight="1" x14ac:dyDescent="0.3">
      <c r="A61" s="24">
        <v>11.02</v>
      </c>
      <c r="B61" s="25" t="s">
        <v>74</v>
      </c>
      <c r="C61" s="110" t="s">
        <v>19</v>
      </c>
      <c r="D61" s="31">
        <v>39</v>
      </c>
      <c r="E61" s="181">
        <v>19280</v>
      </c>
      <c r="F61" s="181">
        <f t="shared" si="0"/>
        <v>751920</v>
      </c>
      <c r="G61" s="186"/>
      <c r="H61" s="252"/>
      <c r="I61" s="250">
        <f>'GDR 3760_Pto. 02_Cert. 01'!K61</f>
        <v>0</v>
      </c>
      <c r="J61" s="250"/>
      <c r="K61" s="251">
        <f t="shared" si="1"/>
        <v>0</v>
      </c>
      <c r="L61" s="50">
        <f t="shared" si="2"/>
        <v>0</v>
      </c>
      <c r="M61" s="50">
        <f t="shared" si="3"/>
        <v>0</v>
      </c>
      <c r="N61" s="50">
        <f t="shared" si="4"/>
        <v>0</v>
      </c>
    </row>
    <row r="62" spans="1:14" ht="12.75" customHeight="1" x14ac:dyDescent="0.3">
      <c r="A62" s="24">
        <v>11.03</v>
      </c>
      <c r="B62" s="25" t="s">
        <v>75</v>
      </c>
      <c r="C62" s="110" t="s">
        <v>19</v>
      </c>
      <c r="D62" s="31">
        <v>48</v>
      </c>
      <c r="E62" s="181">
        <v>25362</v>
      </c>
      <c r="F62" s="181">
        <f t="shared" si="0"/>
        <v>1217376</v>
      </c>
      <c r="G62" s="186"/>
      <c r="H62" s="252"/>
      <c r="I62" s="250">
        <f>'GDR 3760_Pto. 02_Cert. 01'!K62</f>
        <v>0</v>
      </c>
      <c r="J62" s="250"/>
      <c r="K62" s="251">
        <f t="shared" si="1"/>
        <v>0</v>
      </c>
      <c r="L62" s="50">
        <f t="shared" si="2"/>
        <v>0</v>
      </c>
      <c r="M62" s="50">
        <f t="shared" si="3"/>
        <v>0</v>
      </c>
      <c r="N62" s="50">
        <f t="shared" si="4"/>
        <v>0</v>
      </c>
    </row>
    <row r="63" spans="1:14" ht="12.75" customHeight="1" x14ac:dyDescent="0.3">
      <c r="A63" s="24">
        <v>11.04</v>
      </c>
      <c r="B63" s="25" t="s">
        <v>76</v>
      </c>
      <c r="C63" s="30" t="s">
        <v>19</v>
      </c>
      <c r="D63" s="31">
        <v>174</v>
      </c>
      <c r="E63" s="181">
        <v>19164</v>
      </c>
      <c r="F63" s="181">
        <f t="shared" si="0"/>
        <v>3334536</v>
      </c>
      <c r="G63" s="182"/>
      <c r="H63" s="245"/>
      <c r="I63" s="250">
        <f>'GDR 3760_Pto. 02_Cert. 01'!K63</f>
        <v>0</v>
      </c>
      <c r="J63" s="250"/>
      <c r="K63" s="251">
        <f t="shared" si="1"/>
        <v>0</v>
      </c>
      <c r="L63" s="50">
        <f t="shared" si="2"/>
        <v>0</v>
      </c>
      <c r="M63" s="50">
        <f t="shared" si="3"/>
        <v>0</v>
      </c>
      <c r="N63" s="50">
        <f t="shared" si="4"/>
        <v>0</v>
      </c>
    </row>
    <row r="64" spans="1:14" ht="12.75" customHeight="1" x14ac:dyDescent="0.3">
      <c r="A64" s="24">
        <v>11.05</v>
      </c>
      <c r="B64" s="25" t="s">
        <v>77</v>
      </c>
      <c r="C64" s="110" t="s">
        <v>19</v>
      </c>
      <c r="D64" s="31">
        <v>92</v>
      </c>
      <c r="E64" s="181">
        <v>19164</v>
      </c>
      <c r="F64" s="181">
        <f t="shared" si="0"/>
        <v>1763088</v>
      </c>
      <c r="G64" s="185"/>
      <c r="H64" s="252"/>
      <c r="I64" s="250">
        <f>'GDR 3760_Pto. 02_Cert. 01'!K64</f>
        <v>0</v>
      </c>
      <c r="J64" s="250"/>
      <c r="K64" s="251">
        <f t="shared" si="1"/>
        <v>0</v>
      </c>
      <c r="L64" s="50">
        <f t="shared" si="2"/>
        <v>0</v>
      </c>
      <c r="M64" s="50">
        <f t="shared" si="3"/>
        <v>0</v>
      </c>
      <c r="N64" s="50">
        <f t="shared" si="4"/>
        <v>0</v>
      </c>
    </row>
    <row r="65" spans="1:14" ht="12.75" customHeight="1" x14ac:dyDescent="0.3">
      <c r="A65" s="24">
        <v>11.06</v>
      </c>
      <c r="B65" s="25" t="s">
        <v>78</v>
      </c>
      <c r="C65" s="30" t="s">
        <v>19</v>
      </c>
      <c r="D65" s="31">
        <v>8</v>
      </c>
      <c r="E65" s="181">
        <v>14043</v>
      </c>
      <c r="F65" s="181">
        <f t="shared" si="0"/>
        <v>112344</v>
      </c>
      <c r="G65" s="182"/>
      <c r="H65" s="245"/>
      <c r="I65" s="250">
        <f>'GDR 3760_Pto. 02_Cert. 01'!K65</f>
        <v>0</v>
      </c>
      <c r="J65" s="250"/>
      <c r="K65" s="251">
        <f t="shared" si="1"/>
        <v>0</v>
      </c>
      <c r="L65" s="50">
        <f t="shared" si="2"/>
        <v>0</v>
      </c>
      <c r="M65" s="50">
        <f t="shared" si="3"/>
        <v>0</v>
      </c>
      <c r="N65" s="50">
        <f t="shared" si="4"/>
        <v>0</v>
      </c>
    </row>
    <row r="66" spans="1:14" ht="12.75" customHeight="1" x14ac:dyDescent="0.3">
      <c r="A66" s="24">
        <v>11.07</v>
      </c>
      <c r="B66" s="25" t="s">
        <v>79</v>
      </c>
      <c r="C66" s="110" t="s">
        <v>19</v>
      </c>
      <c r="D66" s="31">
        <v>46</v>
      </c>
      <c r="E66" s="181">
        <v>26630</v>
      </c>
      <c r="F66" s="181">
        <f t="shared" si="0"/>
        <v>1224980</v>
      </c>
      <c r="G66" s="186"/>
      <c r="H66" s="252"/>
      <c r="I66" s="250">
        <f>'GDR 3760_Pto. 02_Cert. 01'!K66</f>
        <v>0</v>
      </c>
      <c r="J66" s="250"/>
      <c r="K66" s="251">
        <f t="shared" si="1"/>
        <v>0</v>
      </c>
      <c r="L66" s="50">
        <f t="shared" si="2"/>
        <v>0</v>
      </c>
      <c r="M66" s="50">
        <f t="shared" si="3"/>
        <v>0</v>
      </c>
      <c r="N66" s="50">
        <f t="shared" si="4"/>
        <v>0</v>
      </c>
    </row>
    <row r="67" spans="1:14" ht="12.75" customHeight="1" x14ac:dyDescent="0.3">
      <c r="A67" s="24">
        <v>11.08</v>
      </c>
      <c r="B67" s="25" t="s">
        <v>80</v>
      </c>
      <c r="C67" s="110" t="s">
        <v>19</v>
      </c>
      <c r="D67" s="31">
        <v>562</v>
      </c>
      <c r="E67" s="181">
        <v>25362</v>
      </c>
      <c r="F67" s="181">
        <f t="shared" si="0"/>
        <v>14253444</v>
      </c>
      <c r="G67" s="186"/>
      <c r="H67" s="252"/>
      <c r="I67" s="250">
        <f>'GDR 3760_Pto. 02_Cert. 01'!K67</f>
        <v>0</v>
      </c>
      <c r="J67" s="250"/>
      <c r="K67" s="251">
        <f t="shared" si="1"/>
        <v>0</v>
      </c>
      <c r="L67" s="50">
        <f t="shared" si="2"/>
        <v>0</v>
      </c>
      <c r="M67" s="50">
        <f t="shared" si="3"/>
        <v>0</v>
      </c>
      <c r="N67" s="50">
        <f t="shared" si="4"/>
        <v>0</v>
      </c>
    </row>
    <row r="68" spans="1:14" ht="12.75" customHeight="1" x14ac:dyDescent="0.3">
      <c r="A68" s="24">
        <v>11.09</v>
      </c>
      <c r="B68" s="25" t="s">
        <v>81</v>
      </c>
      <c r="C68" s="113" t="s">
        <v>19</v>
      </c>
      <c r="D68" s="32">
        <v>73</v>
      </c>
      <c r="E68" s="181">
        <v>30109</v>
      </c>
      <c r="F68" s="181">
        <f t="shared" si="0"/>
        <v>2197957</v>
      </c>
      <c r="G68" s="186"/>
      <c r="H68" s="252"/>
      <c r="I68" s="250">
        <f>'GDR 3760_Pto. 02_Cert. 01'!K68</f>
        <v>0</v>
      </c>
      <c r="J68" s="250"/>
      <c r="K68" s="251">
        <f t="shared" si="1"/>
        <v>0</v>
      </c>
      <c r="L68" s="50">
        <f t="shared" si="2"/>
        <v>0</v>
      </c>
      <c r="M68" s="50">
        <f t="shared" si="3"/>
        <v>0</v>
      </c>
      <c r="N68" s="50">
        <f t="shared" si="4"/>
        <v>0</v>
      </c>
    </row>
    <row r="69" spans="1:14" ht="12.75" customHeight="1" x14ac:dyDescent="0.3">
      <c r="A69" s="24">
        <v>11.1</v>
      </c>
      <c r="B69" s="25" t="s">
        <v>82</v>
      </c>
      <c r="C69" s="113" t="s">
        <v>19</v>
      </c>
      <c r="D69" s="32">
        <v>143</v>
      </c>
      <c r="E69" s="181">
        <v>25362</v>
      </c>
      <c r="F69" s="181">
        <f t="shared" si="0"/>
        <v>3626766</v>
      </c>
      <c r="G69" s="186"/>
      <c r="H69" s="252"/>
      <c r="I69" s="250">
        <f>'GDR 3760_Pto. 02_Cert. 01'!K69</f>
        <v>0</v>
      </c>
      <c r="J69" s="250"/>
      <c r="K69" s="251">
        <f t="shared" si="1"/>
        <v>0</v>
      </c>
      <c r="L69" s="50">
        <f t="shared" si="2"/>
        <v>0</v>
      </c>
      <c r="M69" s="50">
        <f t="shared" si="3"/>
        <v>0</v>
      </c>
      <c r="N69" s="50">
        <f t="shared" si="4"/>
        <v>0</v>
      </c>
    </row>
    <row r="70" spans="1:14" ht="12.75" customHeight="1" x14ac:dyDescent="0.3">
      <c r="A70" s="24">
        <v>11.11</v>
      </c>
      <c r="B70" s="25" t="s">
        <v>83</v>
      </c>
      <c r="C70" s="111" t="s">
        <v>19</v>
      </c>
      <c r="D70" s="35">
        <v>106</v>
      </c>
      <c r="E70" s="181">
        <v>25362</v>
      </c>
      <c r="F70" s="181">
        <f t="shared" si="0"/>
        <v>2688372</v>
      </c>
      <c r="G70" s="186"/>
      <c r="H70" s="252"/>
      <c r="I70" s="250">
        <f>'GDR 3760_Pto. 02_Cert. 01'!K70</f>
        <v>0</v>
      </c>
      <c r="J70" s="250"/>
      <c r="K70" s="251">
        <f t="shared" si="1"/>
        <v>0</v>
      </c>
      <c r="L70" s="50">
        <f t="shared" si="2"/>
        <v>0</v>
      </c>
      <c r="M70" s="50">
        <f t="shared" si="3"/>
        <v>0</v>
      </c>
      <c r="N70" s="50">
        <f t="shared" si="4"/>
        <v>0</v>
      </c>
    </row>
    <row r="71" spans="1:14" ht="12.75" customHeight="1" x14ac:dyDescent="0.3">
      <c r="A71" s="13">
        <v>12</v>
      </c>
      <c r="B71" s="17" t="s">
        <v>84</v>
      </c>
      <c r="C71" s="18"/>
      <c r="D71" s="19"/>
      <c r="E71" s="19"/>
      <c r="F71" s="19"/>
      <c r="G71" s="176">
        <f>+SUM(F72:F74)</f>
        <v>8990052</v>
      </c>
      <c r="H71" s="245">
        <f>+G71/$G$195</f>
        <v>1.0641063580912749E-2</v>
      </c>
      <c r="I71" s="246"/>
      <c r="J71" s="247"/>
      <c r="K71" s="247"/>
      <c r="L71" s="178"/>
      <c r="M71" s="178"/>
      <c r="N71" s="179"/>
    </row>
    <row r="72" spans="1:14" ht="12.75" customHeight="1" x14ac:dyDescent="0.3">
      <c r="A72" s="20">
        <f>+A71+0.01</f>
        <v>12.01</v>
      </c>
      <c r="B72" s="21" t="s">
        <v>85</v>
      </c>
      <c r="C72" s="109" t="s">
        <v>27</v>
      </c>
      <c r="D72" s="94">
        <v>19</v>
      </c>
      <c r="E72" s="181">
        <v>6496</v>
      </c>
      <c r="F72" s="181">
        <f t="shared" si="0"/>
        <v>123424</v>
      </c>
      <c r="H72" s="245"/>
      <c r="I72" s="250">
        <f>'GDR 3760_Pto. 02_Cert. 01'!K72</f>
        <v>0</v>
      </c>
      <c r="J72" s="250"/>
      <c r="K72" s="251">
        <f t="shared" si="1"/>
        <v>0</v>
      </c>
      <c r="L72" s="50">
        <f t="shared" si="2"/>
        <v>0</v>
      </c>
      <c r="M72" s="50">
        <f t="shared" si="3"/>
        <v>0</v>
      </c>
      <c r="N72" s="50">
        <f t="shared" si="4"/>
        <v>0</v>
      </c>
    </row>
    <row r="73" spans="1:14" ht="12.75" customHeight="1" x14ac:dyDescent="0.3">
      <c r="A73" s="106">
        <v>12.02</v>
      </c>
      <c r="B73" s="25" t="s">
        <v>86</v>
      </c>
      <c r="C73" s="114" t="s">
        <v>27</v>
      </c>
      <c r="D73" s="31">
        <v>626</v>
      </c>
      <c r="E73" s="181">
        <v>9059</v>
      </c>
      <c r="F73" s="181">
        <f t="shared" si="0"/>
        <v>5670934</v>
      </c>
      <c r="H73" s="245"/>
      <c r="I73" s="250">
        <f>'GDR 3760_Pto. 02_Cert. 01'!K73</f>
        <v>0</v>
      </c>
      <c r="J73" s="250"/>
      <c r="K73" s="251">
        <f t="shared" si="1"/>
        <v>0</v>
      </c>
      <c r="L73" s="50">
        <f t="shared" si="2"/>
        <v>0</v>
      </c>
      <c r="M73" s="50">
        <f t="shared" si="3"/>
        <v>0</v>
      </c>
      <c r="N73" s="50">
        <f t="shared" si="4"/>
        <v>0</v>
      </c>
    </row>
    <row r="74" spans="1:14" ht="12.75" customHeight="1" x14ac:dyDescent="0.3">
      <c r="A74" s="106">
        <v>12.03</v>
      </c>
      <c r="B74" s="107" t="s">
        <v>87</v>
      </c>
      <c r="C74" s="114" t="s">
        <v>27</v>
      </c>
      <c r="D74" s="35">
        <v>386</v>
      </c>
      <c r="E74" s="181">
        <v>8279</v>
      </c>
      <c r="F74" s="181">
        <f t="shared" ref="F74:F137" si="5">+E74*D74</f>
        <v>3195694</v>
      </c>
      <c r="H74" s="245"/>
      <c r="I74" s="250">
        <f>'GDR 3760_Pto. 02_Cert. 01'!K74</f>
        <v>0</v>
      </c>
      <c r="J74" s="250"/>
      <c r="K74" s="251">
        <f t="shared" ref="K74" si="6">+I74+J74</f>
        <v>0</v>
      </c>
      <c r="L74" s="50">
        <f t="shared" ref="L74" si="7">+F74*I74</f>
        <v>0</v>
      </c>
      <c r="M74" s="50">
        <f t="shared" ref="M74" si="8">+F74*J74</f>
        <v>0</v>
      </c>
      <c r="N74" s="50">
        <f t="shared" ref="N74" si="9">+F74*K74</f>
        <v>0</v>
      </c>
    </row>
    <row r="75" spans="1:14" ht="12.75" customHeight="1" x14ac:dyDescent="0.3">
      <c r="A75" s="13">
        <v>13</v>
      </c>
      <c r="B75" s="17" t="s">
        <v>88</v>
      </c>
      <c r="C75" s="18"/>
      <c r="D75" s="19"/>
      <c r="E75" s="19"/>
      <c r="F75" s="19"/>
      <c r="G75" s="176">
        <f>+SUM(F76:F79)</f>
        <v>14836279</v>
      </c>
      <c r="H75" s="245">
        <f>+G75/$G$195</f>
        <v>1.7560942711250239E-2</v>
      </c>
      <c r="I75" s="246"/>
      <c r="J75" s="247"/>
      <c r="K75" s="247"/>
      <c r="L75" s="178"/>
      <c r="M75" s="178"/>
      <c r="N75" s="179"/>
    </row>
    <row r="76" spans="1:14" ht="12.75" customHeight="1" x14ac:dyDescent="0.3">
      <c r="A76" s="115">
        <v>13.01</v>
      </c>
      <c r="B76" s="116" t="s">
        <v>89</v>
      </c>
      <c r="C76" s="117" t="s">
        <v>19</v>
      </c>
      <c r="D76" s="23">
        <v>413</v>
      </c>
      <c r="E76" s="181">
        <v>30109</v>
      </c>
      <c r="F76" s="181">
        <f t="shared" si="5"/>
        <v>12435017</v>
      </c>
      <c r="H76" s="245"/>
      <c r="I76" s="250">
        <f>'GDR 3760_Pto. 02_Cert. 01'!K76</f>
        <v>0</v>
      </c>
      <c r="J76" s="250"/>
      <c r="K76" s="251">
        <f t="shared" ref="K76:K139" si="10">+I76+J76</f>
        <v>0</v>
      </c>
      <c r="L76" s="50">
        <f t="shared" ref="L76:L139" si="11">+F76*I76</f>
        <v>0</v>
      </c>
      <c r="M76" s="50">
        <f t="shared" ref="M76:M139" si="12">+F76*J76</f>
        <v>0</v>
      </c>
      <c r="N76" s="50">
        <f t="shared" ref="N76:N139" si="13">+F76*K76</f>
        <v>0</v>
      </c>
    </row>
    <row r="77" spans="1:14" ht="12.75" customHeight="1" x14ac:dyDescent="0.3">
      <c r="A77" s="118">
        <v>13.02</v>
      </c>
      <c r="B77" s="119" t="s">
        <v>90</v>
      </c>
      <c r="C77" s="120" t="s">
        <v>19</v>
      </c>
      <c r="D77" s="121">
        <v>18</v>
      </c>
      <c r="E77" s="181">
        <v>30109</v>
      </c>
      <c r="F77" s="181">
        <f t="shared" si="5"/>
        <v>541962</v>
      </c>
      <c r="H77" s="245"/>
      <c r="I77" s="250">
        <f>'GDR 3760_Pto. 02_Cert. 01'!K77</f>
        <v>0</v>
      </c>
      <c r="J77" s="250"/>
      <c r="K77" s="251">
        <f t="shared" si="10"/>
        <v>0</v>
      </c>
      <c r="L77" s="50">
        <f t="shared" si="11"/>
        <v>0</v>
      </c>
      <c r="M77" s="50">
        <f t="shared" si="12"/>
        <v>0</v>
      </c>
      <c r="N77" s="50">
        <f t="shared" si="13"/>
        <v>0</v>
      </c>
    </row>
    <row r="78" spans="1:14" ht="12.75" customHeight="1" x14ac:dyDescent="0.3">
      <c r="A78" s="100">
        <v>13.03</v>
      </c>
      <c r="B78" s="119" t="s">
        <v>91</v>
      </c>
      <c r="C78" s="110" t="s">
        <v>19</v>
      </c>
      <c r="D78" s="31">
        <v>20</v>
      </c>
      <c r="E78" s="181">
        <v>92965</v>
      </c>
      <c r="F78" s="181">
        <f t="shared" si="5"/>
        <v>1859300</v>
      </c>
      <c r="G78" s="186"/>
      <c r="H78" s="252"/>
      <c r="I78" s="250">
        <f>'GDR 3760_Pto. 02_Cert. 01'!K78</f>
        <v>0</v>
      </c>
      <c r="J78" s="250"/>
      <c r="K78" s="251">
        <f t="shared" si="10"/>
        <v>0</v>
      </c>
      <c r="L78" s="50">
        <f t="shared" si="11"/>
        <v>0</v>
      </c>
      <c r="M78" s="50">
        <f t="shared" si="12"/>
        <v>0</v>
      </c>
      <c r="N78" s="50">
        <f t="shared" si="13"/>
        <v>0</v>
      </c>
    </row>
    <row r="79" spans="1:14" ht="12.75" customHeight="1" x14ac:dyDescent="0.3">
      <c r="A79" s="100">
        <v>13.04</v>
      </c>
      <c r="B79" s="25" t="s">
        <v>92</v>
      </c>
      <c r="C79" s="110" t="s">
        <v>19</v>
      </c>
      <c r="D79" s="31">
        <v>0</v>
      </c>
      <c r="E79" s="181">
        <v>0</v>
      </c>
      <c r="F79" s="181">
        <f t="shared" si="5"/>
        <v>0</v>
      </c>
      <c r="G79" s="186"/>
      <c r="H79" s="252"/>
      <c r="I79" s="250">
        <f>'GDR 3760_Pto. 02_Cert. 01'!K79</f>
        <v>0</v>
      </c>
      <c r="J79" s="250"/>
      <c r="K79" s="251">
        <f t="shared" si="10"/>
        <v>0</v>
      </c>
      <c r="L79" s="50">
        <f t="shared" si="11"/>
        <v>0</v>
      </c>
      <c r="M79" s="50">
        <f t="shared" si="12"/>
        <v>0</v>
      </c>
      <c r="N79" s="50">
        <f t="shared" si="13"/>
        <v>0</v>
      </c>
    </row>
    <row r="80" spans="1:14" ht="12.75" customHeight="1" x14ac:dyDescent="0.3">
      <c r="A80" s="13">
        <v>14</v>
      </c>
      <c r="B80" s="17" t="s">
        <v>93</v>
      </c>
      <c r="C80" s="18"/>
      <c r="D80" s="19"/>
      <c r="E80" s="19"/>
      <c r="F80" s="19"/>
      <c r="G80" s="176">
        <f>+SUM(F81:F87)</f>
        <v>33813897</v>
      </c>
      <c r="H80" s="245">
        <f>+G80/$G$195</f>
        <v>4.0023776046616291E-2</v>
      </c>
      <c r="I80" s="246"/>
      <c r="J80" s="247"/>
      <c r="K80" s="247"/>
      <c r="L80" s="178"/>
      <c r="M80" s="178"/>
      <c r="N80" s="179"/>
    </row>
    <row r="81" spans="1:14" ht="12.75" customHeight="1" x14ac:dyDescent="0.3">
      <c r="A81" s="20">
        <f>+A80+0.01</f>
        <v>14.01</v>
      </c>
      <c r="B81" s="21" t="s">
        <v>94</v>
      </c>
      <c r="C81" s="117" t="s">
        <v>19</v>
      </c>
      <c r="D81" s="23">
        <v>460</v>
      </c>
      <c r="E81" s="181">
        <v>23624</v>
      </c>
      <c r="F81" s="181">
        <f t="shared" si="5"/>
        <v>10867040</v>
      </c>
      <c r="H81" s="245"/>
      <c r="I81" s="250">
        <f>'GDR 3760_Pto. 02_Cert. 01'!K81</f>
        <v>0</v>
      </c>
      <c r="J81" s="250"/>
      <c r="K81" s="251">
        <f t="shared" si="10"/>
        <v>0</v>
      </c>
      <c r="L81" s="50">
        <f t="shared" si="11"/>
        <v>0</v>
      </c>
      <c r="M81" s="50">
        <f t="shared" si="12"/>
        <v>0</v>
      </c>
      <c r="N81" s="50">
        <f t="shared" si="13"/>
        <v>0</v>
      </c>
    </row>
    <row r="82" spans="1:14" ht="12.75" customHeight="1" x14ac:dyDescent="0.3">
      <c r="A82" s="106">
        <v>14.02</v>
      </c>
      <c r="B82" s="107" t="s">
        <v>95</v>
      </c>
      <c r="C82" s="120" t="s">
        <v>27</v>
      </c>
      <c r="D82" s="121">
        <v>434</v>
      </c>
      <c r="E82" s="181">
        <v>16659</v>
      </c>
      <c r="F82" s="181">
        <f t="shared" si="5"/>
        <v>7230006</v>
      </c>
      <c r="H82" s="245"/>
      <c r="I82" s="250">
        <f>'GDR 3760_Pto. 02_Cert. 01'!K82</f>
        <v>0</v>
      </c>
      <c r="J82" s="250"/>
      <c r="K82" s="251">
        <f t="shared" si="10"/>
        <v>0</v>
      </c>
      <c r="L82" s="50">
        <f t="shared" si="11"/>
        <v>0</v>
      </c>
      <c r="M82" s="50">
        <f t="shared" si="12"/>
        <v>0</v>
      </c>
      <c r="N82" s="50">
        <f t="shared" si="13"/>
        <v>0</v>
      </c>
    </row>
    <row r="83" spans="1:14" ht="12.75" customHeight="1" x14ac:dyDescent="0.3">
      <c r="A83" s="24">
        <v>14.03</v>
      </c>
      <c r="B83" s="25" t="s">
        <v>96</v>
      </c>
      <c r="C83" s="112" t="s">
        <v>19</v>
      </c>
      <c r="D83" s="27">
        <v>115</v>
      </c>
      <c r="E83" s="181">
        <v>35817</v>
      </c>
      <c r="F83" s="181">
        <f t="shared" si="5"/>
        <v>4118955</v>
      </c>
      <c r="H83" s="245"/>
      <c r="I83" s="250">
        <f>'GDR 3760_Pto. 02_Cert. 01'!K83</f>
        <v>0</v>
      </c>
      <c r="J83" s="250"/>
      <c r="K83" s="251">
        <f t="shared" si="10"/>
        <v>0</v>
      </c>
      <c r="L83" s="50">
        <f t="shared" si="11"/>
        <v>0</v>
      </c>
      <c r="M83" s="50">
        <f t="shared" si="12"/>
        <v>0</v>
      </c>
      <c r="N83" s="50">
        <f t="shared" si="13"/>
        <v>0</v>
      </c>
    </row>
    <row r="84" spans="1:14" ht="12.75" customHeight="1" x14ac:dyDescent="0.3">
      <c r="A84" s="106">
        <v>14.04</v>
      </c>
      <c r="B84" s="25" t="s">
        <v>97</v>
      </c>
      <c r="C84" s="112" t="s">
        <v>19</v>
      </c>
      <c r="D84" s="27">
        <v>89</v>
      </c>
      <c r="E84" s="181">
        <v>41132</v>
      </c>
      <c r="F84" s="181">
        <f t="shared" si="5"/>
        <v>3660748</v>
      </c>
      <c r="H84" s="245"/>
      <c r="I84" s="250">
        <f>'GDR 3760_Pto. 02_Cert. 01'!K84</f>
        <v>0</v>
      </c>
      <c r="J84" s="250"/>
      <c r="K84" s="251">
        <f t="shared" si="10"/>
        <v>0</v>
      </c>
      <c r="L84" s="50">
        <f t="shared" si="11"/>
        <v>0</v>
      </c>
      <c r="M84" s="50">
        <f t="shared" si="12"/>
        <v>0</v>
      </c>
      <c r="N84" s="50">
        <f t="shared" si="13"/>
        <v>0</v>
      </c>
    </row>
    <row r="85" spans="1:14" ht="12.75" customHeight="1" x14ac:dyDescent="0.3">
      <c r="A85" s="24">
        <v>14.05</v>
      </c>
      <c r="B85" s="25" t="s">
        <v>98</v>
      </c>
      <c r="C85" s="112" t="s">
        <v>27</v>
      </c>
      <c r="D85" s="27">
        <v>530</v>
      </c>
      <c r="E85" s="181">
        <v>9274</v>
      </c>
      <c r="F85" s="181">
        <f t="shared" si="5"/>
        <v>4915220</v>
      </c>
      <c r="H85" s="245"/>
      <c r="I85" s="250">
        <f>'GDR 3760_Pto. 02_Cert. 01'!K85</f>
        <v>0</v>
      </c>
      <c r="J85" s="250"/>
      <c r="K85" s="251">
        <f t="shared" si="10"/>
        <v>0</v>
      </c>
      <c r="L85" s="50">
        <f t="shared" si="11"/>
        <v>0</v>
      </c>
      <c r="M85" s="50">
        <f t="shared" si="12"/>
        <v>0</v>
      </c>
      <c r="N85" s="50">
        <f t="shared" si="13"/>
        <v>0</v>
      </c>
    </row>
    <row r="86" spans="1:14" ht="12.75" customHeight="1" x14ac:dyDescent="0.3">
      <c r="A86" s="106">
        <v>14.06</v>
      </c>
      <c r="B86" s="25" t="s">
        <v>99</v>
      </c>
      <c r="C86" s="112" t="s">
        <v>27</v>
      </c>
      <c r="D86" s="27">
        <v>56</v>
      </c>
      <c r="E86" s="181">
        <v>9274</v>
      </c>
      <c r="F86" s="181">
        <f t="shared" si="5"/>
        <v>519344</v>
      </c>
      <c r="H86" s="245"/>
      <c r="I86" s="250">
        <f>'GDR 3760_Pto. 02_Cert. 01'!K86</f>
        <v>0</v>
      </c>
      <c r="J86" s="250"/>
      <c r="K86" s="251">
        <f t="shared" si="10"/>
        <v>0</v>
      </c>
      <c r="L86" s="50">
        <f t="shared" si="11"/>
        <v>0</v>
      </c>
      <c r="M86" s="50">
        <f t="shared" si="12"/>
        <v>0</v>
      </c>
      <c r="N86" s="50">
        <f t="shared" si="13"/>
        <v>0</v>
      </c>
    </row>
    <row r="87" spans="1:14" ht="12.75" customHeight="1" x14ac:dyDescent="0.3">
      <c r="A87" s="24">
        <v>14.07</v>
      </c>
      <c r="B87" s="25" t="s">
        <v>100</v>
      </c>
      <c r="C87" s="112" t="s">
        <v>19</v>
      </c>
      <c r="D87" s="27">
        <v>469</v>
      </c>
      <c r="E87" s="181">
        <v>5336</v>
      </c>
      <c r="F87" s="181">
        <f t="shared" si="5"/>
        <v>2502584</v>
      </c>
      <c r="H87" s="245"/>
      <c r="I87" s="250">
        <f>'GDR 3760_Pto. 02_Cert. 01'!K87</f>
        <v>0</v>
      </c>
      <c r="J87" s="250"/>
      <c r="K87" s="251">
        <f t="shared" si="10"/>
        <v>0</v>
      </c>
      <c r="L87" s="50">
        <f t="shared" si="11"/>
        <v>0</v>
      </c>
      <c r="M87" s="50">
        <f t="shared" si="12"/>
        <v>0</v>
      </c>
      <c r="N87" s="50">
        <f t="shared" si="13"/>
        <v>0</v>
      </c>
    </row>
    <row r="88" spans="1:14" ht="12.75" customHeight="1" x14ac:dyDescent="0.3">
      <c r="A88" s="13">
        <v>15</v>
      </c>
      <c r="B88" s="17" t="s">
        <v>101</v>
      </c>
      <c r="C88" s="18"/>
      <c r="D88" s="19"/>
      <c r="E88" s="19"/>
      <c r="F88" s="19"/>
      <c r="G88" s="176">
        <f>+SUM(F89:F100)</f>
        <v>81675029</v>
      </c>
      <c r="H88" s="245">
        <f>+G88/$G$195</f>
        <v>9.667454388049064E-2</v>
      </c>
      <c r="I88" s="246"/>
      <c r="J88" s="247"/>
      <c r="K88" s="247"/>
      <c r="L88" s="178"/>
      <c r="M88" s="178"/>
      <c r="N88" s="179"/>
    </row>
    <row r="89" spans="1:14" ht="12.75" customHeight="1" x14ac:dyDescent="0.3">
      <c r="A89" s="115">
        <v>15.01</v>
      </c>
      <c r="B89" s="116" t="s">
        <v>102</v>
      </c>
      <c r="C89" s="122" t="s">
        <v>19</v>
      </c>
      <c r="D89" s="123">
        <v>739</v>
      </c>
      <c r="E89" s="181">
        <v>22075</v>
      </c>
      <c r="F89" s="181">
        <f t="shared" si="5"/>
        <v>16313425</v>
      </c>
      <c r="G89" s="186"/>
      <c r="H89" s="253"/>
      <c r="I89" s="250">
        <f>'GDR 3760_Pto. 02_Cert. 01'!K89</f>
        <v>0</v>
      </c>
      <c r="J89" s="250"/>
      <c r="K89" s="251">
        <f t="shared" si="10"/>
        <v>0</v>
      </c>
      <c r="L89" s="50">
        <f t="shared" si="11"/>
        <v>0</v>
      </c>
      <c r="M89" s="50">
        <f t="shared" si="12"/>
        <v>0</v>
      </c>
      <c r="N89" s="50">
        <f t="shared" si="13"/>
        <v>0</v>
      </c>
    </row>
    <row r="90" spans="1:14" ht="12.75" customHeight="1" x14ac:dyDescent="0.3">
      <c r="A90" s="100">
        <v>15.02</v>
      </c>
      <c r="B90" s="25" t="s">
        <v>103</v>
      </c>
      <c r="C90" s="110" t="s">
        <v>19</v>
      </c>
      <c r="D90" s="29">
        <v>1439</v>
      </c>
      <c r="E90" s="181">
        <v>8883</v>
      </c>
      <c r="F90" s="181">
        <f t="shared" si="5"/>
        <v>12782637</v>
      </c>
      <c r="G90" s="186"/>
      <c r="H90" s="253"/>
      <c r="I90" s="250">
        <f>'GDR 3760_Pto. 02_Cert. 01'!K90</f>
        <v>0</v>
      </c>
      <c r="J90" s="250"/>
      <c r="K90" s="251">
        <f t="shared" si="10"/>
        <v>0</v>
      </c>
      <c r="L90" s="50">
        <f t="shared" si="11"/>
        <v>0</v>
      </c>
      <c r="M90" s="50">
        <f t="shared" si="12"/>
        <v>0</v>
      </c>
      <c r="N90" s="50">
        <f t="shared" si="13"/>
        <v>0</v>
      </c>
    </row>
    <row r="91" spans="1:14" ht="12.75" customHeight="1" x14ac:dyDescent="0.3">
      <c r="A91" s="100">
        <v>15.03</v>
      </c>
      <c r="B91" s="25" t="s">
        <v>104</v>
      </c>
      <c r="C91" s="110" t="s">
        <v>19</v>
      </c>
      <c r="D91" s="29">
        <v>462</v>
      </c>
      <c r="E91" s="181">
        <v>14295</v>
      </c>
      <c r="F91" s="181">
        <f t="shared" si="5"/>
        <v>6604290</v>
      </c>
      <c r="G91" s="186"/>
      <c r="H91" s="253"/>
      <c r="I91" s="250">
        <f>'GDR 3760_Pto. 02_Cert. 01'!K91</f>
        <v>0</v>
      </c>
      <c r="J91" s="250"/>
      <c r="K91" s="251">
        <f t="shared" si="10"/>
        <v>0</v>
      </c>
      <c r="L91" s="50">
        <f t="shared" si="11"/>
        <v>0</v>
      </c>
      <c r="M91" s="50">
        <f t="shared" si="12"/>
        <v>0</v>
      </c>
      <c r="N91" s="50">
        <f t="shared" si="13"/>
        <v>0</v>
      </c>
    </row>
    <row r="92" spans="1:14" ht="12.75" customHeight="1" x14ac:dyDescent="0.3">
      <c r="A92" s="100">
        <v>15.04</v>
      </c>
      <c r="B92" s="25" t="s">
        <v>105</v>
      </c>
      <c r="C92" s="110" t="s">
        <v>19</v>
      </c>
      <c r="D92" s="29">
        <v>144</v>
      </c>
      <c r="E92" s="181">
        <v>7538</v>
      </c>
      <c r="F92" s="181">
        <f t="shared" si="5"/>
        <v>1085472</v>
      </c>
      <c r="G92" s="186"/>
      <c r="H92" s="253"/>
      <c r="I92" s="250">
        <f>'GDR 3760_Pto. 02_Cert. 01'!K92</f>
        <v>0</v>
      </c>
      <c r="J92" s="250"/>
      <c r="K92" s="251">
        <f t="shared" si="10"/>
        <v>0</v>
      </c>
      <c r="L92" s="50">
        <f t="shared" si="11"/>
        <v>0</v>
      </c>
      <c r="M92" s="50">
        <f t="shared" si="12"/>
        <v>0</v>
      </c>
      <c r="N92" s="50">
        <f t="shared" si="13"/>
        <v>0</v>
      </c>
    </row>
    <row r="93" spans="1:14" ht="12.75" customHeight="1" x14ac:dyDescent="0.3">
      <c r="A93" s="100">
        <v>15.05</v>
      </c>
      <c r="B93" s="25" t="s">
        <v>106</v>
      </c>
      <c r="C93" s="110" t="s">
        <v>19</v>
      </c>
      <c r="D93" s="29">
        <v>460</v>
      </c>
      <c r="E93" s="181">
        <v>8883</v>
      </c>
      <c r="F93" s="181">
        <f t="shared" si="5"/>
        <v>4086180</v>
      </c>
      <c r="G93" s="186"/>
      <c r="H93" s="253"/>
      <c r="I93" s="250">
        <f>'GDR 3760_Pto. 02_Cert. 01'!K93</f>
        <v>0</v>
      </c>
      <c r="J93" s="250"/>
      <c r="K93" s="251">
        <f t="shared" si="10"/>
        <v>0</v>
      </c>
      <c r="L93" s="50">
        <f t="shared" si="11"/>
        <v>0</v>
      </c>
      <c r="M93" s="50">
        <f t="shared" si="12"/>
        <v>0</v>
      </c>
      <c r="N93" s="50">
        <f t="shared" si="13"/>
        <v>0</v>
      </c>
    </row>
    <row r="94" spans="1:14" ht="12.75" customHeight="1" x14ac:dyDescent="0.3">
      <c r="A94" s="100">
        <v>15.06</v>
      </c>
      <c r="B94" s="25" t="s">
        <v>107</v>
      </c>
      <c r="C94" s="110" t="s">
        <v>19</v>
      </c>
      <c r="D94" s="29">
        <v>204</v>
      </c>
      <c r="E94" s="181">
        <v>15750</v>
      </c>
      <c r="F94" s="181">
        <f t="shared" si="5"/>
        <v>3213000</v>
      </c>
      <c r="G94" s="186"/>
      <c r="H94" s="253"/>
      <c r="I94" s="250">
        <f>'GDR 3760_Pto. 02_Cert. 01'!K94</f>
        <v>0</v>
      </c>
      <c r="J94" s="250"/>
      <c r="K94" s="251">
        <f t="shared" si="10"/>
        <v>0</v>
      </c>
      <c r="L94" s="50">
        <f t="shared" si="11"/>
        <v>0</v>
      </c>
      <c r="M94" s="50">
        <f t="shared" si="12"/>
        <v>0</v>
      </c>
      <c r="N94" s="50">
        <f t="shared" si="13"/>
        <v>0</v>
      </c>
    </row>
    <row r="95" spans="1:14" ht="12.75" customHeight="1" x14ac:dyDescent="0.3">
      <c r="A95" s="100">
        <v>15.07</v>
      </c>
      <c r="B95" s="25" t="s">
        <v>108</v>
      </c>
      <c r="C95" s="28" t="s">
        <v>19</v>
      </c>
      <c r="D95" s="29">
        <v>262</v>
      </c>
      <c r="E95" s="181">
        <v>17154</v>
      </c>
      <c r="F95" s="181">
        <f t="shared" si="5"/>
        <v>4494348</v>
      </c>
      <c r="G95" s="186"/>
      <c r="H95" s="245"/>
      <c r="I95" s="250">
        <f>'GDR 3760_Pto. 02_Cert. 01'!K95</f>
        <v>0</v>
      </c>
      <c r="J95" s="250"/>
      <c r="K95" s="251">
        <f t="shared" si="10"/>
        <v>0</v>
      </c>
      <c r="L95" s="50">
        <f t="shared" si="11"/>
        <v>0</v>
      </c>
      <c r="M95" s="50">
        <f t="shared" si="12"/>
        <v>0</v>
      </c>
      <c r="N95" s="50">
        <f t="shared" si="13"/>
        <v>0</v>
      </c>
    </row>
    <row r="96" spans="1:14" ht="12.75" customHeight="1" x14ac:dyDescent="0.3">
      <c r="A96" s="100">
        <v>15.08</v>
      </c>
      <c r="B96" s="25" t="s">
        <v>109</v>
      </c>
      <c r="C96" s="110" t="s">
        <v>19</v>
      </c>
      <c r="D96" s="31">
        <v>756</v>
      </c>
      <c r="E96" s="181">
        <v>26534</v>
      </c>
      <c r="F96" s="181">
        <f t="shared" si="5"/>
        <v>20059704</v>
      </c>
      <c r="G96" s="186"/>
      <c r="H96" s="252"/>
      <c r="I96" s="250">
        <f>'GDR 3760_Pto. 02_Cert. 01'!K96</f>
        <v>0</v>
      </c>
      <c r="J96" s="250"/>
      <c r="K96" s="251">
        <f t="shared" si="10"/>
        <v>0</v>
      </c>
      <c r="L96" s="50">
        <f t="shared" si="11"/>
        <v>0</v>
      </c>
      <c r="M96" s="50">
        <f t="shared" si="12"/>
        <v>0</v>
      </c>
      <c r="N96" s="50">
        <f t="shared" si="13"/>
        <v>0</v>
      </c>
    </row>
    <row r="97" spans="1:14" ht="12.75" customHeight="1" x14ac:dyDescent="0.3">
      <c r="A97" s="100">
        <v>15.09</v>
      </c>
      <c r="B97" s="25" t="s">
        <v>110</v>
      </c>
      <c r="C97" s="110" t="s">
        <v>19</v>
      </c>
      <c r="D97" s="31">
        <v>56</v>
      </c>
      <c r="E97" s="181">
        <v>31737</v>
      </c>
      <c r="F97" s="181">
        <f t="shared" si="5"/>
        <v>1777272</v>
      </c>
      <c r="G97" s="186"/>
      <c r="H97" s="252"/>
      <c r="I97" s="250">
        <f>'GDR 3760_Pto. 02_Cert. 01'!K97</f>
        <v>0</v>
      </c>
      <c r="J97" s="250"/>
      <c r="K97" s="251">
        <f t="shared" si="10"/>
        <v>0</v>
      </c>
      <c r="L97" s="50">
        <f t="shared" si="11"/>
        <v>0</v>
      </c>
      <c r="M97" s="50">
        <f t="shared" si="12"/>
        <v>0</v>
      </c>
      <c r="N97" s="50">
        <f t="shared" si="13"/>
        <v>0</v>
      </c>
    </row>
    <row r="98" spans="1:14" ht="12.75" customHeight="1" x14ac:dyDescent="0.3">
      <c r="A98" s="100">
        <v>15.1</v>
      </c>
      <c r="B98" s="25" t="s">
        <v>111</v>
      </c>
      <c r="C98" s="110" t="s">
        <v>29</v>
      </c>
      <c r="D98" s="31">
        <v>1</v>
      </c>
      <c r="E98" s="181">
        <v>885031</v>
      </c>
      <c r="F98" s="181">
        <f t="shared" si="5"/>
        <v>885031</v>
      </c>
      <c r="H98" s="245"/>
      <c r="I98" s="250">
        <f>'GDR 3760_Pto. 02_Cert. 01'!K98</f>
        <v>0</v>
      </c>
      <c r="J98" s="250"/>
      <c r="K98" s="251">
        <f t="shared" si="10"/>
        <v>0</v>
      </c>
      <c r="L98" s="50">
        <f t="shared" si="11"/>
        <v>0</v>
      </c>
      <c r="M98" s="50">
        <f t="shared" si="12"/>
        <v>0</v>
      </c>
      <c r="N98" s="50">
        <f t="shared" si="13"/>
        <v>0</v>
      </c>
    </row>
    <row r="99" spans="1:14" ht="12.75" customHeight="1" x14ac:dyDescent="0.3">
      <c r="A99" s="100">
        <v>15.11</v>
      </c>
      <c r="B99" s="25" t="s">
        <v>112</v>
      </c>
      <c r="C99" s="110" t="s">
        <v>52</v>
      </c>
      <c r="D99" s="31">
        <v>73</v>
      </c>
      <c r="E99" s="181">
        <v>83386</v>
      </c>
      <c r="F99" s="181">
        <f t="shared" si="5"/>
        <v>6087178</v>
      </c>
      <c r="H99" s="245"/>
      <c r="I99" s="250">
        <f>'GDR 3760_Pto. 02_Cert. 01'!K99</f>
        <v>0</v>
      </c>
      <c r="J99" s="250"/>
      <c r="K99" s="251">
        <f t="shared" si="10"/>
        <v>0</v>
      </c>
      <c r="L99" s="50">
        <f t="shared" si="11"/>
        <v>0</v>
      </c>
      <c r="M99" s="50">
        <f t="shared" si="12"/>
        <v>0</v>
      </c>
      <c r="N99" s="50">
        <f t="shared" si="13"/>
        <v>0</v>
      </c>
    </row>
    <row r="100" spans="1:14" ht="12.75" customHeight="1" x14ac:dyDescent="0.3">
      <c r="A100" s="100">
        <v>15.12</v>
      </c>
      <c r="B100" s="124" t="s">
        <v>113</v>
      </c>
      <c r="C100" s="111" t="s">
        <v>29</v>
      </c>
      <c r="D100" s="35">
        <v>1</v>
      </c>
      <c r="E100" s="181">
        <v>4286492</v>
      </c>
      <c r="F100" s="181">
        <f t="shared" si="5"/>
        <v>4286492</v>
      </c>
      <c r="H100" s="245"/>
      <c r="I100" s="250">
        <f>'GDR 3760_Pto. 02_Cert. 01'!K100</f>
        <v>0</v>
      </c>
      <c r="J100" s="250"/>
      <c r="K100" s="251">
        <f t="shared" si="10"/>
        <v>0</v>
      </c>
      <c r="L100" s="50">
        <f t="shared" si="11"/>
        <v>0</v>
      </c>
      <c r="M100" s="50">
        <f t="shared" si="12"/>
        <v>0</v>
      </c>
      <c r="N100" s="50">
        <f t="shared" si="13"/>
        <v>0</v>
      </c>
    </row>
    <row r="101" spans="1:14" ht="12.75" customHeight="1" x14ac:dyDescent="0.3">
      <c r="A101" s="13">
        <v>16</v>
      </c>
      <c r="B101" s="125" t="s">
        <v>114</v>
      </c>
      <c r="C101" s="18"/>
      <c r="D101" s="19"/>
      <c r="E101" s="19"/>
      <c r="F101" s="19"/>
      <c r="G101" s="176">
        <f>+SUM(F102)</f>
        <v>0</v>
      </c>
      <c r="H101" s="245">
        <f>+G101/$G$195</f>
        <v>0</v>
      </c>
      <c r="I101" s="246"/>
      <c r="J101" s="247"/>
      <c r="K101" s="247"/>
      <c r="L101" s="178"/>
      <c r="M101" s="178"/>
      <c r="N101" s="179"/>
    </row>
    <row r="102" spans="1:14" ht="12.75" customHeight="1" x14ac:dyDescent="0.3">
      <c r="A102" s="20"/>
      <c r="B102" s="21"/>
      <c r="C102" s="93"/>
      <c r="D102" s="94"/>
      <c r="E102" s="184">
        <v>0</v>
      </c>
      <c r="F102" s="183">
        <f t="shared" si="5"/>
        <v>0</v>
      </c>
      <c r="G102" s="185"/>
      <c r="H102" s="252"/>
      <c r="I102" s="250">
        <f>'GDR 3760_Pto. 02_Cert. 01'!K102</f>
        <v>0</v>
      </c>
      <c r="J102" s="250"/>
      <c r="K102" s="251">
        <f t="shared" si="10"/>
        <v>0</v>
      </c>
      <c r="L102" s="50">
        <f t="shared" si="11"/>
        <v>0</v>
      </c>
      <c r="M102" s="50">
        <f t="shared" si="12"/>
        <v>0</v>
      </c>
      <c r="N102" s="50">
        <f t="shared" si="13"/>
        <v>0</v>
      </c>
    </row>
    <row r="103" spans="1:14" ht="12.75" customHeight="1" x14ac:dyDescent="0.3">
      <c r="A103" s="13">
        <v>17</v>
      </c>
      <c r="B103" s="17" t="s">
        <v>115</v>
      </c>
      <c r="C103" s="18"/>
      <c r="D103" s="19"/>
      <c r="E103" s="19"/>
      <c r="F103" s="19"/>
      <c r="G103" s="176">
        <f>+SUM(F104:F107)</f>
        <v>9415299</v>
      </c>
      <c r="H103" s="245">
        <f>+G103/$G$195</f>
        <v>1.1144406649962005E-2</v>
      </c>
      <c r="I103" s="246"/>
      <c r="J103" s="247"/>
      <c r="K103" s="247"/>
      <c r="L103" s="178"/>
      <c r="M103" s="178"/>
      <c r="N103" s="179"/>
    </row>
    <row r="104" spans="1:14" ht="12.75" customHeight="1" x14ac:dyDescent="0.3">
      <c r="A104" s="20">
        <f>+A103+0.01</f>
        <v>17.010000000000002</v>
      </c>
      <c r="B104" s="126" t="s">
        <v>116</v>
      </c>
      <c r="C104" s="127" t="s">
        <v>33</v>
      </c>
      <c r="D104" s="94">
        <v>57</v>
      </c>
      <c r="E104" s="180">
        <v>79321</v>
      </c>
      <c r="F104" s="180">
        <f t="shared" si="5"/>
        <v>4521297</v>
      </c>
      <c r="G104" s="182"/>
      <c r="H104" s="245"/>
      <c r="I104" s="250">
        <f>'GDR 3760_Pto. 02_Cert. 01'!K104</f>
        <v>0</v>
      </c>
      <c r="J104" s="250"/>
      <c r="K104" s="251">
        <f t="shared" si="10"/>
        <v>0</v>
      </c>
      <c r="L104" s="50">
        <f t="shared" si="11"/>
        <v>0</v>
      </c>
      <c r="M104" s="50">
        <f t="shared" si="12"/>
        <v>0</v>
      </c>
      <c r="N104" s="50">
        <f t="shared" si="13"/>
        <v>0</v>
      </c>
    </row>
    <row r="105" spans="1:14" ht="12.75" customHeight="1" x14ac:dyDescent="0.3">
      <c r="A105" s="24">
        <v>17.02</v>
      </c>
      <c r="B105" s="128" t="s">
        <v>117</v>
      </c>
      <c r="C105" s="129" t="s">
        <v>33</v>
      </c>
      <c r="D105" s="31">
        <v>11</v>
      </c>
      <c r="E105" s="181">
        <v>79321</v>
      </c>
      <c r="F105" s="181">
        <f t="shared" si="5"/>
        <v>872531</v>
      </c>
      <c r="G105" s="182"/>
      <c r="H105" s="245"/>
      <c r="I105" s="250">
        <f>'GDR 3760_Pto. 02_Cert. 01'!K105</f>
        <v>0</v>
      </c>
      <c r="J105" s="250"/>
      <c r="K105" s="251">
        <f t="shared" si="10"/>
        <v>0</v>
      </c>
      <c r="L105" s="50">
        <f t="shared" si="11"/>
        <v>0</v>
      </c>
      <c r="M105" s="50">
        <f t="shared" si="12"/>
        <v>0</v>
      </c>
      <c r="N105" s="50">
        <f t="shared" si="13"/>
        <v>0</v>
      </c>
    </row>
    <row r="106" spans="1:14" ht="12.75" customHeight="1" x14ac:dyDescent="0.3">
      <c r="A106" s="24">
        <v>17.03</v>
      </c>
      <c r="B106" s="128" t="s">
        <v>118</v>
      </c>
      <c r="C106" s="129" t="s">
        <v>33</v>
      </c>
      <c r="D106" s="31">
        <v>65</v>
      </c>
      <c r="E106" s="181">
        <v>51161</v>
      </c>
      <c r="F106" s="181">
        <f t="shared" si="5"/>
        <v>3325465</v>
      </c>
      <c r="G106" s="182"/>
      <c r="H106" s="245"/>
      <c r="I106" s="250">
        <f>'GDR 3760_Pto. 02_Cert. 01'!K106</f>
        <v>0</v>
      </c>
      <c r="J106" s="250"/>
      <c r="K106" s="251">
        <f t="shared" si="10"/>
        <v>0</v>
      </c>
      <c r="L106" s="50">
        <f t="shared" si="11"/>
        <v>0</v>
      </c>
      <c r="M106" s="50">
        <f t="shared" si="12"/>
        <v>0</v>
      </c>
      <c r="N106" s="50">
        <f t="shared" si="13"/>
        <v>0</v>
      </c>
    </row>
    <row r="107" spans="1:14" ht="12.75" customHeight="1" x14ac:dyDescent="0.3">
      <c r="A107" s="130">
        <v>17.04</v>
      </c>
      <c r="B107" s="38" t="s">
        <v>119</v>
      </c>
      <c r="C107" s="34" t="s">
        <v>33</v>
      </c>
      <c r="D107" s="35">
        <v>6</v>
      </c>
      <c r="E107" s="189">
        <v>116001</v>
      </c>
      <c r="F107" s="189">
        <f t="shared" si="5"/>
        <v>696006</v>
      </c>
      <c r="G107" s="182"/>
      <c r="H107" s="245"/>
      <c r="I107" s="250">
        <f>'GDR 3760_Pto. 02_Cert. 01'!K107</f>
        <v>0</v>
      </c>
      <c r="J107" s="250"/>
      <c r="K107" s="251">
        <f t="shared" si="10"/>
        <v>0</v>
      </c>
      <c r="L107" s="50">
        <f t="shared" si="11"/>
        <v>0</v>
      </c>
      <c r="M107" s="50">
        <f t="shared" si="12"/>
        <v>0</v>
      </c>
      <c r="N107" s="50">
        <f t="shared" si="13"/>
        <v>0</v>
      </c>
    </row>
    <row r="108" spans="1:14" ht="12.75" customHeight="1" x14ac:dyDescent="0.3">
      <c r="A108" s="13">
        <v>18</v>
      </c>
      <c r="B108" s="40" t="s">
        <v>120</v>
      </c>
      <c r="C108" s="18"/>
      <c r="D108" s="19"/>
      <c r="E108" s="19"/>
      <c r="F108" s="19"/>
      <c r="G108" s="176">
        <f>+SUM(F109:F141)</f>
        <v>87609553</v>
      </c>
      <c r="H108" s="245">
        <f>+G108/$G$195</f>
        <v>0.10369893564223492</v>
      </c>
      <c r="I108" s="246"/>
      <c r="J108" s="247"/>
      <c r="K108" s="247"/>
      <c r="L108" s="178"/>
      <c r="M108" s="178"/>
      <c r="N108" s="179"/>
    </row>
    <row r="109" spans="1:14" ht="12.75" customHeight="1" x14ac:dyDescent="0.3">
      <c r="A109" s="115">
        <f>+A108+0.01</f>
        <v>18.010000000000002</v>
      </c>
      <c r="B109" s="131" t="s">
        <v>121</v>
      </c>
      <c r="C109" s="132" t="s">
        <v>33</v>
      </c>
      <c r="D109" s="94">
        <v>260</v>
      </c>
      <c r="E109" s="180">
        <v>76531</v>
      </c>
      <c r="F109" s="180">
        <f t="shared" si="5"/>
        <v>19898060</v>
      </c>
      <c r="H109" s="245"/>
      <c r="I109" s="250">
        <f>'GDR 3760_Pto. 02_Cert. 01'!K109</f>
        <v>0</v>
      </c>
      <c r="J109" s="250"/>
      <c r="K109" s="251">
        <f t="shared" si="10"/>
        <v>0</v>
      </c>
      <c r="L109" s="50">
        <f t="shared" si="11"/>
        <v>0</v>
      </c>
      <c r="M109" s="50">
        <f t="shared" si="12"/>
        <v>0</v>
      </c>
      <c r="N109" s="50">
        <f t="shared" si="13"/>
        <v>0</v>
      </c>
    </row>
    <row r="110" spans="1:14" ht="12.75" customHeight="1" x14ac:dyDescent="0.3">
      <c r="A110" s="100">
        <v>18.02</v>
      </c>
      <c r="B110" s="98" t="s">
        <v>122</v>
      </c>
      <c r="C110" s="133" t="s">
        <v>33</v>
      </c>
      <c r="D110" s="31">
        <v>62</v>
      </c>
      <c r="E110" s="181">
        <v>73235</v>
      </c>
      <c r="F110" s="181">
        <f t="shared" si="5"/>
        <v>4540570</v>
      </c>
      <c r="H110" s="245"/>
      <c r="I110" s="250">
        <f>'GDR 3760_Pto. 02_Cert. 01'!K110</f>
        <v>0</v>
      </c>
      <c r="J110" s="250"/>
      <c r="K110" s="251">
        <f t="shared" si="10"/>
        <v>0</v>
      </c>
      <c r="L110" s="50">
        <f t="shared" si="11"/>
        <v>0</v>
      </c>
      <c r="M110" s="50">
        <f t="shared" si="12"/>
        <v>0</v>
      </c>
      <c r="N110" s="50">
        <f t="shared" si="13"/>
        <v>0</v>
      </c>
    </row>
    <row r="111" spans="1:14" ht="12.75" customHeight="1" x14ac:dyDescent="0.3">
      <c r="A111" s="100">
        <v>18.03</v>
      </c>
      <c r="B111" s="98" t="s">
        <v>123</v>
      </c>
      <c r="C111" s="133" t="s">
        <v>33</v>
      </c>
      <c r="D111" s="31">
        <v>12</v>
      </c>
      <c r="E111" s="181">
        <v>73235</v>
      </c>
      <c r="F111" s="181">
        <f t="shared" si="5"/>
        <v>878820</v>
      </c>
      <c r="H111" s="245"/>
      <c r="I111" s="250">
        <f>'GDR 3760_Pto. 02_Cert. 01'!K111</f>
        <v>0</v>
      </c>
      <c r="J111" s="250"/>
      <c r="K111" s="251">
        <f t="shared" si="10"/>
        <v>0</v>
      </c>
      <c r="L111" s="50">
        <f t="shared" si="11"/>
        <v>0</v>
      </c>
      <c r="M111" s="50">
        <f t="shared" si="12"/>
        <v>0</v>
      </c>
      <c r="N111" s="50">
        <f t="shared" si="13"/>
        <v>0</v>
      </c>
    </row>
    <row r="112" spans="1:14" ht="12.75" customHeight="1" x14ac:dyDescent="0.3">
      <c r="A112" s="100">
        <v>18.04</v>
      </c>
      <c r="B112" s="98" t="s">
        <v>124</v>
      </c>
      <c r="C112" s="133" t="s">
        <v>33</v>
      </c>
      <c r="D112" s="31">
        <v>16</v>
      </c>
      <c r="E112" s="181">
        <v>73235</v>
      </c>
      <c r="F112" s="181">
        <f t="shared" si="5"/>
        <v>1171760</v>
      </c>
      <c r="H112" s="245"/>
      <c r="I112" s="250">
        <f>'GDR 3760_Pto. 02_Cert. 01'!K112</f>
        <v>0</v>
      </c>
      <c r="J112" s="250"/>
      <c r="K112" s="251">
        <f t="shared" si="10"/>
        <v>0</v>
      </c>
      <c r="L112" s="50">
        <f t="shared" si="11"/>
        <v>0</v>
      </c>
      <c r="M112" s="50">
        <f t="shared" si="12"/>
        <v>0</v>
      </c>
      <c r="N112" s="50">
        <f t="shared" si="13"/>
        <v>0</v>
      </c>
    </row>
    <row r="113" spans="1:14" ht="12.75" customHeight="1" x14ac:dyDescent="0.3">
      <c r="A113" s="100">
        <v>18.05</v>
      </c>
      <c r="B113" s="98" t="s">
        <v>125</v>
      </c>
      <c r="C113" s="133" t="s">
        <v>33</v>
      </c>
      <c r="D113" s="31">
        <v>1</v>
      </c>
      <c r="E113" s="181">
        <v>73235</v>
      </c>
      <c r="F113" s="181">
        <f t="shared" si="5"/>
        <v>73235</v>
      </c>
      <c r="H113" s="245"/>
      <c r="I113" s="250">
        <f>'GDR 3760_Pto. 02_Cert. 01'!K113</f>
        <v>0</v>
      </c>
      <c r="J113" s="250"/>
      <c r="K113" s="251">
        <f t="shared" si="10"/>
        <v>0</v>
      </c>
      <c r="L113" s="50">
        <f t="shared" si="11"/>
        <v>0</v>
      </c>
      <c r="M113" s="50">
        <f t="shared" si="12"/>
        <v>0</v>
      </c>
      <c r="N113" s="50">
        <f t="shared" si="13"/>
        <v>0</v>
      </c>
    </row>
    <row r="114" spans="1:14" ht="12.75" customHeight="1" x14ac:dyDescent="0.3">
      <c r="A114" s="100">
        <v>18.059999999999999</v>
      </c>
      <c r="B114" s="98" t="s">
        <v>126</v>
      </c>
      <c r="C114" s="133" t="s">
        <v>33</v>
      </c>
      <c r="D114" s="31">
        <v>24</v>
      </c>
      <c r="E114" s="181">
        <v>73235</v>
      </c>
      <c r="F114" s="181">
        <f t="shared" si="5"/>
        <v>1757640</v>
      </c>
      <c r="H114" s="245"/>
      <c r="I114" s="250">
        <f>'GDR 3760_Pto. 02_Cert. 01'!K114</f>
        <v>0</v>
      </c>
      <c r="J114" s="250"/>
      <c r="K114" s="251">
        <f t="shared" si="10"/>
        <v>0</v>
      </c>
      <c r="L114" s="50">
        <f t="shared" si="11"/>
        <v>0</v>
      </c>
      <c r="M114" s="50">
        <f t="shared" si="12"/>
        <v>0</v>
      </c>
      <c r="N114" s="50">
        <f t="shared" si="13"/>
        <v>0</v>
      </c>
    </row>
    <row r="115" spans="1:14" ht="12.75" customHeight="1" x14ac:dyDescent="0.3">
      <c r="A115" s="100">
        <v>18.07</v>
      </c>
      <c r="B115" s="98" t="s">
        <v>127</v>
      </c>
      <c r="C115" s="133" t="s">
        <v>33</v>
      </c>
      <c r="D115" s="31">
        <v>226</v>
      </c>
      <c r="E115" s="181">
        <v>69154</v>
      </c>
      <c r="F115" s="181">
        <f t="shared" si="5"/>
        <v>15628804</v>
      </c>
      <c r="H115" s="245"/>
      <c r="I115" s="250">
        <f>'GDR 3760_Pto. 02_Cert. 01'!K115</f>
        <v>0</v>
      </c>
      <c r="J115" s="250"/>
      <c r="K115" s="251">
        <f t="shared" si="10"/>
        <v>0</v>
      </c>
      <c r="L115" s="50">
        <f t="shared" si="11"/>
        <v>0</v>
      </c>
      <c r="M115" s="50">
        <f t="shared" si="12"/>
        <v>0</v>
      </c>
      <c r="N115" s="50">
        <f t="shared" si="13"/>
        <v>0</v>
      </c>
    </row>
    <row r="116" spans="1:14" ht="12.75" customHeight="1" x14ac:dyDescent="0.3">
      <c r="A116" s="100">
        <v>18.079999999999998</v>
      </c>
      <c r="B116" s="98" t="s">
        <v>128</v>
      </c>
      <c r="C116" s="133" t="s">
        <v>33</v>
      </c>
      <c r="D116" s="31">
        <v>32</v>
      </c>
      <c r="E116" s="181">
        <v>95308</v>
      </c>
      <c r="F116" s="181">
        <f t="shared" si="5"/>
        <v>3049856</v>
      </c>
      <c r="H116" s="245"/>
      <c r="I116" s="250">
        <f>'GDR 3760_Pto. 02_Cert. 01'!K116</f>
        <v>0</v>
      </c>
      <c r="J116" s="250"/>
      <c r="K116" s="251">
        <f t="shared" si="10"/>
        <v>0</v>
      </c>
      <c r="L116" s="50">
        <f t="shared" si="11"/>
        <v>0</v>
      </c>
      <c r="M116" s="50">
        <f t="shared" si="12"/>
        <v>0</v>
      </c>
      <c r="N116" s="50">
        <f t="shared" si="13"/>
        <v>0</v>
      </c>
    </row>
    <row r="117" spans="1:14" ht="12.75" customHeight="1" x14ac:dyDescent="0.3">
      <c r="A117" s="100">
        <v>18.09</v>
      </c>
      <c r="B117" s="98" t="s">
        <v>129</v>
      </c>
      <c r="C117" s="133" t="s">
        <v>33</v>
      </c>
      <c r="D117" s="31">
        <v>8</v>
      </c>
      <c r="E117" s="181">
        <v>69154</v>
      </c>
      <c r="F117" s="181">
        <f t="shared" si="5"/>
        <v>553232</v>
      </c>
      <c r="H117" s="245"/>
      <c r="I117" s="250">
        <f>'GDR 3760_Pto. 02_Cert. 01'!K117</f>
        <v>0</v>
      </c>
      <c r="J117" s="250"/>
      <c r="K117" s="251">
        <f t="shared" si="10"/>
        <v>0</v>
      </c>
      <c r="L117" s="50">
        <f t="shared" si="11"/>
        <v>0</v>
      </c>
      <c r="M117" s="50">
        <f t="shared" si="12"/>
        <v>0</v>
      </c>
      <c r="N117" s="50">
        <f t="shared" si="13"/>
        <v>0</v>
      </c>
    </row>
    <row r="118" spans="1:14" ht="12.75" customHeight="1" x14ac:dyDescent="0.3">
      <c r="A118" s="100">
        <v>18.100000000000001</v>
      </c>
      <c r="B118" s="98" t="s">
        <v>130</v>
      </c>
      <c r="C118" s="133" t="s">
        <v>33</v>
      </c>
      <c r="D118" s="31">
        <v>8</v>
      </c>
      <c r="E118" s="181">
        <v>69154</v>
      </c>
      <c r="F118" s="181">
        <f t="shared" si="5"/>
        <v>553232</v>
      </c>
      <c r="H118" s="245"/>
      <c r="I118" s="250">
        <f>'GDR 3760_Pto. 02_Cert. 01'!K118</f>
        <v>0</v>
      </c>
      <c r="J118" s="250"/>
      <c r="K118" s="251">
        <f t="shared" si="10"/>
        <v>0</v>
      </c>
      <c r="L118" s="50">
        <f t="shared" si="11"/>
        <v>0</v>
      </c>
      <c r="M118" s="50">
        <f t="shared" si="12"/>
        <v>0</v>
      </c>
      <c r="N118" s="50">
        <f t="shared" si="13"/>
        <v>0</v>
      </c>
    </row>
    <row r="119" spans="1:14" ht="12.75" customHeight="1" x14ac:dyDescent="0.3">
      <c r="A119" s="100">
        <v>18.11</v>
      </c>
      <c r="B119" s="98" t="s">
        <v>131</v>
      </c>
      <c r="C119" s="133" t="s">
        <v>33</v>
      </c>
      <c r="D119" s="31">
        <v>26</v>
      </c>
      <c r="E119" s="181">
        <v>50616</v>
      </c>
      <c r="F119" s="181">
        <f t="shared" si="5"/>
        <v>1316016</v>
      </c>
      <c r="H119" s="245"/>
      <c r="I119" s="250">
        <f>'GDR 3760_Pto. 02_Cert. 01'!K119</f>
        <v>0</v>
      </c>
      <c r="J119" s="250"/>
      <c r="K119" s="251">
        <f t="shared" si="10"/>
        <v>0</v>
      </c>
      <c r="L119" s="50">
        <f t="shared" si="11"/>
        <v>0</v>
      </c>
      <c r="M119" s="50">
        <f t="shared" si="12"/>
        <v>0</v>
      </c>
      <c r="N119" s="50">
        <f t="shared" si="13"/>
        <v>0</v>
      </c>
    </row>
    <row r="120" spans="1:14" ht="12.75" customHeight="1" x14ac:dyDescent="0.3">
      <c r="A120" s="100">
        <v>18.12</v>
      </c>
      <c r="B120" s="98" t="s">
        <v>132</v>
      </c>
      <c r="C120" s="133" t="s">
        <v>33</v>
      </c>
      <c r="D120" s="31">
        <v>27</v>
      </c>
      <c r="E120" s="181">
        <v>50616</v>
      </c>
      <c r="F120" s="181">
        <f t="shared" si="5"/>
        <v>1366632</v>
      </c>
      <c r="H120" s="245"/>
      <c r="I120" s="250">
        <f>'GDR 3760_Pto. 02_Cert. 01'!K120</f>
        <v>0</v>
      </c>
      <c r="J120" s="250"/>
      <c r="K120" s="251">
        <f t="shared" si="10"/>
        <v>0</v>
      </c>
      <c r="L120" s="50">
        <f t="shared" si="11"/>
        <v>0</v>
      </c>
      <c r="M120" s="50">
        <f t="shared" si="12"/>
        <v>0</v>
      </c>
      <c r="N120" s="50">
        <f t="shared" si="13"/>
        <v>0</v>
      </c>
    </row>
    <row r="121" spans="1:14" ht="12.75" customHeight="1" x14ac:dyDescent="0.3">
      <c r="A121" s="100">
        <v>18.13</v>
      </c>
      <c r="B121" s="98" t="s">
        <v>133</v>
      </c>
      <c r="C121" s="133" t="s">
        <v>33</v>
      </c>
      <c r="D121" s="31">
        <v>9</v>
      </c>
      <c r="E121" s="181">
        <v>50616</v>
      </c>
      <c r="F121" s="181">
        <f t="shared" si="5"/>
        <v>455544</v>
      </c>
      <c r="H121" s="245"/>
      <c r="I121" s="250">
        <f>'GDR 3760_Pto. 02_Cert. 01'!K121</f>
        <v>0</v>
      </c>
      <c r="J121" s="250"/>
      <c r="K121" s="251">
        <f t="shared" si="10"/>
        <v>0</v>
      </c>
      <c r="L121" s="50">
        <f t="shared" si="11"/>
        <v>0</v>
      </c>
      <c r="M121" s="50">
        <f t="shared" si="12"/>
        <v>0</v>
      </c>
      <c r="N121" s="50">
        <f t="shared" si="13"/>
        <v>0</v>
      </c>
    </row>
    <row r="122" spans="1:14" ht="12.75" customHeight="1" x14ac:dyDescent="0.3">
      <c r="A122" s="100">
        <v>18.14</v>
      </c>
      <c r="B122" s="98" t="s">
        <v>134</v>
      </c>
      <c r="C122" s="133" t="s">
        <v>33</v>
      </c>
      <c r="D122" s="31">
        <v>29</v>
      </c>
      <c r="E122" s="181">
        <v>50616</v>
      </c>
      <c r="F122" s="181">
        <f t="shared" si="5"/>
        <v>1467864</v>
      </c>
      <c r="H122" s="245"/>
      <c r="I122" s="250">
        <f>'GDR 3760_Pto. 02_Cert. 01'!K122</f>
        <v>0</v>
      </c>
      <c r="J122" s="250"/>
      <c r="K122" s="251">
        <f t="shared" si="10"/>
        <v>0</v>
      </c>
      <c r="L122" s="50">
        <f t="shared" si="11"/>
        <v>0</v>
      </c>
      <c r="M122" s="50">
        <f t="shared" si="12"/>
        <v>0</v>
      </c>
      <c r="N122" s="50">
        <f t="shared" si="13"/>
        <v>0</v>
      </c>
    </row>
    <row r="123" spans="1:14" ht="12.75" customHeight="1" x14ac:dyDescent="0.3">
      <c r="A123" s="100">
        <v>18.149999999999999</v>
      </c>
      <c r="B123" s="98" t="s">
        <v>135</v>
      </c>
      <c r="C123" s="133" t="s">
        <v>33</v>
      </c>
      <c r="D123" s="31">
        <v>3</v>
      </c>
      <c r="E123" s="181">
        <v>50616</v>
      </c>
      <c r="F123" s="181">
        <f t="shared" si="5"/>
        <v>151848</v>
      </c>
      <c r="H123" s="245"/>
      <c r="I123" s="250">
        <f>'GDR 3760_Pto. 02_Cert. 01'!K123</f>
        <v>0</v>
      </c>
      <c r="J123" s="250"/>
      <c r="K123" s="251">
        <f t="shared" si="10"/>
        <v>0</v>
      </c>
      <c r="L123" s="50">
        <f t="shared" si="11"/>
        <v>0</v>
      </c>
      <c r="M123" s="50">
        <f t="shared" si="12"/>
        <v>0</v>
      </c>
      <c r="N123" s="50">
        <f t="shared" si="13"/>
        <v>0</v>
      </c>
    </row>
    <row r="124" spans="1:14" ht="12.75" customHeight="1" x14ac:dyDescent="0.3">
      <c r="A124" s="100">
        <v>18.16</v>
      </c>
      <c r="B124" s="98" t="s">
        <v>136</v>
      </c>
      <c r="C124" s="133" t="s">
        <v>33</v>
      </c>
      <c r="D124" s="31">
        <v>1</v>
      </c>
      <c r="E124" s="181">
        <v>2245770</v>
      </c>
      <c r="F124" s="181">
        <f t="shared" si="5"/>
        <v>2245770</v>
      </c>
      <c r="H124" s="245"/>
      <c r="I124" s="250">
        <f>'GDR 3760_Pto. 02_Cert. 01'!K124</f>
        <v>0</v>
      </c>
      <c r="J124" s="250"/>
      <c r="K124" s="251">
        <f t="shared" si="10"/>
        <v>0</v>
      </c>
      <c r="L124" s="50">
        <f t="shared" si="11"/>
        <v>0</v>
      </c>
      <c r="M124" s="50">
        <f t="shared" si="12"/>
        <v>0</v>
      </c>
      <c r="N124" s="50">
        <f t="shared" si="13"/>
        <v>0</v>
      </c>
    </row>
    <row r="125" spans="1:14" ht="12.75" customHeight="1" x14ac:dyDescent="0.3">
      <c r="A125" s="100">
        <v>18.170000000000002</v>
      </c>
      <c r="B125" s="98" t="s">
        <v>137</v>
      </c>
      <c r="C125" s="133" t="s">
        <v>33</v>
      </c>
      <c r="D125" s="31">
        <v>1</v>
      </c>
      <c r="E125" s="181">
        <v>1116033</v>
      </c>
      <c r="F125" s="181">
        <f t="shared" si="5"/>
        <v>1116033</v>
      </c>
      <c r="H125" s="245"/>
      <c r="I125" s="250">
        <f>'GDR 3760_Pto. 02_Cert. 01'!K125</f>
        <v>0</v>
      </c>
      <c r="J125" s="250"/>
      <c r="K125" s="251">
        <f t="shared" si="10"/>
        <v>0</v>
      </c>
      <c r="L125" s="50">
        <f t="shared" si="11"/>
        <v>0</v>
      </c>
      <c r="M125" s="50">
        <f t="shared" si="12"/>
        <v>0</v>
      </c>
      <c r="N125" s="50">
        <f t="shared" si="13"/>
        <v>0</v>
      </c>
    </row>
    <row r="126" spans="1:14" ht="12.75" customHeight="1" x14ac:dyDescent="0.3">
      <c r="A126" s="100">
        <v>18.18</v>
      </c>
      <c r="B126" s="98" t="s">
        <v>138</v>
      </c>
      <c r="C126" s="133" t="s">
        <v>33</v>
      </c>
      <c r="D126" s="31">
        <v>2</v>
      </c>
      <c r="E126" s="181">
        <v>530996</v>
      </c>
      <c r="F126" s="181">
        <f t="shared" si="5"/>
        <v>1061992</v>
      </c>
      <c r="H126" s="245"/>
      <c r="I126" s="250">
        <f>'GDR 3760_Pto. 02_Cert. 01'!K126</f>
        <v>0</v>
      </c>
      <c r="J126" s="250"/>
      <c r="K126" s="251">
        <f t="shared" si="10"/>
        <v>0</v>
      </c>
      <c r="L126" s="50">
        <f t="shared" si="11"/>
        <v>0</v>
      </c>
      <c r="M126" s="50">
        <f t="shared" si="12"/>
        <v>0</v>
      </c>
      <c r="N126" s="50">
        <f t="shared" si="13"/>
        <v>0</v>
      </c>
    </row>
    <row r="127" spans="1:14" ht="12.75" customHeight="1" x14ac:dyDescent="0.3">
      <c r="A127" s="100">
        <v>18.190000000000001</v>
      </c>
      <c r="B127" s="98" t="s">
        <v>139</v>
      </c>
      <c r="C127" s="133" t="s">
        <v>33</v>
      </c>
      <c r="D127" s="31">
        <v>9</v>
      </c>
      <c r="E127" s="181">
        <v>595409</v>
      </c>
      <c r="F127" s="181">
        <f t="shared" si="5"/>
        <v>5358681</v>
      </c>
      <c r="H127" s="245"/>
      <c r="I127" s="250">
        <f>'GDR 3760_Pto. 02_Cert. 01'!K127</f>
        <v>0</v>
      </c>
      <c r="J127" s="250"/>
      <c r="K127" s="251">
        <f t="shared" si="10"/>
        <v>0</v>
      </c>
      <c r="L127" s="50">
        <f t="shared" si="11"/>
        <v>0</v>
      </c>
      <c r="M127" s="50">
        <f t="shared" si="12"/>
        <v>0</v>
      </c>
      <c r="N127" s="50">
        <f t="shared" si="13"/>
        <v>0</v>
      </c>
    </row>
    <row r="128" spans="1:14" ht="12.75" customHeight="1" x14ac:dyDescent="0.3">
      <c r="A128" s="100">
        <v>18.2</v>
      </c>
      <c r="B128" s="98" t="s">
        <v>140</v>
      </c>
      <c r="C128" s="133" t="s">
        <v>29</v>
      </c>
      <c r="D128" s="31">
        <v>1</v>
      </c>
      <c r="E128" s="181">
        <v>6378278</v>
      </c>
      <c r="F128" s="181">
        <f t="shared" si="5"/>
        <v>6378278</v>
      </c>
      <c r="H128" s="245"/>
      <c r="I128" s="250">
        <f>'GDR 3760_Pto. 02_Cert. 01'!K128</f>
        <v>0</v>
      </c>
      <c r="J128" s="250"/>
      <c r="K128" s="251">
        <f t="shared" si="10"/>
        <v>0</v>
      </c>
      <c r="L128" s="50">
        <f t="shared" si="11"/>
        <v>0</v>
      </c>
      <c r="M128" s="50">
        <f t="shared" si="12"/>
        <v>0</v>
      </c>
      <c r="N128" s="50">
        <f t="shared" si="13"/>
        <v>0</v>
      </c>
    </row>
    <row r="129" spans="1:14" ht="12.75" customHeight="1" x14ac:dyDescent="0.3">
      <c r="A129" s="100">
        <v>18.21</v>
      </c>
      <c r="B129" s="98" t="s">
        <v>141</v>
      </c>
      <c r="C129" s="133" t="s">
        <v>29</v>
      </c>
      <c r="D129" s="31">
        <v>1</v>
      </c>
      <c r="E129" s="181">
        <v>1695726</v>
      </c>
      <c r="F129" s="181">
        <f t="shared" si="5"/>
        <v>1695726</v>
      </c>
      <c r="H129" s="245"/>
      <c r="I129" s="250">
        <f>'GDR 3760_Pto. 02_Cert. 01'!K129</f>
        <v>0</v>
      </c>
      <c r="J129" s="250"/>
      <c r="K129" s="251">
        <f t="shared" si="10"/>
        <v>0</v>
      </c>
      <c r="L129" s="50">
        <f t="shared" si="11"/>
        <v>0</v>
      </c>
      <c r="M129" s="50">
        <f t="shared" si="12"/>
        <v>0</v>
      </c>
      <c r="N129" s="50">
        <f t="shared" si="13"/>
        <v>0</v>
      </c>
    </row>
    <row r="130" spans="1:14" ht="12.75" customHeight="1" x14ac:dyDescent="0.3">
      <c r="A130" s="100">
        <v>18.22</v>
      </c>
      <c r="B130" s="98" t="s">
        <v>142</v>
      </c>
      <c r="C130" s="133" t="s">
        <v>29</v>
      </c>
      <c r="D130" s="31">
        <v>1</v>
      </c>
      <c r="E130" s="181">
        <v>1695726</v>
      </c>
      <c r="F130" s="181">
        <f t="shared" si="5"/>
        <v>1695726</v>
      </c>
      <c r="H130" s="245"/>
      <c r="I130" s="250">
        <f>'GDR 3760_Pto. 02_Cert. 01'!K130</f>
        <v>0</v>
      </c>
      <c r="J130" s="250"/>
      <c r="K130" s="251">
        <f t="shared" si="10"/>
        <v>0</v>
      </c>
      <c r="L130" s="50">
        <f t="shared" si="11"/>
        <v>0</v>
      </c>
      <c r="M130" s="50">
        <f t="shared" si="12"/>
        <v>0</v>
      </c>
      <c r="N130" s="50">
        <f t="shared" si="13"/>
        <v>0</v>
      </c>
    </row>
    <row r="131" spans="1:14" ht="12.75" customHeight="1" x14ac:dyDescent="0.3">
      <c r="A131" s="100">
        <v>18.23</v>
      </c>
      <c r="B131" s="98" t="s">
        <v>143</v>
      </c>
      <c r="C131" s="133" t="s">
        <v>33</v>
      </c>
      <c r="D131" s="31">
        <v>16</v>
      </c>
      <c r="E131" s="181">
        <v>15984</v>
      </c>
      <c r="F131" s="181">
        <f t="shared" si="5"/>
        <v>255744</v>
      </c>
      <c r="H131" s="245"/>
      <c r="I131" s="250">
        <f>'GDR 3760_Pto. 02_Cert. 01'!K131</f>
        <v>0</v>
      </c>
      <c r="J131" s="250"/>
      <c r="K131" s="251">
        <f t="shared" si="10"/>
        <v>0</v>
      </c>
      <c r="L131" s="50">
        <f t="shared" si="11"/>
        <v>0</v>
      </c>
      <c r="M131" s="50">
        <f t="shared" si="12"/>
        <v>0</v>
      </c>
      <c r="N131" s="50">
        <f t="shared" si="13"/>
        <v>0</v>
      </c>
    </row>
    <row r="132" spans="1:14" ht="12.75" customHeight="1" x14ac:dyDescent="0.3">
      <c r="A132" s="100">
        <v>18.239999999999998</v>
      </c>
      <c r="B132" s="98" t="s">
        <v>144</v>
      </c>
      <c r="C132" s="133" t="s">
        <v>33</v>
      </c>
      <c r="D132" s="31">
        <v>140</v>
      </c>
      <c r="E132" s="181">
        <v>10416</v>
      </c>
      <c r="F132" s="181">
        <f t="shared" si="5"/>
        <v>1458240</v>
      </c>
      <c r="H132" s="245"/>
      <c r="I132" s="250">
        <f>'GDR 3760_Pto. 02_Cert. 01'!K132</f>
        <v>0</v>
      </c>
      <c r="J132" s="250"/>
      <c r="K132" s="251">
        <f t="shared" si="10"/>
        <v>0</v>
      </c>
      <c r="L132" s="50">
        <f t="shared" si="11"/>
        <v>0</v>
      </c>
      <c r="M132" s="50">
        <f t="shared" si="12"/>
        <v>0</v>
      </c>
      <c r="N132" s="50">
        <f t="shared" si="13"/>
        <v>0</v>
      </c>
    </row>
    <row r="133" spans="1:14" ht="12.75" customHeight="1" x14ac:dyDescent="0.3">
      <c r="A133" s="100">
        <v>18.25</v>
      </c>
      <c r="B133" s="98" t="s">
        <v>145</v>
      </c>
      <c r="C133" s="133" t="s">
        <v>33</v>
      </c>
      <c r="D133" s="31">
        <v>226</v>
      </c>
      <c r="E133" s="181">
        <v>10416</v>
      </c>
      <c r="F133" s="181">
        <f t="shared" si="5"/>
        <v>2354016</v>
      </c>
      <c r="H133" s="245"/>
      <c r="I133" s="250">
        <f>'GDR 3760_Pto. 02_Cert. 01'!K133</f>
        <v>0</v>
      </c>
      <c r="J133" s="250"/>
      <c r="K133" s="251">
        <f t="shared" si="10"/>
        <v>0</v>
      </c>
      <c r="L133" s="50">
        <f t="shared" si="11"/>
        <v>0</v>
      </c>
      <c r="M133" s="50">
        <f t="shared" si="12"/>
        <v>0</v>
      </c>
      <c r="N133" s="50">
        <f t="shared" si="13"/>
        <v>0</v>
      </c>
    </row>
    <row r="134" spans="1:14" ht="12.75" customHeight="1" x14ac:dyDescent="0.3">
      <c r="A134" s="100">
        <v>18.260000000000002</v>
      </c>
      <c r="B134" s="98" t="s">
        <v>146</v>
      </c>
      <c r="C134" s="133" t="s">
        <v>33</v>
      </c>
      <c r="D134" s="31">
        <v>8</v>
      </c>
      <c r="E134" s="181">
        <v>25377</v>
      </c>
      <c r="F134" s="181">
        <f t="shared" si="5"/>
        <v>203016</v>
      </c>
      <c r="H134" s="245"/>
      <c r="I134" s="250">
        <f>'GDR 3760_Pto. 02_Cert. 01'!K134</f>
        <v>0</v>
      </c>
      <c r="J134" s="250"/>
      <c r="K134" s="251">
        <f t="shared" si="10"/>
        <v>0</v>
      </c>
      <c r="L134" s="50">
        <f t="shared" si="11"/>
        <v>0</v>
      </c>
      <c r="M134" s="50">
        <f t="shared" si="12"/>
        <v>0</v>
      </c>
      <c r="N134" s="50">
        <f t="shared" si="13"/>
        <v>0</v>
      </c>
    </row>
    <row r="135" spans="1:14" ht="12.75" customHeight="1" x14ac:dyDescent="0.3">
      <c r="A135" s="100">
        <v>18.27</v>
      </c>
      <c r="B135" s="98" t="s">
        <v>147</v>
      </c>
      <c r="C135" s="133" t="s">
        <v>33</v>
      </c>
      <c r="D135" s="31">
        <v>24</v>
      </c>
      <c r="E135" s="181">
        <v>93081</v>
      </c>
      <c r="F135" s="181">
        <f t="shared" si="5"/>
        <v>2233944</v>
      </c>
      <c r="H135" s="245"/>
      <c r="I135" s="250">
        <f>'GDR 3760_Pto. 02_Cert. 01'!K135</f>
        <v>0</v>
      </c>
      <c r="J135" s="250"/>
      <c r="K135" s="251">
        <f t="shared" si="10"/>
        <v>0</v>
      </c>
      <c r="L135" s="50">
        <f t="shared" si="11"/>
        <v>0</v>
      </c>
      <c r="M135" s="50">
        <f t="shared" si="12"/>
        <v>0</v>
      </c>
      <c r="N135" s="50">
        <f t="shared" si="13"/>
        <v>0</v>
      </c>
    </row>
    <row r="136" spans="1:14" ht="12.75" customHeight="1" x14ac:dyDescent="0.3">
      <c r="A136" s="100">
        <v>18.28</v>
      </c>
      <c r="B136" s="98" t="s">
        <v>148</v>
      </c>
      <c r="C136" s="133" t="s">
        <v>33</v>
      </c>
      <c r="D136" s="31">
        <v>12</v>
      </c>
      <c r="E136" s="181">
        <v>25377</v>
      </c>
      <c r="F136" s="181">
        <f t="shared" si="5"/>
        <v>304524</v>
      </c>
      <c r="H136" s="245"/>
      <c r="I136" s="250">
        <f>'GDR 3760_Pto. 02_Cert. 01'!K136</f>
        <v>0</v>
      </c>
      <c r="J136" s="250"/>
      <c r="K136" s="251">
        <f t="shared" si="10"/>
        <v>0</v>
      </c>
      <c r="L136" s="50">
        <f t="shared" si="11"/>
        <v>0</v>
      </c>
      <c r="M136" s="50">
        <f t="shared" si="12"/>
        <v>0</v>
      </c>
      <c r="N136" s="50">
        <f t="shared" si="13"/>
        <v>0</v>
      </c>
    </row>
    <row r="137" spans="1:14" ht="12.75" customHeight="1" x14ac:dyDescent="0.3">
      <c r="A137" s="100">
        <v>18.2899999999999</v>
      </c>
      <c r="B137" s="98" t="s">
        <v>149</v>
      </c>
      <c r="C137" s="133" t="s">
        <v>33</v>
      </c>
      <c r="D137" s="31">
        <v>1</v>
      </c>
      <c r="E137" s="181">
        <v>25377</v>
      </c>
      <c r="F137" s="181">
        <f t="shared" si="5"/>
        <v>25377</v>
      </c>
      <c r="H137" s="245"/>
      <c r="I137" s="250">
        <f>'GDR 3760_Pto. 02_Cert. 01'!K137</f>
        <v>0</v>
      </c>
      <c r="J137" s="250"/>
      <c r="K137" s="251">
        <f t="shared" si="10"/>
        <v>0</v>
      </c>
      <c r="L137" s="50">
        <f t="shared" si="11"/>
        <v>0</v>
      </c>
      <c r="M137" s="50">
        <f t="shared" si="12"/>
        <v>0</v>
      </c>
      <c r="N137" s="50">
        <f t="shared" si="13"/>
        <v>0</v>
      </c>
    </row>
    <row r="138" spans="1:14" ht="12.75" customHeight="1" x14ac:dyDescent="0.3">
      <c r="A138" s="100">
        <v>18.299999999999901</v>
      </c>
      <c r="B138" s="98" t="s">
        <v>150</v>
      </c>
      <c r="C138" s="133" t="s">
        <v>33</v>
      </c>
      <c r="D138" s="31">
        <v>109</v>
      </c>
      <c r="E138" s="181">
        <v>15984</v>
      </c>
      <c r="F138" s="181">
        <f t="shared" ref="F138:F194" si="14">+E138*D138</f>
        <v>1742256</v>
      </c>
      <c r="H138" s="245"/>
      <c r="I138" s="250">
        <f>'GDR 3760_Pto. 02_Cert. 01'!K138</f>
        <v>0</v>
      </c>
      <c r="J138" s="250"/>
      <c r="K138" s="251">
        <f t="shared" si="10"/>
        <v>0</v>
      </c>
      <c r="L138" s="50">
        <f t="shared" si="11"/>
        <v>0</v>
      </c>
      <c r="M138" s="50">
        <f t="shared" si="12"/>
        <v>0</v>
      </c>
      <c r="N138" s="50">
        <f t="shared" si="13"/>
        <v>0</v>
      </c>
    </row>
    <row r="139" spans="1:14" ht="12.75" customHeight="1" x14ac:dyDescent="0.3">
      <c r="A139" s="100">
        <v>18.309999999999899</v>
      </c>
      <c r="B139" s="98" t="s">
        <v>151</v>
      </c>
      <c r="C139" s="133" t="s">
        <v>29</v>
      </c>
      <c r="D139" s="31">
        <v>1</v>
      </c>
      <c r="E139" s="181">
        <v>5516929</v>
      </c>
      <c r="F139" s="181">
        <f t="shared" si="14"/>
        <v>5516929</v>
      </c>
      <c r="H139" s="245"/>
      <c r="I139" s="250">
        <f>'GDR 3760_Pto. 02_Cert. 01'!K139</f>
        <v>0</v>
      </c>
      <c r="J139" s="250"/>
      <c r="K139" s="251">
        <f t="shared" si="10"/>
        <v>0</v>
      </c>
      <c r="L139" s="50">
        <f t="shared" si="11"/>
        <v>0</v>
      </c>
      <c r="M139" s="50">
        <f t="shared" si="12"/>
        <v>0</v>
      </c>
      <c r="N139" s="50">
        <f t="shared" si="13"/>
        <v>0</v>
      </c>
    </row>
    <row r="140" spans="1:14" ht="12.75" customHeight="1" x14ac:dyDescent="0.3">
      <c r="A140" s="100">
        <v>18.319999999999901</v>
      </c>
      <c r="B140" s="98" t="s">
        <v>152</v>
      </c>
      <c r="C140" s="133" t="s">
        <v>29</v>
      </c>
      <c r="D140" s="31">
        <v>1</v>
      </c>
      <c r="E140" s="181">
        <v>957554</v>
      </c>
      <c r="F140" s="181">
        <f t="shared" si="14"/>
        <v>957554</v>
      </c>
      <c r="H140" s="245"/>
      <c r="I140" s="250">
        <f>'GDR 3760_Pto. 02_Cert. 01'!K140</f>
        <v>0</v>
      </c>
      <c r="J140" s="250"/>
      <c r="K140" s="251">
        <f t="shared" ref="K140:K194" si="15">+I140+J140</f>
        <v>0</v>
      </c>
      <c r="L140" s="50">
        <f t="shared" ref="L140:L194" si="16">+F140*I140</f>
        <v>0</v>
      </c>
      <c r="M140" s="50">
        <f t="shared" ref="M140:M194" si="17">+F140*J140</f>
        <v>0</v>
      </c>
      <c r="N140" s="50">
        <f t="shared" ref="N140:N194" si="18">+F140*K140</f>
        <v>0</v>
      </c>
    </row>
    <row r="141" spans="1:14" ht="12.75" customHeight="1" x14ac:dyDescent="0.3">
      <c r="A141" s="100">
        <v>18.329999999999899</v>
      </c>
      <c r="B141" s="134" t="s">
        <v>153</v>
      </c>
      <c r="C141" s="135" t="s">
        <v>29</v>
      </c>
      <c r="D141" s="35">
        <v>1</v>
      </c>
      <c r="E141" s="181">
        <v>142634</v>
      </c>
      <c r="F141" s="181">
        <f t="shared" si="14"/>
        <v>142634</v>
      </c>
      <c r="H141" s="245"/>
      <c r="I141" s="250">
        <f>'GDR 3760_Pto. 02_Cert. 01'!K141</f>
        <v>0</v>
      </c>
      <c r="J141" s="250"/>
      <c r="K141" s="251">
        <f t="shared" si="15"/>
        <v>0</v>
      </c>
      <c r="L141" s="50">
        <f t="shared" si="16"/>
        <v>0</v>
      </c>
      <c r="M141" s="50">
        <f t="shared" si="17"/>
        <v>0</v>
      </c>
      <c r="N141" s="50">
        <f t="shared" si="18"/>
        <v>0</v>
      </c>
    </row>
    <row r="142" spans="1:14" ht="12.75" customHeight="1" x14ac:dyDescent="0.3">
      <c r="A142" s="13">
        <v>19</v>
      </c>
      <c r="B142" s="40" t="s">
        <v>154</v>
      </c>
      <c r="C142" s="18"/>
      <c r="D142" s="19"/>
      <c r="E142" s="190"/>
      <c r="F142" s="190"/>
      <c r="G142" s="191"/>
      <c r="H142" s="245"/>
      <c r="I142" s="246"/>
      <c r="J142" s="247"/>
      <c r="K142" s="247"/>
      <c r="L142" s="178"/>
      <c r="M142" s="178"/>
      <c r="N142" s="179"/>
    </row>
    <row r="143" spans="1:14" ht="12.75" customHeight="1" x14ac:dyDescent="0.3">
      <c r="A143" s="13"/>
      <c r="B143" s="40" t="s">
        <v>155</v>
      </c>
      <c r="C143" s="18"/>
      <c r="D143" s="19"/>
      <c r="E143" s="19"/>
      <c r="F143" s="19"/>
      <c r="G143" s="192">
        <f>+SUM(F144:F146)</f>
        <v>21227962</v>
      </c>
      <c r="H143" s="245">
        <f>+G143/$G$195</f>
        <v>2.5126450140132647E-2</v>
      </c>
      <c r="I143" s="246"/>
      <c r="J143" s="247"/>
      <c r="K143" s="247"/>
      <c r="L143" s="178"/>
      <c r="M143" s="178"/>
      <c r="N143" s="179"/>
    </row>
    <row r="144" spans="1:14" ht="12.75" customHeight="1" x14ac:dyDescent="0.3">
      <c r="A144" s="20">
        <v>19.010000000000002</v>
      </c>
      <c r="B144" s="136" t="s">
        <v>156</v>
      </c>
      <c r="C144" s="122" t="s">
        <v>29</v>
      </c>
      <c r="D144" s="123">
        <v>1</v>
      </c>
      <c r="E144" s="183">
        <v>6793844</v>
      </c>
      <c r="F144" s="183">
        <f t="shared" si="14"/>
        <v>6793844</v>
      </c>
      <c r="H144" s="245"/>
      <c r="I144" s="250">
        <f>'GDR 3760_Pto. 02_Cert. 01'!K144</f>
        <v>0</v>
      </c>
      <c r="J144" s="250"/>
      <c r="K144" s="251">
        <f t="shared" si="15"/>
        <v>0</v>
      </c>
      <c r="L144" s="50">
        <f t="shared" si="16"/>
        <v>0</v>
      </c>
      <c r="M144" s="50">
        <f t="shared" si="17"/>
        <v>0</v>
      </c>
      <c r="N144" s="50">
        <f t="shared" si="18"/>
        <v>0</v>
      </c>
    </row>
    <row r="145" spans="1:14" ht="12.75" customHeight="1" x14ac:dyDescent="0.3">
      <c r="A145" s="24">
        <v>19.02</v>
      </c>
      <c r="B145" s="36" t="s">
        <v>157</v>
      </c>
      <c r="C145" s="28" t="s">
        <v>29</v>
      </c>
      <c r="D145" s="29">
        <v>1</v>
      </c>
      <c r="E145" s="181">
        <v>9552583</v>
      </c>
      <c r="F145" s="181">
        <f t="shared" si="14"/>
        <v>9552583</v>
      </c>
      <c r="H145" s="245"/>
      <c r="I145" s="250">
        <f>'GDR 3760_Pto. 02_Cert. 01'!K145</f>
        <v>0</v>
      </c>
      <c r="J145" s="250"/>
      <c r="K145" s="251">
        <f t="shared" si="15"/>
        <v>0</v>
      </c>
      <c r="L145" s="50">
        <f t="shared" si="16"/>
        <v>0</v>
      </c>
      <c r="M145" s="50">
        <f t="shared" si="17"/>
        <v>0</v>
      </c>
      <c r="N145" s="50">
        <f t="shared" si="18"/>
        <v>0</v>
      </c>
    </row>
    <row r="146" spans="1:14" ht="12.75" customHeight="1" x14ac:dyDescent="0.3">
      <c r="A146" s="33">
        <v>19.03</v>
      </c>
      <c r="B146" s="137" t="s">
        <v>158</v>
      </c>
      <c r="C146" s="138" t="s">
        <v>29</v>
      </c>
      <c r="D146" s="139">
        <v>1</v>
      </c>
      <c r="E146" s="181">
        <v>4881535</v>
      </c>
      <c r="F146" s="181">
        <f t="shared" si="14"/>
        <v>4881535</v>
      </c>
      <c r="H146" s="245"/>
      <c r="I146" s="250">
        <f>'GDR 3760_Pto. 02_Cert. 01'!K146</f>
        <v>0</v>
      </c>
      <c r="J146" s="250"/>
      <c r="K146" s="251">
        <f t="shared" si="15"/>
        <v>0</v>
      </c>
      <c r="L146" s="50">
        <f t="shared" si="16"/>
        <v>0</v>
      </c>
      <c r="M146" s="50">
        <f t="shared" si="17"/>
        <v>0</v>
      </c>
      <c r="N146" s="50">
        <f t="shared" si="18"/>
        <v>0</v>
      </c>
    </row>
    <row r="147" spans="1:14" ht="12.75" customHeight="1" x14ac:dyDescent="0.3">
      <c r="A147" s="140"/>
      <c r="B147" s="141" t="s">
        <v>159</v>
      </c>
      <c r="C147" s="11"/>
      <c r="D147" s="12"/>
      <c r="E147" s="19"/>
      <c r="F147" s="19"/>
      <c r="G147" s="192">
        <f>+SUM(F148:F150)</f>
        <v>7075989</v>
      </c>
      <c r="H147" s="245">
        <f>+G147/$G$195</f>
        <v>8.3754853527920892E-3</v>
      </c>
      <c r="I147" s="246"/>
      <c r="J147" s="247"/>
      <c r="K147" s="247"/>
      <c r="L147" s="178"/>
      <c r="M147" s="178"/>
      <c r="N147" s="179"/>
    </row>
    <row r="148" spans="1:14" ht="12.75" customHeight="1" x14ac:dyDescent="0.3">
      <c r="A148" s="20">
        <v>19.04</v>
      </c>
      <c r="B148" s="136" t="s">
        <v>160</v>
      </c>
      <c r="C148" s="122" t="s">
        <v>29</v>
      </c>
      <c r="D148" s="123">
        <v>1</v>
      </c>
      <c r="E148" s="181">
        <v>2476596</v>
      </c>
      <c r="F148" s="181">
        <f t="shared" si="14"/>
        <v>2476596</v>
      </c>
      <c r="H148" s="245"/>
      <c r="I148" s="250">
        <f>'GDR 3760_Pto. 02_Cert. 01'!K148</f>
        <v>0</v>
      </c>
      <c r="J148" s="250"/>
      <c r="K148" s="251">
        <f t="shared" si="15"/>
        <v>0</v>
      </c>
      <c r="L148" s="50">
        <f t="shared" si="16"/>
        <v>0</v>
      </c>
      <c r="M148" s="50">
        <f t="shared" si="17"/>
        <v>0</v>
      </c>
      <c r="N148" s="50">
        <f t="shared" si="18"/>
        <v>0</v>
      </c>
    </row>
    <row r="149" spans="1:14" ht="12.75" customHeight="1" x14ac:dyDescent="0.3">
      <c r="A149" s="24">
        <v>19.05</v>
      </c>
      <c r="B149" s="36" t="s">
        <v>161</v>
      </c>
      <c r="C149" s="28" t="s">
        <v>29</v>
      </c>
      <c r="D149" s="29">
        <v>1</v>
      </c>
      <c r="E149" s="181">
        <v>3537994</v>
      </c>
      <c r="F149" s="181">
        <f t="shared" si="14"/>
        <v>3537994</v>
      </c>
      <c r="H149" s="245"/>
      <c r="I149" s="250">
        <f>'GDR 3760_Pto. 02_Cert. 01'!K149</f>
        <v>0</v>
      </c>
      <c r="J149" s="250"/>
      <c r="K149" s="251">
        <f t="shared" si="15"/>
        <v>0</v>
      </c>
      <c r="L149" s="50">
        <f t="shared" si="16"/>
        <v>0</v>
      </c>
      <c r="M149" s="50">
        <f t="shared" si="17"/>
        <v>0</v>
      </c>
      <c r="N149" s="50">
        <f t="shared" si="18"/>
        <v>0</v>
      </c>
    </row>
    <row r="150" spans="1:14" ht="12.75" customHeight="1" x14ac:dyDescent="0.3">
      <c r="A150" s="33">
        <v>19.059999999999999</v>
      </c>
      <c r="B150" s="137" t="s">
        <v>162</v>
      </c>
      <c r="C150" s="138" t="s">
        <v>29</v>
      </c>
      <c r="D150" s="139">
        <v>1</v>
      </c>
      <c r="E150" s="181">
        <v>1061399</v>
      </c>
      <c r="F150" s="181">
        <f t="shared" si="14"/>
        <v>1061399</v>
      </c>
      <c r="H150" s="245"/>
      <c r="I150" s="250">
        <f>'GDR 3760_Pto. 02_Cert. 01'!K150</f>
        <v>0</v>
      </c>
      <c r="J150" s="250"/>
      <c r="K150" s="251">
        <f t="shared" si="15"/>
        <v>0</v>
      </c>
      <c r="L150" s="50">
        <f t="shared" si="16"/>
        <v>0</v>
      </c>
      <c r="M150" s="50">
        <f t="shared" si="17"/>
        <v>0</v>
      </c>
      <c r="N150" s="50">
        <f t="shared" si="18"/>
        <v>0</v>
      </c>
    </row>
    <row r="151" spans="1:14" ht="12.75" customHeight="1" x14ac:dyDescent="0.3">
      <c r="A151" s="13"/>
      <c r="B151" s="40" t="s">
        <v>163</v>
      </c>
      <c r="C151" s="18"/>
      <c r="D151" s="19"/>
      <c r="E151" s="19"/>
      <c r="F151" s="19"/>
      <c r="G151" s="192">
        <f>+SUM(F152:F156)</f>
        <v>34829620</v>
      </c>
      <c r="H151" s="245">
        <f>+G151/$G$195</f>
        <v>4.1226035279777064E-2</v>
      </c>
      <c r="I151" s="246"/>
      <c r="J151" s="247"/>
      <c r="K151" s="247"/>
      <c r="L151" s="178"/>
      <c r="M151" s="178"/>
      <c r="N151" s="179"/>
    </row>
    <row r="152" spans="1:14" ht="12.75" customHeight="1" x14ac:dyDescent="0.3">
      <c r="A152" s="115">
        <v>19.07</v>
      </c>
      <c r="B152" s="142" t="s">
        <v>164</v>
      </c>
      <c r="C152" s="122" t="s">
        <v>29</v>
      </c>
      <c r="D152" s="123">
        <v>1</v>
      </c>
      <c r="E152" s="180">
        <v>3263223</v>
      </c>
      <c r="F152" s="180">
        <f t="shared" si="14"/>
        <v>3263223</v>
      </c>
      <c r="H152" s="245"/>
      <c r="I152" s="250">
        <f>'GDR 3760_Pto. 02_Cert. 01'!K152</f>
        <v>0</v>
      </c>
      <c r="J152" s="250"/>
      <c r="K152" s="251">
        <f t="shared" si="15"/>
        <v>0</v>
      </c>
      <c r="L152" s="50">
        <f t="shared" si="16"/>
        <v>0</v>
      </c>
      <c r="M152" s="50">
        <f t="shared" si="17"/>
        <v>0</v>
      </c>
      <c r="N152" s="50">
        <f t="shared" si="18"/>
        <v>0</v>
      </c>
    </row>
    <row r="153" spans="1:14" ht="12.75" customHeight="1" x14ac:dyDescent="0.3">
      <c r="A153" s="100">
        <v>19.079999999999998</v>
      </c>
      <c r="B153" s="143" t="s">
        <v>165</v>
      </c>
      <c r="C153" s="28" t="s">
        <v>29</v>
      </c>
      <c r="D153" s="29">
        <v>1</v>
      </c>
      <c r="E153" s="181">
        <v>3665831</v>
      </c>
      <c r="F153" s="181">
        <f t="shared" si="14"/>
        <v>3665831</v>
      </c>
      <c r="H153" s="245"/>
      <c r="I153" s="250">
        <f>'GDR 3760_Pto. 02_Cert. 01'!K153</f>
        <v>0</v>
      </c>
      <c r="J153" s="250"/>
      <c r="K153" s="251">
        <f t="shared" si="15"/>
        <v>0</v>
      </c>
      <c r="L153" s="50">
        <f t="shared" si="16"/>
        <v>0</v>
      </c>
      <c r="M153" s="50">
        <f t="shared" si="17"/>
        <v>0</v>
      </c>
      <c r="N153" s="50">
        <f t="shared" si="18"/>
        <v>0</v>
      </c>
    </row>
    <row r="154" spans="1:14" ht="12.75" customHeight="1" x14ac:dyDescent="0.3">
      <c r="A154" s="100">
        <v>19.09</v>
      </c>
      <c r="B154" s="144" t="s">
        <v>166</v>
      </c>
      <c r="C154" s="28" t="s">
        <v>29</v>
      </c>
      <c r="D154" s="29">
        <v>1</v>
      </c>
      <c r="E154" s="181">
        <v>3263223</v>
      </c>
      <c r="F154" s="181">
        <f t="shared" si="14"/>
        <v>3263223</v>
      </c>
      <c r="H154" s="245"/>
      <c r="I154" s="250">
        <f>'GDR 3760_Pto. 02_Cert. 01'!K154</f>
        <v>0</v>
      </c>
      <c r="J154" s="250"/>
      <c r="K154" s="251">
        <f t="shared" si="15"/>
        <v>0</v>
      </c>
      <c r="L154" s="50">
        <f t="shared" si="16"/>
        <v>0</v>
      </c>
      <c r="M154" s="50">
        <f t="shared" si="17"/>
        <v>0</v>
      </c>
      <c r="N154" s="50">
        <f t="shared" si="18"/>
        <v>0</v>
      </c>
    </row>
    <row r="155" spans="1:14" ht="12.75" customHeight="1" x14ac:dyDescent="0.3">
      <c r="A155" s="100">
        <v>19.100000000000001</v>
      </c>
      <c r="B155" s="143" t="s">
        <v>167</v>
      </c>
      <c r="C155" s="28" t="s">
        <v>29</v>
      </c>
      <c r="D155" s="29">
        <v>1</v>
      </c>
      <c r="E155" s="181">
        <v>18413869</v>
      </c>
      <c r="F155" s="181">
        <f t="shared" si="14"/>
        <v>18413869</v>
      </c>
      <c r="H155" s="245"/>
      <c r="I155" s="250">
        <f>'GDR 3760_Pto. 02_Cert. 01'!K155</f>
        <v>0</v>
      </c>
      <c r="J155" s="250"/>
      <c r="K155" s="251">
        <f t="shared" si="15"/>
        <v>0</v>
      </c>
      <c r="L155" s="50">
        <f t="shared" si="16"/>
        <v>0</v>
      </c>
      <c r="M155" s="50">
        <f t="shared" si="17"/>
        <v>0</v>
      </c>
      <c r="N155" s="50">
        <f t="shared" si="18"/>
        <v>0</v>
      </c>
    </row>
    <row r="156" spans="1:14" ht="12.75" customHeight="1" x14ac:dyDescent="0.3">
      <c r="A156" s="100">
        <v>19.11</v>
      </c>
      <c r="B156" s="145" t="s">
        <v>168</v>
      </c>
      <c r="C156" s="138" t="s">
        <v>29</v>
      </c>
      <c r="D156" s="139">
        <v>1</v>
      </c>
      <c r="E156" s="189">
        <v>6223474</v>
      </c>
      <c r="F156" s="189">
        <f t="shared" si="14"/>
        <v>6223474</v>
      </c>
      <c r="H156" s="245"/>
      <c r="I156" s="250">
        <f>'GDR 3760_Pto. 02_Cert. 01'!K156</f>
        <v>0</v>
      </c>
      <c r="J156" s="250"/>
      <c r="K156" s="251">
        <f t="shared" si="15"/>
        <v>0</v>
      </c>
      <c r="L156" s="50">
        <f t="shared" si="16"/>
        <v>0</v>
      </c>
      <c r="M156" s="50">
        <f t="shared" si="17"/>
        <v>0</v>
      </c>
      <c r="N156" s="50">
        <f t="shared" si="18"/>
        <v>0</v>
      </c>
    </row>
    <row r="157" spans="1:14" ht="12.75" customHeight="1" x14ac:dyDescent="0.3">
      <c r="A157" s="13"/>
      <c r="B157" s="40" t="s">
        <v>169</v>
      </c>
      <c r="C157" s="18"/>
      <c r="D157" s="19"/>
      <c r="E157" s="19"/>
      <c r="F157" s="19"/>
      <c r="G157" s="192">
        <f>+SUM(F158)</f>
        <v>2637801</v>
      </c>
      <c r="H157" s="245">
        <f>+G157/$G$195</f>
        <v>3.1222297885257206E-3</v>
      </c>
      <c r="I157" s="246"/>
      <c r="J157" s="247"/>
      <c r="K157" s="247"/>
      <c r="L157" s="178"/>
      <c r="M157" s="178"/>
      <c r="N157" s="179"/>
    </row>
    <row r="158" spans="1:14" ht="12.75" customHeight="1" x14ac:dyDescent="0.3">
      <c r="A158" s="24">
        <v>19.12</v>
      </c>
      <c r="B158" s="36" t="s">
        <v>170</v>
      </c>
      <c r="C158" s="28" t="s">
        <v>29</v>
      </c>
      <c r="D158" s="29">
        <v>1</v>
      </c>
      <c r="E158" s="181">
        <v>2637801</v>
      </c>
      <c r="F158" s="181">
        <f t="shared" si="14"/>
        <v>2637801</v>
      </c>
      <c r="H158" s="245"/>
      <c r="I158" s="250">
        <f>'GDR 3760_Pto. 02_Cert. 01'!K158</f>
        <v>0</v>
      </c>
      <c r="J158" s="250"/>
      <c r="K158" s="251">
        <f t="shared" si="15"/>
        <v>0</v>
      </c>
      <c r="L158" s="50">
        <f t="shared" si="16"/>
        <v>0</v>
      </c>
      <c r="M158" s="50">
        <f t="shared" si="17"/>
        <v>0</v>
      </c>
      <c r="N158" s="50">
        <f t="shared" si="18"/>
        <v>0</v>
      </c>
    </row>
    <row r="159" spans="1:14" ht="12.75" customHeight="1" x14ac:dyDescent="0.3">
      <c r="A159" s="13"/>
      <c r="B159" s="40" t="s">
        <v>171</v>
      </c>
      <c r="C159" s="18"/>
      <c r="D159" s="19"/>
      <c r="E159" s="19"/>
      <c r="F159" s="19"/>
      <c r="G159" s="192">
        <f>+SUM(F160:F161)</f>
        <v>39784561</v>
      </c>
      <c r="H159" s="245">
        <f>+G159/$G$195</f>
        <v>4.7090944873255651E-2</v>
      </c>
      <c r="I159" s="246"/>
      <c r="J159" s="247"/>
      <c r="K159" s="247"/>
      <c r="L159" s="178"/>
      <c r="M159" s="178"/>
      <c r="N159" s="179"/>
    </row>
    <row r="160" spans="1:14" ht="12.75" customHeight="1" x14ac:dyDescent="0.3">
      <c r="A160" s="20">
        <v>19.13</v>
      </c>
      <c r="B160" s="136" t="s">
        <v>172</v>
      </c>
      <c r="C160" s="122" t="s">
        <v>29</v>
      </c>
      <c r="D160" s="123">
        <v>1</v>
      </c>
      <c r="E160" s="181">
        <v>36002858</v>
      </c>
      <c r="F160" s="181">
        <f t="shared" si="14"/>
        <v>36002858</v>
      </c>
      <c r="H160" s="245"/>
      <c r="I160" s="250">
        <f>'GDR 3760_Pto. 02_Cert. 01'!K160</f>
        <v>0</v>
      </c>
      <c r="J160" s="250"/>
      <c r="K160" s="251">
        <f t="shared" si="15"/>
        <v>0</v>
      </c>
      <c r="L160" s="50">
        <f t="shared" si="16"/>
        <v>0</v>
      </c>
      <c r="M160" s="50">
        <f t="shared" si="17"/>
        <v>0</v>
      </c>
      <c r="N160" s="50">
        <f t="shared" si="18"/>
        <v>0</v>
      </c>
    </row>
    <row r="161" spans="1:14" ht="12.75" customHeight="1" x14ac:dyDescent="0.3">
      <c r="A161" s="33">
        <v>19.14</v>
      </c>
      <c r="B161" s="137" t="s">
        <v>173</v>
      </c>
      <c r="C161" s="138" t="s">
        <v>29</v>
      </c>
      <c r="D161" s="139">
        <v>1</v>
      </c>
      <c r="E161" s="181">
        <v>3781703</v>
      </c>
      <c r="F161" s="181">
        <f t="shared" si="14"/>
        <v>3781703</v>
      </c>
      <c r="H161" s="245"/>
      <c r="I161" s="250">
        <f>'GDR 3760_Pto. 02_Cert. 01'!K161</f>
        <v>0</v>
      </c>
      <c r="J161" s="250"/>
      <c r="K161" s="251">
        <f t="shared" si="15"/>
        <v>0</v>
      </c>
      <c r="L161" s="50">
        <f t="shared" si="16"/>
        <v>0</v>
      </c>
      <c r="M161" s="50">
        <f t="shared" si="17"/>
        <v>0</v>
      </c>
      <c r="N161" s="50">
        <f t="shared" si="18"/>
        <v>0</v>
      </c>
    </row>
    <row r="162" spans="1:14" ht="12.75" customHeight="1" x14ac:dyDescent="0.3">
      <c r="A162" s="13"/>
      <c r="B162" s="40" t="s">
        <v>174</v>
      </c>
      <c r="C162" s="18"/>
      <c r="D162" s="19"/>
      <c r="E162" s="19"/>
      <c r="F162" s="19"/>
      <c r="G162" s="192">
        <f>+SUM(F163)</f>
        <v>6439007</v>
      </c>
      <c r="H162" s="245">
        <f>+G162/$G$195</f>
        <v>7.6215224211097178E-3</v>
      </c>
      <c r="I162" s="246"/>
      <c r="J162" s="247"/>
      <c r="K162" s="247"/>
      <c r="L162" s="178"/>
      <c r="M162" s="178"/>
      <c r="N162" s="179"/>
    </row>
    <row r="163" spans="1:14" ht="12.75" customHeight="1" x14ac:dyDescent="0.3">
      <c r="A163" s="24">
        <v>19.149999999999999</v>
      </c>
      <c r="B163" s="98" t="s">
        <v>175</v>
      </c>
      <c r="C163" s="28" t="s">
        <v>29</v>
      </c>
      <c r="D163" s="29">
        <v>1</v>
      </c>
      <c r="E163" s="181">
        <v>6439007</v>
      </c>
      <c r="F163" s="181">
        <f t="shared" si="14"/>
        <v>6439007</v>
      </c>
      <c r="H163" s="245"/>
      <c r="I163" s="250">
        <f>'GDR 3760_Pto. 02_Cert. 01'!K163</f>
        <v>0</v>
      </c>
      <c r="J163" s="250"/>
      <c r="K163" s="251">
        <f t="shared" si="15"/>
        <v>0</v>
      </c>
      <c r="L163" s="50">
        <f t="shared" si="16"/>
        <v>0</v>
      </c>
      <c r="M163" s="50">
        <f t="shared" si="17"/>
        <v>0</v>
      </c>
      <c r="N163" s="50">
        <f t="shared" si="18"/>
        <v>0</v>
      </c>
    </row>
    <row r="164" spans="1:14" ht="12.75" customHeight="1" x14ac:dyDescent="0.3">
      <c r="A164" s="13"/>
      <c r="B164" s="40" t="s">
        <v>176</v>
      </c>
      <c r="C164" s="18"/>
      <c r="D164" s="19"/>
      <c r="E164" s="19"/>
      <c r="F164" s="19"/>
      <c r="G164" s="192">
        <f>+SUM(F165:F168)</f>
        <v>33172785</v>
      </c>
      <c r="H164" s="245">
        <f t="shared" ref="H164:H192" si="19">+G164/$G$195</f>
        <v>3.9264924645702685E-2</v>
      </c>
      <c r="I164" s="246"/>
      <c r="J164" s="247"/>
      <c r="K164" s="247"/>
      <c r="L164" s="178"/>
      <c r="M164" s="178"/>
      <c r="N164" s="179"/>
    </row>
    <row r="165" spans="1:14" ht="12.75" customHeight="1" x14ac:dyDescent="0.3">
      <c r="A165" s="24">
        <v>19.16</v>
      </c>
      <c r="B165" s="143" t="s">
        <v>177</v>
      </c>
      <c r="C165" s="28" t="s">
        <v>29</v>
      </c>
      <c r="D165" s="29">
        <v>1</v>
      </c>
      <c r="E165" s="181">
        <v>27794007</v>
      </c>
      <c r="F165" s="181">
        <f t="shared" si="14"/>
        <v>27794007</v>
      </c>
      <c r="H165" s="245"/>
      <c r="I165" s="250">
        <f>'GDR 3760_Pto. 02_Cert. 01'!K165</f>
        <v>0</v>
      </c>
      <c r="J165" s="250"/>
      <c r="K165" s="251">
        <f t="shared" si="15"/>
        <v>0</v>
      </c>
      <c r="L165" s="50">
        <f t="shared" si="16"/>
        <v>0</v>
      </c>
      <c r="M165" s="50">
        <f t="shared" si="17"/>
        <v>0</v>
      </c>
      <c r="N165" s="50">
        <f t="shared" si="18"/>
        <v>0</v>
      </c>
    </row>
    <row r="166" spans="1:14" ht="12.75" customHeight="1" x14ac:dyDescent="0.3">
      <c r="A166" s="24">
        <v>19.170000000000002</v>
      </c>
      <c r="B166" s="146" t="s">
        <v>178</v>
      </c>
      <c r="C166" s="147" t="s">
        <v>33</v>
      </c>
      <c r="D166" s="148">
        <v>8</v>
      </c>
      <c r="E166" s="181">
        <v>59973</v>
      </c>
      <c r="F166" s="181">
        <f t="shared" si="14"/>
        <v>479784</v>
      </c>
      <c r="H166" s="245"/>
      <c r="I166" s="250">
        <f>'GDR 3760_Pto. 02_Cert. 01'!K166</f>
        <v>0</v>
      </c>
      <c r="J166" s="250"/>
      <c r="K166" s="251">
        <f t="shared" si="15"/>
        <v>0</v>
      </c>
      <c r="L166" s="50">
        <f t="shared" si="16"/>
        <v>0</v>
      </c>
      <c r="M166" s="50">
        <f t="shared" si="17"/>
        <v>0</v>
      </c>
      <c r="N166" s="50">
        <f t="shared" si="18"/>
        <v>0</v>
      </c>
    </row>
    <row r="167" spans="1:14" ht="12.75" customHeight="1" x14ac:dyDescent="0.3">
      <c r="A167" s="24">
        <v>19.18</v>
      </c>
      <c r="B167" s="146" t="s">
        <v>179</v>
      </c>
      <c r="C167" s="147" t="s">
        <v>29</v>
      </c>
      <c r="D167" s="148">
        <v>8</v>
      </c>
      <c r="E167" s="181">
        <v>27640</v>
      </c>
      <c r="F167" s="181">
        <f t="shared" si="14"/>
        <v>221120</v>
      </c>
      <c r="H167" s="245"/>
      <c r="I167" s="250">
        <f>'GDR 3760_Pto. 02_Cert. 01'!K167</f>
        <v>0</v>
      </c>
      <c r="J167" s="250"/>
      <c r="K167" s="251">
        <f t="shared" si="15"/>
        <v>0</v>
      </c>
      <c r="L167" s="50">
        <f t="shared" si="16"/>
        <v>0</v>
      </c>
      <c r="M167" s="50">
        <f t="shared" si="17"/>
        <v>0</v>
      </c>
      <c r="N167" s="50">
        <f t="shared" si="18"/>
        <v>0</v>
      </c>
    </row>
    <row r="168" spans="1:14" ht="12.75" customHeight="1" x14ac:dyDescent="0.3">
      <c r="A168" s="100">
        <v>19.190000000000001</v>
      </c>
      <c r="B168" s="145" t="s">
        <v>180</v>
      </c>
      <c r="C168" s="138" t="s">
        <v>29</v>
      </c>
      <c r="D168" s="139">
        <v>1</v>
      </c>
      <c r="E168" s="181">
        <v>4677874</v>
      </c>
      <c r="F168" s="181">
        <f t="shared" si="14"/>
        <v>4677874</v>
      </c>
      <c r="H168" s="245"/>
      <c r="I168" s="250">
        <f>'GDR 3760_Pto. 02_Cert. 01'!K168</f>
        <v>0</v>
      </c>
      <c r="J168" s="250"/>
      <c r="K168" s="251">
        <f t="shared" si="15"/>
        <v>0</v>
      </c>
      <c r="L168" s="50">
        <f t="shared" si="16"/>
        <v>0</v>
      </c>
      <c r="M168" s="50">
        <f t="shared" si="17"/>
        <v>0</v>
      </c>
      <c r="N168" s="50">
        <f t="shared" si="18"/>
        <v>0</v>
      </c>
    </row>
    <row r="169" spans="1:14" ht="12.75" customHeight="1" x14ac:dyDescent="0.3">
      <c r="A169" s="13">
        <v>20</v>
      </c>
      <c r="B169" s="40" t="s">
        <v>181</v>
      </c>
      <c r="C169" s="18"/>
      <c r="D169" s="19"/>
      <c r="E169" s="19"/>
      <c r="F169" s="19"/>
      <c r="G169" s="192">
        <f>+SUM(F170:F171)</f>
        <v>0</v>
      </c>
      <c r="H169" s="245">
        <f t="shared" si="19"/>
        <v>0</v>
      </c>
      <c r="I169" s="246"/>
      <c r="J169" s="247"/>
      <c r="K169" s="247"/>
      <c r="L169" s="178"/>
      <c r="M169" s="178"/>
      <c r="N169" s="179"/>
    </row>
    <row r="170" spans="1:14" ht="12.75" customHeight="1" x14ac:dyDescent="0.3">
      <c r="A170" s="106">
        <v>20.010000000000002</v>
      </c>
      <c r="B170" s="107" t="s">
        <v>182</v>
      </c>
      <c r="C170" s="120" t="s">
        <v>33</v>
      </c>
      <c r="D170" s="121">
        <v>0</v>
      </c>
      <c r="E170" s="183">
        <v>0</v>
      </c>
      <c r="F170" s="183">
        <f t="shared" si="14"/>
        <v>0</v>
      </c>
      <c r="H170" s="245"/>
      <c r="I170" s="250">
        <f>'GDR 3760_Pto. 02_Cert. 01'!K170</f>
        <v>0</v>
      </c>
      <c r="J170" s="250"/>
      <c r="K170" s="251">
        <f t="shared" si="15"/>
        <v>0</v>
      </c>
      <c r="L170" s="50">
        <f t="shared" si="16"/>
        <v>0</v>
      </c>
      <c r="M170" s="50">
        <f t="shared" si="17"/>
        <v>0</v>
      </c>
      <c r="N170" s="50">
        <f t="shared" si="18"/>
        <v>0</v>
      </c>
    </row>
    <row r="171" spans="1:14" ht="12.75" customHeight="1" x14ac:dyDescent="0.3">
      <c r="A171" s="24">
        <v>20.02</v>
      </c>
      <c r="B171" s="25" t="s">
        <v>183</v>
      </c>
      <c r="C171" s="112" t="s">
        <v>33</v>
      </c>
      <c r="D171" s="27">
        <v>0</v>
      </c>
      <c r="E171" s="181">
        <v>0</v>
      </c>
      <c r="F171" s="181">
        <f t="shared" si="14"/>
        <v>0</v>
      </c>
      <c r="H171" s="245"/>
      <c r="I171" s="250">
        <f>'GDR 3760_Pto. 02_Cert. 01'!K171</f>
        <v>0</v>
      </c>
      <c r="J171" s="250"/>
      <c r="K171" s="251">
        <f t="shared" si="15"/>
        <v>0</v>
      </c>
      <c r="L171" s="50">
        <f t="shared" si="16"/>
        <v>0</v>
      </c>
      <c r="M171" s="50">
        <f t="shared" si="17"/>
        <v>0</v>
      </c>
      <c r="N171" s="50">
        <f t="shared" si="18"/>
        <v>0</v>
      </c>
    </row>
    <row r="172" spans="1:14" ht="12.75" customHeight="1" x14ac:dyDescent="0.3">
      <c r="A172" s="13">
        <v>21</v>
      </c>
      <c r="B172" s="40" t="s">
        <v>184</v>
      </c>
      <c r="C172" s="18"/>
      <c r="D172" s="19"/>
      <c r="E172" s="19"/>
      <c r="F172" s="19"/>
      <c r="G172" s="192">
        <f>+SUM(F173)</f>
        <v>0</v>
      </c>
      <c r="H172" s="245">
        <f t="shared" si="19"/>
        <v>0</v>
      </c>
      <c r="I172" s="246"/>
      <c r="J172" s="247"/>
      <c r="K172" s="247"/>
      <c r="L172" s="178"/>
      <c r="M172" s="178"/>
      <c r="N172" s="179"/>
    </row>
    <row r="173" spans="1:14" ht="12.75" customHeight="1" x14ac:dyDescent="0.3">
      <c r="A173" s="149">
        <v>21.01</v>
      </c>
      <c r="B173" s="150" t="s">
        <v>185</v>
      </c>
      <c r="C173" s="151" t="s">
        <v>29</v>
      </c>
      <c r="D173" s="152">
        <v>1</v>
      </c>
      <c r="E173" s="184">
        <v>0</v>
      </c>
      <c r="F173" s="181">
        <f t="shared" si="14"/>
        <v>0</v>
      </c>
      <c r="G173" s="182"/>
      <c r="H173" s="245"/>
      <c r="I173" s="250">
        <f>'GDR 3760_Pto. 02_Cert. 01'!K173</f>
        <v>0</v>
      </c>
      <c r="J173" s="250"/>
      <c r="K173" s="251">
        <f t="shared" si="15"/>
        <v>0</v>
      </c>
      <c r="L173" s="50">
        <f t="shared" si="16"/>
        <v>0</v>
      </c>
      <c r="M173" s="50">
        <f t="shared" si="17"/>
        <v>0</v>
      </c>
      <c r="N173" s="50">
        <f t="shared" si="18"/>
        <v>0</v>
      </c>
    </row>
    <row r="174" spans="1:14" ht="12.75" customHeight="1" x14ac:dyDescent="0.3">
      <c r="A174" s="13">
        <v>22</v>
      </c>
      <c r="B174" s="40" t="s">
        <v>186</v>
      </c>
      <c r="C174" s="18"/>
      <c r="D174" s="19"/>
      <c r="E174" s="19"/>
      <c r="F174" s="19"/>
      <c r="G174" s="192">
        <f>+SUM(F175:F176)</f>
        <v>2934560</v>
      </c>
      <c r="H174" s="245">
        <f t="shared" si="19"/>
        <v>3.4734882002910904E-3</v>
      </c>
      <c r="I174" s="246"/>
      <c r="J174" s="247"/>
      <c r="K174" s="247"/>
      <c r="L174" s="178"/>
      <c r="M174" s="178"/>
      <c r="N174" s="179"/>
    </row>
    <row r="175" spans="1:14" ht="12.75" customHeight="1" x14ac:dyDescent="0.3">
      <c r="A175" s="115">
        <v>22.01</v>
      </c>
      <c r="B175" s="131" t="s">
        <v>187</v>
      </c>
      <c r="C175" s="132" t="s">
        <v>33</v>
      </c>
      <c r="D175" s="153">
        <v>8</v>
      </c>
      <c r="E175" s="184">
        <v>91705</v>
      </c>
      <c r="F175" s="183">
        <f t="shared" si="14"/>
        <v>733640</v>
      </c>
      <c r="H175" s="245"/>
      <c r="I175" s="250">
        <f>'GDR 3760_Pto. 02_Cert. 01'!K175</f>
        <v>0</v>
      </c>
      <c r="J175" s="250"/>
      <c r="K175" s="251">
        <f t="shared" si="15"/>
        <v>0</v>
      </c>
      <c r="L175" s="50">
        <f t="shared" si="16"/>
        <v>0</v>
      </c>
      <c r="M175" s="50">
        <f t="shared" si="17"/>
        <v>0</v>
      </c>
      <c r="N175" s="50">
        <f t="shared" si="18"/>
        <v>0</v>
      </c>
    </row>
    <row r="176" spans="1:14" ht="12.75" customHeight="1" x14ac:dyDescent="0.3">
      <c r="A176" s="100">
        <v>22.02</v>
      </c>
      <c r="B176" s="98" t="s">
        <v>188</v>
      </c>
      <c r="C176" s="133" t="s">
        <v>33</v>
      </c>
      <c r="D176" s="153">
        <v>24</v>
      </c>
      <c r="E176" s="184">
        <v>91705</v>
      </c>
      <c r="F176" s="183">
        <f t="shared" si="14"/>
        <v>2200920</v>
      </c>
      <c r="H176" s="245"/>
      <c r="I176" s="250">
        <f>'GDR 3760_Pto. 02_Cert. 01'!K176</f>
        <v>0</v>
      </c>
      <c r="J176" s="250"/>
      <c r="K176" s="251">
        <f t="shared" si="15"/>
        <v>0</v>
      </c>
      <c r="L176" s="50">
        <f t="shared" si="16"/>
        <v>0</v>
      </c>
      <c r="M176" s="50">
        <f t="shared" si="17"/>
        <v>0</v>
      </c>
      <c r="N176" s="50">
        <f t="shared" si="18"/>
        <v>0</v>
      </c>
    </row>
    <row r="177" spans="1:14" ht="12.75" customHeight="1" x14ac:dyDescent="0.3">
      <c r="A177" s="13">
        <v>23</v>
      </c>
      <c r="B177" s="40" t="s">
        <v>189</v>
      </c>
      <c r="C177" s="18"/>
      <c r="D177" s="19"/>
      <c r="E177" s="19"/>
      <c r="F177" s="19"/>
      <c r="G177" s="192">
        <f>+SUM(F178:F181)</f>
        <v>19050437</v>
      </c>
      <c r="H177" s="245">
        <f t="shared" si="19"/>
        <v>2.2549025451818604E-2</v>
      </c>
      <c r="I177" s="246"/>
      <c r="J177" s="247"/>
      <c r="K177" s="247"/>
      <c r="L177" s="178"/>
      <c r="M177" s="178"/>
      <c r="N177" s="179"/>
    </row>
    <row r="178" spans="1:14" ht="12.75" customHeight="1" x14ac:dyDescent="0.3">
      <c r="A178" s="115">
        <v>23.01</v>
      </c>
      <c r="B178" s="21" t="s">
        <v>190</v>
      </c>
      <c r="C178" s="93" t="s">
        <v>29</v>
      </c>
      <c r="D178" s="94">
        <v>6</v>
      </c>
      <c r="E178" s="180">
        <v>259063</v>
      </c>
      <c r="F178" s="180">
        <f t="shared" si="14"/>
        <v>1554378</v>
      </c>
      <c r="G178" s="182"/>
      <c r="H178" s="245"/>
      <c r="I178" s="250">
        <f>'GDR 3760_Pto. 02_Cert. 01'!K178</f>
        <v>0</v>
      </c>
      <c r="J178" s="250"/>
      <c r="K178" s="251">
        <f t="shared" si="15"/>
        <v>0</v>
      </c>
      <c r="L178" s="50">
        <f t="shared" si="16"/>
        <v>0</v>
      </c>
      <c r="M178" s="50">
        <f t="shared" si="17"/>
        <v>0</v>
      </c>
      <c r="N178" s="50">
        <f t="shared" si="18"/>
        <v>0</v>
      </c>
    </row>
    <row r="179" spans="1:14" ht="12.75" customHeight="1" x14ac:dyDescent="0.3">
      <c r="A179" s="100">
        <v>23.02</v>
      </c>
      <c r="B179" s="25" t="s">
        <v>191</v>
      </c>
      <c r="C179" s="30" t="s">
        <v>29</v>
      </c>
      <c r="D179" s="31">
        <v>1</v>
      </c>
      <c r="E179" s="181">
        <v>793947</v>
      </c>
      <c r="F179" s="181">
        <f t="shared" si="14"/>
        <v>793947</v>
      </c>
      <c r="H179" s="245"/>
      <c r="I179" s="250">
        <f>'GDR 3760_Pto. 02_Cert. 01'!K179</f>
        <v>0</v>
      </c>
      <c r="J179" s="250"/>
      <c r="K179" s="251">
        <f t="shared" si="15"/>
        <v>0</v>
      </c>
      <c r="L179" s="50">
        <f t="shared" si="16"/>
        <v>0</v>
      </c>
      <c r="M179" s="50">
        <f t="shared" si="17"/>
        <v>0</v>
      </c>
      <c r="N179" s="50">
        <f t="shared" si="18"/>
        <v>0</v>
      </c>
    </row>
    <row r="180" spans="1:14" ht="12.75" customHeight="1" x14ac:dyDescent="0.3">
      <c r="A180" s="100">
        <v>23.03</v>
      </c>
      <c r="B180" s="25" t="s">
        <v>192</v>
      </c>
      <c r="C180" s="30" t="s">
        <v>19</v>
      </c>
      <c r="D180" s="31">
        <v>26</v>
      </c>
      <c r="E180" s="181">
        <v>27076</v>
      </c>
      <c r="F180" s="181">
        <f t="shared" si="14"/>
        <v>703976</v>
      </c>
      <c r="H180" s="245"/>
      <c r="I180" s="250">
        <f>'GDR 3760_Pto. 02_Cert. 01'!K180</f>
        <v>0</v>
      </c>
      <c r="J180" s="250"/>
      <c r="K180" s="251">
        <f t="shared" si="15"/>
        <v>0</v>
      </c>
      <c r="L180" s="50">
        <f t="shared" si="16"/>
        <v>0</v>
      </c>
      <c r="M180" s="50">
        <f t="shared" si="17"/>
        <v>0</v>
      </c>
      <c r="N180" s="50">
        <f t="shared" si="18"/>
        <v>0</v>
      </c>
    </row>
    <row r="181" spans="1:14" ht="12.75" customHeight="1" x14ac:dyDescent="0.3">
      <c r="A181" s="130">
        <v>23.04</v>
      </c>
      <c r="B181" s="154" t="s">
        <v>193</v>
      </c>
      <c r="C181" s="155" t="s">
        <v>19</v>
      </c>
      <c r="D181" s="102">
        <v>231</v>
      </c>
      <c r="E181" s="189">
        <v>69256</v>
      </c>
      <c r="F181" s="189">
        <f t="shared" si="14"/>
        <v>15998136</v>
      </c>
      <c r="H181" s="245"/>
      <c r="I181" s="250">
        <f>'GDR 3760_Pto. 02_Cert. 01'!K181</f>
        <v>0</v>
      </c>
      <c r="J181" s="250"/>
      <c r="K181" s="251">
        <f t="shared" si="15"/>
        <v>0</v>
      </c>
      <c r="L181" s="50">
        <f t="shared" si="16"/>
        <v>0</v>
      </c>
      <c r="M181" s="50">
        <f t="shared" si="17"/>
        <v>0</v>
      </c>
      <c r="N181" s="50">
        <f t="shared" si="18"/>
        <v>0</v>
      </c>
    </row>
    <row r="182" spans="1:14" ht="12.75" customHeight="1" x14ac:dyDescent="0.3">
      <c r="A182" s="13">
        <v>24</v>
      </c>
      <c r="B182" s="40" t="s">
        <v>194</v>
      </c>
      <c r="C182" s="18"/>
      <c r="D182" s="19"/>
      <c r="E182" s="19"/>
      <c r="F182" s="19"/>
      <c r="G182" s="193">
        <f>+SUM(F183:F191)</f>
        <v>76903896</v>
      </c>
      <c r="H182" s="245">
        <f t="shared" si="19"/>
        <v>9.1027198391722505E-2</v>
      </c>
      <c r="I182" s="246"/>
      <c r="J182" s="247"/>
      <c r="K182" s="247"/>
      <c r="L182" s="178"/>
      <c r="M182" s="178"/>
      <c r="N182" s="179"/>
    </row>
    <row r="183" spans="1:14" ht="12.75" customHeight="1" x14ac:dyDescent="0.3">
      <c r="A183" s="20">
        <v>24.01</v>
      </c>
      <c r="B183" s="156" t="s">
        <v>195</v>
      </c>
      <c r="C183" s="22" t="s">
        <v>196</v>
      </c>
      <c r="D183" s="94">
        <v>17</v>
      </c>
      <c r="E183" s="181">
        <v>973327</v>
      </c>
      <c r="F183" s="181">
        <f t="shared" si="14"/>
        <v>16546559</v>
      </c>
      <c r="H183" s="245"/>
      <c r="I183" s="250">
        <f>'GDR 3760_Pto. 02_Cert. 01'!K183</f>
        <v>0.05</v>
      </c>
      <c r="J183" s="250">
        <v>0.05</v>
      </c>
      <c r="K183" s="251">
        <f t="shared" si="15"/>
        <v>0.1</v>
      </c>
      <c r="L183" s="50">
        <f t="shared" si="16"/>
        <v>827327.95000000007</v>
      </c>
      <c r="M183" s="50">
        <f t="shared" si="17"/>
        <v>827327.95000000007</v>
      </c>
      <c r="N183" s="50">
        <f t="shared" si="18"/>
        <v>1654655.9000000001</v>
      </c>
    </row>
    <row r="184" spans="1:14" ht="12.75" customHeight="1" x14ac:dyDescent="0.3">
      <c r="A184" s="24">
        <v>24.02</v>
      </c>
      <c r="B184" s="157" t="s">
        <v>197</v>
      </c>
      <c r="C184" s="26" t="s">
        <v>196</v>
      </c>
      <c r="D184" s="31">
        <v>4</v>
      </c>
      <c r="E184" s="181">
        <v>2005316</v>
      </c>
      <c r="F184" s="181">
        <f t="shared" si="14"/>
        <v>8021264</v>
      </c>
      <c r="H184" s="245"/>
      <c r="I184" s="250">
        <f>'GDR 3760_Pto. 02_Cert. 01'!K184</f>
        <v>0.25</v>
      </c>
      <c r="J184" s="250">
        <v>0.25</v>
      </c>
      <c r="K184" s="251">
        <f t="shared" si="15"/>
        <v>0.5</v>
      </c>
      <c r="L184" s="50">
        <f t="shared" si="16"/>
        <v>2005316</v>
      </c>
      <c r="M184" s="50">
        <f t="shared" si="17"/>
        <v>2005316</v>
      </c>
      <c r="N184" s="50">
        <f t="shared" si="18"/>
        <v>4010632</v>
      </c>
    </row>
    <row r="185" spans="1:14" ht="12.75" customHeight="1" x14ac:dyDescent="0.3">
      <c r="A185" s="24">
        <v>24.03</v>
      </c>
      <c r="B185" s="158" t="s">
        <v>198</v>
      </c>
      <c r="C185" s="26" t="s">
        <v>196</v>
      </c>
      <c r="D185" s="31">
        <v>17</v>
      </c>
      <c r="E185" s="181">
        <v>199910</v>
      </c>
      <c r="F185" s="181">
        <f t="shared" si="14"/>
        <v>3398470</v>
      </c>
      <c r="H185" s="245"/>
      <c r="I185" s="250">
        <f>'GDR 3760_Pto. 02_Cert. 01'!K185</f>
        <v>0.05</v>
      </c>
      <c r="J185" s="250">
        <v>0.05</v>
      </c>
      <c r="K185" s="251">
        <f t="shared" si="15"/>
        <v>0.1</v>
      </c>
      <c r="L185" s="50">
        <f t="shared" si="16"/>
        <v>169923.5</v>
      </c>
      <c r="M185" s="50">
        <f t="shared" si="17"/>
        <v>169923.5</v>
      </c>
      <c r="N185" s="50">
        <f t="shared" si="18"/>
        <v>339847</v>
      </c>
    </row>
    <row r="186" spans="1:14" ht="12.75" customHeight="1" x14ac:dyDescent="0.3">
      <c r="A186" s="24">
        <v>24.04</v>
      </c>
      <c r="B186" s="158" t="s">
        <v>199</v>
      </c>
      <c r="C186" s="26" t="s">
        <v>29</v>
      </c>
      <c r="D186" s="27">
        <v>1</v>
      </c>
      <c r="E186" s="181">
        <v>6284456</v>
      </c>
      <c r="F186" s="181">
        <f t="shared" si="14"/>
        <v>6284456</v>
      </c>
      <c r="H186" s="245"/>
      <c r="I186" s="250">
        <f>'GDR 3760_Pto. 02_Cert. 01'!K186</f>
        <v>0</v>
      </c>
      <c r="J186" s="250"/>
      <c r="K186" s="251">
        <f t="shared" si="15"/>
        <v>0</v>
      </c>
      <c r="L186" s="50">
        <f t="shared" si="16"/>
        <v>0</v>
      </c>
      <c r="M186" s="50">
        <f t="shared" si="17"/>
        <v>0</v>
      </c>
      <c r="N186" s="50">
        <f t="shared" si="18"/>
        <v>0</v>
      </c>
    </row>
    <row r="187" spans="1:14" ht="12.75" customHeight="1" x14ac:dyDescent="0.3">
      <c r="A187" s="24">
        <v>24.05</v>
      </c>
      <c r="B187" s="158" t="s">
        <v>200</v>
      </c>
      <c r="C187" s="159" t="s">
        <v>196</v>
      </c>
      <c r="D187" s="31">
        <v>17</v>
      </c>
      <c r="E187" s="181">
        <v>873895</v>
      </c>
      <c r="F187" s="181">
        <f t="shared" si="14"/>
        <v>14856215</v>
      </c>
      <c r="G187" s="194"/>
      <c r="H187" s="245"/>
      <c r="I187" s="250">
        <f>'GDR 3760_Pto. 02_Cert. 01'!K187</f>
        <v>0</v>
      </c>
      <c r="J187" s="250"/>
      <c r="K187" s="251">
        <f t="shared" si="15"/>
        <v>0</v>
      </c>
      <c r="L187" s="50">
        <f t="shared" si="16"/>
        <v>0</v>
      </c>
      <c r="M187" s="50">
        <f t="shared" si="17"/>
        <v>0</v>
      </c>
      <c r="N187" s="50">
        <f t="shared" si="18"/>
        <v>0</v>
      </c>
    </row>
    <row r="188" spans="1:14" ht="12.75" customHeight="1" x14ac:dyDescent="0.3">
      <c r="A188" s="24">
        <v>24.06</v>
      </c>
      <c r="B188" s="158" t="s">
        <v>201</v>
      </c>
      <c r="C188" s="159" t="s">
        <v>196</v>
      </c>
      <c r="D188" s="31">
        <v>17</v>
      </c>
      <c r="E188" s="181">
        <v>577178</v>
      </c>
      <c r="F188" s="181">
        <f t="shared" si="14"/>
        <v>9812026</v>
      </c>
      <c r="G188" s="194"/>
      <c r="H188" s="245"/>
      <c r="I188" s="250">
        <f>'GDR 3760_Pto. 02_Cert. 01'!K188</f>
        <v>0</v>
      </c>
      <c r="J188" s="250"/>
      <c r="K188" s="251">
        <f t="shared" si="15"/>
        <v>0</v>
      </c>
      <c r="L188" s="50">
        <f t="shared" si="16"/>
        <v>0</v>
      </c>
      <c r="M188" s="50">
        <f t="shared" si="17"/>
        <v>0</v>
      </c>
      <c r="N188" s="50">
        <f t="shared" si="18"/>
        <v>0</v>
      </c>
    </row>
    <row r="189" spans="1:14" ht="12.75" customHeight="1" x14ac:dyDescent="0.3">
      <c r="A189" s="24">
        <v>24.07</v>
      </c>
      <c r="B189" s="158" t="s">
        <v>202</v>
      </c>
      <c r="C189" s="159" t="s">
        <v>29</v>
      </c>
      <c r="D189" s="27">
        <v>1</v>
      </c>
      <c r="E189" s="181">
        <v>5277814</v>
      </c>
      <c r="F189" s="181">
        <f t="shared" si="14"/>
        <v>5277814</v>
      </c>
      <c r="G189" s="194"/>
      <c r="H189" s="245"/>
      <c r="I189" s="250">
        <f>'GDR 3760_Pto. 02_Cert. 01'!K189</f>
        <v>0</v>
      </c>
      <c r="J189" s="250"/>
      <c r="K189" s="251">
        <f t="shared" si="15"/>
        <v>0</v>
      </c>
      <c r="L189" s="50">
        <f t="shared" si="16"/>
        <v>0</v>
      </c>
      <c r="M189" s="50">
        <f t="shared" si="17"/>
        <v>0</v>
      </c>
      <c r="N189" s="50">
        <f t="shared" si="18"/>
        <v>0</v>
      </c>
    </row>
    <row r="190" spans="1:14" ht="12.75" customHeight="1" x14ac:dyDescent="0.3">
      <c r="A190" s="24">
        <v>24.08</v>
      </c>
      <c r="B190" s="158" t="s">
        <v>203</v>
      </c>
      <c r="C190" s="159" t="s">
        <v>196</v>
      </c>
      <c r="D190" s="31">
        <v>17</v>
      </c>
      <c r="E190" s="181">
        <v>399819</v>
      </c>
      <c r="F190" s="181">
        <f t="shared" si="14"/>
        <v>6796923</v>
      </c>
      <c r="G190" s="194"/>
      <c r="H190" s="245"/>
      <c r="I190" s="250">
        <f>'GDR 3760_Pto. 02_Cert. 01'!K190</f>
        <v>0.03</v>
      </c>
      <c r="J190" s="250">
        <v>0.03</v>
      </c>
      <c r="K190" s="251">
        <f t="shared" si="15"/>
        <v>0.06</v>
      </c>
      <c r="L190" s="50">
        <f t="shared" si="16"/>
        <v>203907.69</v>
      </c>
      <c r="M190" s="50">
        <f t="shared" si="17"/>
        <v>203907.69</v>
      </c>
      <c r="N190" s="50">
        <f t="shared" si="18"/>
        <v>407815.38</v>
      </c>
    </row>
    <row r="191" spans="1:14" ht="12.75" customHeight="1" x14ac:dyDescent="0.3">
      <c r="A191" s="24">
        <v>24.09</v>
      </c>
      <c r="B191" s="160" t="s">
        <v>204</v>
      </c>
      <c r="C191" s="161" t="s">
        <v>196</v>
      </c>
      <c r="D191" s="31">
        <v>17</v>
      </c>
      <c r="E191" s="189">
        <v>347657</v>
      </c>
      <c r="F191" s="189">
        <f t="shared" si="14"/>
        <v>5910169</v>
      </c>
      <c r="G191" s="194"/>
      <c r="H191" s="245"/>
      <c r="I191" s="250">
        <f>'GDR 3760_Pto. 02_Cert. 01'!K191</f>
        <v>0.03</v>
      </c>
      <c r="J191" s="250"/>
      <c r="K191" s="251">
        <f t="shared" si="15"/>
        <v>0.03</v>
      </c>
      <c r="L191" s="50">
        <f t="shared" si="16"/>
        <v>177305.07</v>
      </c>
      <c r="M191" s="50">
        <f t="shared" si="17"/>
        <v>0</v>
      </c>
      <c r="N191" s="50">
        <f t="shared" si="18"/>
        <v>177305.07</v>
      </c>
    </row>
    <row r="192" spans="1:14" ht="12.75" customHeight="1" x14ac:dyDescent="0.3">
      <c r="A192" s="13">
        <v>25</v>
      </c>
      <c r="B192" s="40" t="s">
        <v>205</v>
      </c>
      <c r="C192" s="18"/>
      <c r="D192" s="19"/>
      <c r="E192" s="19"/>
      <c r="F192" s="19"/>
      <c r="G192" s="193">
        <f>+SUM(F193:F194)</f>
        <v>110386593</v>
      </c>
      <c r="H192" s="245">
        <f t="shared" si="19"/>
        <v>0.13065894998086086</v>
      </c>
      <c r="I192" s="246"/>
      <c r="J192" s="247"/>
      <c r="K192" s="247"/>
      <c r="L192" s="178"/>
      <c r="M192" s="178"/>
      <c r="N192" s="179"/>
    </row>
    <row r="193" spans="1:14" ht="12.75" customHeight="1" x14ac:dyDescent="0.3">
      <c r="A193" s="20">
        <v>25.01</v>
      </c>
      <c r="B193" s="21" t="s">
        <v>206</v>
      </c>
      <c r="C193" s="93" t="s">
        <v>196</v>
      </c>
      <c r="D193" s="94">
        <v>17</v>
      </c>
      <c r="E193" s="184">
        <v>5826965</v>
      </c>
      <c r="F193" s="183">
        <f t="shared" si="14"/>
        <v>99058405</v>
      </c>
      <c r="G193" s="195"/>
      <c r="H193" s="245"/>
      <c r="I193" s="250">
        <f>'GDR 3760_Pto. 02_Cert. 01'!K193</f>
        <v>0.05</v>
      </c>
      <c r="J193" s="250">
        <v>0.05</v>
      </c>
      <c r="K193" s="251">
        <f t="shared" si="15"/>
        <v>0.1</v>
      </c>
      <c r="L193" s="50">
        <f t="shared" si="16"/>
        <v>4952920.25</v>
      </c>
      <c r="M193" s="50">
        <f t="shared" si="17"/>
        <v>4952920.25</v>
      </c>
      <c r="N193" s="50">
        <f t="shared" si="18"/>
        <v>9905840.5</v>
      </c>
    </row>
    <row r="194" spans="1:14" ht="12.75" customHeight="1" x14ac:dyDescent="0.3">
      <c r="A194" s="33">
        <v>25.02</v>
      </c>
      <c r="B194" s="38" t="s">
        <v>207</v>
      </c>
      <c r="C194" s="34" t="s">
        <v>196</v>
      </c>
      <c r="D194" s="35">
        <v>17</v>
      </c>
      <c r="E194" s="184">
        <v>666364</v>
      </c>
      <c r="F194" s="181">
        <f t="shared" si="14"/>
        <v>11328188</v>
      </c>
      <c r="G194" s="196"/>
      <c r="H194" s="245"/>
      <c r="I194" s="255">
        <f>'GDR 3760_Pto. 02_Cert. 01'!K194</f>
        <v>0.05</v>
      </c>
      <c r="J194" s="255">
        <v>0.05</v>
      </c>
      <c r="K194" s="256">
        <f t="shared" si="15"/>
        <v>0.1</v>
      </c>
      <c r="L194" s="257">
        <f t="shared" si="16"/>
        <v>566409.4</v>
      </c>
      <c r="M194" s="257">
        <f t="shared" si="17"/>
        <v>566409.4</v>
      </c>
      <c r="N194" s="257">
        <f t="shared" si="18"/>
        <v>1132818.8</v>
      </c>
    </row>
    <row r="195" spans="1:14" ht="12.75" customHeight="1" x14ac:dyDescent="0.3">
      <c r="A195" s="13"/>
      <c r="B195" s="40" t="s">
        <v>208</v>
      </c>
      <c r="C195" s="18"/>
      <c r="D195" s="19"/>
      <c r="E195" s="19"/>
      <c r="F195" s="197">
        <f>SUM(F9:F194)</f>
        <v>844845248</v>
      </c>
      <c r="G195" s="192">
        <f>SUM(G9:G194)</f>
        <v>844845248</v>
      </c>
      <c r="H195" s="245">
        <f>+SUM(H9:H194)</f>
        <v>0.99999999999999978</v>
      </c>
      <c r="I195" s="258"/>
      <c r="J195" s="259"/>
      <c r="K195" s="259"/>
      <c r="L195" s="260">
        <f>+SUM(L10:L194)</f>
        <v>8903109.8599999994</v>
      </c>
      <c r="M195" s="290">
        <f>+SUM(M10:M194)</f>
        <v>8725804.790000001</v>
      </c>
      <c r="N195" s="261">
        <f>+SUM(N10:N194)</f>
        <v>17628914.650000002</v>
      </c>
    </row>
    <row r="196" spans="1:14" s="41" customFormat="1" ht="13" x14ac:dyDescent="0.3">
      <c r="A196" s="43"/>
      <c r="B196" s="44"/>
      <c r="C196" s="45"/>
      <c r="D196" s="46"/>
      <c r="E196" s="198"/>
      <c r="F196" s="198"/>
      <c r="G196" s="199"/>
      <c r="H196" s="177"/>
      <c r="I196" s="200"/>
      <c r="J196" s="200"/>
      <c r="K196" s="200"/>
      <c r="L196" s="200"/>
      <c r="M196" s="287">
        <f>+M195/G195</f>
        <v>1.0328287707904586E-2</v>
      </c>
      <c r="N196" s="254">
        <f>+N195/G195</f>
        <v>2.0866442335721113E-2</v>
      </c>
    </row>
    <row r="197" spans="1:14" s="41" customFormat="1" ht="13" x14ac:dyDescent="0.3">
      <c r="A197" s="42"/>
      <c r="B197" s="88"/>
      <c r="C197" s="89"/>
      <c r="D197" s="9"/>
      <c r="E197" s="201"/>
      <c r="F197" s="201"/>
      <c r="G197" s="166"/>
      <c r="H197" s="177"/>
      <c r="I197" s="200"/>
      <c r="J197" s="200"/>
      <c r="K197" s="200"/>
      <c r="L197" s="200"/>
      <c r="M197" s="51"/>
      <c r="N197" s="51"/>
    </row>
    <row r="198" spans="1:14" ht="12.75" customHeight="1" x14ac:dyDescent="0.3">
      <c r="A198" s="39"/>
      <c r="B198" s="47"/>
      <c r="D198" s="48"/>
      <c r="E198" s="9"/>
      <c r="F198" s="9"/>
      <c r="G198" s="202"/>
      <c r="I198" s="200"/>
      <c r="J198" s="200"/>
      <c r="K198" s="200"/>
      <c r="L198" s="200"/>
      <c r="M198" s="51"/>
      <c r="N198" s="51"/>
    </row>
    <row r="199" spans="1:14" ht="12.75" customHeight="1" x14ac:dyDescent="0.3">
      <c r="A199" s="52"/>
      <c r="B199" s="53" t="s">
        <v>209</v>
      </c>
      <c r="C199" s="54"/>
      <c r="D199" s="55"/>
      <c r="E199" s="203"/>
      <c r="F199" s="204"/>
      <c r="G199" s="205"/>
      <c r="H199" s="205"/>
      <c r="I199" s="204"/>
      <c r="J199" s="206"/>
      <c r="K199" s="207" t="s">
        <v>210</v>
      </c>
      <c r="L199" s="208">
        <f>+J5</f>
        <v>2</v>
      </c>
      <c r="M199" s="209"/>
      <c r="N199" s="57">
        <f>+N5</f>
        <v>45777</v>
      </c>
    </row>
    <row r="200" spans="1:14" ht="12.75" customHeight="1" x14ac:dyDescent="0.3">
      <c r="A200" s="58"/>
      <c r="B200" s="53" t="s">
        <v>9</v>
      </c>
      <c r="C200" s="56"/>
      <c r="D200" s="59"/>
      <c r="E200" s="211"/>
      <c r="F200" s="205"/>
      <c r="G200" s="205"/>
      <c r="H200" s="205"/>
      <c r="I200" s="205"/>
      <c r="J200" s="209"/>
      <c r="K200" s="205"/>
      <c r="L200" s="205"/>
      <c r="M200" s="209" t="s">
        <v>211</v>
      </c>
      <c r="N200" s="210" t="s">
        <v>212</v>
      </c>
    </row>
    <row r="201" spans="1:14" ht="12.75" customHeight="1" x14ac:dyDescent="0.3">
      <c r="A201" s="60" t="s">
        <v>213</v>
      </c>
      <c r="B201" s="61" t="s">
        <v>214</v>
      </c>
      <c r="C201" s="60"/>
      <c r="D201" s="62"/>
      <c r="E201" s="212"/>
      <c r="F201" s="213"/>
      <c r="G201" s="214"/>
      <c r="H201" s="214"/>
      <c r="I201" s="213"/>
      <c r="J201" s="215"/>
      <c r="K201" s="213"/>
      <c r="L201" s="213"/>
      <c r="M201" s="213"/>
      <c r="N201" s="63">
        <f>+G195</f>
        <v>844845248</v>
      </c>
    </row>
    <row r="202" spans="1:14" ht="12.75" customHeight="1" x14ac:dyDescent="0.3">
      <c r="A202" s="64" t="s">
        <v>215</v>
      </c>
      <c r="B202" s="65" t="s">
        <v>216</v>
      </c>
      <c r="C202" s="66"/>
      <c r="D202" s="67"/>
      <c r="E202" s="216"/>
      <c r="F202" s="217"/>
      <c r="G202" s="218"/>
      <c r="H202" s="218"/>
      <c r="I202" s="217"/>
      <c r="J202" s="219"/>
      <c r="K202" s="217"/>
      <c r="L202" s="217"/>
      <c r="M202" s="236">
        <v>0.1</v>
      </c>
      <c r="N202" s="220">
        <f>+M202*N201</f>
        <v>84484524.800000012</v>
      </c>
    </row>
    <row r="203" spans="1:14" ht="12.75" customHeight="1" x14ac:dyDescent="0.3">
      <c r="A203" s="68" t="s">
        <v>217</v>
      </c>
      <c r="B203" s="69" t="s">
        <v>218</v>
      </c>
      <c r="C203" s="70"/>
      <c r="D203" s="71"/>
      <c r="E203" s="221"/>
      <c r="F203" s="222"/>
      <c r="G203" s="223"/>
      <c r="H203" s="223"/>
      <c r="I203" s="222"/>
      <c r="J203" s="224"/>
      <c r="K203" s="222"/>
      <c r="L203" s="222"/>
      <c r="M203" s="237"/>
      <c r="N203" s="225">
        <f>+M195</f>
        <v>8725804.790000001</v>
      </c>
    </row>
    <row r="204" spans="1:14" ht="12.75" customHeight="1" x14ac:dyDescent="0.3">
      <c r="A204" s="64" t="s">
        <v>219</v>
      </c>
      <c r="B204" s="65" t="s">
        <v>220</v>
      </c>
      <c r="C204" s="66"/>
      <c r="D204" s="67"/>
      <c r="E204" s="216"/>
      <c r="F204" s="217"/>
      <c r="G204" s="218"/>
      <c r="H204" s="218"/>
      <c r="I204" s="217"/>
      <c r="J204" s="219"/>
      <c r="K204" s="217"/>
      <c r="L204" s="217"/>
      <c r="M204" s="238">
        <f>-M202</f>
        <v>-0.1</v>
      </c>
      <c r="N204" s="241">
        <f>+M204*N203</f>
        <v>-872580.47900000017</v>
      </c>
    </row>
    <row r="205" spans="1:14" ht="12.75" customHeight="1" x14ac:dyDescent="0.3">
      <c r="A205" s="72" t="s">
        <v>221</v>
      </c>
      <c r="B205" s="73" t="s">
        <v>222</v>
      </c>
      <c r="C205" s="74"/>
      <c r="D205" s="75"/>
      <c r="E205" s="226"/>
      <c r="F205" s="223"/>
      <c r="G205" s="223"/>
      <c r="H205" s="223"/>
      <c r="I205" s="223" t="s">
        <v>223</v>
      </c>
      <c r="J205" s="227" t="s">
        <v>229</v>
      </c>
      <c r="K205" s="223"/>
      <c r="L205" s="223"/>
      <c r="M205" s="239"/>
      <c r="N205" s="242">
        <f>+N203+N204</f>
        <v>7853224.3110000007</v>
      </c>
    </row>
    <row r="206" spans="1:14" ht="12.75" customHeight="1" x14ac:dyDescent="0.3">
      <c r="A206" s="76" t="s">
        <v>225</v>
      </c>
      <c r="B206" s="77" t="s">
        <v>226</v>
      </c>
      <c r="C206" s="78"/>
      <c r="D206" s="79"/>
      <c r="E206" s="228"/>
      <c r="F206" s="229"/>
      <c r="G206" s="230"/>
      <c r="H206" s="229"/>
      <c r="I206" s="80">
        <v>15356.4</v>
      </c>
      <c r="J206" s="80">
        <v>15995.4</v>
      </c>
      <c r="K206" s="230"/>
      <c r="L206" s="80">
        <f>J206/I206</f>
        <v>1.0416113151519888</v>
      </c>
      <c r="M206" s="240">
        <f>L206-1</f>
        <v>4.1611315151988792E-2</v>
      </c>
      <c r="N206" s="243">
        <f>N205*M206</f>
        <v>326782.99176428106</v>
      </c>
    </row>
    <row r="207" spans="1:14" ht="12.75" customHeight="1" x14ac:dyDescent="0.3">
      <c r="A207" s="81" t="s">
        <v>227</v>
      </c>
      <c r="B207" s="82" t="s">
        <v>228</v>
      </c>
      <c r="C207" s="83"/>
      <c r="D207" s="84"/>
      <c r="E207" s="232"/>
      <c r="F207" s="233"/>
      <c r="G207" s="233"/>
      <c r="H207" s="233"/>
      <c r="I207" s="233"/>
      <c r="J207" s="234"/>
      <c r="K207" s="233"/>
      <c r="L207" s="233"/>
      <c r="M207" s="233"/>
      <c r="N207" s="244">
        <f>N205+N206</f>
        <v>8180007.3027642816</v>
      </c>
    </row>
    <row r="208" spans="1:14" ht="12.75" customHeight="1" x14ac:dyDescent="0.3">
      <c r="C208" s="85"/>
      <c r="H208" s="235"/>
      <c r="I208" s="235"/>
      <c r="J208" s="235"/>
      <c r="K208" s="235"/>
      <c r="L208" s="235"/>
      <c r="M208" s="235"/>
      <c r="N208" s="235"/>
    </row>
  </sheetData>
  <mergeCells count="2">
    <mergeCell ref="I7:K7"/>
    <mergeCell ref="L7:N7"/>
  </mergeCells>
  <conditionalFormatting sqref="C3:C197">
    <cfRule type="cellIs" dxfId="53" priority="2" operator="equal">
      <formula>"x"</formula>
    </cfRule>
  </conditionalFormatting>
  <conditionalFormatting sqref="K10:K23 K25:K31 K33 K35:K40 K42:K49 K51:K53 K55:K58 K60:K70 K72:K74 K76:K79 K81:K87 K89:K100 K102 K104:K107 K109:K141 K144:K146 K148:K150 K152:K156 K158 K160:K161 K163 K165:K168 K170:K171 K173 K175:K176 K178:K181 K183:K191 K193:K194">
    <cfRule type="cellIs" dxfId="52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B5A7-0969-4115-A914-06FD6F400CC3}">
  <dimension ref="A1:N208"/>
  <sheetViews>
    <sheetView topLeftCell="A168" zoomScaleNormal="100" workbookViewId="0">
      <selection activeCell="A205" sqref="A205:N207"/>
    </sheetView>
  </sheetViews>
  <sheetFormatPr defaultColWidth="11.54296875" defaultRowHeight="12.75" customHeight="1" x14ac:dyDescent="0.3"/>
  <cols>
    <col min="1" max="1" width="7" style="1" bestFit="1" customWidth="1"/>
    <col min="2" max="2" width="56.36328125" style="2" customWidth="1"/>
    <col min="3" max="3" width="4.08984375" style="3" bestFit="1" customWidth="1"/>
    <col min="4" max="4" width="7" style="4" bestFit="1" customWidth="1"/>
    <col min="5" max="5" width="14.36328125" style="86" bestFit="1" customWidth="1"/>
    <col min="6" max="6" width="15.6328125" style="86" bestFit="1" customWidth="1"/>
    <col min="7" max="7" width="14.6328125" style="87" bestFit="1" customWidth="1"/>
    <col min="8" max="8" width="8.54296875" style="92" bestFit="1" customWidth="1"/>
    <col min="9" max="9" width="14" style="92" bestFit="1" customWidth="1"/>
    <col min="10" max="10" width="12.08984375" style="92" customWidth="1"/>
    <col min="11" max="11" width="11.36328125" style="92" bestFit="1" customWidth="1"/>
    <col min="12" max="12" width="13.36328125" style="92" customWidth="1"/>
    <col min="13" max="13" width="12.453125" style="92" bestFit="1" customWidth="1"/>
    <col min="14" max="14" width="15.6328125" style="92" customWidth="1"/>
    <col min="15" max="15" width="12.08984375" style="5" customWidth="1"/>
    <col min="16" max="16384" width="11.54296875" style="5"/>
  </cols>
  <sheetData>
    <row r="1" spans="1:14" ht="12.75" customHeight="1" x14ac:dyDescent="0.3">
      <c r="F1" s="162" t="s">
        <v>0</v>
      </c>
      <c r="G1" s="162" t="s">
        <v>1</v>
      </c>
    </row>
    <row r="2" spans="1:14" ht="13" x14ac:dyDescent="0.3">
      <c r="F2" s="163">
        <v>1066.5</v>
      </c>
      <c r="G2" s="163">
        <v>1170</v>
      </c>
    </row>
    <row r="3" spans="1:14" s="10" customFormat="1" ht="13" x14ac:dyDescent="0.25">
      <c r="A3" s="6"/>
      <c r="B3" s="7"/>
      <c r="C3" s="8"/>
      <c r="D3" s="9"/>
      <c r="E3" s="9"/>
      <c r="F3" s="9"/>
      <c r="G3" s="164"/>
      <c r="H3" s="165"/>
      <c r="I3" s="165"/>
      <c r="J3" s="165"/>
      <c r="K3" s="165"/>
      <c r="L3" s="165"/>
      <c r="M3" s="165"/>
      <c r="N3" s="165"/>
    </row>
    <row r="4" spans="1:14" s="10" customFormat="1" ht="13" x14ac:dyDescent="0.25">
      <c r="A4" s="6"/>
      <c r="B4" s="7"/>
      <c r="C4" s="8"/>
      <c r="D4" s="9"/>
      <c r="E4" s="9"/>
      <c r="F4" s="166">
        <v>45667</v>
      </c>
      <c r="G4" s="164"/>
      <c r="H4" s="165"/>
      <c r="I4" s="165"/>
      <c r="J4" s="165"/>
      <c r="K4" s="165"/>
      <c r="L4" s="165"/>
      <c r="M4" s="165"/>
      <c r="N4" s="165"/>
    </row>
    <row r="5" spans="1:14" s="10" customFormat="1" ht="13" x14ac:dyDescent="0.3">
      <c r="A5" s="6"/>
      <c r="B5" s="90" t="s">
        <v>2</v>
      </c>
      <c r="C5" s="8"/>
      <c r="D5" s="9"/>
      <c r="E5" s="167"/>
      <c r="F5" s="167"/>
      <c r="G5" s="164"/>
      <c r="H5" s="165"/>
      <c r="I5" s="168" t="s">
        <v>3</v>
      </c>
      <c r="J5" s="169">
        <v>3</v>
      </c>
      <c r="K5" s="170"/>
      <c r="L5" s="170"/>
      <c r="M5" s="171"/>
      <c r="N5" s="49">
        <v>45808</v>
      </c>
    </row>
    <row r="6" spans="1:14" s="10" customFormat="1" ht="13" x14ac:dyDescent="0.25">
      <c r="A6" s="6"/>
      <c r="B6" s="90" t="s">
        <v>4</v>
      </c>
      <c r="C6" s="8"/>
      <c r="D6" s="9"/>
      <c r="E6" s="172"/>
      <c r="F6" s="172"/>
      <c r="G6" s="164"/>
      <c r="H6" s="165"/>
      <c r="I6" s="165"/>
      <c r="J6" s="165"/>
      <c r="K6" s="165"/>
      <c r="L6" s="165"/>
      <c r="M6" s="165"/>
      <c r="N6" s="165"/>
    </row>
    <row r="7" spans="1:14" s="10" customFormat="1" ht="13" x14ac:dyDescent="0.25">
      <c r="A7" s="6"/>
      <c r="B7" s="91" t="s">
        <v>5</v>
      </c>
      <c r="C7" s="11"/>
      <c r="D7" s="12"/>
      <c r="E7" s="173"/>
      <c r="F7" s="172"/>
      <c r="G7" s="164"/>
      <c r="H7" s="165"/>
      <c r="I7" s="330" t="s">
        <v>6</v>
      </c>
      <c r="J7" s="330"/>
      <c r="K7" s="330"/>
      <c r="L7" s="330" t="s">
        <v>7</v>
      </c>
      <c r="M7" s="330"/>
      <c r="N7" s="330"/>
    </row>
    <row r="8" spans="1:14" ht="13" x14ac:dyDescent="0.3">
      <c r="A8" s="13" t="s">
        <v>8</v>
      </c>
      <c r="B8" s="14" t="s">
        <v>9</v>
      </c>
      <c r="C8" s="15" t="s">
        <v>10</v>
      </c>
      <c r="D8" s="16" t="s">
        <v>11</v>
      </c>
      <c r="E8" s="175" t="s">
        <v>12</v>
      </c>
      <c r="F8" s="175" t="s">
        <v>13</v>
      </c>
      <c r="I8" s="174" t="s">
        <v>14</v>
      </c>
      <c r="J8" s="174" t="s">
        <v>15</v>
      </c>
      <c r="K8" s="174" t="s">
        <v>16</v>
      </c>
      <c r="L8" s="174" t="s">
        <v>14</v>
      </c>
      <c r="M8" s="174" t="s">
        <v>15</v>
      </c>
      <c r="N8" s="174" t="s">
        <v>16</v>
      </c>
    </row>
    <row r="9" spans="1:14" ht="12.75" customHeight="1" x14ac:dyDescent="0.3">
      <c r="A9" s="13">
        <v>4</v>
      </c>
      <c r="B9" s="17" t="s">
        <v>17</v>
      </c>
      <c r="C9" s="18"/>
      <c r="D9" s="19"/>
      <c r="E9" s="19"/>
      <c r="F9" s="19"/>
      <c r="G9" s="176">
        <f>+SUM(F10:F23)</f>
        <v>51045774</v>
      </c>
      <c r="H9" s="245">
        <f>+G9/$G$195</f>
        <v>6.0420265274428106E-2</v>
      </c>
      <c r="I9" s="246"/>
      <c r="J9" s="247"/>
      <c r="K9" s="247"/>
      <c r="L9" s="178"/>
      <c r="M9" s="178"/>
      <c r="N9" s="179"/>
    </row>
    <row r="10" spans="1:14" ht="12.75" customHeight="1" x14ac:dyDescent="0.3">
      <c r="A10" s="20">
        <v>4.01</v>
      </c>
      <c r="B10" s="21" t="s">
        <v>18</v>
      </c>
      <c r="C10" s="93" t="s">
        <v>19</v>
      </c>
      <c r="D10" s="94">
        <v>621</v>
      </c>
      <c r="E10" s="180">
        <v>22140</v>
      </c>
      <c r="F10" s="181">
        <f t="shared" ref="F10:F73" si="0">+E10*D10</f>
        <v>13748940</v>
      </c>
      <c r="G10" s="182"/>
      <c r="H10" s="245"/>
      <c r="I10" s="248">
        <v>0</v>
      </c>
      <c r="J10" s="248"/>
      <c r="K10" s="249">
        <f t="shared" ref="K10:K73" si="1">+I10+J10</f>
        <v>0</v>
      </c>
      <c r="L10" s="50">
        <f t="shared" ref="L10:L73" si="2">+F10*I10</f>
        <v>0</v>
      </c>
      <c r="M10" s="50">
        <f t="shared" ref="M10:M73" si="3">+F10*J10</f>
        <v>0</v>
      </c>
      <c r="N10" s="50">
        <f t="shared" ref="N10:N73" si="4">+F10*K10</f>
        <v>0</v>
      </c>
    </row>
    <row r="11" spans="1:14" ht="12.75" customHeight="1" x14ac:dyDescent="0.3">
      <c r="A11" s="24">
        <v>4.0199999999999996</v>
      </c>
      <c r="B11" s="95" t="s">
        <v>20</v>
      </c>
      <c r="C11" s="30" t="s">
        <v>19</v>
      </c>
      <c r="D11" s="31">
        <v>780</v>
      </c>
      <c r="E11" s="183">
        <v>24437</v>
      </c>
      <c r="F11" s="181">
        <f t="shared" si="0"/>
        <v>19060860</v>
      </c>
      <c r="G11" s="182"/>
      <c r="H11" s="245"/>
      <c r="I11" s="250">
        <v>0</v>
      </c>
      <c r="J11" s="250"/>
      <c r="K11" s="251">
        <f t="shared" si="1"/>
        <v>0</v>
      </c>
      <c r="L11" s="50">
        <f t="shared" si="2"/>
        <v>0</v>
      </c>
      <c r="M11" s="50">
        <f t="shared" si="3"/>
        <v>0</v>
      </c>
      <c r="N11" s="50">
        <f t="shared" si="4"/>
        <v>0</v>
      </c>
    </row>
    <row r="12" spans="1:14" ht="12.75" customHeight="1" x14ac:dyDescent="0.3">
      <c r="A12" s="24">
        <v>4.03</v>
      </c>
      <c r="B12" s="25" t="s">
        <v>21</v>
      </c>
      <c r="C12" s="30" t="s">
        <v>19</v>
      </c>
      <c r="D12" s="31">
        <v>56</v>
      </c>
      <c r="E12" s="183">
        <v>23248</v>
      </c>
      <c r="F12" s="181">
        <f t="shared" si="0"/>
        <v>1301888</v>
      </c>
      <c r="G12" s="182"/>
      <c r="H12" s="245"/>
      <c r="I12" s="250">
        <v>0</v>
      </c>
      <c r="J12" s="250"/>
      <c r="K12" s="251">
        <f t="shared" si="1"/>
        <v>0</v>
      </c>
      <c r="L12" s="50">
        <f t="shared" si="2"/>
        <v>0</v>
      </c>
      <c r="M12" s="50">
        <f t="shared" si="3"/>
        <v>0</v>
      </c>
      <c r="N12" s="50">
        <f t="shared" si="4"/>
        <v>0</v>
      </c>
    </row>
    <row r="13" spans="1:14" ht="12.75" customHeight="1" x14ac:dyDescent="0.3">
      <c r="A13" s="24">
        <v>4.04</v>
      </c>
      <c r="B13" s="25" t="s">
        <v>22</v>
      </c>
      <c r="C13" s="30" t="s">
        <v>19</v>
      </c>
      <c r="D13" s="31">
        <v>42</v>
      </c>
      <c r="E13" s="183">
        <v>28746</v>
      </c>
      <c r="F13" s="181">
        <f t="shared" si="0"/>
        <v>1207332</v>
      </c>
      <c r="G13" s="182"/>
      <c r="H13" s="245"/>
      <c r="I13" s="250">
        <v>0</v>
      </c>
      <c r="J13" s="250"/>
      <c r="K13" s="251">
        <f t="shared" si="1"/>
        <v>0</v>
      </c>
      <c r="L13" s="50">
        <f t="shared" si="2"/>
        <v>0</v>
      </c>
      <c r="M13" s="50">
        <f t="shared" si="3"/>
        <v>0</v>
      </c>
      <c r="N13" s="50">
        <f t="shared" si="4"/>
        <v>0</v>
      </c>
    </row>
    <row r="14" spans="1:14" ht="12.75" customHeight="1" x14ac:dyDescent="0.3">
      <c r="A14" s="24">
        <v>4.05</v>
      </c>
      <c r="B14" s="25" t="s">
        <v>23</v>
      </c>
      <c r="C14" s="30" t="s">
        <v>19</v>
      </c>
      <c r="D14" s="31">
        <v>70</v>
      </c>
      <c r="E14" s="183">
        <v>36933</v>
      </c>
      <c r="F14" s="181">
        <f t="shared" si="0"/>
        <v>2585310</v>
      </c>
      <c r="G14" s="182"/>
      <c r="H14" s="245"/>
      <c r="I14" s="250">
        <v>0</v>
      </c>
      <c r="J14" s="250"/>
      <c r="K14" s="251">
        <f t="shared" si="1"/>
        <v>0</v>
      </c>
      <c r="L14" s="50">
        <f t="shared" si="2"/>
        <v>0</v>
      </c>
      <c r="M14" s="50">
        <f t="shared" si="3"/>
        <v>0</v>
      </c>
      <c r="N14" s="50">
        <f t="shared" si="4"/>
        <v>0</v>
      </c>
    </row>
    <row r="15" spans="1:14" ht="12.75" customHeight="1" x14ac:dyDescent="0.3">
      <c r="A15" s="24">
        <v>4.0599999999999996</v>
      </c>
      <c r="B15" s="25" t="s">
        <v>24</v>
      </c>
      <c r="C15" s="30" t="s">
        <v>19</v>
      </c>
      <c r="D15" s="31">
        <v>5</v>
      </c>
      <c r="E15" s="183">
        <v>28672</v>
      </c>
      <c r="F15" s="181">
        <f t="shared" si="0"/>
        <v>143360</v>
      </c>
      <c r="G15" s="182"/>
      <c r="H15" s="245"/>
      <c r="I15" s="250">
        <v>0</v>
      </c>
      <c r="J15" s="250"/>
      <c r="K15" s="251">
        <f t="shared" si="1"/>
        <v>0</v>
      </c>
      <c r="L15" s="50">
        <f t="shared" si="2"/>
        <v>0</v>
      </c>
      <c r="M15" s="50">
        <f t="shared" si="3"/>
        <v>0</v>
      </c>
      <c r="N15" s="50">
        <f t="shared" si="4"/>
        <v>0</v>
      </c>
    </row>
    <row r="16" spans="1:14" ht="12.75" customHeight="1" x14ac:dyDescent="0.3">
      <c r="A16" s="24">
        <v>4.07</v>
      </c>
      <c r="B16" s="25" t="s">
        <v>25</v>
      </c>
      <c r="C16" s="30" t="s">
        <v>19</v>
      </c>
      <c r="D16" s="37">
        <v>193</v>
      </c>
      <c r="E16" s="183">
        <v>18611</v>
      </c>
      <c r="F16" s="181">
        <f t="shared" si="0"/>
        <v>3591923</v>
      </c>
      <c r="G16" s="182"/>
      <c r="H16" s="245"/>
      <c r="I16" s="250">
        <v>0</v>
      </c>
      <c r="J16" s="250"/>
      <c r="K16" s="251">
        <f t="shared" si="1"/>
        <v>0</v>
      </c>
      <c r="L16" s="50">
        <f t="shared" si="2"/>
        <v>0</v>
      </c>
      <c r="M16" s="50">
        <f t="shared" si="3"/>
        <v>0</v>
      </c>
      <c r="N16" s="50">
        <f t="shared" si="4"/>
        <v>0</v>
      </c>
    </row>
    <row r="17" spans="1:14" ht="12.75" customHeight="1" x14ac:dyDescent="0.3">
      <c r="A17" s="24">
        <v>4.08</v>
      </c>
      <c r="B17" s="25" t="s">
        <v>26</v>
      </c>
      <c r="C17" s="30" t="s">
        <v>27</v>
      </c>
      <c r="D17" s="37">
        <v>61</v>
      </c>
      <c r="E17" s="183">
        <v>28578</v>
      </c>
      <c r="F17" s="181">
        <f t="shared" si="0"/>
        <v>1743258</v>
      </c>
      <c r="G17" s="182"/>
      <c r="H17" s="245"/>
      <c r="I17" s="250">
        <v>0</v>
      </c>
      <c r="J17" s="250"/>
      <c r="K17" s="251">
        <f t="shared" si="1"/>
        <v>0</v>
      </c>
      <c r="L17" s="50">
        <f t="shared" si="2"/>
        <v>0</v>
      </c>
      <c r="M17" s="50">
        <f t="shared" si="3"/>
        <v>0</v>
      </c>
      <c r="N17" s="50">
        <f t="shared" si="4"/>
        <v>0</v>
      </c>
    </row>
    <row r="18" spans="1:14" ht="12.75" customHeight="1" x14ac:dyDescent="0.3">
      <c r="A18" s="24">
        <v>4.09</v>
      </c>
      <c r="B18" s="25" t="s">
        <v>28</v>
      </c>
      <c r="C18" s="30" t="s">
        <v>29</v>
      </c>
      <c r="D18" s="37">
        <v>1</v>
      </c>
      <c r="E18" s="183">
        <v>280823</v>
      </c>
      <c r="F18" s="181">
        <f t="shared" si="0"/>
        <v>280823</v>
      </c>
      <c r="G18" s="182"/>
      <c r="H18" s="245"/>
      <c r="I18" s="250">
        <v>0</v>
      </c>
      <c r="J18" s="250"/>
      <c r="K18" s="251">
        <f t="shared" si="1"/>
        <v>0</v>
      </c>
      <c r="L18" s="50">
        <f t="shared" si="2"/>
        <v>0</v>
      </c>
      <c r="M18" s="50">
        <f t="shared" si="3"/>
        <v>0</v>
      </c>
      <c r="N18" s="50">
        <f t="shared" si="4"/>
        <v>0</v>
      </c>
    </row>
    <row r="19" spans="1:14" ht="12.75" customHeight="1" x14ac:dyDescent="0.3">
      <c r="A19" s="24">
        <v>4.0999999999999996</v>
      </c>
      <c r="B19" s="25" t="s">
        <v>30</v>
      </c>
      <c r="C19" s="30" t="s">
        <v>29</v>
      </c>
      <c r="D19" s="37">
        <v>1</v>
      </c>
      <c r="E19" s="183">
        <v>801214</v>
      </c>
      <c r="F19" s="181">
        <f t="shared" si="0"/>
        <v>801214</v>
      </c>
      <c r="G19" s="182"/>
      <c r="H19" s="245"/>
      <c r="I19" s="250">
        <v>0</v>
      </c>
      <c r="J19" s="250"/>
      <c r="K19" s="251">
        <f t="shared" si="1"/>
        <v>0</v>
      </c>
      <c r="L19" s="50">
        <f t="shared" si="2"/>
        <v>0</v>
      </c>
      <c r="M19" s="50">
        <f t="shared" si="3"/>
        <v>0</v>
      </c>
      <c r="N19" s="50">
        <f t="shared" si="4"/>
        <v>0</v>
      </c>
    </row>
    <row r="20" spans="1:14" ht="12.75" customHeight="1" x14ac:dyDescent="0.3">
      <c r="A20" s="24">
        <v>4.1100000000000003</v>
      </c>
      <c r="B20" s="25" t="s">
        <v>31</v>
      </c>
      <c r="C20" s="30" t="s">
        <v>29</v>
      </c>
      <c r="D20" s="37">
        <v>1</v>
      </c>
      <c r="E20" s="183">
        <v>525234</v>
      </c>
      <c r="F20" s="181">
        <f t="shared" si="0"/>
        <v>525234</v>
      </c>
      <c r="G20" s="182"/>
      <c r="H20" s="245"/>
      <c r="I20" s="250">
        <v>0</v>
      </c>
      <c r="J20" s="250"/>
      <c r="K20" s="251">
        <f t="shared" si="1"/>
        <v>0</v>
      </c>
      <c r="L20" s="50">
        <f t="shared" si="2"/>
        <v>0</v>
      </c>
      <c r="M20" s="50">
        <f t="shared" si="3"/>
        <v>0</v>
      </c>
      <c r="N20" s="50">
        <f t="shared" si="4"/>
        <v>0</v>
      </c>
    </row>
    <row r="21" spans="1:14" ht="12.75" customHeight="1" x14ac:dyDescent="0.3">
      <c r="A21" s="24">
        <v>4.12</v>
      </c>
      <c r="B21" s="25" t="s">
        <v>32</v>
      </c>
      <c r="C21" s="30" t="s">
        <v>33</v>
      </c>
      <c r="D21" s="37">
        <v>3</v>
      </c>
      <c r="E21" s="183">
        <v>237784</v>
      </c>
      <c r="F21" s="181">
        <f t="shared" si="0"/>
        <v>713352</v>
      </c>
      <c r="G21" s="182"/>
      <c r="H21" s="245"/>
      <c r="I21" s="250">
        <v>0</v>
      </c>
      <c r="J21" s="250"/>
      <c r="K21" s="251">
        <f t="shared" si="1"/>
        <v>0</v>
      </c>
      <c r="L21" s="50">
        <f t="shared" si="2"/>
        <v>0</v>
      </c>
      <c r="M21" s="50">
        <f t="shared" si="3"/>
        <v>0</v>
      </c>
      <c r="N21" s="50">
        <f t="shared" si="4"/>
        <v>0</v>
      </c>
    </row>
    <row r="22" spans="1:14" ht="12.75" customHeight="1" x14ac:dyDescent="0.3">
      <c r="A22" s="24">
        <v>4.13</v>
      </c>
      <c r="B22" s="25" t="s">
        <v>34</v>
      </c>
      <c r="C22" s="30" t="s">
        <v>27</v>
      </c>
      <c r="D22" s="37">
        <v>40</v>
      </c>
      <c r="E22" s="183">
        <v>98026</v>
      </c>
      <c r="F22" s="181">
        <f t="shared" si="0"/>
        <v>3921040</v>
      </c>
      <c r="G22" s="182"/>
      <c r="H22" s="245"/>
      <c r="I22" s="250">
        <v>0</v>
      </c>
      <c r="J22" s="250"/>
      <c r="K22" s="251">
        <f t="shared" si="1"/>
        <v>0</v>
      </c>
      <c r="L22" s="50">
        <f t="shared" si="2"/>
        <v>0</v>
      </c>
      <c r="M22" s="50">
        <f t="shared" si="3"/>
        <v>0</v>
      </c>
      <c r="N22" s="50">
        <f t="shared" si="4"/>
        <v>0</v>
      </c>
    </row>
    <row r="23" spans="1:14" ht="12.75" customHeight="1" x14ac:dyDescent="0.3">
      <c r="A23" s="24">
        <v>4.1399999999999997</v>
      </c>
      <c r="B23" s="38" t="s">
        <v>35</v>
      </c>
      <c r="C23" s="34" t="s">
        <v>33</v>
      </c>
      <c r="D23" s="96">
        <v>8</v>
      </c>
      <c r="E23" s="183">
        <v>177655</v>
      </c>
      <c r="F23" s="181">
        <f t="shared" si="0"/>
        <v>1421240</v>
      </c>
      <c r="G23" s="182"/>
      <c r="H23" s="245"/>
      <c r="I23" s="250">
        <v>0</v>
      </c>
      <c r="J23" s="250"/>
      <c r="K23" s="251">
        <f t="shared" si="1"/>
        <v>0</v>
      </c>
      <c r="L23" s="50">
        <f t="shared" si="2"/>
        <v>0</v>
      </c>
      <c r="M23" s="50">
        <f t="shared" si="3"/>
        <v>0</v>
      </c>
      <c r="N23" s="50">
        <f t="shared" si="4"/>
        <v>0</v>
      </c>
    </row>
    <row r="24" spans="1:14" ht="12.75" customHeight="1" x14ac:dyDescent="0.3">
      <c r="A24" s="13">
        <v>5</v>
      </c>
      <c r="B24" s="40" t="s">
        <v>36</v>
      </c>
      <c r="C24" s="18"/>
      <c r="D24" s="19"/>
      <c r="E24" s="19"/>
      <c r="F24" s="19"/>
      <c r="G24" s="176">
        <f>+SUM(F25:F31)</f>
        <v>19239698</v>
      </c>
      <c r="H24" s="245">
        <f>+G24/$G$195</f>
        <v>2.2773043993022494E-2</v>
      </c>
      <c r="I24" s="246"/>
      <c r="J24" s="247"/>
      <c r="K24" s="247"/>
      <c r="L24" s="178"/>
      <c r="M24" s="178"/>
      <c r="N24" s="179"/>
    </row>
    <row r="25" spans="1:14" ht="12.75" customHeight="1" x14ac:dyDescent="0.3">
      <c r="A25" s="20">
        <v>5.01</v>
      </c>
      <c r="B25" s="21" t="s">
        <v>37</v>
      </c>
      <c r="C25" s="93" t="s">
        <v>27</v>
      </c>
      <c r="D25" s="97">
        <v>136</v>
      </c>
      <c r="E25" s="183">
        <v>6496</v>
      </c>
      <c r="F25" s="181">
        <f t="shared" si="0"/>
        <v>883456</v>
      </c>
      <c r="G25" s="182"/>
      <c r="H25" s="245"/>
      <c r="I25" s="250">
        <v>0</v>
      </c>
      <c r="J25" s="250"/>
      <c r="K25" s="251">
        <f t="shared" si="1"/>
        <v>0</v>
      </c>
      <c r="L25" s="50">
        <f t="shared" si="2"/>
        <v>0</v>
      </c>
      <c r="M25" s="50">
        <f t="shared" si="3"/>
        <v>0</v>
      </c>
      <c r="N25" s="50">
        <f t="shared" si="4"/>
        <v>0</v>
      </c>
    </row>
    <row r="26" spans="1:14" ht="12.75" customHeight="1" x14ac:dyDescent="0.3">
      <c r="A26" s="24">
        <v>5.0199999999999996</v>
      </c>
      <c r="B26" s="98" t="s">
        <v>38</v>
      </c>
      <c r="C26" s="30" t="s">
        <v>19</v>
      </c>
      <c r="D26" s="31">
        <v>77</v>
      </c>
      <c r="E26" s="184">
        <v>33270</v>
      </c>
      <c r="F26" s="183">
        <f t="shared" si="0"/>
        <v>2561790</v>
      </c>
      <c r="G26" s="182"/>
      <c r="H26" s="245"/>
      <c r="I26" s="250">
        <v>0</v>
      </c>
      <c r="J26" s="250"/>
      <c r="K26" s="251">
        <f t="shared" si="1"/>
        <v>0</v>
      </c>
      <c r="L26" s="50">
        <f t="shared" si="2"/>
        <v>0</v>
      </c>
      <c r="M26" s="50">
        <f t="shared" si="3"/>
        <v>0</v>
      </c>
      <c r="N26" s="50">
        <f t="shared" si="4"/>
        <v>0</v>
      </c>
    </row>
    <row r="27" spans="1:14" ht="12.75" customHeight="1" x14ac:dyDescent="0.3">
      <c r="A27" s="24">
        <v>5.03</v>
      </c>
      <c r="B27" s="25" t="s">
        <v>39</v>
      </c>
      <c r="C27" s="30" t="s">
        <v>19</v>
      </c>
      <c r="D27" s="31">
        <v>107</v>
      </c>
      <c r="E27" s="184">
        <v>6496</v>
      </c>
      <c r="F27" s="181">
        <f t="shared" si="0"/>
        <v>695072</v>
      </c>
      <c r="G27" s="182"/>
      <c r="H27" s="245"/>
      <c r="I27" s="250">
        <v>0</v>
      </c>
      <c r="J27" s="250"/>
      <c r="K27" s="251">
        <f t="shared" si="1"/>
        <v>0</v>
      </c>
      <c r="L27" s="50">
        <f t="shared" si="2"/>
        <v>0</v>
      </c>
      <c r="M27" s="50">
        <f t="shared" si="3"/>
        <v>0</v>
      </c>
      <c r="N27" s="50">
        <f t="shared" si="4"/>
        <v>0</v>
      </c>
    </row>
    <row r="28" spans="1:14" ht="12.75" customHeight="1" x14ac:dyDescent="0.3">
      <c r="A28" s="24">
        <v>5.04</v>
      </c>
      <c r="B28" s="25" t="s">
        <v>40</v>
      </c>
      <c r="C28" s="30" t="s">
        <v>19</v>
      </c>
      <c r="D28" s="31">
        <v>186</v>
      </c>
      <c r="E28" s="184">
        <v>4832</v>
      </c>
      <c r="F28" s="181">
        <f t="shared" si="0"/>
        <v>898752</v>
      </c>
      <c r="G28" s="182"/>
      <c r="H28" s="245"/>
      <c r="I28" s="250">
        <v>0</v>
      </c>
      <c r="J28" s="250"/>
      <c r="K28" s="251">
        <f t="shared" si="1"/>
        <v>0</v>
      </c>
      <c r="L28" s="50">
        <f t="shared" si="2"/>
        <v>0</v>
      </c>
      <c r="M28" s="50">
        <f t="shared" si="3"/>
        <v>0</v>
      </c>
      <c r="N28" s="50">
        <f t="shared" si="4"/>
        <v>0</v>
      </c>
    </row>
    <row r="29" spans="1:14" ht="12.75" customHeight="1" x14ac:dyDescent="0.3">
      <c r="A29" s="24">
        <v>5.05</v>
      </c>
      <c r="B29" s="25" t="s">
        <v>41</v>
      </c>
      <c r="C29" s="30" t="s">
        <v>19</v>
      </c>
      <c r="D29" s="31">
        <v>186</v>
      </c>
      <c r="E29" s="184">
        <v>4134</v>
      </c>
      <c r="F29" s="181">
        <f t="shared" si="0"/>
        <v>768924</v>
      </c>
      <c r="G29" s="182"/>
      <c r="H29" s="245"/>
      <c r="I29" s="250">
        <v>0</v>
      </c>
      <c r="J29" s="250"/>
      <c r="K29" s="251">
        <f t="shared" si="1"/>
        <v>0</v>
      </c>
      <c r="L29" s="50">
        <f t="shared" si="2"/>
        <v>0</v>
      </c>
      <c r="M29" s="50">
        <f t="shared" si="3"/>
        <v>0</v>
      </c>
      <c r="N29" s="50">
        <f t="shared" si="4"/>
        <v>0</v>
      </c>
    </row>
    <row r="30" spans="1:14" ht="12.75" customHeight="1" x14ac:dyDescent="0.3">
      <c r="A30" s="24">
        <v>5.0599999999999996</v>
      </c>
      <c r="B30" s="25" t="s">
        <v>42</v>
      </c>
      <c r="C30" s="99" t="s">
        <v>19</v>
      </c>
      <c r="D30" s="31">
        <v>390</v>
      </c>
      <c r="E30" s="184">
        <v>28187</v>
      </c>
      <c r="F30" s="181">
        <f t="shared" si="0"/>
        <v>10992930</v>
      </c>
      <c r="G30" s="185"/>
      <c r="H30" s="245"/>
      <c r="I30" s="250">
        <v>0</v>
      </c>
      <c r="J30" s="250"/>
      <c r="K30" s="251">
        <f t="shared" si="1"/>
        <v>0</v>
      </c>
      <c r="L30" s="50">
        <f t="shared" si="2"/>
        <v>0</v>
      </c>
      <c r="M30" s="50">
        <f t="shared" si="3"/>
        <v>0</v>
      </c>
      <c r="N30" s="50">
        <f t="shared" si="4"/>
        <v>0</v>
      </c>
    </row>
    <row r="31" spans="1:14" ht="12.75" customHeight="1" x14ac:dyDescent="0.3">
      <c r="A31" s="24">
        <v>5.07</v>
      </c>
      <c r="B31" s="25" t="s">
        <v>43</v>
      </c>
      <c r="C31" s="99" t="s">
        <v>29</v>
      </c>
      <c r="D31" s="31">
        <v>1</v>
      </c>
      <c r="E31" s="184">
        <v>2438774</v>
      </c>
      <c r="F31" s="181">
        <f t="shared" si="0"/>
        <v>2438774</v>
      </c>
      <c r="G31" s="186"/>
      <c r="H31" s="245"/>
      <c r="I31" s="250">
        <v>0</v>
      </c>
      <c r="J31" s="250"/>
      <c r="K31" s="251">
        <f t="shared" si="1"/>
        <v>0</v>
      </c>
      <c r="L31" s="50">
        <f t="shared" si="2"/>
        <v>0</v>
      </c>
      <c r="M31" s="50">
        <f t="shared" si="3"/>
        <v>0</v>
      </c>
      <c r="N31" s="50">
        <f t="shared" si="4"/>
        <v>0</v>
      </c>
    </row>
    <row r="32" spans="1:14" ht="12.75" customHeight="1" x14ac:dyDescent="0.3">
      <c r="A32" s="13">
        <v>6</v>
      </c>
      <c r="B32" s="17" t="s">
        <v>44</v>
      </c>
      <c r="C32" s="18"/>
      <c r="D32" s="19"/>
      <c r="E32" s="19"/>
      <c r="F32" s="19"/>
      <c r="G32" s="176">
        <f>+SUM(F33)</f>
        <v>1722875</v>
      </c>
      <c r="H32" s="245">
        <f>+G32/$G$195</f>
        <v>2.0392787958251023E-3</v>
      </c>
      <c r="I32" s="246"/>
      <c r="J32" s="247"/>
      <c r="K32" s="247"/>
      <c r="L32" s="178"/>
      <c r="M32" s="178"/>
      <c r="N32" s="179"/>
    </row>
    <row r="33" spans="1:14" ht="12.75" customHeight="1" x14ac:dyDescent="0.3">
      <c r="A33" s="100">
        <v>6.02</v>
      </c>
      <c r="B33" s="38" t="s">
        <v>45</v>
      </c>
      <c r="C33" s="101" t="s">
        <v>27</v>
      </c>
      <c r="D33" s="102">
        <v>55</v>
      </c>
      <c r="E33" s="181">
        <v>31325</v>
      </c>
      <c r="F33" s="181">
        <f t="shared" si="0"/>
        <v>1722875</v>
      </c>
      <c r="G33" s="185"/>
      <c r="H33" s="245"/>
      <c r="I33" s="250">
        <v>0</v>
      </c>
      <c r="J33" s="250"/>
      <c r="K33" s="251">
        <f t="shared" si="1"/>
        <v>0</v>
      </c>
      <c r="L33" s="50">
        <f t="shared" si="2"/>
        <v>0</v>
      </c>
      <c r="M33" s="50">
        <f t="shared" si="3"/>
        <v>0</v>
      </c>
      <c r="N33" s="50">
        <f t="shared" si="4"/>
        <v>0</v>
      </c>
    </row>
    <row r="34" spans="1:14" ht="12.75" customHeight="1" x14ac:dyDescent="0.3">
      <c r="A34" s="13">
        <v>7</v>
      </c>
      <c r="B34" s="40" t="s">
        <v>46</v>
      </c>
      <c r="C34" s="18"/>
      <c r="D34" s="19"/>
      <c r="E34" s="19"/>
      <c r="F34" s="19"/>
      <c r="G34" s="176">
        <f>+SUM(F35:F40)</f>
        <v>92324467</v>
      </c>
      <c r="H34" s="245">
        <f>+G34/$G$195</f>
        <v>0.10927973758337338</v>
      </c>
      <c r="I34" s="246"/>
      <c r="J34" s="247"/>
      <c r="K34" s="247"/>
      <c r="L34" s="178"/>
      <c r="M34" s="178"/>
      <c r="N34" s="179"/>
    </row>
    <row r="35" spans="1:14" ht="12.75" customHeight="1" x14ac:dyDescent="0.3">
      <c r="A35" s="20">
        <v>7.01</v>
      </c>
      <c r="B35" s="103" t="s">
        <v>47</v>
      </c>
      <c r="C35" s="93" t="s">
        <v>19</v>
      </c>
      <c r="D35" s="94">
        <v>879</v>
      </c>
      <c r="E35" s="180">
        <v>19943</v>
      </c>
      <c r="F35" s="180">
        <f t="shared" si="0"/>
        <v>17529897</v>
      </c>
      <c r="G35" s="187"/>
      <c r="H35" s="245"/>
      <c r="I35" s="250">
        <v>0</v>
      </c>
      <c r="J35" s="250"/>
      <c r="K35" s="251">
        <f t="shared" si="1"/>
        <v>0</v>
      </c>
      <c r="L35" s="50">
        <f t="shared" si="2"/>
        <v>0</v>
      </c>
      <c r="M35" s="50">
        <f t="shared" si="3"/>
        <v>0</v>
      </c>
      <c r="N35" s="50">
        <f t="shared" si="4"/>
        <v>0</v>
      </c>
    </row>
    <row r="36" spans="1:14" ht="12.75" customHeight="1" x14ac:dyDescent="0.3">
      <c r="A36" s="24">
        <v>7.02</v>
      </c>
      <c r="B36" s="104" t="s">
        <v>48</v>
      </c>
      <c r="C36" s="30" t="s">
        <v>19</v>
      </c>
      <c r="D36" s="31">
        <v>716</v>
      </c>
      <c r="E36" s="181">
        <v>26767</v>
      </c>
      <c r="F36" s="181">
        <f t="shared" si="0"/>
        <v>19165172</v>
      </c>
      <c r="G36" s="185"/>
      <c r="H36" s="245"/>
      <c r="I36" s="250">
        <v>0</v>
      </c>
      <c r="J36" s="250"/>
      <c r="K36" s="251">
        <f t="shared" si="1"/>
        <v>0</v>
      </c>
      <c r="L36" s="50">
        <f t="shared" si="2"/>
        <v>0</v>
      </c>
      <c r="M36" s="50">
        <f t="shared" si="3"/>
        <v>0</v>
      </c>
      <c r="N36" s="50">
        <f t="shared" si="4"/>
        <v>0</v>
      </c>
    </row>
    <row r="37" spans="1:14" ht="12.75" customHeight="1" x14ac:dyDescent="0.3">
      <c r="A37" s="24">
        <v>7.03</v>
      </c>
      <c r="B37" s="25" t="s">
        <v>49</v>
      </c>
      <c r="C37" s="30" t="s">
        <v>19</v>
      </c>
      <c r="D37" s="31">
        <v>1439</v>
      </c>
      <c r="E37" s="181">
        <v>22963</v>
      </c>
      <c r="F37" s="181">
        <f t="shared" si="0"/>
        <v>33043757</v>
      </c>
      <c r="G37" s="185"/>
      <c r="H37" s="245"/>
      <c r="I37" s="250">
        <v>0</v>
      </c>
      <c r="J37" s="250"/>
      <c r="K37" s="251">
        <f t="shared" si="1"/>
        <v>0</v>
      </c>
      <c r="L37" s="50">
        <f t="shared" si="2"/>
        <v>0</v>
      </c>
      <c r="M37" s="50">
        <f t="shared" si="3"/>
        <v>0</v>
      </c>
      <c r="N37" s="50">
        <f t="shared" si="4"/>
        <v>0</v>
      </c>
    </row>
    <row r="38" spans="1:14" ht="12.75" customHeight="1" x14ac:dyDescent="0.3">
      <c r="A38" s="100">
        <v>7.04</v>
      </c>
      <c r="B38" s="105" t="s">
        <v>50</v>
      </c>
      <c r="C38" s="30" t="s">
        <v>27</v>
      </c>
      <c r="D38" s="31">
        <v>347</v>
      </c>
      <c r="E38" s="181">
        <v>16909</v>
      </c>
      <c r="F38" s="181">
        <f t="shared" si="0"/>
        <v>5867423</v>
      </c>
      <c r="G38" s="185"/>
      <c r="H38" s="245"/>
      <c r="I38" s="250">
        <v>0</v>
      </c>
      <c r="J38" s="250"/>
      <c r="K38" s="251">
        <f t="shared" si="1"/>
        <v>0</v>
      </c>
      <c r="L38" s="50">
        <f t="shared" si="2"/>
        <v>0</v>
      </c>
      <c r="M38" s="50">
        <f t="shared" si="3"/>
        <v>0</v>
      </c>
      <c r="N38" s="50">
        <f t="shared" si="4"/>
        <v>0</v>
      </c>
    </row>
    <row r="39" spans="1:14" ht="12.75" customHeight="1" x14ac:dyDescent="0.3">
      <c r="A39" s="24">
        <v>7.05</v>
      </c>
      <c r="B39" s="105" t="s">
        <v>51</v>
      </c>
      <c r="C39" s="30" t="s">
        <v>52</v>
      </c>
      <c r="D39" s="31">
        <v>132</v>
      </c>
      <c r="E39" s="181">
        <v>19384</v>
      </c>
      <c r="F39" s="181">
        <f t="shared" si="0"/>
        <v>2558688</v>
      </c>
      <c r="G39" s="185"/>
      <c r="H39" s="245"/>
      <c r="I39" s="250">
        <v>0</v>
      </c>
      <c r="J39" s="250"/>
      <c r="K39" s="251">
        <f t="shared" si="1"/>
        <v>0</v>
      </c>
      <c r="L39" s="50">
        <f t="shared" si="2"/>
        <v>0</v>
      </c>
      <c r="M39" s="50">
        <f t="shared" si="3"/>
        <v>0</v>
      </c>
      <c r="N39" s="50">
        <f t="shared" si="4"/>
        <v>0</v>
      </c>
    </row>
    <row r="40" spans="1:14" ht="12.75" customHeight="1" x14ac:dyDescent="0.3">
      <c r="A40" s="100">
        <v>7.06</v>
      </c>
      <c r="B40" s="25" t="s">
        <v>53</v>
      </c>
      <c r="C40" s="30" t="s">
        <v>19</v>
      </c>
      <c r="D40" s="31">
        <v>710</v>
      </c>
      <c r="E40" s="181">
        <v>19943</v>
      </c>
      <c r="F40" s="181">
        <f t="shared" si="0"/>
        <v>14159530</v>
      </c>
      <c r="G40" s="185"/>
      <c r="H40" s="245"/>
      <c r="I40" s="250">
        <v>0</v>
      </c>
      <c r="J40" s="250"/>
      <c r="K40" s="251">
        <f t="shared" si="1"/>
        <v>0</v>
      </c>
      <c r="L40" s="50">
        <f t="shared" si="2"/>
        <v>0</v>
      </c>
      <c r="M40" s="50">
        <f t="shared" si="3"/>
        <v>0</v>
      </c>
      <c r="N40" s="50">
        <f t="shared" si="4"/>
        <v>0</v>
      </c>
    </row>
    <row r="41" spans="1:14" ht="12.75" customHeight="1" x14ac:dyDescent="0.3">
      <c r="A41" s="13">
        <v>8</v>
      </c>
      <c r="B41" s="17" t="s">
        <v>54</v>
      </c>
      <c r="C41" s="18"/>
      <c r="D41" s="19"/>
      <c r="E41" s="19"/>
      <c r="F41" s="19"/>
      <c r="G41" s="176">
        <f>+SUM(F42:F49)</f>
        <v>49520833</v>
      </c>
      <c r="H41" s="245">
        <f>+G41/$G$195</f>
        <v>5.8615270805192479E-2</v>
      </c>
      <c r="I41" s="246"/>
      <c r="J41" s="247"/>
      <c r="K41" s="247"/>
      <c r="L41" s="178"/>
      <c r="M41" s="178"/>
      <c r="N41" s="179"/>
    </row>
    <row r="42" spans="1:14" ht="12.75" customHeight="1" x14ac:dyDescent="0.3">
      <c r="A42" s="20">
        <v>8.01</v>
      </c>
      <c r="B42" s="21" t="s">
        <v>55</v>
      </c>
      <c r="C42" s="93" t="s">
        <v>19</v>
      </c>
      <c r="D42" s="94">
        <v>107</v>
      </c>
      <c r="E42" s="183">
        <v>58580</v>
      </c>
      <c r="F42" s="183">
        <f t="shared" si="0"/>
        <v>6268060</v>
      </c>
      <c r="G42" s="182"/>
      <c r="H42" s="245"/>
      <c r="I42" s="250">
        <v>0</v>
      </c>
      <c r="J42" s="250"/>
      <c r="K42" s="251">
        <f t="shared" si="1"/>
        <v>0</v>
      </c>
      <c r="L42" s="50">
        <f t="shared" si="2"/>
        <v>0</v>
      </c>
      <c r="M42" s="50">
        <f t="shared" si="3"/>
        <v>0</v>
      </c>
      <c r="N42" s="50">
        <f t="shared" si="4"/>
        <v>0</v>
      </c>
    </row>
    <row r="43" spans="1:14" ht="12.75" customHeight="1" x14ac:dyDescent="0.3">
      <c r="A43" s="106">
        <v>8.02</v>
      </c>
      <c r="B43" s="107" t="s">
        <v>56</v>
      </c>
      <c r="C43" s="108" t="s">
        <v>19</v>
      </c>
      <c r="D43" s="32">
        <v>258</v>
      </c>
      <c r="E43" s="183">
        <v>38729</v>
      </c>
      <c r="F43" s="183">
        <f t="shared" si="0"/>
        <v>9992082</v>
      </c>
      <c r="G43" s="182"/>
      <c r="H43" s="245"/>
      <c r="I43" s="250">
        <v>0</v>
      </c>
      <c r="J43" s="250"/>
      <c r="K43" s="251">
        <f t="shared" si="1"/>
        <v>0</v>
      </c>
      <c r="L43" s="50">
        <f t="shared" si="2"/>
        <v>0</v>
      </c>
      <c r="M43" s="50">
        <f t="shared" si="3"/>
        <v>0</v>
      </c>
      <c r="N43" s="50">
        <f t="shared" si="4"/>
        <v>0</v>
      </c>
    </row>
    <row r="44" spans="1:14" ht="12.75" customHeight="1" x14ac:dyDescent="0.3">
      <c r="A44" s="24">
        <v>8.0299999999999994</v>
      </c>
      <c r="B44" s="25" t="s">
        <v>57</v>
      </c>
      <c r="C44" s="30" t="s">
        <v>19</v>
      </c>
      <c r="D44" s="31">
        <v>425</v>
      </c>
      <c r="E44" s="183">
        <v>22943</v>
      </c>
      <c r="F44" s="183">
        <f t="shared" si="0"/>
        <v>9750775</v>
      </c>
      <c r="G44" s="182"/>
      <c r="H44" s="245"/>
      <c r="I44" s="250">
        <v>0</v>
      </c>
      <c r="J44" s="250"/>
      <c r="K44" s="251">
        <f t="shared" si="1"/>
        <v>0</v>
      </c>
      <c r="L44" s="50">
        <f t="shared" si="2"/>
        <v>0</v>
      </c>
      <c r="M44" s="50">
        <f t="shared" si="3"/>
        <v>0</v>
      </c>
      <c r="N44" s="50">
        <f t="shared" si="4"/>
        <v>0</v>
      </c>
    </row>
    <row r="45" spans="1:14" ht="12.75" customHeight="1" x14ac:dyDescent="0.3">
      <c r="A45" s="106">
        <v>8.0399999999999991</v>
      </c>
      <c r="B45" s="25" t="s">
        <v>58</v>
      </c>
      <c r="C45" s="30" t="s">
        <v>19</v>
      </c>
      <c r="D45" s="31">
        <v>200</v>
      </c>
      <c r="E45" s="183">
        <v>40355</v>
      </c>
      <c r="F45" s="183">
        <f t="shared" si="0"/>
        <v>8071000</v>
      </c>
      <c r="G45" s="182"/>
      <c r="H45" s="245"/>
      <c r="I45" s="250">
        <v>0</v>
      </c>
      <c r="J45" s="250"/>
      <c r="K45" s="251">
        <f t="shared" si="1"/>
        <v>0</v>
      </c>
      <c r="L45" s="50">
        <f t="shared" si="2"/>
        <v>0</v>
      </c>
      <c r="M45" s="50">
        <f t="shared" si="3"/>
        <v>0</v>
      </c>
      <c r="N45" s="50">
        <f t="shared" si="4"/>
        <v>0</v>
      </c>
    </row>
    <row r="46" spans="1:14" ht="12.75" customHeight="1" x14ac:dyDescent="0.3">
      <c r="A46" s="24">
        <v>8.0500000000000007</v>
      </c>
      <c r="B46" s="25" t="s">
        <v>59</v>
      </c>
      <c r="C46" s="30" t="s">
        <v>19</v>
      </c>
      <c r="D46" s="31">
        <v>77</v>
      </c>
      <c r="E46" s="183">
        <v>31515</v>
      </c>
      <c r="F46" s="183">
        <f t="shared" si="0"/>
        <v>2426655</v>
      </c>
      <c r="G46" s="182"/>
      <c r="H46" s="245"/>
      <c r="I46" s="250">
        <v>0</v>
      </c>
      <c r="J46" s="250"/>
      <c r="K46" s="251">
        <f t="shared" si="1"/>
        <v>0</v>
      </c>
      <c r="L46" s="50">
        <f t="shared" si="2"/>
        <v>0</v>
      </c>
      <c r="M46" s="50">
        <f t="shared" si="3"/>
        <v>0</v>
      </c>
      <c r="N46" s="50">
        <f t="shared" si="4"/>
        <v>0</v>
      </c>
    </row>
    <row r="47" spans="1:14" ht="12.75" customHeight="1" x14ac:dyDescent="0.3">
      <c r="A47" s="106">
        <v>8.06</v>
      </c>
      <c r="B47" s="25" t="s">
        <v>60</v>
      </c>
      <c r="C47" s="30" t="s">
        <v>19</v>
      </c>
      <c r="D47" s="31">
        <v>77</v>
      </c>
      <c r="E47" s="183">
        <v>19683</v>
      </c>
      <c r="F47" s="183">
        <f t="shared" si="0"/>
        <v>1515591</v>
      </c>
      <c r="G47" s="182"/>
      <c r="H47" s="245"/>
      <c r="I47" s="250">
        <v>0</v>
      </c>
      <c r="J47" s="250"/>
      <c r="K47" s="251">
        <f t="shared" si="1"/>
        <v>0</v>
      </c>
      <c r="L47" s="50">
        <f t="shared" si="2"/>
        <v>0</v>
      </c>
      <c r="M47" s="50">
        <f t="shared" si="3"/>
        <v>0</v>
      </c>
      <c r="N47" s="50">
        <f t="shared" si="4"/>
        <v>0</v>
      </c>
    </row>
    <row r="48" spans="1:14" ht="12.75" customHeight="1" x14ac:dyDescent="0.3">
      <c r="A48" s="24">
        <v>8.07</v>
      </c>
      <c r="B48" s="25" t="s">
        <v>61</v>
      </c>
      <c r="C48" s="30" t="s">
        <v>19</v>
      </c>
      <c r="D48" s="31">
        <v>442</v>
      </c>
      <c r="E48" s="183">
        <v>14335</v>
      </c>
      <c r="F48" s="183">
        <f t="shared" si="0"/>
        <v>6336070</v>
      </c>
      <c r="G48" s="182"/>
      <c r="H48" s="245"/>
      <c r="I48" s="250">
        <v>0</v>
      </c>
      <c r="J48" s="250"/>
      <c r="K48" s="251">
        <f t="shared" si="1"/>
        <v>0</v>
      </c>
      <c r="L48" s="50">
        <f t="shared" si="2"/>
        <v>0</v>
      </c>
      <c r="M48" s="50">
        <f t="shared" si="3"/>
        <v>0</v>
      </c>
      <c r="N48" s="50">
        <f t="shared" si="4"/>
        <v>0</v>
      </c>
    </row>
    <row r="49" spans="1:14" ht="12.75" customHeight="1" x14ac:dyDescent="0.3">
      <c r="A49" s="106">
        <v>8.08</v>
      </c>
      <c r="B49" s="25" t="s">
        <v>62</v>
      </c>
      <c r="C49" s="30" t="s">
        <v>19</v>
      </c>
      <c r="D49" s="31">
        <v>360</v>
      </c>
      <c r="E49" s="183">
        <v>14335</v>
      </c>
      <c r="F49" s="183">
        <f t="shared" si="0"/>
        <v>5160600</v>
      </c>
      <c r="G49" s="182"/>
      <c r="H49" s="245"/>
      <c r="I49" s="250">
        <v>0</v>
      </c>
      <c r="J49" s="250"/>
      <c r="K49" s="251">
        <f t="shared" si="1"/>
        <v>0</v>
      </c>
      <c r="L49" s="50">
        <f t="shared" si="2"/>
        <v>0</v>
      </c>
      <c r="M49" s="50">
        <f t="shared" si="3"/>
        <v>0</v>
      </c>
      <c r="N49" s="50">
        <f t="shared" si="4"/>
        <v>0</v>
      </c>
    </row>
    <row r="50" spans="1:14" ht="12.75" customHeight="1" x14ac:dyDescent="0.3">
      <c r="A50" s="13">
        <v>9</v>
      </c>
      <c r="B50" s="17" t="s">
        <v>63</v>
      </c>
      <c r="C50" s="18"/>
      <c r="D50" s="19"/>
      <c r="E50" s="19"/>
      <c r="F50" s="19"/>
      <c r="G50" s="176">
        <f>+SUM(F51:F53)</f>
        <v>4852846</v>
      </c>
      <c r="H50" s="245">
        <f>+G50/$G$195</f>
        <v>5.7440649769743392E-3</v>
      </c>
      <c r="I50" s="246"/>
      <c r="J50" s="247"/>
      <c r="K50" s="247"/>
      <c r="L50" s="178"/>
      <c r="M50" s="178"/>
      <c r="N50" s="179"/>
    </row>
    <row r="51" spans="1:14" ht="12.75" customHeight="1" x14ac:dyDescent="0.3">
      <c r="A51" s="20">
        <v>9.01</v>
      </c>
      <c r="B51" s="21" t="s">
        <v>64</v>
      </c>
      <c r="C51" s="109" t="s">
        <v>29</v>
      </c>
      <c r="D51" s="94">
        <v>1</v>
      </c>
      <c r="E51" s="181">
        <v>2109310</v>
      </c>
      <c r="F51" s="181">
        <f t="shared" si="0"/>
        <v>2109310</v>
      </c>
      <c r="G51" s="186"/>
      <c r="H51" s="245"/>
      <c r="I51" s="250">
        <v>0</v>
      </c>
      <c r="J51" s="250"/>
      <c r="K51" s="251">
        <f t="shared" si="1"/>
        <v>0</v>
      </c>
      <c r="L51" s="50">
        <f t="shared" si="2"/>
        <v>0</v>
      </c>
      <c r="M51" s="50">
        <f t="shared" si="3"/>
        <v>0</v>
      </c>
      <c r="N51" s="50">
        <f t="shared" si="4"/>
        <v>0</v>
      </c>
    </row>
    <row r="52" spans="1:14" ht="12.75" customHeight="1" x14ac:dyDescent="0.3">
      <c r="A52" s="24">
        <v>9.02</v>
      </c>
      <c r="B52" s="25" t="s">
        <v>65</v>
      </c>
      <c r="C52" s="110" t="s">
        <v>52</v>
      </c>
      <c r="D52" s="31">
        <v>81</v>
      </c>
      <c r="E52" s="181">
        <v>28022</v>
      </c>
      <c r="F52" s="181">
        <f t="shared" si="0"/>
        <v>2269782</v>
      </c>
      <c r="G52" s="186"/>
      <c r="H52" s="252"/>
      <c r="I52" s="250">
        <v>0</v>
      </c>
      <c r="J52" s="250"/>
      <c r="K52" s="251">
        <f t="shared" si="1"/>
        <v>0</v>
      </c>
      <c r="L52" s="50">
        <f t="shared" si="2"/>
        <v>0</v>
      </c>
      <c r="M52" s="50">
        <f t="shared" si="3"/>
        <v>0</v>
      </c>
      <c r="N52" s="50">
        <f t="shared" si="4"/>
        <v>0</v>
      </c>
    </row>
    <row r="53" spans="1:14" ht="12.75" customHeight="1" x14ac:dyDescent="0.3">
      <c r="A53" s="33">
        <v>9.0299999999999994</v>
      </c>
      <c r="B53" s="38" t="s">
        <v>66</v>
      </c>
      <c r="C53" s="111" t="s">
        <v>27</v>
      </c>
      <c r="D53" s="35">
        <v>46</v>
      </c>
      <c r="E53" s="181">
        <v>10299</v>
      </c>
      <c r="F53" s="181">
        <f t="shared" si="0"/>
        <v>473754</v>
      </c>
      <c r="G53" s="186"/>
      <c r="H53" s="252"/>
      <c r="I53" s="250">
        <v>0</v>
      </c>
      <c r="J53" s="250"/>
      <c r="K53" s="251">
        <f t="shared" si="1"/>
        <v>0</v>
      </c>
      <c r="L53" s="50">
        <f t="shared" si="2"/>
        <v>0</v>
      </c>
      <c r="M53" s="50">
        <f t="shared" si="3"/>
        <v>0</v>
      </c>
      <c r="N53" s="50">
        <f t="shared" si="4"/>
        <v>0</v>
      </c>
    </row>
    <row r="54" spans="1:14" ht="12.75" customHeight="1" x14ac:dyDescent="0.3">
      <c r="A54" s="13">
        <v>10</v>
      </c>
      <c r="B54" s="40" t="s">
        <v>67</v>
      </c>
      <c r="C54" s="18"/>
      <c r="D54" s="19"/>
      <c r="E54" s="19"/>
      <c r="F54" s="19"/>
      <c r="G54" s="176">
        <f>+SUM(F55:F58)</f>
        <v>4184652</v>
      </c>
      <c r="H54" s="245">
        <f>+G54/$G$195</f>
        <v>4.9531580013100814E-3</v>
      </c>
      <c r="I54" s="246"/>
      <c r="J54" s="247"/>
      <c r="K54" s="247"/>
      <c r="L54" s="178"/>
      <c r="M54" s="178"/>
      <c r="N54" s="179"/>
    </row>
    <row r="55" spans="1:14" ht="12.75" customHeight="1" x14ac:dyDescent="0.3">
      <c r="A55" s="24">
        <v>10.01</v>
      </c>
      <c r="B55" s="25" t="s">
        <v>68</v>
      </c>
      <c r="C55" s="112" t="s">
        <v>29</v>
      </c>
      <c r="D55" s="27">
        <v>1</v>
      </c>
      <c r="E55" s="181">
        <v>1844532</v>
      </c>
      <c r="F55" s="181">
        <f t="shared" si="0"/>
        <v>1844532</v>
      </c>
      <c r="G55" s="188"/>
      <c r="H55" s="245"/>
      <c r="I55" s="250">
        <v>0</v>
      </c>
      <c r="J55" s="250"/>
      <c r="K55" s="251">
        <f t="shared" si="1"/>
        <v>0</v>
      </c>
      <c r="L55" s="50">
        <f t="shared" si="2"/>
        <v>0</v>
      </c>
      <c r="M55" s="50">
        <f t="shared" si="3"/>
        <v>0</v>
      </c>
      <c r="N55" s="50">
        <f t="shared" si="4"/>
        <v>0</v>
      </c>
    </row>
    <row r="56" spans="1:14" ht="12.75" customHeight="1" x14ac:dyDescent="0.3">
      <c r="A56" s="24">
        <v>10.02</v>
      </c>
      <c r="B56" s="25" t="s">
        <v>69</v>
      </c>
      <c r="C56" s="112" t="s">
        <v>29</v>
      </c>
      <c r="D56" s="27">
        <v>1</v>
      </c>
      <c r="E56" s="181">
        <v>1214937</v>
      </c>
      <c r="F56" s="181">
        <f t="shared" si="0"/>
        <v>1214937</v>
      </c>
      <c r="H56" s="245"/>
      <c r="I56" s="250">
        <v>0</v>
      </c>
      <c r="J56" s="250"/>
      <c r="K56" s="251">
        <f t="shared" si="1"/>
        <v>0</v>
      </c>
      <c r="L56" s="50">
        <f t="shared" si="2"/>
        <v>0</v>
      </c>
      <c r="M56" s="50">
        <f t="shared" si="3"/>
        <v>0</v>
      </c>
      <c r="N56" s="50">
        <f t="shared" si="4"/>
        <v>0</v>
      </c>
    </row>
    <row r="57" spans="1:14" ht="12.75" customHeight="1" x14ac:dyDescent="0.3">
      <c r="A57" s="24">
        <v>10.029999999999999</v>
      </c>
      <c r="B57" s="25" t="s">
        <v>70</v>
      </c>
      <c r="C57" s="112" t="s">
        <v>29</v>
      </c>
      <c r="D57" s="27">
        <v>1</v>
      </c>
      <c r="E57" s="181">
        <v>539833</v>
      </c>
      <c r="F57" s="181">
        <f t="shared" si="0"/>
        <v>539833</v>
      </c>
      <c r="H57" s="245"/>
      <c r="I57" s="250">
        <v>0</v>
      </c>
      <c r="J57" s="250"/>
      <c r="K57" s="251">
        <f t="shared" si="1"/>
        <v>0</v>
      </c>
      <c r="L57" s="50">
        <f t="shared" si="2"/>
        <v>0</v>
      </c>
      <c r="M57" s="50">
        <f t="shared" si="3"/>
        <v>0</v>
      </c>
      <c r="N57" s="50">
        <f t="shared" si="4"/>
        <v>0</v>
      </c>
    </row>
    <row r="58" spans="1:14" ht="12.75" customHeight="1" x14ac:dyDescent="0.3">
      <c r="A58" s="24">
        <v>10.039999999999999</v>
      </c>
      <c r="B58" s="25" t="s">
        <v>71</v>
      </c>
      <c r="C58" s="30" t="s">
        <v>33</v>
      </c>
      <c r="D58" s="31">
        <v>10</v>
      </c>
      <c r="E58" s="181">
        <v>58535</v>
      </c>
      <c r="F58" s="181">
        <f t="shared" si="0"/>
        <v>585350</v>
      </c>
      <c r="G58" s="182"/>
      <c r="H58" s="245"/>
      <c r="I58" s="250">
        <v>0</v>
      </c>
      <c r="J58" s="250"/>
      <c r="K58" s="251">
        <f t="shared" si="1"/>
        <v>0</v>
      </c>
      <c r="L58" s="50">
        <f t="shared" si="2"/>
        <v>0</v>
      </c>
      <c r="M58" s="50">
        <f t="shared" si="3"/>
        <v>0</v>
      </c>
      <c r="N58" s="50">
        <f t="shared" si="4"/>
        <v>0</v>
      </c>
    </row>
    <row r="59" spans="1:14" ht="12.75" customHeight="1" x14ac:dyDescent="0.3">
      <c r="A59" s="13">
        <v>11</v>
      </c>
      <c r="B59" s="17" t="s">
        <v>72</v>
      </c>
      <c r="C59" s="18"/>
      <c r="D59" s="19"/>
      <c r="E59" s="19"/>
      <c r="F59" s="19"/>
      <c r="G59" s="176">
        <f>+SUM(F60:F70)</f>
        <v>31170783</v>
      </c>
      <c r="H59" s="245">
        <f>+G59/$G$195</f>
        <v>3.6895257532418527E-2</v>
      </c>
      <c r="I59" s="246"/>
      <c r="J59" s="247"/>
      <c r="K59" s="247"/>
      <c r="L59" s="178"/>
      <c r="M59" s="178"/>
      <c r="N59" s="179"/>
    </row>
    <row r="60" spans="1:14" ht="12.75" customHeight="1" x14ac:dyDescent="0.3">
      <c r="A60" s="20">
        <v>11.01</v>
      </c>
      <c r="B60" s="21" t="s">
        <v>73</v>
      </c>
      <c r="C60" s="109" t="s">
        <v>19</v>
      </c>
      <c r="D60" s="94">
        <v>0</v>
      </c>
      <c r="E60" s="181">
        <v>0</v>
      </c>
      <c r="F60" s="181">
        <f t="shared" si="0"/>
        <v>0</v>
      </c>
      <c r="G60" s="185"/>
      <c r="H60" s="252"/>
      <c r="I60" s="250">
        <v>0</v>
      </c>
      <c r="J60" s="250"/>
      <c r="K60" s="251">
        <f t="shared" si="1"/>
        <v>0</v>
      </c>
      <c r="L60" s="50">
        <f t="shared" si="2"/>
        <v>0</v>
      </c>
      <c r="M60" s="50">
        <f t="shared" si="3"/>
        <v>0</v>
      </c>
      <c r="N60" s="50">
        <f t="shared" si="4"/>
        <v>0</v>
      </c>
    </row>
    <row r="61" spans="1:14" ht="12.75" customHeight="1" x14ac:dyDescent="0.3">
      <c r="A61" s="24">
        <v>11.02</v>
      </c>
      <c r="B61" s="25" t="s">
        <v>74</v>
      </c>
      <c r="C61" s="110" t="s">
        <v>19</v>
      </c>
      <c r="D61" s="31">
        <v>39</v>
      </c>
      <c r="E61" s="181">
        <v>19280</v>
      </c>
      <c r="F61" s="181">
        <f t="shared" si="0"/>
        <v>751920</v>
      </c>
      <c r="G61" s="186"/>
      <c r="H61" s="252"/>
      <c r="I61" s="250">
        <v>0</v>
      </c>
      <c r="J61" s="250"/>
      <c r="K61" s="251">
        <f t="shared" si="1"/>
        <v>0</v>
      </c>
      <c r="L61" s="50">
        <f t="shared" si="2"/>
        <v>0</v>
      </c>
      <c r="M61" s="50">
        <f t="shared" si="3"/>
        <v>0</v>
      </c>
      <c r="N61" s="50">
        <f t="shared" si="4"/>
        <v>0</v>
      </c>
    </row>
    <row r="62" spans="1:14" ht="12.75" customHeight="1" x14ac:dyDescent="0.3">
      <c r="A62" s="24">
        <v>11.03</v>
      </c>
      <c r="B62" s="25" t="s">
        <v>75</v>
      </c>
      <c r="C62" s="110" t="s">
        <v>19</v>
      </c>
      <c r="D62" s="31">
        <v>48</v>
      </c>
      <c r="E62" s="181">
        <v>25362</v>
      </c>
      <c r="F62" s="181">
        <f t="shared" si="0"/>
        <v>1217376</v>
      </c>
      <c r="G62" s="186"/>
      <c r="H62" s="252"/>
      <c r="I62" s="250">
        <v>0</v>
      </c>
      <c r="J62" s="250"/>
      <c r="K62" s="251">
        <f t="shared" si="1"/>
        <v>0</v>
      </c>
      <c r="L62" s="50">
        <f t="shared" si="2"/>
        <v>0</v>
      </c>
      <c r="M62" s="50">
        <f t="shared" si="3"/>
        <v>0</v>
      </c>
      <c r="N62" s="50">
        <f t="shared" si="4"/>
        <v>0</v>
      </c>
    </row>
    <row r="63" spans="1:14" ht="12.75" customHeight="1" x14ac:dyDescent="0.3">
      <c r="A63" s="24">
        <v>11.04</v>
      </c>
      <c r="B63" s="25" t="s">
        <v>76</v>
      </c>
      <c r="C63" s="30" t="s">
        <v>19</v>
      </c>
      <c r="D63" s="31">
        <v>174</v>
      </c>
      <c r="E63" s="181">
        <v>19164</v>
      </c>
      <c r="F63" s="181">
        <f t="shared" si="0"/>
        <v>3334536</v>
      </c>
      <c r="G63" s="182"/>
      <c r="H63" s="245"/>
      <c r="I63" s="250">
        <v>0</v>
      </c>
      <c r="J63" s="250"/>
      <c r="K63" s="251">
        <f t="shared" si="1"/>
        <v>0</v>
      </c>
      <c r="L63" s="50">
        <f t="shared" si="2"/>
        <v>0</v>
      </c>
      <c r="M63" s="50">
        <f t="shared" si="3"/>
        <v>0</v>
      </c>
      <c r="N63" s="50">
        <f t="shared" si="4"/>
        <v>0</v>
      </c>
    </row>
    <row r="64" spans="1:14" ht="12.75" customHeight="1" x14ac:dyDescent="0.3">
      <c r="A64" s="24">
        <v>11.05</v>
      </c>
      <c r="B64" s="25" t="s">
        <v>77</v>
      </c>
      <c r="C64" s="110" t="s">
        <v>19</v>
      </c>
      <c r="D64" s="31">
        <v>92</v>
      </c>
      <c r="E64" s="181">
        <v>19164</v>
      </c>
      <c r="F64" s="181">
        <f t="shared" si="0"/>
        <v>1763088</v>
      </c>
      <c r="G64" s="185"/>
      <c r="H64" s="252"/>
      <c r="I64" s="250">
        <v>0</v>
      </c>
      <c r="J64" s="250"/>
      <c r="K64" s="251">
        <f t="shared" si="1"/>
        <v>0</v>
      </c>
      <c r="L64" s="50">
        <f t="shared" si="2"/>
        <v>0</v>
      </c>
      <c r="M64" s="50">
        <f t="shared" si="3"/>
        <v>0</v>
      </c>
      <c r="N64" s="50">
        <f t="shared" si="4"/>
        <v>0</v>
      </c>
    </row>
    <row r="65" spans="1:14" ht="12.75" customHeight="1" x14ac:dyDescent="0.3">
      <c r="A65" s="24">
        <v>11.06</v>
      </c>
      <c r="B65" s="25" t="s">
        <v>78</v>
      </c>
      <c r="C65" s="30" t="s">
        <v>19</v>
      </c>
      <c r="D65" s="31">
        <v>8</v>
      </c>
      <c r="E65" s="181">
        <v>14043</v>
      </c>
      <c r="F65" s="181">
        <f t="shared" si="0"/>
        <v>112344</v>
      </c>
      <c r="G65" s="182"/>
      <c r="H65" s="245"/>
      <c r="I65" s="250">
        <v>0</v>
      </c>
      <c r="J65" s="250"/>
      <c r="K65" s="251">
        <f t="shared" si="1"/>
        <v>0</v>
      </c>
      <c r="L65" s="50">
        <f t="shared" si="2"/>
        <v>0</v>
      </c>
      <c r="M65" s="50">
        <f t="shared" si="3"/>
        <v>0</v>
      </c>
      <c r="N65" s="50">
        <f t="shared" si="4"/>
        <v>0</v>
      </c>
    </row>
    <row r="66" spans="1:14" ht="12.75" customHeight="1" x14ac:dyDescent="0.3">
      <c r="A66" s="24">
        <v>11.07</v>
      </c>
      <c r="B66" s="25" t="s">
        <v>79</v>
      </c>
      <c r="C66" s="110" t="s">
        <v>19</v>
      </c>
      <c r="D66" s="31">
        <v>46</v>
      </c>
      <c r="E66" s="181">
        <v>26630</v>
      </c>
      <c r="F66" s="181">
        <f t="shared" si="0"/>
        <v>1224980</v>
      </c>
      <c r="G66" s="186"/>
      <c r="H66" s="252"/>
      <c r="I66" s="250">
        <v>0</v>
      </c>
      <c r="J66" s="250"/>
      <c r="K66" s="251">
        <f t="shared" si="1"/>
        <v>0</v>
      </c>
      <c r="L66" s="50">
        <f t="shared" si="2"/>
        <v>0</v>
      </c>
      <c r="M66" s="50">
        <f t="shared" si="3"/>
        <v>0</v>
      </c>
      <c r="N66" s="50">
        <f t="shared" si="4"/>
        <v>0</v>
      </c>
    </row>
    <row r="67" spans="1:14" ht="12.75" customHeight="1" x14ac:dyDescent="0.3">
      <c r="A67" s="24">
        <v>11.08</v>
      </c>
      <c r="B67" s="25" t="s">
        <v>80</v>
      </c>
      <c r="C67" s="110" t="s">
        <v>19</v>
      </c>
      <c r="D67" s="31">
        <v>562</v>
      </c>
      <c r="E67" s="181">
        <v>25362</v>
      </c>
      <c r="F67" s="181">
        <f t="shared" si="0"/>
        <v>14253444</v>
      </c>
      <c r="G67" s="186"/>
      <c r="H67" s="252"/>
      <c r="I67" s="250">
        <v>0</v>
      </c>
      <c r="J67" s="250"/>
      <c r="K67" s="251">
        <f t="shared" si="1"/>
        <v>0</v>
      </c>
      <c r="L67" s="50">
        <f t="shared" si="2"/>
        <v>0</v>
      </c>
      <c r="M67" s="50">
        <f t="shared" si="3"/>
        <v>0</v>
      </c>
      <c r="N67" s="50">
        <f t="shared" si="4"/>
        <v>0</v>
      </c>
    </row>
    <row r="68" spans="1:14" ht="12.75" customHeight="1" x14ac:dyDescent="0.3">
      <c r="A68" s="24">
        <v>11.09</v>
      </c>
      <c r="B68" s="25" t="s">
        <v>81</v>
      </c>
      <c r="C68" s="113" t="s">
        <v>19</v>
      </c>
      <c r="D68" s="32">
        <v>73</v>
      </c>
      <c r="E68" s="181">
        <v>30109</v>
      </c>
      <c r="F68" s="181">
        <f t="shared" si="0"/>
        <v>2197957</v>
      </c>
      <c r="G68" s="186"/>
      <c r="H68" s="252"/>
      <c r="I68" s="250">
        <v>0</v>
      </c>
      <c r="J68" s="250"/>
      <c r="K68" s="251">
        <f t="shared" si="1"/>
        <v>0</v>
      </c>
      <c r="L68" s="50">
        <f t="shared" si="2"/>
        <v>0</v>
      </c>
      <c r="M68" s="50">
        <f t="shared" si="3"/>
        <v>0</v>
      </c>
      <c r="N68" s="50">
        <f t="shared" si="4"/>
        <v>0</v>
      </c>
    </row>
    <row r="69" spans="1:14" ht="12.75" customHeight="1" x14ac:dyDescent="0.3">
      <c r="A69" s="24">
        <v>11.1</v>
      </c>
      <c r="B69" s="25" t="s">
        <v>82</v>
      </c>
      <c r="C69" s="113" t="s">
        <v>19</v>
      </c>
      <c r="D69" s="32">
        <v>143</v>
      </c>
      <c r="E69" s="181">
        <v>25362</v>
      </c>
      <c r="F69" s="181">
        <f t="shared" si="0"/>
        <v>3626766</v>
      </c>
      <c r="G69" s="186"/>
      <c r="H69" s="252"/>
      <c r="I69" s="250">
        <v>0</v>
      </c>
      <c r="J69" s="250"/>
      <c r="K69" s="251">
        <f t="shared" si="1"/>
        <v>0</v>
      </c>
      <c r="L69" s="50">
        <f t="shared" si="2"/>
        <v>0</v>
      </c>
      <c r="M69" s="50">
        <f t="shared" si="3"/>
        <v>0</v>
      </c>
      <c r="N69" s="50">
        <f t="shared" si="4"/>
        <v>0</v>
      </c>
    </row>
    <row r="70" spans="1:14" ht="12.75" customHeight="1" x14ac:dyDescent="0.3">
      <c r="A70" s="24">
        <v>11.11</v>
      </c>
      <c r="B70" s="25" t="s">
        <v>83</v>
      </c>
      <c r="C70" s="111" t="s">
        <v>19</v>
      </c>
      <c r="D70" s="35">
        <v>106</v>
      </c>
      <c r="E70" s="181">
        <v>25362</v>
      </c>
      <c r="F70" s="181">
        <f t="shared" si="0"/>
        <v>2688372</v>
      </c>
      <c r="G70" s="186"/>
      <c r="H70" s="252"/>
      <c r="I70" s="250">
        <v>0</v>
      </c>
      <c r="J70" s="250"/>
      <c r="K70" s="251">
        <f t="shared" si="1"/>
        <v>0</v>
      </c>
      <c r="L70" s="50">
        <f t="shared" si="2"/>
        <v>0</v>
      </c>
      <c r="M70" s="50">
        <f t="shared" si="3"/>
        <v>0</v>
      </c>
      <c r="N70" s="50">
        <f t="shared" si="4"/>
        <v>0</v>
      </c>
    </row>
    <row r="71" spans="1:14" ht="12.75" customHeight="1" x14ac:dyDescent="0.3">
      <c r="A71" s="13">
        <v>12</v>
      </c>
      <c r="B71" s="17" t="s">
        <v>84</v>
      </c>
      <c r="C71" s="18"/>
      <c r="D71" s="19"/>
      <c r="E71" s="19"/>
      <c r="F71" s="19"/>
      <c r="G71" s="176">
        <f>+SUM(F72:F74)</f>
        <v>8990052</v>
      </c>
      <c r="H71" s="245">
        <f>+G71/$G$195</f>
        <v>1.0641063580912749E-2</v>
      </c>
      <c r="I71" s="246"/>
      <c r="J71" s="247"/>
      <c r="K71" s="247"/>
      <c r="L71" s="178"/>
      <c r="M71" s="178"/>
      <c r="N71" s="179"/>
    </row>
    <row r="72" spans="1:14" ht="12.75" customHeight="1" x14ac:dyDescent="0.3">
      <c r="A72" s="20">
        <f>+A71+0.01</f>
        <v>12.01</v>
      </c>
      <c r="B72" s="21" t="s">
        <v>85</v>
      </c>
      <c r="C72" s="109" t="s">
        <v>27</v>
      </c>
      <c r="D72" s="94">
        <v>19</v>
      </c>
      <c r="E72" s="181">
        <v>6496</v>
      </c>
      <c r="F72" s="181">
        <f t="shared" si="0"/>
        <v>123424</v>
      </c>
      <c r="H72" s="245"/>
      <c r="I72" s="250">
        <v>0</v>
      </c>
      <c r="J72" s="250"/>
      <c r="K72" s="251">
        <f t="shared" si="1"/>
        <v>0</v>
      </c>
      <c r="L72" s="50">
        <f t="shared" si="2"/>
        <v>0</v>
      </c>
      <c r="M72" s="50">
        <f t="shared" si="3"/>
        <v>0</v>
      </c>
      <c r="N72" s="50">
        <f t="shared" si="4"/>
        <v>0</v>
      </c>
    </row>
    <row r="73" spans="1:14" ht="12.75" customHeight="1" x14ac:dyDescent="0.3">
      <c r="A73" s="106">
        <v>12.02</v>
      </c>
      <c r="B73" s="25" t="s">
        <v>86</v>
      </c>
      <c r="C73" s="114" t="s">
        <v>27</v>
      </c>
      <c r="D73" s="31">
        <v>626</v>
      </c>
      <c r="E73" s="181">
        <v>9059</v>
      </c>
      <c r="F73" s="181">
        <f t="shared" si="0"/>
        <v>5670934</v>
      </c>
      <c r="H73" s="245"/>
      <c r="I73" s="250">
        <v>0</v>
      </c>
      <c r="J73" s="250"/>
      <c r="K73" s="251">
        <f t="shared" si="1"/>
        <v>0</v>
      </c>
      <c r="L73" s="50">
        <f t="shared" si="2"/>
        <v>0</v>
      </c>
      <c r="M73" s="50">
        <f t="shared" si="3"/>
        <v>0</v>
      </c>
      <c r="N73" s="50">
        <f t="shared" si="4"/>
        <v>0</v>
      </c>
    </row>
    <row r="74" spans="1:14" ht="12.75" customHeight="1" x14ac:dyDescent="0.3">
      <c r="A74" s="106">
        <v>12.03</v>
      </c>
      <c r="B74" s="107" t="s">
        <v>87</v>
      </c>
      <c r="C74" s="114" t="s">
        <v>27</v>
      </c>
      <c r="D74" s="35">
        <v>386</v>
      </c>
      <c r="E74" s="181">
        <v>8279</v>
      </c>
      <c r="F74" s="181">
        <f t="shared" ref="F74:F137" si="5">+E74*D74</f>
        <v>3195694</v>
      </c>
      <c r="H74" s="245"/>
      <c r="I74" s="250">
        <v>0</v>
      </c>
      <c r="J74" s="250"/>
      <c r="K74" s="251">
        <f t="shared" ref="K74" si="6">+I74+J74</f>
        <v>0</v>
      </c>
      <c r="L74" s="50">
        <f t="shared" ref="L74" si="7">+F74*I74</f>
        <v>0</v>
      </c>
      <c r="M74" s="50">
        <f t="shared" ref="M74" si="8">+F74*J74</f>
        <v>0</v>
      </c>
      <c r="N74" s="50">
        <f t="shared" ref="N74" si="9">+F74*K74</f>
        <v>0</v>
      </c>
    </row>
    <row r="75" spans="1:14" ht="12.75" customHeight="1" x14ac:dyDescent="0.3">
      <c r="A75" s="13">
        <v>13</v>
      </c>
      <c r="B75" s="17" t="s">
        <v>88</v>
      </c>
      <c r="C75" s="18"/>
      <c r="D75" s="19"/>
      <c r="E75" s="19"/>
      <c r="F75" s="19"/>
      <c r="G75" s="176">
        <f>+SUM(F76:F79)</f>
        <v>14836279</v>
      </c>
      <c r="H75" s="245">
        <f>+G75/$G$195</f>
        <v>1.7560942711250239E-2</v>
      </c>
      <c r="I75" s="246"/>
      <c r="J75" s="247"/>
      <c r="K75" s="247"/>
      <c r="L75" s="178"/>
      <c r="M75" s="178"/>
      <c r="N75" s="179"/>
    </row>
    <row r="76" spans="1:14" ht="12.75" customHeight="1" x14ac:dyDescent="0.3">
      <c r="A76" s="115">
        <v>13.01</v>
      </c>
      <c r="B76" s="116" t="s">
        <v>89</v>
      </c>
      <c r="C76" s="117" t="s">
        <v>19</v>
      </c>
      <c r="D76" s="23">
        <v>413</v>
      </c>
      <c r="E76" s="181">
        <v>30109</v>
      </c>
      <c r="F76" s="181">
        <f t="shared" si="5"/>
        <v>12435017</v>
      </c>
      <c r="H76" s="245"/>
      <c r="I76" s="250">
        <v>0</v>
      </c>
      <c r="J76" s="250"/>
      <c r="K76" s="251">
        <f t="shared" ref="K76:K139" si="10">+I76+J76</f>
        <v>0</v>
      </c>
      <c r="L76" s="50">
        <f t="shared" ref="L76:L139" si="11">+F76*I76</f>
        <v>0</v>
      </c>
      <c r="M76" s="50">
        <f t="shared" ref="M76:M139" si="12">+F76*J76</f>
        <v>0</v>
      </c>
      <c r="N76" s="50">
        <f t="shared" ref="N76:N139" si="13">+F76*K76</f>
        <v>0</v>
      </c>
    </row>
    <row r="77" spans="1:14" ht="12.75" customHeight="1" x14ac:dyDescent="0.3">
      <c r="A77" s="118">
        <v>13.02</v>
      </c>
      <c r="B77" s="119" t="s">
        <v>90</v>
      </c>
      <c r="C77" s="120" t="s">
        <v>19</v>
      </c>
      <c r="D77" s="121">
        <v>18</v>
      </c>
      <c r="E77" s="181">
        <v>30109</v>
      </c>
      <c r="F77" s="181">
        <f t="shared" si="5"/>
        <v>541962</v>
      </c>
      <c r="H77" s="245"/>
      <c r="I77" s="250">
        <v>0</v>
      </c>
      <c r="J77" s="250"/>
      <c r="K77" s="251">
        <f t="shared" si="10"/>
        <v>0</v>
      </c>
      <c r="L77" s="50">
        <f t="shared" si="11"/>
        <v>0</v>
      </c>
      <c r="M77" s="50">
        <f t="shared" si="12"/>
        <v>0</v>
      </c>
      <c r="N77" s="50">
        <f t="shared" si="13"/>
        <v>0</v>
      </c>
    </row>
    <row r="78" spans="1:14" ht="12.75" customHeight="1" x14ac:dyDescent="0.3">
      <c r="A78" s="100">
        <v>13.03</v>
      </c>
      <c r="B78" s="119" t="s">
        <v>91</v>
      </c>
      <c r="C78" s="110" t="s">
        <v>19</v>
      </c>
      <c r="D78" s="31">
        <v>20</v>
      </c>
      <c r="E78" s="181">
        <v>92965</v>
      </c>
      <c r="F78" s="181">
        <f t="shared" si="5"/>
        <v>1859300</v>
      </c>
      <c r="G78" s="186"/>
      <c r="H78" s="252"/>
      <c r="I78" s="250">
        <v>0</v>
      </c>
      <c r="J78" s="250"/>
      <c r="K78" s="251">
        <f t="shared" si="10"/>
        <v>0</v>
      </c>
      <c r="L78" s="50">
        <f t="shared" si="11"/>
        <v>0</v>
      </c>
      <c r="M78" s="50">
        <f t="shared" si="12"/>
        <v>0</v>
      </c>
      <c r="N78" s="50">
        <f t="shared" si="13"/>
        <v>0</v>
      </c>
    </row>
    <row r="79" spans="1:14" ht="12.75" customHeight="1" x14ac:dyDescent="0.3">
      <c r="A79" s="100">
        <v>13.04</v>
      </c>
      <c r="B79" s="25" t="s">
        <v>92</v>
      </c>
      <c r="C79" s="110" t="s">
        <v>19</v>
      </c>
      <c r="D79" s="31">
        <v>0</v>
      </c>
      <c r="E79" s="181">
        <v>0</v>
      </c>
      <c r="F79" s="181">
        <f t="shared" si="5"/>
        <v>0</v>
      </c>
      <c r="G79" s="186"/>
      <c r="H79" s="252"/>
      <c r="I79" s="250">
        <v>0</v>
      </c>
      <c r="J79" s="250"/>
      <c r="K79" s="251">
        <f t="shared" si="10"/>
        <v>0</v>
      </c>
      <c r="L79" s="50">
        <f t="shared" si="11"/>
        <v>0</v>
      </c>
      <c r="M79" s="50">
        <f t="shared" si="12"/>
        <v>0</v>
      </c>
      <c r="N79" s="50">
        <f t="shared" si="13"/>
        <v>0</v>
      </c>
    </row>
    <row r="80" spans="1:14" ht="12.75" customHeight="1" x14ac:dyDescent="0.3">
      <c r="A80" s="13">
        <v>14</v>
      </c>
      <c r="B80" s="17" t="s">
        <v>93</v>
      </c>
      <c r="C80" s="18"/>
      <c r="D80" s="19"/>
      <c r="E80" s="19"/>
      <c r="F80" s="19"/>
      <c r="G80" s="176">
        <f>+SUM(F81:F87)</f>
        <v>33813897</v>
      </c>
      <c r="H80" s="245">
        <f>+G80/$G$195</f>
        <v>4.0023776046616291E-2</v>
      </c>
      <c r="I80" s="246"/>
      <c r="J80" s="247"/>
      <c r="K80" s="247"/>
      <c r="L80" s="178"/>
      <c r="M80" s="178"/>
      <c r="N80" s="179"/>
    </row>
    <row r="81" spans="1:14" ht="12.75" customHeight="1" x14ac:dyDescent="0.3">
      <c r="A81" s="20">
        <f>+A80+0.01</f>
        <v>14.01</v>
      </c>
      <c r="B81" s="21" t="s">
        <v>94</v>
      </c>
      <c r="C81" s="117" t="s">
        <v>19</v>
      </c>
      <c r="D81" s="23">
        <v>460</v>
      </c>
      <c r="E81" s="181">
        <v>23624</v>
      </c>
      <c r="F81" s="181">
        <f t="shared" si="5"/>
        <v>10867040</v>
      </c>
      <c r="H81" s="245"/>
      <c r="I81" s="250">
        <v>0</v>
      </c>
      <c r="J81" s="250"/>
      <c r="K81" s="251">
        <f t="shared" si="10"/>
        <v>0</v>
      </c>
      <c r="L81" s="50">
        <f t="shared" si="11"/>
        <v>0</v>
      </c>
      <c r="M81" s="50">
        <f t="shared" si="12"/>
        <v>0</v>
      </c>
      <c r="N81" s="50">
        <f t="shared" si="13"/>
        <v>0</v>
      </c>
    </row>
    <row r="82" spans="1:14" ht="12.75" customHeight="1" x14ac:dyDescent="0.3">
      <c r="A82" s="106">
        <v>14.02</v>
      </c>
      <c r="B82" s="107" t="s">
        <v>95</v>
      </c>
      <c r="C82" s="120" t="s">
        <v>27</v>
      </c>
      <c r="D82" s="121">
        <v>434</v>
      </c>
      <c r="E82" s="181">
        <v>16659</v>
      </c>
      <c r="F82" s="181">
        <f t="shared" si="5"/>
        <v>7230006</v>
      </c>
      <c r="H82" s="245"/>
      <c r="I82" s="250">
        <v>0</v>
      </c>
      <c r="J82" s="250"/>
      <c r="K82" s="251">
        <f t="shared" si="10"/>
        <v>0</v>
      </c>
      <c r="L82" s="50">
        <f t="shared" si="11"/>
        <v>0</v>
      </c>
      <c r="M82" s="50">
        <f t="shared" si="12"/>
        <v>0</v>
      </c>
      <c r="N82" s="50">
        <f t="shared" si="13"/>
        <v>0</v>
      </c>
    </row>
    <row r="83" spans="1:14" ht="12.75" customHeight="1" x14ac:dyDescent="0.3">
      <c r="A83" s="24">
        <v>14.03</v>
      </c>
      <c r="B83" s="25" t="s">
        <v>96</v>
      </c>
      <c r="C83" s="112" t="s">
        <v>19</v>
      </c>
      <c r="D83" s="27">
        <v>115</v>
      </c>
      <c r="E83" s="181">
        <v>35817</v>
      </c>
      <c r="F83" s="181">
        <f t="shared" si="5"/>
        <v>4118955</v>
      </c>
      <c r="H83" s="245"/>
      <c r="I83" s="250">
        <v>0</v>
      </c>
      <c r="J83" s="250"/>
      <c r="K83" s="251">
        <f t="shared" si="10"/>
        <v>0</v>
      </c>
      <c r="L83" s="50">
        <f t="shared" si="11"/>
        <v>0</v>
      </c>
      <c r="M83" s="50">
        <f t="shared" si="12"/>
        <v>0</v>
      </c>
      <c r="N83" s="50">
        <f t="shared" si="13"/>
        <v>0</v>
      </c>
    </row>
    <row r="84" spans="1:14" ht="12.75" customHeight="1" x14ac:dyDescent="0.3">
      <c r="A84" s="106">
        <v>14.04</v>
      </c>
      <c r="B84" s="25" t="s">
        <v>97</v>
      </c>
      <c r="C84" s="112" t="s">
        <v>19</v>
      </c>
      <c r="D84" s="27">
        <v>89</v>
      </c>
      <c r="E84" s="181">
        <v>41132</v>
      </c>
      <c r="F84" s="181">
        <f t="shared" si="5"/>
        <v>3660748</v>
      </c>
      <c r="H84" s="245"/>
      <c r="I84" s="250">
        <v>0</v>
      </c>
      <c r="J84" s="250"/>
      <c r="K84" s="251">
        <f t="shared" si="10"/>
        <v>0</v>
      </c>
      <c r="L84" s="50">
        <f t="shared" si="11"/>
        <v>0</v>
      </c>
      <c r="M84" s="50">
        <f t="shared" si="12"/>
        <v>0</v>
      </c>
      <c r="N84" s="50">
        <f t="shared" si="13"/>
        <v>0</v>
      </c>
    </row>
    <row r="85" spans="1:14" ht="12.75" customHeight="1" x14ac:dyDescent="0.3">
      <c r="A85" s="24">
        <v>14.05</v>
      </c>
      <c r="B85" s="25" t="s">
        <v>98</v>
      </c>
      <c r="C85" s="112" t="s">
        <v>27</v>
      </c>
      <c r="D85" s="27">
        <v>530</v>
      </c>
      <c r="E85" s="181">
        <v>9274</v>
      </c>
      <c r="F85" s="181">
        <f t="shared" si="5"/>
        <v>4915220</v>
      </c>
      <c r="H85" s="245"/>
      <c r="I85" s="250">
        <v>0</v>
      </c>
      <c r="J85" s="250"/>
      <c r="K85" s="251">
        <f t="shared" si="10"/>
        <v>0</v>
      </c>
      <c r="L85" s="50">
        <f t="shared" si="11"/>
        <v>0</v>
      </c>
      <c r="M85" s="50">
        <f t="shared" si="12"/>
        <v>0</v>
      </c>
      <c r="N85" s="50">
        <f t="shared" si="13"/>
        <v>0</v>
      </c>
    </row>
    <row r="86" spans="1:14" ht="12.75" customHeight="1" x14ac:dyDescent="0.3">
      <c r="A86" s="106">
        <v>14.06</v>
      </c>
      <c r="B86" s="25" t="s">
        <v>99</v>
      </c>
      <c r="C86" s="112" t="s">
        <v>27</v>
      </c>
      <c r="D86" s="27">
        <v>56</v>
      </c>
      <c r="E86" s="181">
        <v>9274</v>
      </c>
      <c r="F86" s="181">
        <f t="shared" si="5"/>
        <v>519344</v>
      </c>
      <c r="H86" s="245"/>
      <c r="I86" s="250">
        <v>0</v>
      </c>
      <c r="J86" s="250"/>
      <c r="K86" s="251">
        <f t="shared" si="10"/>
        <v>0</v>
      </c>
      <c r="L86" s="50">
        <f t="shared" si="11"/>
        <v>0</v>
      </c>
      <c r="M86" s="50">
        <f t="shared" si="12"/>
        <v>0</v>
      </c>
      <c r="N86" s="50">
        <f t="shared" si="13"/>
        <v>0</v>
      </c>
    </row>
    <row r="87" spans="1:14" ht="12.75" customHeight="1" x14ac:dyDescent="0.3">
      <c r="A87" s="24">
        <v>14.07</v>
      </c>
      <c r="B87" s="25" t="s">
        <v>100</v>
      </c>
      <c r="C87" s="112" t="s">
        <v>19</v>
      </c>
      <c r="D87" s="27">
        <v>469</v>
      </c>
      <c r="E87" s="181">
        <v>5336</v>
      </c>
      <c r="F87" s="181">
        <f t="shared" si="5"/>
        <v>2502584</v>
      </c>
      <c r="H87" s="245"/>
      <c r="I87" s="250">
        <v>0</v>
      </c>
      <c r="J87" s="250"/>
      <c r="K87" s="251">
        <f t="shared" si="10"/>
        <v>0</v>
      </c>
      <c r="L87" s="50">
        <f t="shared" si="11"/>
        <v>0</v>
      </c>
      <c r="M87" s="50">
        <f t="shared" si="12"/>
        <v>0</v>
      </c>
      <c r="N87" s="50">
        <f t="shared" si="13"/>
        <v>0</v>
      </c>
    </row>
    <row r="88" spans="1:14" ht="12.75" customHeight="1" x14ac:dyDescent="0.3">
      <c r="A88" s="13">
        <v>15</v>
      </c>
      <c r="B88" s="17" t="s">
        <v>101</v>
      </c>
      <c r="C88" s="18"/>
      <c r="D88" s="19"/>
      <c r="E88" s="19"/>
      <c r="F88" s="19"/>
      <c r="G88" s="176">
        <f>+SUM(F89:F100)</f>
        <v>81675029</v>
      </c>
      <c r="H88" s="245">
        <f>+G88/$G$195</f>
        <v>9.667454388049064E-2</v>
      </c>
      <c r="I88" s="246"/>
      <c r="J88" s="247"/>
      <c r="K88" s="247"/>
      <c r="L88" s="178"/>
      <c r="M88" s="178"/>
      <c r="N88" s="179"/>
    </row>
    <row r="89" spans="1:14" ht="12.75" customHeight="1" x14ac:dyDescent="0.3">
      <c r="A89" s="115">
        <v>15.01</v>
      </c>
      <c r="B89" s="116" t="s">
        <v>102</v>
      </c>
      <c r="C89" s="122" t="s">
        <v>19</v>
      </c>
      <c r="D89" s="123">
        <v>739</v>
      </c>
      <c r="E89" s="181">
        <v>22075</v>
      </c>
      <c r="F89" s="181">
        <f t="shared" si="5"/>
        <v>16313425</v>
      </c>
      <c r="G89" s="186"/>
      <c r="H89" s="253"/>
      <c r="I89" s="250">
        <v>0</v>
      </c>
      <c r="J89" s="250"/>
      <c r="K89" s="251">
        <f t="shared" si="10"/>
        <v>0</v>
      </c>
      <c r="L89" s="50">
        <f t="shared" si="11"/>
        <v>0</v>
      </c>
      <c r="M89" s="50">
        <f t="shared" si="12"/>
        <v>0</v>
      </c>
      <c r="N89" s="50">
        <f t="shared" si="13"/>
        <v>0</v>
      </c>
    </row>
    <row r="90" spans="1:14" ht="12.75" customHeight="1" x14ac:dyDescent="0.3">
      <c r="A90" s="100">
        <v>15.02</v>
      </c>
      <c r="B90" s="25" t="s">
        <v>103</v>
      </c>
      <c r="C90" s="110" t="s">
        <v>19</v>
      </c>
      <c r="D90" s="29">
        <v>1439</v>
      </c>
      <c r="E90" s="181">
        <v>8883</v>
      </c>
      <c r="F90" s="181">
        <f t="shared" si="5"/>
        <v>12782637</v>
      </c>
      <c r="G90" s="186"/>
      <c r="H90" s="253"/>
      <c r="I90" s="250">
        <v>0</v>
      </c>
      <c r="J90" s="250"/>
      <c r="K90" s="251">
        <f t="shared" si="10"/>
        <v>0</v>
      </c>
      <c r="L90" s="50">
        <f t="shared" si="11"/>
        <v>0</v>
      </c>
      <c r="M90" s="50">
        <f t="shared" si="12"/>
        <v>0</v>
      </c>
      <c r="N90" s="50">
        <f t="shared" si="13"/>
        <v>0</v>
      </c>
    </row>
    <row r="91" spans="1:14" ht="12.75" customHeight="1" x14ac:dyDescent="0.3">
      <c r="A91" s="100">
        <v>15.03</v>
      </c>
      <c r="B91" s="25" t="s">
        <v>104</v>
      </c>
      <c r="C91" s="110" t="s">
        <v>19</v>
      </c>
      <c r="D91" s="29">
        <v>462</v>
      </c>
      <c r="E91" s="181">
        <v>14295</v>
      </c>
      <c r="F91" s="181">
        <f t="shared" si="5"/>
        <v>6604290</v>
      </c>
      <c r="G91" s="186"/>
      <c r="H91" s="253"/>
      <c r="I91" s="250">
        <v>0</v>
      </c>
      <c r="J91" s="250"/>
      <c r="K91" s="251">
        <f t="shared" si="10"/>
        <v>0</v>
      </c>
      <c r="L91" s="50">
        <f t="shared" si="11"/>
        <v>0</v>
      </c>
      <c r="M91" s="50">
        <f t="shared" si="12"/>
        <v>0</v>
      </c>
      <c r="N91" s="50">
        <f t="shared" si="13"/>
        <v>0</v>
      </c>
    </row>
    <row r="92" spans="1:14" ht="12.75" customHeight="1" x14ac:dyDescent="0.3">
      <c r="A92" s="100">
        <v>15.04</v>
      </c>
      <c r="B92" s="25" t="s">
        <v>105</v>
      </c>
      <c r="C92" s="110" t="s">
        <v>19</v>
      </c>
      <c r="D92" s="29">
        <v>144</v>
      </c>
      <c r="E92" s="181">
        <v>7538</v>
      </c>
      <c r="F92" s="181">
        <f t="shared" si="5"/>
        <v>1085472</v>
      </c>
      <c r="G92" s="186"/>
      <c r="H92" s="253"/>
      <c r="I92" s="250">
        <v>0</v>
      </c>
      <c r="J92" s="250"/>
      <c r="K92" s="251">
        <f t="shared" si="10"/>
        <v>0</v>
      </c>
      <c r="L92" s="50">
        <f t="shared" si="11"/>
        <v>0</v>
      </c>
      <c r="M92" s="50">
        <f t="shared" si="12"/>
        <v>0</v>
      </c>
      <c r="N92" s="50">
        <f t="shared" si="13"/>
        <v>0</v>
      </c>
    </row>
    <row r="93" spans="1:14" ht="12.75" customHeight="1" x14ac:dyDescent="0.3">
      <c r="A93" s="100">
        <v>15.05</v>
      </c>
      <c r="B93" s="25" t="s">
        <v>106</v>
      </c>
      <c r="C93" s="110" t="s">
        <v>19</v>
      </c>
      <c r="D93" s="29">
        <v>460</v>
      </c>
      <c r="E93" s="181">
        <v>8883</v>
      </c>
      <c r="F93" s="181">
        <f t="shared" si="5"/>
        <v>4086180</v>
      </c>
      <c r="G93" s="186"/>
      <c r="H93" s="253"/>
      <c r="I93" s="250">
        <v>0</v>
      </c>
      <c r="J93" s="250"/>
      <c r="K93" s="251">
        <f t="shared" si="10"/>
        <v>0</v>
      </c>
      <c r="L93" s="50">
        <f t="shared" si="11"/>
        <v>0</v>
      </c>
      <c r="M93" s="50">
        <f t="shared" si="12"/>
        <v>0</v>
      </c>
      <c r="N93" s="50">
        <f t="shared" si="13"/>
        <v>0</v>
      </c>
    </row>
    <row r="94" spans="1:14" ht="12.75" customHeight="1" x14ac:dyDescent="0.3">
      <c r="A94" s="100">
        <v>15.06</v>
      </c>
      <c r="B94" s="25" t="s">
        <v>107</v>
      </c>
      <c r="C94" s="110" t="s">
        <v>19</v>
      </c>
      <c r="D94" s="29">
        <v>204</v>
      </c>
      <c r="E94" s="181">
        <v>15750</v>
      </c>
      <c r="F94" s="181">
        <f t="shared" si="5"/>
        <v>3213000</v>
      </c>
      <c r="G94" s="186"/>
      <c r="H94" s="253"/>
      <c r="I94" s="250">
        <v>0</v>
      </c>
      <c r="J94" s="250"/>
      <c r="K94" s="251">
        <f t="shared" si="10"/>
        <v>0</v>
      </c>
      <c r="L94" s="50">
        <f t="shared" si="11"/>
        <v>0</v>
      </c>
      <c r="M94" s="50">
        <f t="shared" si="12"/>
        <v>0</v>
      </c>
      <c r="N94" s="50">
        <f t="shared" si="13"/>
        <v>0</v>
      </c>
    </row>
    <row r="95" spans="1:14" ht="12.75" customHeight="1" x14ac:dyDescent="0.3">
      <c r="A95" s="100">
        <v>15.07</v>
      </c>
      <c r="B95" s="25" t="s">
        <v>108</v>
      </c>
      <c r="C95" s="28" t="s">
        <v>19</v>
      </c>
      <c r="D95" s="29">
        <v>262</v>
      </c>
      <c r="E95" s="181">
        <v>17154</v>
      </c>
      <c r="F95" s="181">
        <f t="shared" si="5"/>
        <v>4494348</v>
      </c>
      <c r="G95" s="186"/>
      <c r="H95" s="245"/>
      <c r="I95" s="250">
        <v>0</v>
      </c>
      <c r="J95" s="250"/>
      <c r="K95" s="251">
        <f t="shared" si="10"/>
        <v>0</v>
      </c>
      <c r="L95" s="50">
        <f t="shared" si="11"/>
        <v>0</v>
      </c>
      <c r="M95" s="50">
        <f t="shared" si="12"/>
        <v>0</v>
      </c>
      <c r="N95" s="50">
        <f t="shared" si="13"/>
        <v>0</v>
      </c>
    </row>
    <row r="96" spans="1:14" ht="12.75" customHeight="1" x14ac:dyDescent="0.3">
      <c r="A96" s="100">
        <v>15.08</v>
      </c>
      <c r="B96" s="25" t="s">
        <v>109</v>
      </c>
      <c r="C96" s="110" t="s">
        <v>19</v>
      </c>
      <c r="D96" s="31">
        <v>756</v>
      </c>
      <c r="E96" s="181">
        <v>26534</v>
      </c>
      <c r="F96" s="181">
        <f t="shared" si="5"/>
        <v>20059704</v>
      </c>
      <c r="G96" s="186"/>
      <c r="H96" s="252"/>
      <c r="I96" s="250">
        <v>0</v>
      </c>
      <c r="J96" s="250"/>
      <c r="K96" s="251">
        <f t="shared" si="10"/>
        <v>0</v>
      </c>
      <c r="L96" s="50">
        <f t="shared" si="11"/>
        <v>0</v>
      </c>
      <c r="M96" s="50">
        <f t="shared" si="12"/>
        <v>0</v>
      </c>
      <c r="N96" s="50">
        <f t="shared" si="13"/>
        <v>0</v>
      </c>
    </row>
    <row r="97" spans="1:14" ht="12.75" customHeight="1" x14ac:dyDescent="0.3">
      <c r="A97" s="100">
        <v>15.09</v>
      </c>
      <c r="B97" s="25" t="s">
        <v>110</v>
      </c>
      <c r="C97" s="110" t="s">
        <v>19</v>
      </c>
      <c r="D97" s="31">
        <v>56</v>
      </c>
      <c r="E97" s="181">
        <v>31737</v>
      </c>
      <c r="F97" s="181">
        <f t="shared" si="5"/>
        <v>1777272</v>
      </c>
      <c r="G97" s="186"/>
      <c r="H97" s="252"/>
      <c r="I97" s="250">
        <v>0</v>
      </c>
      <c r="J97" s="250"/>
      <c r="K97" s="251">
        <f t="shared" si="10"/>
        <v>0</v>
      </c>
      <c r="L97" s="50">
        <f t="shared" si="11"/>
        <v>0</v>
      </c>
      <c r="M97" s="50">
        <f t="shared" si="12"/>
        <v>0</v>
      </c>
      <c r="N97" s="50">
        <f t="shared" si="13"/>
        <v>0</v>
      </c>
    </row>
    <row r="98" spans="1:14" ht="12.75" customHeight="1" x14ac:dyDescent="0.3">
      <c r="A98" s="100">
        <v>15.1</v>
      </c>
      <c r="B98" s="25" t="s">
        <v>111</v>
      </c>
      <c r="C98" s="110" t="s">
        <v>29</v>
      </c>
      <c r="D98" s="31">
        <v>1</v>
      </c>
      <c r="E98" s="181">
        <v>885031</v>
      </c>
      <c r="F98" s="181">
        <f t="shared" si="5"/>
        <v>885031</v>
      </c>
      <c r="H98" s="245"/>
      <c r="I98" s="250">
        <v>0</v>
      </c>
      <c r="J98" s="250"/>
      <c r="K98" s="251">
        <f t="shared" si="10"/>
        <v>0</v>
      </c>
      <c r="L98" s="50">
        <f t="shared" si="11"/>
        <v>0</v>
      </c>
      <c r="M98" s="50">
        <f t="shared" si="12"/>
        <v>0</v>
      </c>
      <c r="N98" s="50">
        <f t="shared" si="13"/>
        <v>0</v>
      </c>
    </row>
    <row r="99" spans="1:14" ht="12.75" customHeight="1" x14ac:dyDescent="0.3">
      <c r="A99" s="100">
        <v>15.11</v>
      </c>
      <c r="B99" s="25" t="s">
        <v>112</v>
      </c>
      <c r="C99" s="110" t="s">
        <v>52</v>
      </c>
      <c r="D99" s="31">
        <v>73</v>
      </c>
      <c r="E99" s="181">
        <v>83386</v>
      </c>
      <c r="F99" s="181">
        <f t="shared" si="5"/>
        <v>6087178</v>
      </c>
      <c r="H99" s="245"/>
      <c r="I99" s="250">
        <v>0</v>
      </c>
      <c r="J99" s="250"/>
      <c r="K99" s="251">
        <f t="shared" si="10"/>
        <v>0</v>
      </c>
      <c r="L99" s="50">
        <f t="shared" si="11"/>
        <v>0</v>
      </c>
      <c r="M99" s="50">
        <f t="shared" si="12"/>
        <v>0</v>
      </c>
      <c r="N99" s="50">
        <f t="shared" si="13"/>
        <v>0</v>
      </c>
    </row>
    <row r="100" spans="1:14" ht="12.75" customHeight="1" x14ac:dyDescent="0.3">
      <c r="A100" s="100">
        <v>15.12</v>
      </c>
      <c r="B100" s="124" t="s">
        <v>113</v>
      </c>
      <c r="C100" s="111" t="s">
        <v>29</v>
      </c>
      <c r="D100" s="35">
        <v>1</v>
      </c>
      <c r="E100" s="181">
        <v>4286492</v>
      </c>
      <c r="F100" s="181">
        <f t="shared" si="5"/>
        <v>4286492</v>
      </c>
      <c r="H100" s="245"/>
      <c r="I100" s="250">
        <v>0</v>
      </c>
      <c r="J100" s="250"/>
      <c r="K100" s="251">
        <f t="shared" si="10"/>
        <v>0</v>
      </c>
      <c r="L100" s="50">
        <f t="shared" si="11"/>
        <v>0</v>
      </c>
      <c r="M100" s="50">
        <f t="shared" si="12"/>
        <v>0</v>
      </c>
      <c r="N100" s="50">
        <f t="shared" si="13"/>
        <v>0</v>
      </c>
    </row>
    <row r="101" spans="1:14" ht="12.75" customHeight="1" x14ac:dyDescent="0.3">
      <c r="A101" s="13">
        <v>16</v>
      </c>
      <c r="B101" s="125" t="s">
        <v>114</v>
      </c>
      <c r="C101" s="18"/>
      <c r="D101" s="19"/>
      <c r="E101" s="19"/>
      <c r="F101" s="19"/>
      <c r="G101" s="176">
        <f>+SUM(F102)</f>
        <v>0</v>
      </c>
      <c r="H101" s="245">
        <f>+G101/$G$195</f>
        <v>0</v>
      </c>
      <c r="I101" s="246"/>
      <c r="J101" s="247"/>
      <c r="K101" s="247"/>
      <c r="L101" s="178"/>
      <c r="M101" s="178"/>
      <c r="N101" s="179"/>
    </row>
    <row r="102" spans="1:14" ht="12.75" customHeight="1" x14ac:dyDescent="0.3">
      <c r="A102" s="20"/>
      <c r="B102" s="21"/>
      <c r="C102" s="93"/>
      <c r="D102" s="94"/>
      <c r="E102" s="184">
        <v>0</v>
      </c>
      <c r="F102" s="183">
        <f t="shared" si="5"/>
        <v>0</v>
      </c>
      <c r="G102" s="185"/>
      <c r="H102" s="252"/>
      <c r="I102" s="250">
        <v>0</v>
      </c>
      <c r="J102" s="250"/>
      <c r="K102" s="251">
        <f t="shared" si="10"/>
        <v>0</v>
      </c>
      <c r="L102" s="50">
        <f t="shared" si="11"/>
        <v>0</v>
      </c>
      <c r="M102" s="50">
        <f t="shared" si="12"/>
        <v>0</v>
      </c>
      <c r="N102" s="50">
        <f t="shared" si="13"/>
        <v>0</v>
      </c>
    </row>
    <row r="103" spans="1:14" ht="12.75" customHeight="1" x14ac:dyDescent="0.3">
      <c r="A103" s="13">
        <v>17</v>
      </c>
      <c r="B103" s="17" t="s">
        <v>115</v>
      </c>
      <c r="C103" s="18"/>
      <c r="D103" s="19"/>
      <c r="E103" s="19"/>
      <c r="F103" s="19"/>
      <c r="G103" s="176">
        <f>+SUM(F104:F107)</f>
        <v>9415299</v>
      </c>
      <c r="H103" s="245">
        <f>+G103/$G$195</f>
        <v>1.1144406649962005E-2</v>
      </c>
      <c r="I103" s="246"/>
      <c r="J103" s="247"/>
      <c r="K103" s="247"/>
      <c r="L103" s="178"/>
      <c r="M103" s="178"/>
      <c r="N103" s="179"/>
    </row>
    <row r="104" spans="1:14" ht="12.75" customHeight="1" x14ac:dyDescent="0.3">
      <c r="A104" s="20">
        <f>+A103+0.01</f>
        <v>17.010000000000002</v>
      </c>
      <c r="B104" s="126" t="s">
        <v>116</v>
      </c>
      <c r="C104" s="127" t="s">
        <v>33</v>
      </c>
      <c r="D104" s="94">
        <v>57</v>
      </c>
      <c r="E104" s="180">
        <v>79321</v>
      </c>
      <c r="F104" s="180">
        <f t="shared" si="5"/>
        <v>4521297</v>
      </c>
      <c r="G104" s="182"/>
      <c r="H104" s="245"/>
      <c r="I104" s="250">
        <v>0</v>
      </c>
      <c r="J104" s="250"/>
      <c r="K104" s="251">
        <f t="shared" si="10"/>
        <v>0</v>
      </c>
      <c r="L104" s="50">
        <f t="shared" si="11"/>
        <v>0</v>
      </c>
      <c r="M104" s="50">
        <f t="shared" si="12"/>
        <v>0</v>
      </c>
      <c r="N104" s="50">
        <f t="shared" si="13"/>
        <v>0</v>
      </c>
    </row>
    <row r="105" spans="1:14" ht="12.75" customHeight="1" x14ac:dyDescent="0.3">
      <c r="A105" s="24">
        <v>17.02</v>
      </c>
      <c r="B105" s="128" t="s">
        <v>117</v>
      </c>
      <c r="C105" s="129" t="s">
        <v>33</v>
      </c>
      <c r="D105" s="31">
        <v>11</v>
      </c>
      <c r="E105" s="181">
        <v>79321</v>
      </c>
      <c r="F105" s="181">
        <f t="shared" si="5"/>
        <v>872531</v>
      </c>
      <c r="G105" s="182"/>
      <c r="H105" s="245"/>
      <c r="I105" s="250">
        <v>0</v>
      </c>
      <c r="J105" s="250"/>
      <c r="K105" s="251">
        <f t="shared" si="10"/>
        <v>0</v>
      </c>
      <c r="L105" s="50">
        <f t="shared" si="11"/>
        <v>0</v>
      </c>
      <c r="M105" s="50">
        <f t="shared" si="12"/>
        <v>0</v>
      </c>
      <c r="N105" s="50">
        <f t="shared" si="13"/>
        <v>0</v>
      </c>
    </row>
    <row r="106" spans="1:14" ht="12.75" customHeight="1" x14ac:dyDescent="0.3">
      <c r="A106" s="24">
        <v>17.03</v>
      </c>
      <c r="B106" s="128" t="s">
        <v>118</v>
      </c>
      <c r="C106" s="129" t="s">
        <v>33</v>
      </c>
      <c r="D106" s="31">
        <v>65</v>
      </c>
      <c r="E106" s="181">
        <v>51161</v>
      </c>
      <c r="F106" s="181">
        <f t="shared" si="5"/>
        <v>3325465</v>
      </c>
      <c r="G106" s="182"/>
      <c r="H106" s="245"/>
      <c r="I106" s="250">
        <v>0</v>
      </c>
      <c r="J106" s="250"/>
      <c r="K106" s="251">
        <f t="shared" si="10"/>
        <v>0</v>
      </c>
      <c r="L106" s="50">
        <f t="shared" si="11"/>
        <v>0</v>
      </c>
      <c r="M106" s="50">
        <f t="shared" si="12"/>
        <v>0</v>
      </c>
      <c r="N106" s="50">
        <f t="shared" si="13"/>
        <v>0</v>
      </c>
    </row>
    <row r="107" spans="1:14" ht="12.75" customHeight="1" x14ac:dyDescent="0.3">
      <c r="A107" s="130">
        <v>17.04</v>
      </c>
      <c r="B107" s="38" t="s">
        <v>119</v>
      </c>
      <c r="C107" s="34" t="s">
        <v>33</v>
      </c>
      <c r="D107" s="35">
        <v>6</v>
      </c>
      <c r="E107" s="189">
        <v>116001</v>
      </c>
      <c r="F107" s="189">
        <f t="shared" si="5"/>
        <v>696006</v>
      </c>
      <c r="G107" s="182"/>
      <c r="H107" s="245"/>
      <c r="I107" s="250">
        <v>0</v>
      </c>
      <c r="J107" s="250"/>
      <c r="K107" s="251">
        <f t="shared" si="10"/>
        <v>0</v>
      </c>
      <c r="L107" s="50">
        <f t="shared" si="11"/>
        <v>0</v>
      </c>
      <c r="M107" s="50">
        <f t="shared" si="12"/>
        <v>0</v>
      </c>
      <c r="N107" s="50">
        <f t="shared" si="13"/>
        <v>0</v>
      </c>
    </row>
    <row r="108" spans="1:14" ht="12.75" customHeight="1" x14ac:dyDescent="0.3">
      <c r="A108" s="13">
        <v>18</v>
      </c>
      <c r="B108" s="40" t="s">
        <v>120</v>
      </c>
      <c r="C108" s="18"/>
      <c r="D108" s="19"/>
      <c r="E108" s="19"/>
      <c r="F108" s="19"/>
      <c r="G108" s="176">
        <f>+SUM(F109:F141)</f>
        <v>87609553</v>
      </c>
      <c r="H108" s="245">
        <f>+G108/$G$195</f>
        <v>0.10369893564223492</v>
      </c>
      <c r="I108" s="246"/>
      <c r="J108" s="247"/>
      <c r="K108" s="247"/>
      <c r="L108" s="178"/>
      <c r="M108" s="178"/>
      <c r="N108" s="179"/>
    </row>
    <row r="109" spans="1:14" ht="12.75" customHeight="1" x14ac:dyDescent="0.3">
      <c r="A109" s="115">
        <f>+A108+0.01</f>
        <v>18.010000000000002</v>
      </c>
      <c r="B109" s="131" t="s">
        <v>121</v>
      </c>
      <c r="C109" s="132" t="s">
        <v>33</v>
      </c>
      <c r="D109" s="94">
        <v>260</v>
      </c>
      <c r="E109" s="180">
        <v>76531</v>
      </c>
      <c r="F109" s="180">
        <f t="shared" si="5"/>
        <v>19898060</v>
      </c>
      <c r="H109" s="245"/>
      <c r="I109" s="250">
        <v>0</v>
      </c>
      <c r="J109" s="250"/>
      <c r="K109" s="251">
        <f t="shared" si="10"/>
        <v>0</v>
      </c>
      <c r="L109" s="50">
        <f t="shared" si="11"/>
        <v>0</v>
      </c>
      <c r="M109" s="50">
        <f t="shared" si="12"/>
        <v>0</v>
      </c>
      <c r="N109" s="50">
        <f t="shared" si="13"/>
        <v>0</v>
      </c>
    </row>
    <row r="110" spans="1:14" ht="12.75" customHeight="1" x14ac:dyDescent="0.3">
      <c r="A110" s="100">
        <v>18.02</v>
      </c>
      <c r="B110" s="98" t="s">
        <v>122</v>
      </c>
      <c r="C110" s="133" t="s">
        <v>33</v>
      </c>
      <c r="D110" s="31">
        <v>62</v>
      </c>
      <c r="E110" s="181">
        <v>73235</v>
      </c>
      <c r="F110" s="181">
        <f t="shared" si="5"/>
        <v>4540570</v>
      </c>
      <c r="H110" s="245"/>
      <c r="I110" s="250">
        <v>0</v>
      </c>
      <c r="J110" s="250"/>
      <c r="K110" s="251">
        <f t="shared" si="10"/>
        <v>0</v>
      </c>
      <c r="L110" s="50">
        <f t="shared" si="11"/>
        <v>0</v>
      </c>
      <c r="M110" s="50">
        <f t="shared" si="12"/>
        <v>0</v>
      </c>
      <c r="N110" s="50">
        <f t="shared" si="13"/>
        <v>0</v>
      </c>
    </row>
    <row r="111" spans="1:14" ht="12.75" customHeight="1" x14ac:dyDescent="0.3">
      <c r="A111" s="100">
        <v>18.03</v>
      </c>
      <c r="B111" s="98" t="s">
        <v>123</v>
      </c>
      <c r="C111" s="133" t="s">
        <v>33</v>
      </c>
      <c r="D111" s="31">
        <v>12</v>
      </c>
      <c r="E111" s="181">
        <v>73235</v>
      </c>
      <c r="F111" s="181">
        <f t="shared" si="5"/>
        <v>878820</v>
      </c>
      <c r="H111" s="245"/>
      <c r="I111" s="250">
        <v>0</v>
      </c>
      <c r="J111" s="250"/>
      <c r="K111" s="251">
        <f t="shared" si="10"/>
        <v>0</v>
      </c>
      <c r="L111" s="50">
        <f t="shared" si="11"/>
        <v>0</v>
      </c>
      <c r="M111" s="50">
        <f t="shared" si="12"/>
        <v>0</v>
      </c>
      <c r="N111" s="50">
        <f t="shared" si="13"/>
        <v>0</v>
      </c>
    </row>
    <row r="112" spans="1:14" ht="12.75" customHeight="1" x14ac:dyDescent="0.3">
      <c r="A112" s="100">
        <v>18.04</v>
      </c>
      <c r="B112" s="98" t="s">
        <v>124</v>
      </c>
      <c r="C112" s="133" t="s">
        <v>33</v>
      </c>
      <c r="D112" s="31">
        <v>16</v>
      </c>
      <c r="E112" s="181">
        <v>73235</v>
      </c>
      <c r="F112" s="181">
        <f t="shared" si="5"/>
        <v>1171760</v>
      </c>
      <c r="H112" s="245"/>
      <c r="I112" s="250">
        <v>0</v>
      </c>
      <c r="J112" s="250"/>
      <c r="K112" s="251">
        <f t="shared" si="10"/>
        <v>0</v>
      </c>
      <c r="L112" s="50">
        <f t="shared" si="11"/>
        <v>0</v>
      </c>
      <c r="M112" s="50">
        <f t="shared" si="12"/>
        <v>0</v>
      </c>
      <c r="N112" s="50">
        <f t="shared" si="13"/>
        <v>0</v>
      </c>
    </row>
    <row r="113" spans="1:14" ht="12.75" customHeight="1" x14ac:dyDescent="0.3">
      <c r="A113" s="100">
        <v>18.05</v>
      </c>
      <c r="B113" s="98" t="s">
        <v>125</v>
      </c>
      <c r="C113" s="133" t="s">
        <v>33</v>
      </c>
      <c r="D113" s="31">
        <v>1</v>
      </c>
      <c r="E113" s="181">
        <v>73235</v>
      </c>
      <c r="F113" s="181">
        <f t="shared" si="5"/>
        <v>73235</v>
      </c>
      <c r="H113" s="245"/>
      <c r="I113" s="250">
        <v>0</v>
      </c>
      <c r="J113" s="250"/>
      <c r="K113" s="251">
        <f t="shared" si="10"/>
        <v>0</v>
      </c>
      <c r="L113" s="50">
        <f t="shared" si="11"/>
        <v>0</v>
      </c>
      <c r="M113" s="50">
        <f t="shared" si="12"/>
        <v>0</v>
      </c>
      <c r="N113" s="50">
        <f t="shared" si="13"/>
        <v>0</v>
      </c>
    </row>
    <row r="114" spans="1:14" ht="12.75" customHeight="1" x14ac:dyDescent="0.3">
      <c r="A114" s="100">
        <v>18.059999999999999</v>
      </c>
      <c r="B114" s="98" t="s">
        <v>126</v>
      </c>
      <c r="C114" s="133" t="s">
        <v>33</v>
      </c>
      <c r="D114" s="31">
        <v>24</v>
      </c>
      <c r="E114" s="181">
        <v>73235</v>
      </c>
      <c r="F114" s="181">
        <f t="shared" si="5"/>
        <v>1757640</v>
      </c>
      <c r="H114" s="245"/>
      <c r="I114" s="250">
        <v>0</v>
      </c>
      <c r="J114" s="250"/>
      <c r="K114" s="251">
        <f t="shared" si="10"/>
        <v>0</v>
      </c>
      <c r="L114" s="50">
        <f t="shared" si="11"/>
        <v>0</v>
      </c>
      <c r="M114" s="50">
        <f t="shared" si="12"/>
        <v>0</v>
      </c>
      <c r="N114" s="50">
        <f t="shared" si="13"/>
        <v>0</v>
      </c>
    </row>
    <row r="115" spans="1:14" ht="12.75" customHeight="1" x14ac:dyDescent="0.3">
      <c r="A115" s="100">
        <v>18.07</v>
      </c>
      <c r="B115" s="98" t="s">
        <v>127</v>
      </c>
      <c r="C115" s="133" t="s">
        <v>33</v>
      </c>
      <c r="D115" s="31">
        <v>226</v>
      </c>
      <c r="E115" s="181">
        <v>69154</v>
      </c>
      <c r="F115" s="181">
        <f t="shared" si="5"/>
        <v>15628804</v>
      </c>
      <c r="H115" s="245"/>
      <c r="I115" s="250">
        <v>0</v>
      </c>
      <c r="J115" s="250"/>
      <c r="K115" s="251">
        <f t="shared" si="10"/>
        <v>0</v>
      </c>
      <c r="L115" s="50">
        <f t="shared" si="11"/>
        <v>0</v>
      </c>
      <c r="M115" s="50">
        <f t="shared" si="12"/>
        <v>0</v>
      </c>
      <c r="N115" s="50">
        <f t="shared" si="13"/>
        <v>0</v>
      </c>
    </row>
    <row r="116" spans="1:14" ht="12.75" customHeight="1" x14ac:dyDescent="0.3">
      <c r="A116" s="100">
        <v>18.079999999999998</v>
      </c>
      <c r="B116" s="98" t="s">
        <v>128</v>
      </c>
      <c r="C116" s="133" t="s">
        <v>33</v>
      </c>
      <c r="D116" s="31">
        <v>32</v>
      </c>
      <c r="E116" s="181">
        <v>95308</v>
      </c>
      <c r="F116" s="181">
        <f t="shared" si="5"/>
        <v>3049856</v>
      </c>
      <c r="H116" s="245"/>
      <c r="I116" s="250">
        <v>0</v>
      </c>
      <c r="J116" s="250"/>
      <c r="K116" s="251">
        <f t="shared" si="10"/>
        <v>0</v>
      </c>
      <c r="L116" s="50">
        <f t="shared" si="11"/>
        <v>0</v>
      </c>
      <c r="M116" s="50">
        <f t="shared" si="12"/>
        <v>0</v>
      </c>
      <c r="N116" s="50">
        <f t="shared" si="13"/>
        <v>0</v>
      </c>
    </row>
    <row r="117" spans="1:14" ht="12.75" customHeight="1" x14ac:dyDescent="0.3">
      <c r="A117" s="100">
        <v>18.09</v>
      </c>
      <c r="B117" s="98" t="s">
        <v>129</v>
      </c>
      <c r="C117" s="133" t="s">
        <v>33</v>
      </c>
      <c r="D117" s="31">
        <v>8</v>
      </c>
      <c r="E117" s="181">
        <v>69154</v>
      </c>
      <c r="F117" s="181">
        <f t="shared" si="5"/>
        <v>553232</v>
      </c>
      <c r="H117" s="245"/>
      <c r="I117" s="250">
        <v>0</v>
      </c>
      <c r="J117" s="250"/>
      <c r="K117" s="251">
        <f t="shared" si="10"/>
        <v>0</v>
      </c>
      <c r="L117" s="50">
        <f t="shared" si="11"/>
        <v>0</v>
      </c>
      <c r="M117" s="50">
        <f t="shared" si="12"/>
        <v>0</v>
      </c>
      <c r="N117" s="50">
        <f t="shared" si="13"/>
        <v>0</v>
      </c>
    </row>
    <row r="118" spans="1:14" ht="12.75" customHeight="1" x14ac:dyDescent="0.3">
      <c r="A118" s="100">
        <v>18.100000000000001</v>
      </c>
      <c r="B118" s="98" t="s">
        <v>130</v>
      </c>
      <c r="C118" s="133" t="s">
        <v>33</v>
      </c>
      <c r="D118" s="31">
        <v>8</v>
      </c>
      <c r="E118" s="181">
        <v>69154</v>
      </c>
      <c r="F118" s="181">
        <f t="shared" si="5"/>
        <v>553232</v>
      </c>
      <c r="H118" s="245"/>
      <c r="I118" s="250">
        <v>0</v>
      </c>
      <c r="J118" s="250"/>
      <c r="K118" s="251">
        <f t="shared" si="10"/>
        <v>0</v>
      </c>
      <c r="L118" s="50">
        <f t="shared" si="11"/>
        <v>0</v>
      </c>
      <c r="M118" s="50">
        <f t="shared" si="12"/>
        <v>0</v>
      </c>
      <c r="N118" s="50">
        <f t="shared" si="13"/>
        <v>0</v>
      </c>
    </row>
    <row r="119" spans="1:14" ht="12.75" customHeight="1" x14ac:dyDescent="0.3">
      <c r="A119" s="100">
        <v>18.11</v>
      </c>
      <c r="B119" s="98" t="s">
        <v>131</v>
      </c>
      <c r="C119" s="133" t="s">
        <v>33</v>
      </c>
      <c r="D119" s="31">
        <v>26</v>
      </c>
      <c r="E119" s="181">
        <v>50616</v>
      </c>
      <c r="F119" s="181">
        <f t="shared" si="5"/>
        <v>1316016</v>
      </c>
      <c r="H119" s="245"/>
      <c r="I119" s="250">
        <v>0</v>
      </c>
      <c r="J119" s="250"/>
      <c r="K119" s="251">
        <f t="shared" si="10"/>
        <v>0</v>
      </c>
      <c r="L119" s="50">
        <f t="shared" si="11"/>
        <v>0</v>
      </c>
      <c r="M119" s="50">
        <f t="shared" si="12"/>
        <v>0</v>
      </c>
      <c r="N119" s="50">
        <f t="shared" si="13"/>
        <v>0</v>
      </c>
    </row>
    <row r="120" spans="1:14" ht="12.75" customHeight="1" x14ac:dyDescent="0.3">
      <c r="A120" s="100">
        <v>18.12</v>
      </c>
      <c r="B120" s="98" t="s">
        <v>132</v>
      </c>
      <c r="C120" s="133" t="s">
        <v>33</v>
      </c>
      <c r="D120" s="31">
        <v>27</v>
      </c>
      <c r="E120" s="181">
        <v>50616</v>
      </c>
      <c r="F120" s="181">
        <f t="shared" si="5"/>
        <v>1366632</v>
      </c>
      <c r="H120" s="245"/>
      <c r="I120" s="250">
        <v>0</v>
      </c>
      <c r="J120" s="250"/>
      <c r="K120" s="251">
        <f t="shared" si="10"/>
        <v>0</v>
      </c>
      <c r="L120" s="50">
        <f t="shared" si="11"/>
        <v>0</v>
      </c>
      <c r="M120" s="50">
        <f t="shared" si="12"/>
        <v>0</v>
      </c>
      <c r="N120" s="50">
        <f t="shared" si="13"/>
        <v>0</v>
      </c>
    </row>
    <row r="121" spans="1:14" ht="12.75" customHeight="1" x14ac:dyDescent="0.3">
      <c r="A121" s="100">
        <v>18.13</v>
      </c>
      <c r="B121" s="98" t="s">
        <v>133</v>
      </c>
      <c r="C121" s="133" t="s">
        <v>33</v>
      </c>
      <c r="D121" s="31">
        <v>9</v>
      </c>
      <c r="E121" s="181">
        <v>50616</v>
      </c>
      <c r="F121" s="181">
        <f t="shared" si="5"/>
        <v>455544</v>
      </c>
      <c r="H121" s="245"/>
      <c r="I121" s="250">
        <v>0</v>
      </c>
      <c r="J121" s="250"/>
      <c r="K121" s="251">
        <f t="shared" si="10"/>
        <v>0</v>
      </c>
      <c r="L121" s="50">
        <f t="shared" si="11"/>
        <v>0</v>
      </c>
      <c r="M121" s="50">
        <f t="shared" si="12"/>
        <v>0</v>
      </c>
      <c r="N121" s="50">
        <f t="shared" si="13"/>
        <v>0</v>
      </c>
    </row>
    <row r="122" spans="1:14" ht="12.75" customHeight="1" x14ac:dyDescent="0.3">
      <c r="A122" s="100">
        <v>18.14</v>
      </c>
      <c r="B122" s="98" t="s">
        <v>134</v>
      </c>
      <c r="C122" s="133" t="s">
        <v>33</v>
      </c>
      <c r="D122" s="31">
        <v>29</v>
      </c>
      <c r="E122" s="181">
        <v>50616</v>
      </c>
      <c r="F122" s="181">
        <f t="shared" si="5"/>
        <v>1467864</v>
      </c>
      <c r="H122" s="245"/>
      <c r="I122" s="250">
        <v>0</v>
      </c>
      <c r="J122" s="250"/>
      <c r="K122" s="251">
        <f t="shared" si="10"/>
        <v>0</v>
      </c>
      <c r="L122" s="50">
        <f t="shared" si="11"/>
        <v>0</v>
      </c>
      <c r="M122" s="50">
        <f t="shared" si="12"/>
        <v>0</v>
      </c>
      <c r="N122" s="50">
        <f t="shared" si="13"/>
        <v>0</v>
      </c>
    </row>
    <row r="123" spans="1:14" ht="12.75" customHeight="1" x14ac:dyDescent="0.3">
      <c r="A123" s="100">
        <v>18.149999999999999</v>
      </c>
      <c r="B123" s="98" t="s">
        <v>135</v>
      </c>
      <c r="C123" s="133" t="s">
        <v>33</v>
      </c>
      <c r="D123" s="31">
        <v>3</v>
      </c>
      <c r="E123" s="181">
        <v>50616</v>
      </c>
      <c r="F123" s="181">
        <f t="shared" si="5"/>
        <v>151848</v>
      </c>
      <c r="H123" s="245"/>
      <c r="I123" s="250">
        <v>0</v>
      </c>
      <c r="J123" s="250"/>
      <c r="K123" s="251">
        <f t="shared" si="10"/>
        <v>0</v>
      </c>
      <c r="L123" s="50">
        <f t="shared" si="11"/>
        <v>0</v>
      </c>
      <c r="M123" s="50">
        <f t="shared" si="12"/>
        <v>0</v>
      </c>
      <c r="N123" s="50">
        <f t="shared" si="13"/>
        <v>0</v>
      </c>
    </row>
    <row r="124" spans="1:14" ht="12.75" customHeight="1" x14ac:dyDescent="0.3">
      <c r="A124" s="100">
        <v>18.16</v>
      </c>
      <c r="B124" s="98" t="s">
        <v>136</v>
      </c>
      <c r="C124" s="133" t="s">
        <v>33</v>
      </c>
      <c r="D124" s="31">
        <v>1</v>
      </c>
      <c r="E124" s="181">
        <v>2245770</v>
      </c>
      <c r="F124" s="181">
        <f t="shared" si="5"/>
        <v>2245770</v>
      </c>
      <c r="H124" s="245"/>
      <c r="I124" s="250">
        <v>0</v>
      </c>
      <c r="J124" s="250"/>
      <c r="K124" s="251">
        <f t="shared" si="10"/>
        <v>0</v>
      </c>
      <c r="L124" s="50">
        <f t="shared" si="11"/>
        <v>0</v>
      </c>
      <c r="M124" s="50">
        <f t="shared" si="12"/>
        <v>0</v>
      </c>
      <c r="N124" s="50">
        <f t="shared" si="13"/>
        <v>0</v>
      </c>
    </row>
    <row r="125" spans="1:14" ht="12.75" customHeight="1" x14ac:dyDescent="0.3">
      <c r="A125" s="100">
        <v>18.170000000000002</v>
      </c>
      <c r="B125" s="98" t="s">
        <v>137</v>
      </c>
      <c r="C125" s="133" t="s">
        <v>33</v>
      </c>
      <c r="D125" s="31">
        <v>1</v>
      </c>
      <c r="E125" s="181">
        <v>1116033</v>
      </c>
      <c r="F125" s="181">
        <f t="shared" si="5"/>
        <v>1116033</v>
      </c>
      <c r="H125" s="245"/>
      <c r="I125" s="250">
        <v>0</v>
      </c>
      <c r="J125" s="250"/>
      <c r="K125" s="251">
        <f t="shared" si="10"/>
        <v>0</v>
      </c>
      <c r="L125" s="50">
        <f t="shared" si="11"/>
        <v>0</v>
      </c>
      <c r="M125" s="50">
        <f t="shared" si="12"/>
        <v>0</v>
      </c>
      <c r="N125" s="50">
        <f t="shared" si="13"/>
        <v>0</v>
      </c>
    </row>
    <row r="126" spans="1:14" ht="12.75" customHeight="1" x14ac:dyDescent="0.3">
      <c r="A126" s="100">
        <v>18.18</v>
      </c>
      <c r="B126" s="98" t="s">
        <v>138</v>
      </c>
      <c r="C126" s="133" t="s">
        <v>33</v>
      </c>
      <c r="D126" s="31">
        <v>2</v>
      </c>
      <c r="E126" s="181">
        <v>530996</v>
      </c>
      <c r="F126" s="181">
        <f t="shared" si="5"/>
        <v>1061992</v>
      </c>
      <c r="H126" s="245"/>
      <c r="I126" s="250">
        <v>0</v>
      </c>
      <c r="J126" s="250"/>
      <c r="K126" s="251">
        <f t="shared" si="10"/>
        <v>0</v>
      </c>
      <c r="L126" s="50">
        <f t="shared" si="11"/>
        <v>0</v>
      </c>
      <c r="M126" s="50">
        <f t="shared" si="12"/>
        <v>0</v>
      </c>
      <c r="N126" s="50">
        <f t="shared" si="13"/>
        <v>0</v>
      </c>
    </row>
    <row r="127" spans="1:14" ht="12.75" customHeight="1" x14ac:dyDescent="0.3">
      <c r="A127" s="100">
        <v>18.190000000000001</v>
      </c>
      <c r="B127" s="98" t="s">
        <v>139</v>
      </c>
      <c r="C127" s="133" t="s">
        <v>33</v>
      </c>
      <c r="D127" s="31">
        <v>9</v>
      </c>
      <c r="E127" s="181">
        <v>595409</v>
      </c>
      <c r="F127" s="181">
        <f t="shared" si="5"/>
        <v>5358681</v>
      </c>
      <c r="H127" s="245"/>
      <c r="I127" s="250">
        <v>0</v>
      </c>
      <c r="J127" s="250"/>
      <c r="K127" s="251">
        <f t="shared" si="10"/>
        <v>0</v>
      </c>
      <c r="L127" s="50">
        <f t="shared" si="11"/>
        <v>0</v>
      </c>
      <c r="M127" s="50">
        <f t="shared" si="12"/>
        <v>0</v>
      </c>
      <c r="N127" s="50">
        <f t="shared" si="13"/>
        <v>0</v>
      </c>
    </row>
    <row r="128" spans="1:14" ht="12.75" customHeight="1" x14ac:dyDescent="0.3">
      <c r="A128" s="100">
        <v>18.2</v>
      </c>
      <c r="B128" s="98" t="s">
        <v>140</v>
      </c>
      <c r="C128" s="133" t="s">
        <v>29</v>
      </c>
      <c r="D128" s="31">
        <v>1</v>
      </c>
      <c r="E128" s="181">
        <v>6378278</v>
      </c>
      <c r="F128" s="181">
        <f t="shared" si="5"/>
        <v>6378278</v>
      </c>
      <c r="H128" s="245"/>
      <c r="I128" s="250">
        <v>0</v>
      </c>
      <c r="J128" s="250"/>
      <c r="K128" s="251">
        <f t="shared" si="10"/>
        <v>0</v>
      </c>
      <c r="L128" s="50">
        <f t="shared" si="11"/>
        <v>0</v>
      </c>
      <c r="M128" s="50">
        <f t="shared" si="12"/>
        <v>0</v>
      </c>
      <c r="N128" s="50">
        <f t="shared" si="13"/>
        <v>0</v>
      </c>
    </row>
    <row r="129" spans="1:14" ht="12.75" customHeight="1" x14ac:dyDescent="0.3">
      <c r="A129" s="100">
        <v>18.21</v>
      </c>
      <c r="B129" s="98" t="s">
        <v>141</v>
      </c>
      <c r="C129" s="133" t="s">
        <v>29</v>
      </c>
      <c r="D129" s="31">
        <v>1</v>
      </c>
      <c r="E129" s="181">
        <v>1695726</v>
      </c>
      <c r="F129" s="181">
        <f t="shared" si="5"/>
        <v>1695726</v>
      </c>
      <c r="H129" s="245"/>
      <c r="I129" s="250">
        <v>0</v>
      </c>
      <c r="J129" s="250"/>
      <c r="K129" s="251">
        <f t="shared" si="10"/>
        <v>0</v>
      </c>
      <c r="L129" s="50">
        <f t="shared" si="11"/>
        <v>0</v>
      </c>
      <c r="M129" s="50">
        <f t="shared" si="12"/>
        <v>0</v>
      </c>
      <c r="N129" s="50">
        <f t="shared" si="13"/>
        <v>0</v>
      </c>
    </row>
    <row r="130" spans="1:14" ht="12.75" customHeight="1" x14ac:dyDescent="0.3">
      <c r="A130" s="100">
        <v>18.22</v>
      </c>
      <c r="B130" s="98" t="s">
        <v>142</v>
      </c>
      <c r="C130" s="133" t="s">
        <v>29</v>
      </c>
      <c r="D130" s="31">
        <v>1</v>
      </c>
      <c r="E130" s="181">
        <v>1695726</v>
      </c>
      <c r="F130" s="181">
        <f t="shared" si="5"/>
        <v>1695726</v>
      </c>
      <c r="H130" s="245"/>
      <c r="I130" s="250">
        <v>0</v>
      </c>
      <c r="J130" s="250"/>
      <c r="K130" s="251">
        <f t="shared" si="10"/>
        <v>0</v>
      </c>
      <c r="L130" s="50">
        <f t="shared" si="11"/>
        <v>0</v>
      </c>
      <c r="M130" s="50">
        <f t="shared" si="12"/>
        <v>0</v>
      </c>
      <c r="N130" s="50">
        <f t="shared" si="13"/>
        <v>0</v>
      </c>
    </row>
    <row r="131" spans="1:14" ht="12.75" customHeight="1" x14ac:dyDescent="0.3">
      <c r="A131" s="100">
        <v>18.23</v>
      </c>
      <c r="B131" s="98" t="s">
        <v>143</v>
      </c>
      <c r="C131" s="133" t="s">
        <v>33</v>
      </c>
      <c r="D131" s="31">
        <v>16</v>
      </c>
      <c r="E131" s="181">
        <v>15984</v>
      </c>
      <c r="F131" s="181">
        <f t="shared" si="5"/>
        <v>255744</v>
      </c>
      <c r="H131" s="245"/>
      <c r="I131" s="250">
        <v>0</v>
      </c>
      <c r="J131" s="250"/>
      <c r="K131" s="251">
        <f t="shared" si="10"/>
        <v>0</v>
      </c>
      <c r="L131" s="50">
        <f t="shared" si="11"/>
        <v>0</v>
      </c>
      <c r="M131" s="50">
        <f t="shared" si="12"/>
        <v>0</v>
      </c>
      <c r="N131" s="50">
        <f t="shared" si="13"/>
        <v>0</v>
      </c>
    </row>
    <row r="132" spans="1:14" ht="12.75" customHeight="1" x14ac:dyDescent="0.3">
      <c r="A132" s="100">
        <v>18.239999999999998</v>
      </c>
      <c r="B132" s="98" t="s">
        <v>144</v>
      </c>
      <c r="C132" s="133" t="s">
        <v>33</v>
      </c>
      <c r="D132" s="31">
        <v>140</v>
      </c>
      <c r="E132" s="181">
        <v>10416</v>
      </c>
      <c r="F132" s="181">
        <f t="shared" si="5"/>
        <v>1458240</v>
      </c>
      <c r="H132" s="245"/>
      <c r="I132" s="250">
        <v>0</v>
      </c>
      <c r="J132" s="250"/>
      <c r="K132" s="251">
        <f t="shared" si="10"/>
        <v>0</v>
      </c>
      <c r="L132" s="50">
        <f t="shared" si="11"/>
        <v>0</v>
      </c>
      <c r="M132" s="50">
        <f t="shared" si="12"/>
        <v>0</v>
      </c>
      <c r="N132" s="50">
        <f t="shared" si="13"/>
        <v>0</v>
      </c>
    </row>
    <row r="133" spans="1:14" ht="12.75" customHeight="1" x14ac:dyDescent="0.3">
      <c r="A133" s="100">
        <v>18.25</v>
      </c>
      <c r="B133" s="98" t="s">
        <v>145</v>
      </c>
      <c r="C133" s="133" t="s">
        <v>33</v>
      </c>
      <c r="D133" s="31">
        <v>226</v>
      </c>
      <c r="E133" s="181">
        <v>10416</v>
      </c>
      <c r="F133" s="181">
        <f t="shared" si="5"/>
        <v>2354016</v>
      </c>
      <c r="H133" s="245"/>
      <c r="I133" s="250">
        <v>0</v>
      </c>
      <c r="J133" s="250"/>
      <c r="K133" s="251">
        <f t="shared" si="10"/>
        <v>0</v>
      </c>
      <c r="L133" s="50">
        <f t="shared" si="11"/>
        <v>0</v>
      </c>
      <c r="M133" s="50">
        <f t="shared" si="12"/>
        <v>0</v>
      </c>
      <c r="N133" s="50">
        <f t="shared" si="13"/>
        <v>0</v>
      </c>
    </row>
    <row r="134" spans="1:14" ht="12.75" customHeight="1" x14ac:dyDescent="0.3">
      <c r="A134" s="100">
        <v>18.260000000000002</v>
      </c>
      <c r="B134" s="98" t="s">
        <v>146</v>
      </c>
      <c r="C134" s="133" t="s">
        <v>33</v>
      </c>
      <c r="D134" s="31">
        <v>8</v>
      </c>
      <c r="E134" s="181">
        <v>25377</v>
      </c>
      <c r="F134" s="181">
        <f t="shared" si="5"/>
        <v>203016</v>
      </c>
      <c r="H134" s="245"/>
      <c r="I134" s="250">
        <v>0</v>
      </c>
      <c r="J134" s="250"/>
      <c r="K134" s="251">
        <f t="shared" si="10"/>
        <v>0</v>
      </c>
      <c r="L134" s="50">
        <f t="shared" si="11"/>
        <v>0</v>
      </c>
      <c r="M134" s="50">
        <f t="shared" si="12"/>
        <v>0</v>
      </c>
      <c r="N134" s="50">
        <f t="shared" si="13"/>
        <v>0</v>
      </c>
    </row>
    <row r="135" spans="1:14" ht="12.75" customHeight="1" x14ac:dyDescent="0.3">
      <c r="A135" s="100">
        <v>18.27</v>
      </c>
      <c r="B135" s="98" t="s">
        <v>147</v>
      </c>
      <c r="C135" s="133" t="s">
        <v>33</v>
      </c>
      <c r="D135" s="31">
        <v>24</v>
      </c>
      <c r="E135" s="181">
        <v>93081</v>
      </c>
      <c r="F135" s="181">
        <f t="shared" si="5"/>
        <v>2233944</v>
      </c>
      <c r="H135" s="245"/>
      <c r="I135" s="250">
        <v>0</v>
      </c>
      <c r="J135" s="250"/>
      <c r="K135" s="251">
        <f t="shared" si="10"/>
        <v>0</v>
      </c>
      <c r="L135" s="50">
        <f t="shared" si="11"/>
        <v>0</v>
      </c>
      <c r="M135" s="50">
        <f t="shared" si="12"/>
        <v>0</v>
      </c>
      <c r="N135" s="50">
        <f t="shared" si="13"/>
        <v>0</v>
      </c>
    </row>
    <row r="136" spans="1:14" ht="12.75" customHeight="1" x14ac:dyDescent="0.3">
      <c r="A136" s="100">
        <v>18.28</v>
      </c>
      <c r="B136" s="98" t="s">
        <v>148</v>
      </c>
      <c r="C136" s="133" t="s">
        <v>33</v>
      </c>
      <c r="D136" s="31">
        <v>12</v>
      </c>
      <c r="E136" s="181">
        <v>25377</v>
      </c>
      <c r="F136" s="181">
        <f t="shared" si="5"/>
        <v>304524</v>
      </c>
      <c r="H136" s="245"/>
      <c r="I136" s="250">
        <v>0</v>
      </c>
      <c r="J136" s="250"/>
      <c r="K136" s="251">
        <f t="shared" si="10"/>
        <v>0</v>
      </c>
      <c r="L136" s="50">
        <f t="shared" si="11"/>
        <v>0</v>
      </c>
      <c r="M136" s="50">
        <f t="shared" si="12"/>
        <v>0</v>
      </c>
      <c r="N136" s="50">
        <f t="shared" si="13"/>
        <v>0</v>
      </c>
    </row>
    <row r="137" spans="1:14" ht="12.75" customHeight="1" x14ac:dyDescent="0.3">
      <c r="A137" s="100">
        <v>18.2899999999999</v>
      </c>
      <c r="B137" s="98" t="s">
        <v>149</v>
      </c>
      <c r="C137" s="133" t="s">
        <v>33</v>
      </c>
      <c r="D137" s="31">
        <v>1</v>
      </c>
      <c r="E137" s="181">
        <v>25377</v>
      </c>
      <c r="F137" s="181">
        <f t="shared" si="5"/>
        <v>25377</v>
      </c>
      <c r="H137" s="245"/>
      <c r="I137" s="250">
        <v>0</v>
      </c>
      <c r="J137" s="250"/>
      <c r="K137" s="251">
        <f t="shared" si="10"/>
        <v>0</v>
      </c>
      <c r="L137" s="50">
        <f t="shared" si="11"/>
        <v>0</v>
      </c>
      <c r="M137" s="50">
        <f t="shared" si="12"/>
        <v>0</v>
      </c>
      <c r="N137" s="50">
        <f t="shared" si="13"/>
        <v>0</v>
      </c>
    </row>
    <row r="138" spans="1:14" ht="12.75" customHeight="1" x14ac:dyDescent="0.3">
      <c r="A138" s="100">
        <v>18.299999999999901</v>
      </c>
      <c r="B138" s="98" t="s">
        <v>150</v>
      </c>
      <c r="C138" s="133" t="s">
        <v>33</v>
      </c>
      <c r="D138" s="31">
        <v>109</v>
      </c>
      <c r="E138" s="181">
        <v>15984</v>
      </c>
      <c r="F138" s="181">
        <f t="shared" ref="F138:F194" si="14">+E138*D138</f>
        <v>1742256</v>
      </c>
      <c r="H138" s="245"/>
      <c r="I138" s="250">
        <v>0</v>
      </c>
      <c r="J138" s="250"/>
      <c r="K138" s="251">
        <f t="shared" si="10"/>
        <v>0</v>
      </c>
      <c r="L138" s="50">
        <f t="shared" si="11"/>
        <v>0</v>
      </c>
      <c r="M138" s="50">
        <f t="shared" si="12"/>
        <v>0</v>
      </c>
      <c r="N138" s="50">
        <f t="shared" si="13"/>
        <v>0</v>
      </c>
    </row>
    <row r="139" spans="1:14" ht="12.75" customHeight="1" x14ac:dyDescent="0.3">
      <c r="A139" s="100">
        <v>18.309999999999899</v>
      </c>
      <c r="B139" s="98" t="s">
        <v>151</v>
      </c>
      <c r="C139" s="133" t="s">
        <v>29</v>
      </c>
      <c r="D139" s="31">
        <v>1</v>
      </c>
      <c r="E139" s="181">
        <v>5516929</v>
      </c>
      <c r="F139" s="181">
        <f t="shared" si="14"/>
        <v>5516929</v>
      </c>
      <c r="H139" s="245"/>
      <c r="I139" s="250">
        <v>0</v>
      </c>
      <c r="J139" s="250"/>
      <c r="K139" s="251">
        <f t="shared" si="10"/>
        <v>0</v>
      </c>
      <c r="L139" s="50">
        <f t="shared" si="11"/>
        <v>0</v>
      </c>
      <c r="M139" s="50">
        <f t="shared" si="12"/>
        <v>0</v>
      </c>
      <c r="N139" s="50">
        <f t="shared" si="13"/>
        <v>0</v>
      </c>
    </row>
    <row r="140" spans="1:14" ht="12.75" customHeight="1" x14ac:dyDescent="0.3">
      <c r="A140" s="100">
        <v>18.319999999999901</v>
      </c>
      <c r="B140" s="98" t="s">
        <v>152</v>
      </c>
      <c r="C140" s="133" t="s">
        <v>29</v>
      </c>
      <c r="D140" s="31">
        <v>1</v>
      </c>
      <c r="E140" s="181">
        <v>957554</v>
      </c>
      <c r="F140" s="181">
        <f t="shared" si="14"/>
        <v>957554</v>
      </c>
      <c r="H140" s="245"/>
      <c r="I140" s="250">
        <v>0</v>
      </c>
      <c r="J140" s="250"/>
      <c r="K140" s="251">
        <f t="shared" ref="K140:K194" si="15">+I140+J140</f>
        <v>0</v>
      </c>
      <c r="L140" s="50">
        <f t="shared" ref="L140:L194" si="16">+F140*I140</f>
        <v>0</v>
      </c>
      <c r="M140" s="50">
        <f t="shared" ref="M140:M194" si="17">+F140*J140</f>
        <v>0</v>
      </c>
      <c r="N140" s="50">
        <f t="shared" ref="N140:N194" si="18">+F140*K140</f>
        <v>0</v>
      </c>
    </row>
    <row r="141" spans="1:14" ht="12.75" customHeight="1" x14ac:dyDescent="0.3">
      <c r="A141" s="100">
        <v>18.329999999999899</v>
      </c>
      <c r="B141" s="134" t="s">
        <v>153</v>
      </c>
      <c r="C141" s="135" t="s">
        <v>29</v>
      </c>
      <c r="D141" s="35">
        <v>1</v>
      </c>
      <c r="E141" s="181">
        <v>142634</v>
      </c>
      <c r="F141" s="181">
        <f t="shared" si="14"/>
        <v>142634</v>
      </c>
      <c r="H141" s="245"/>
      <c r="I141" s="250">
        <v>0</v>
      </c>
      <c r="J141" s="250"/>
      <c r="K141" s="251">
        <f t="shared" si="15"/>
        <v>0</v>
      </c>
      <c r="L141" s="50">
        <f t="shared" si="16"/>
        <v>0</v>
      </c>
      <c r="M141" s="50">
        <f t="shared" si="17"/>
        <v>0</v>
      </c>
      <c r="N141" s="50">
        <f t="shared" si="18"/>
        <v>0</v>
      </c>
    </row>
    <row r="142" spans="1:14" ht="12.75" customHeight="1" x14ac:dyDescent="0.3">
      <c r="A142" s="13">
        <v>19</v>
      </c>
      <c r="B142" s="40" t="s">
        <v>154</v>
      </c>
      <c r="C142" s="18"/>
      <c r="D142" s="19"/>
      <c r="E142" s="190"/>
      <c r="F142" s="190"/>
      <c r="G142" s="191"/>
      <c r="H142" s="245"/>
      <c r="I142" s="246"/>
      <c r="J142" s="247"/>
      <c r="K142" s="247"/>
      <c r="L142" s="178"/>
      <c r="M142" s="178"/>
      <c r="N142" s="179"/>
    </row>
    <row r="143" spans="1:14" ht="12.75" customHeight="1" x14ac:dyDescent="0.3">
      <c r="A143" s="13"/>
      <c r="B143" s="40" t="s">
        <v>155</v>
      </c>
      <c r="C143" s="18"/>
      <c r="D143" s="19"/>
      <c r="E143" s="19"/>
      <c r="F143" s="19"/>
      <c r="G143" s="192">
        <f>+SUM(F144:F146)</f>
        <v>21227962</v>
      </c>
      <c r="H143" s="245">
        <f>+G143/$G$195</f>
        <v>2.5126450140132647E-2</v>
      </c>
      <c r="I143" s="246"/>
      <c r="J143" s="247"/>
      <c r="K143" s="247"/>
      <c r="L143" s="178"/>
      <c r="M143" s="178"/>
      <c r="N143" s="179"/>
    </row>
    <row r="144" spans="1:14" ht="12.75" customHeight="1" x14ac:dyDescent="0.3">
      <c r="A144" s="20">
        <v>19.010000000000002</v>
      </c>
      <c r="B144" s="136" t="s">
        <v>156</v>
      </c>
      <c r="C144" s="122" t="s">
        <v>29</v>
      </c>
      <c r="D144" s="123">
        <v>1</v>
      </c>
      <c r="E144" s="183">
        <v>6793844</v>
      </c>
      <c r="F144" s="183">
        <f t="shared" si="14"/>
        <v>6793844</v>
      </c>
      <c r="H144" s="245"/>
      <c r="I144" s="250">
        <v>0</v>
      </c>
      <c r="J144" s="250"/>
      <c r="K144" s="251">
        <f t="shared" si="15"/>
        <v>0</v>
      </c>
      <c r="L144" s="50">
        <f t="shared" si="16"/>
        <v>0</v>
      </c>
      <c r="M144" s="50">
        <f t="shared" si="17"/>
        <v>0</v>
      </c>
      <c r="N144" s="50">
        <f t="shared" si="18"/>
        <v>0</v>
      </c>
    </row>
    <row r="145" spans="1:14" ht="12.75" customHeight="1" x14ac:dyDescent="0.3">
      <c r="A145" s="24">
        <v>19.02</v>
      </c>
      <c r="B145" s="36" t="s">
        <v>157</v>
      </c>
      <c r="C145" s="28" t="s">
        <v>29</v>
      </c>
      <c r="D145" s="29">
        <v>1</v>
      </c>
      <c r="E145" s="181">
        <v>9552583</v>
      </c>
      <c r="F145" s="181">
        <f t="shared" si="14"/>
        <v>9552583</v>
      </c>
      <c r="H145" s="245"/>
      <c r="I145" s="250">
        <v>0</v>
      </c>
      <c r="J145" s="250"/>
      <c r="K145" s="251">
        <f t="shared" si="15"/>
        <v>0</v>
      </c>
      <c r="L145" s="50">
        <f t="shared" si="16"/>
        <v>0</v>
      </c>
      <c r="M145" s="50">
        <f t="shared" si="17"/>
        <v>0</v>
      </c>
      <c r="N145" s="50">
        <f t="shared" si="18"/>
        <v>0</v>
      </c>
    </row>
    <row r="146" spans="1:14" ht="12.75" customHeight="1" x14ac:dyDescent="0.3">
      <c r="A146" s="33">
        <v>19.03</v>
      </c>
      <c r="B146" s="137" t="s">
        <v>158</v>
      </c>
      <c r="C146" s="138" t="s">
        <v>29</v>
      </c>
      <c r="D146" s="139">
        <v>1</v>
      </c>
      <c r="E146" s="181">
        <v>4881535</v>
      </c>
      <c r="F146" s="181">
        <f t="shared" si="14"/>
        <v>4881535</v>
      </c>
      <c r="H146" s="245"/>
      <c r="I146" s="250">
        <v>0</v>
      </c>
      <c r="J146" s="250"/>
      <c r="K146" s="251">
        <f t="shared" si="15"/>
        <v>0</v>
      </c>
      <c r="L146" s="50">
        <f t="shared" si="16"/>
        <v>0</v>
      </c>
      <c r="M146" s="50">
        <f t="shared" si="17"/>
        <v>0</v>
      </c>
      <c r="N146" s="50">
        <f t="shared" si="18"/>
        <v>0</v>
      </c>
    </row>
    <row r="147" spans="1:14" ht="12.75" customHeight="1" x14ac:dyDescent="0.3">
      <c r="A147" s="140"/>
      <c r="B147" s="141" t="s">
        <v>159</v>
      </c>
      <c r="C147" s="11"/>
      <c r="D147" s="12"/>
      <c r="E147" s="19"/>
      <c r="F147" s="19"/>
      <c r="G147" s="192">
        <f>+SUM(F148:F150)</f>
        <v>7075989</v>
      </c>
      <c r="H147" s="245">
        <f>+G147/$G$195</f>
        <v>8.3754853527920892E-3</v>
      </c>
      <c r="I147" s="246"/>
      <c r="J147" s="247"/>
      <c r="K147" s="247"/>
      <c r="L147" s="178"/>
      <c r="M147" s="178"/>
      <c r="N147" s="179"/>
    </row>
    <row r="148" spans="1:14" ht="12.75" customHeight="1" x14ac:dyDescent="0.3">
      <c r="A148" s="20">
        <v>19.04</v>
      </c>
      <c r="B148" s="136" t="s">
        <v>160</v>
      </c>
      <c r="C148" s="122" t="s">
        <v>29</v>
      </c>
      <c r="D148" s="123">
        <v>1</v>
      </c>
      <c r="E148" s="181">
        <v>2476596</v>
      </c>
      <c r="F148" s="181">
        <f t="shared" si="14"/>
        <v>2476596</v>
      </c>
      <c r="H148" s="245"/>
      <c r="I148" s="250">
        <v>0</v>
      </c>
      <c r="J148" s="250"/>
      <c r="K148" s="251">
        <f t="shared" si="15"/>
        <v>0</v>
      </c>
      <c r="L148" s="50">
        <f t="shared" si="16"/>
        <v>0</v>
      </c>
      <c r="M148" s="50">
        <f t="shared" si="17"/>
        <v>0</v>
      </c>
      <c r="N148" s="50">
        <f t="shared" si="18"/>
        <v>0</v>
      </c>
    </row>
    <row r="149" spans="1:14" ht="12.75" customHeight="1" x14ac:dyDescent="0.3">
      <c r="A149" s="24">
        <v>19.05</v>
      </c>
      <c r="B149" s="36" t="s">
        <v>161</v>
      </c>
      <c r="C149" s="28" t="s">
        <v>29</v>
      </c>
      <c r="D149" s="29">
        <v>1</v>
      </c>
      <c r="E149" s="181">
        <v>3537994</v>
      </c>
      <c r="F149" s="181">
        <f t="shared" si="14"/>
        <v>3537994</v>
      </c>
      <c r="H149" s="245"/>
      <c r="I149" s="250">
        <v>0</v>
      </c>
      <c r="J149" s="250"/>
      <c r="K149" s="251">
        <f t="shared" si="15"/>
        <v>0</v>
      </c>
      <c r="L149" s="50">
        <f t="shared" si="16"/>
        <v>0</v>
      </c>
      <c r="M149" s="50">
        <f t="shared" si="17"/>
        <v>0</v>
      </c>
      <c r="N149" s="50">
        <f t="shared" si="18"/>
        <v>0</v>
      </c>
    </row>
    <row r="150" spans="1:14" ht="12.75" customHeight="1" x14ac:dyDescent="0.3">
      <c r="A150" s="33">
        <v>19.059999999999999</v>
      </c>
      <c r="B150" s="137" t="s">
        <v>162</v>
      </c>
      <c r="C150" s="138" t="s">
        <v>29</v>
      </c>
      <c r="D150" s="139">
        <v>1</v>
      </c>
      <c r="E150" s="181">
        <v>1061399</v>
      </c>
      <c r="F150" s="181">
        <f t="shared" si="14"/>
        <v>1061399</v>
      </c>
      <c r="H150" s="245"/>
      <c r="I150" s="250">
        <v>0</v>
      </c>
      <c r="J150" s="250"/>
      <c r="K150" s="251">
        <f t="shared" si="15"/>
        <v>0</v>
      </c>
      <c r="L150" s="50">
        <f t="shared" si="16"/>
        <v>0</v>
      </c>
      <c r="M150" s="50">
        <f t="shared" si="17"/>
        <v>0</v>
      </c>
      <c r="N150" s="50">
        <f t="shared" si="18"/>
        <v>0</v>
      </c>
    </row>
    <row r="151" spans="1:14" ht="12.75" customHeight="1" x14ac:dyDescent="0.3">
      <c r="A151" s="13"/>
      <c r="B151" s="40" t="s">
        <v>163</v>
      </c>
      <c r="C151" s="18"/>
      <c r="D151" s="19"/>
      <c r="E151" s="19"/>
      <c r="F151" s="19"/>
      <c r="G151" s="192">
        <f>+SUM(F152:F156)</f>
        <v>34829620</v>
      </c>
      <c r="H151" s="245">
        <f>+G151/$G$195</f>
        <v>4.1226035279777064E-2</v>
      </c>
      <c r="I151" s="246"/>
      <c r="J151" s="247"/>
      <c r="K151" s="247"/>
      <c r="L151" s="178"/>
      <c r="M151" s="178"/>
      <c r="N151" s="179"/>
    </row>
    <row r="152" spans="1:14" ht="12.75" customHeight="1" x14ac:dyDescent="0.3">
      <c r="A152" s="115">
        <v>19.07</v>
      </c>
      <c r="B152" s="142" t="s">
        <v>164</v>
      </c>
      <c r="C152" s="122" t="s">
        <v>29</v>
      </c>
      <c r="D152" s="123">
        <v>1</v>
      </c>
      <c r="E152" s="180">
        <v>3263223</v>
      </c>
      <c r="F152" s="180">
        <f t="shared" si="14"/>
        <v>3263223</v>
      </c>
      <c r="H152" s="245"/>
      <c r="I152" s="250">
        <v>0</v>
      </c>
      <c r="J152" s="250"/>
      <c r="K152" s="251">
        <f t="shared" si="15"/>
        <v>0</v>
      </c>
      <c r="L152" s="50">
        <f t="shared" si="16"/>
        <v>0</v>
      </c>
      <c r="M152" s="50">
        <f t="shared" si="17"/>
        <v>0</v>
      </c>
      <c r="N152" s="50">
        <f t="shared" si="18"/>
        <v>0</v>
      </c>
    </row>
    <row r="153" spans="1:14" ht="12.75" customHeight="1" x14ac:dyDescent="0.3">
      <c r="A153" s="100">
        <v>19.079999999999998</v>
      </c>
      <c r="B153" s="143" t="s">
        <v>165</v>
      </c>
      <c r="C153" s="28" t="s">
        <v>29</v>
      </c>
      <c r="D153" s="29">
        <v>1</v>
      </c>
      <c r="E153" s="181">
        <v>3665831</v>
      </c>
      <c r="F153" s="181">
        <f t="shared" si="14"/>
        <v>3665831</v>
      </c>
      <c r="H153" s="245"/>
      <c r="I153" s="250">
        <v>0</v>
      </c>
      <c r="J153" s="250"/>
      <c r="K153" s="251">
        <f t="shared" si="15"/>
        <v>0</v>
      </c>
      <c r="L153" s="50">
        <f t="shared" si="16"/>
        <v>0</v>
      </c>
      <c r="M153" s="50">
        <f t="shared" si="17"/>
        <v>0</v>
      </c>
      <c r="N153" s="50">
        <f t="shared" si="18"/>
        <v>0</v>
      </c>
    </row>
    <row r="154" spans="1:14" ht="12.75" customHeight="1" x14ac:dyDescent="0.3">
      <c r="A154" s="100">
        <v>19.09</v>
      </c>
      <c r="B154" s="144" t="s">
        <v>166</v>
      </c>
      <c r="C154" s="28" t="s">
        <v>29</v>
      </c>
      <c r="D154" s="29">
        <v>1</v>
      </c>
      <c r="E154" s="181">
        <v>3263223</v>
      </c>
      <c r="F154" s="181">
        <f t="shared" si="14"/>
        <v>3263223</v>
      </c>
      <c r="H154" s="245"/>
      <c r="I154" s="250">
        <v>0</v>
      </c>
      <c r="J154" s="250"/>
      <c r="K154" s="251">
        <f t="shared" si="15"/>
        <v>0</v>
      </c>
      <c r="L154" s="50">
        <f t="shared" si="16"/>
        <v>0</v>
      </c>
      <c r="M154" s="50">
        <f t="shared" si="17"/>
        <v>0</v>
      </c>
      <c r="N154" s="50">
        <f t="shared" si="18"/>
        <v>0</v>
      </c>
    </row>
    <row r="155" spans="1:14" ht="12.75" customHeight="1" x14ac:dyDescent="0.3">
      <c r="A155" s="100">
        <v>19.100000000000001</v>
      </c>
      <c r="B155" s="143" t="s">
        <v>167</v>
      </c>
      <c r="C155" s="28" t="s">
        <v>29</v>
      </c>
      <c r="D155" s="29">
        <v>1</v>
      </c>
      <c r="E155" s="181">
        <v>18413869</v>
      </c>
      <c r="F155" s="181">
        <f t="shared" si="14"/>
        <v>18413869</v>
      </c>
      <c r="H155" s="245"/>
      <c r="I155" s="250">
        <v>0</v>
      </c>
      <c r="J155" s="250"/>
      <c r="K155" s="251">
        <f t="shared" si="15"/>
        <v>0</v>
      </c>
      <c r="L155" s="50">
        <f t="shared" si="16"/>
        <v>0</v>
      </c>
      <c r="M155" s="50">
        <f t="shared" si="17"/>
        <v>0</v>
      </c>
      <c r="N155" s="50">
        <f t="shared" si="18"/>
        <v>0</v>
      </c>
    </row>
    <row r="156" spans="1:14" ht="12.75" customHeight="1" x14ac:dyDescent="0.3">
      <c r="A156" s="100">
        <v>19.11</v>
      </c>
      <c r="B156" s="145" t="s">
        <v>168</v>
      </c>
      <c r="C156" s="138" t="s">
        <v>29</v>
      </c>
      <c r="D156" s="139">
        <v>1</v>
      </c>
      <c r="E156" s="189">
        <v>6223474</v>
      </c>
      <c r="F156" s="189">
        <f t="shared" si="14"/>
        <v>6223474</v>
      </c>
      <c r="H156" s="245"/>
      <c r="I156" s="250">
        <v>0</v>
      </c>
      <c r="J156" s="250"/>
      <c r="K156" s="251">
        <f t="shared" si="15"/>
        <v>0</v>
      </c>
      <c r="L156" s="50">
        <f t="shared" si="16"/>
        <v>0</v>
      </c>
      <c r="M156" s="50">
        <f t="shared" si="17"/>
        <v>0</v>
      </c>
      <c r="N156" s="50">
        <f t="shared" si="18"/>
        <v>0</v>
      </c>
    </row>
    <row r="157" spans="1:14" ht="12.75" customHeight="1" x14ac:dyDescent="0.3">
      <c r="A157" s="13"/>
      <c r="B157" s="40" t="s">
        <v>169</v>
      </c>
      <c r="C157" s="18"/>
      <c r="D157" s="19"/>
      <c r="E157" s="19"/>
      <c r="F157" s="19"/>
      <c r="G157" s="192">
        <f>+SUM(F158)</f>
        <v>2637801</v>
      </c>
      <c r="H157" s="245">
        <f>+G157/$G$195</f>
        <v>3.1222297885257206E-3</v>
      </c>
      <c r="I157" s="246"/>
      <c r="J157" s="247"/>
      <c r="K157" s="247"/>
      <c r="L157" s="178"/>
      <c r="M157" s="178"/>
      <c r="N157" s="179"/>
    </row>
    <row r="158" spans="1:14" ht="12.75" customHeight="1" x14ac:dyDescent="0.3">
      <c r="A158" s="24">
        <v>19.12</v>
      </c>
      <c r="B158" s="36" t="s">
        <v>170</v>
      </c>
      <c r="C158" s="28" t="s">
        <v>29</v>
      </c>
      <c r="D158" s="29">
        <v>1</v>
      </c>
      <c r="E158" s="181">
        <v>2637801</v>
      </c>
      <c r="F158" s="181">
        <f t="shared" si="14"/>
        <v>2637801</v>
      </c>
      <c r="H158" s="245"/>
      <c r="I158" s="250">
        <v>0</v>
      </c>
      <c r="J158" s="250"/>
      <c r="K158" s="251">
        <f t="shared" si="15"/>
        <v>0</v>
      </c>
      <c r="L158" s="50">
        <f t="shared" si="16"/>
        <v>0</v>
      </c>
      <c r="M158" s="50">
        <f t="shared" si="17"/>
        <v>0</v>
      </c>
      <c r="N158" s="50">
        <f t="shared" si="18"/>
        <v>0</v>
      </c>
    </row>
    <row r="159" spans="1:14" ht="12.75" customHeight="1" x14ac:dyDescent="0.3">
      <c r="A159" s="13"/>
      <c r="B159" s="40" t="s">
        <v>171</v>
      </c>
      <c r="C159" s="18"/>
      <c r="D159" s="19"/>
      <c r="E159" s="19"/>
      <c r="F159" s="19"/>
      <c r="G159" s="192">
        <f>+SUM(F160:F161)</f>
        <v>39784561</v>
      </c>
      <c r="H159" s="245">
        <f>+G159/$G$195</f>
        <v>4.7090944873255651E-2</v>
      </c>
      <c r="I159" s="246"/>
      <c r="J159" s="247"/>
      <c r="K159" s="247"/>
      <c r="L159" s="178"/>
      <c r="M159" s="178"/>
      <c r="N159" s="179"/>
    </row>
    <row r="160" spans="1:14" ht="12.75" customHeight="1" x14ac:dyDescent="0.3">
      <c r="A160" s="20">
        <v>19.13</v>
      </c>
      <c r="B160" s="136" t="s">
        <v>172</v>
      </c>
      <c r="C160" s="122" t="s">
        <v>29</v>
      </c>
      <c r="D160" s="123">
        <v>1</v>
      </c>
      <c r="E160" s="181">
        <v>36002858</v>
      </c>
      <c r="F160" s="181">
        <f t="shared" si="14"/>
        <v>36002858</v>
      </c>
      <c r="H160" s="245"/>
      <c r="I160" s="250">
        <v>0</v>
      </c>
      <c r="J160" s="250"/>
      <c r="K160" s="251">
        <f t="shared" si="15"/>
        <v>0</v>
      </c>
      <c r="L160" s="50">
        <f t="shared" si="16"/>
        <v>0</v>
      </c>
      <c r="M160" s="50">
        <f t="shared" si="17"/>
        <v>0</v>
      </c>
      <c r="N160" s="50">
        <f t="shared" si="18"/>
        <v>0</v>
      </c>
    </row>
    <row r="161" spans="1:14" ht="12.75" customHeight="1" x14ac:dyDescent="0.3">
      <c r="A161" s="33">
        <v>19.14</v>
      </c>
      <c r="B161" s="137" t="s">
        <v>173</v>
      </c>
      <c r="C161" s="138" t="s">
        <v>29</v>
      </c>
      <c r="D161" s="139">
        <v>1</v>
      </c>
      <c r="E161" s="181">
        <v>3781703</v>
      </c>
      <c r="F161" s="181">
        <f t="shared" si="14"/>
        <v>3781703</v>
      </c>
      <c r="H161" s="245"/>
      <c r="I161" s="250">
        <v>0</v>
      </c>
      <c r="J161" s="250"/>
      <c r="K161" s="251">
        <f t="shared" si="15"/>
        <v>0</v>
      </c>
      <c r="L161" s="50">
        <f t="shared" si="16"/>
        <v>0</v>
      </c>
      <c r="M161" s="50">
        <f t="shared" si="17"/>
        <v>0</v>
      </c>
      <c r="N161" s="50">
        <f t="shared" si="18"/>
        <v>0</v>
      </c>
    </row>
    <row r="162" spans="1:14" ht="12.75" customHeight="1" x14ac:dyDescent="0.3">
      <c r="A162" s="13"/>
      <c r="B162" s="40" t="s">
        <v>174</v>
      </c>
      <c r="C162" s="18"/>
      <c r="D162" s="19"/>
      <c r="E162" s="19"/>
      <c r="F162" s="19"/>
      <c r="G162" s="192">
        <f>+SUM(F163)</f>
        <v>6439007</v>
      </c>
      <c r="H162" s="245">
        <f>+G162/$G$195</f>
        <v>7.6215224211097178E-3</v>
      </c>
      <c r="I162" s="246"/>
      <c r="J162" s="247"/>
      <c r="K162" s="247"/>
      <c r="L162" s="178"/>
      <c r="M162" s="178"/>
      <c r="N162" s="179"/>
    </row>
    <row r="163" spans="1:14" ht="12.75" customHeight="1" x14ac:dyDescent="0.3">
      <c r="A163" s="24">
        <v>19.149999999999999</v>
      </c>
      <c r="B163" s="98" t="s">
        <v>175</v>
      </c>
      <c r="C163" s="28" t="s">
        <v>29</v>
      </c>
      <c r="D163" s="29">
        <v>1</v>
      </c>
      <c r="E163" s="181">
        <v>6439007</v>
      </c>
      <c r="F163" s="181">
        <f t="shared" si="14"/>
        <v>6439007</v>
      </c>
      <c r="H163" s="245"/>
      <c r="I163" s="250">
        <v>0</v>
      </c>
      <c r="J163" s="250"/>
      <c r="K163" s="251">
        <f t="shared" si="15"/>
        <v>0</v>
      </c>
      <c r="L163" s="50">
        <f t="shared" si="16"/>
        <v>0</v>
      </c>
      <c r="M163" s="50">
        <f t="shared" si="17"/>
        <v>0</v>
      </c>
      <c r="N163" s="50">
        <f t="shared" si="18"/>
        <v>0</v>
      </c>
    </row>
    <row r="164" spans="1:14" ht="12.75" customHeight="1" x14ac:dyDescent="0.3">
      <c r="A164" s="13"/>
      <c r="B164" s="40" t="s">
        <v>176</v>
      </c>
      <c r="C164" s="18"/>
      <c r="D164" s="19"/>
      <c r="E164" s="19"/>
      <c r="F164" s="19"/>
      <c r="G164" s="192">
        <f>+SUM(F165:F168)</f>
        <v>33172785</v>
      </c>
      <c r="H164" s="245">
        <f t="shared" ref="H164:H192" si="19">+G164/$G$195</f>
        <v>3.9264924645702685E-2</v>
      </c>
      <c r="I164" s="246"/>
      <c r="J164" s="247"/>
      <c r="K164" s="247"/>
      <c r="L164" s="178"/>
      <c r="M164" s="178"/>
      <c r="N164" s="179"/>
    </row>
    <row r="165" spans="1:14" ht="12.75" customHeight="1" x14ac:dyDescent="0.3">
      <c r="A165" s="24">
        <v>19.16</v>
      </c>
      <c r="B165" s="143" t="s">
        <v>177</v>
      </c>
      <c r="C165" s="28" t="s">
        <v>29</v>
      </c>
      <c r="D165" s="29">
        <v>1</v>
      </c>
      <c r="E165" s="181">
        <v>27794007</v>
      </c>
      <c r="F165" s="181">
        <f t="shared" si="14"/>
        <v>27794007</v>
      </c>
      <c r="H165" s="245"/>
      <c r="I165" s="250">
        <v>0</v>
      </c>
      <c r="J165" s="250"/>
      <c r="K165" s="251">
        <f t="shared" si="15"/>
        <v>0</v>
      </c>
      <c r="L165" s="50">
        <f t="shared" si="16"/>
        <v>0</v>
      </c>
      <c r="M165" s="50">
        <f t="shared" si="17"/>
        <v>0</v>
      </c>
      <c r="N165" s="50">
        <f t="shared" si="18"/>
        <v>0</v>
      </c>
    </row>
    <row r="166" spans="1:14" ht="12.75" customHeight="1" x14ac:dyDescent="0.3">
      <c r="A166" s="24">
        <v>19.170000000000002</v>
      </c>
      <c r="B166" s="146" t="s">
        <v>178</v>
      </c>
      <c r="C166" s="147" t="s">
        <v>33</v>
      </c>
      <c r="D166" s="148">
        <v>8</v>
      </c>
      <c r="E166" s="181">
        <v>59973</v>
      </c>
      <c r="F166" s="181">
        <f t="shared" si="14"/>
        <v>479784</v>
      </c>
      <c r="H166" s="245"/>
      <c r="I166" s="250">
        <v>0</v>
      </c>
      <c r="J166" s="250"/>
      <c r="K166" s="251">
        <f t="shared" si="15"/>
        <v>0</v>
      </c>
      <c r="L166" s="50">
        <f t="shared" si="16"/>
        <v>0</v>
      </c>
      <c r="M166" s="50">
        <f t="shared" si="17"/>
        <v>0</v>
      </c>
      <c r="N166" s="50">
        <f t="shared" si="18"/>
        <v>0</v>
      </c>
    </row>
    <row r="167" spans="1:14" ht="12.75" customHeight="1" x14ac:dyDescent="0.3">
      <c r="A167" s="24">
        <v>19.18</v>
      </c>
      <c r="B167" s="146" t="s">
        <v>179</v>
      </c>
      <c r="C167" s="147" t="s">
        <v>29</v>
      </c>
      <c r="D167" s="148">
        <v>8</v>
      </c>
      <c r="E167" s="181">
        <v>27640</v>
      </c>
      <c r="F167" s="181">
        <f t="shared" si="14"/>
        <v>221120</v>
      </c>
      <c r="H167" s="245"/>
      <c r="I167" s="250">
        <v>0</v>
      </c>
      <c r="J167" s="250"/>
      <c r="K167" s="251">
        <f t="shared" si="15"/>
        <v>0</v>
      </c>
      <c r="L167" s="50">
        <f t="shared" si="16"/>
        <v>0</v>
      </c>
      <c r="M167" s="50">
        <f t="shared" si="17"/>
        <v>0</v>
      </c>
      <c r="N167" s="50">
        <f t="shared" si="18"/>
        <v>0</v>
      </c>
    </row>
    <row r="168" spans="1:14" ht="12.75" customHeight="1" x14ac:dyDescent="0.3">
      <c r="A168" s="100">
        <v>19.190000000000001</v>
      </c>
      <c r="B168" s="145" t="s">
        <v>180</v>
      </c>
      <c r="C168" s="138" t="s">
        <v>29</v>
      </c>
      <c r="D168" s="139">
        <v>1</v>
      </c>
      <c r="E168" s="181">
        <v>4677874</v>
      </c>
      <c r="F168" s="181">
        <f t="shared" si="14"/>
        <v>4677874</v>
      </c>
      <c r="H168" s="245"/>
      <c r="I168" s="250">
        <v>0</v>
      </c>
      <c r="J168" s="250"/>
      <c r="K168" s="251">
        <f t="shared" si="15"/>
        <v>0</v>
      </c>
      <c r="L168" s="50">
        <f t="shared" si="16"/>
        <v>0</v>
      </c>
      <c r="M168" s="50">
        <f t="shared" si="17"/>
        <v>0</v>
      </c>
      <c r="N168" s="50">
        <f t="shared" si="18"/>
        <v>0</v>
      </c>
    </row>
    <row r="169" spans="1:14" ht="12.75" customHeight="1" x14ac:dyDescent="0.3">
      <c r="A169" s="13">
        <v>20</v>
      </c>
      <c r="B169" s="40" t="s">
        <v>181</v>
      </c>
      <c r="C169" s="18"/>
      <c r="D169" s="19"/>
      <c r="E169" s="19"/>
      <c r="F169" s="19"/>
      <c r="G169" s="192">
        <f>+SUM(F170:F171)</f>
        <v>0</v>
      </c>
      <c r="H169" s="245">
        <f t="shared" si="19"/>
        <v>0</v>
      </c>
      <c r="I169" s="246"/>
      <c r="J169" s="247"/>
      <c r="K169" s="247"/>
      <c r="L169" s="178"/>
      <c r="M169" s="178"/>
      <c r="N169" s="179"/>
    </row>
    <row r="170" spans="1:14" ht="12.75" customHeight="1" x14ac:dyDescent="0.3">
      <c r="A170" s="106">
        <v>20.010000000000002</v>
      </c>
      <c r="B170" s="107" t="s">
        <v>182</v>
      </c>
      <c r="C170" s="120" t="s">
        <v>33</v>
      </c>
      <c r="D170" s="121">
        <v>0</v>
      </c>
      <c r="E170" s="183">
        <v>0</v>
      </c>
      <c r="F170" s="183">
        <f t="shared" si="14"/>
        <v>0</v>
      </c>
      <c r="H170" s="245"/>
      <c r="I170" s="250">
        <v>0</v>
      </c>
      <c r="J170" s="250"/>
      <c r="K170" s="251">
        <f t="shared" si="15"/>
        <v>0</v>
      </c>
      <c r="L170" s="50">
        <f t="shared" si="16"/>
        <v>0</v>
      </c>
      <c r="M170" s="50">
        <f t="shared" si="17"/>
        <v>0</v>
      </c>
      <c r="N170" s="50">
        <f t="shared" si="18"/>
        <v>0</v>
      </c>
    </row>
    <row r="171" spans="1:14" ht="12.75" customHeight="1" x14ac:dyDescent="0.3">
      <c r="A171" s="24">
        <v>20.02</v>
      </c>
      <c r="B171" s="25" t="s">
        <v>183</v>
      </c>
      <c r="C171" s="112" t="s">
        <v>33</v>
      </c>
      <c r="D171" s="27">
        <v>0</v>
      </c>
      <c r="E171" s="181">
        <v>0</v>
      </c>
      <c r="F171" s="181">
        <f t="shared" si="14"/>
        <v>0</v>
      </c>
      <c r="H171" s="245"/>
      <c r="I171" s="250">
        <v>0</v>
      </c>
      <c r="J171" s="250"/>
      <c r="K171" s="251">
        <f t="shared" si="15"/>
        <v>0</v>
      </c>
      <c r="L171" s="50">
        <f t="shared" si="16"/>
        <v>0</v>
      </c>
      <c r="M171" s="50">
        <f t="shared" si="17"/>
        <v>0</v>
      </c>
      <c r="N171" s="50">
        <f t="shared" si="18"/>
        <v>0</v>
      </c>
    </row>
    <row r="172" spans="1:14" ht="12.75" customHeight="1" x14ac:dyDescent="0.3">
      <c r="A172" s="13">
        <v>21</v>
      </c>
      <c r="B172" s="40" t="s">
        <v>184</v>
      </c>
      <c r="C172" s="18"/>
      <c r="D172" s="19"/>
      <c r="E172" s="19"/>
      <c r="F172" s="19"/>
      <c r="G172" s="192">
        <f>+SUM(F173)</f>
        <v>0</v>
      </c>
      <c r="H172" s="245">
        <f t="shared" si="19"/>
        <v>0</v>
      </c>
      <c r="I172" s="246"/>
      <c r="J172" s="247"/>
      <c r="K172" s="247"/>
      <c r="L172" s="178"/>
      <c r="M172" s="178"/>
      <c r="N172" s="179"/>
    </row>
    <row r="173" spans="1:14" ht="12.75" customHeight="1" x14ac:dyDescent="0.3">
      <c r="A173" s="149">
        <v>21.01</v>
      </c>
      <c r="B173" s="150" t="s">
        <v>185</v>
      </c>
      <c r="C173" s="151" t="s">
        <v>29</v>
      </c>
      <c r="D173" s="152">
        <v>1</v>
      </c>
      <c r="E173" s="184">
        <v>0</v>
      </c>
      <c r="F173" s="181">
        <f t="shared" si="14"/>
        <v>0</v>
      </c>
      <c r="G173" s="182"/>
      <c r="H173" s="245"/>
      <c r="I173" s="250">
        <v>0</v>
      </c>
      <c r="J173" s="250"/>
      <c r="K173" s="251">
        <f t="shared" si="15"/>
        <v>0</v>
      </c>
      <c r="L173" s="50">
        <f t="shared" si="16"/>
        <v>0</v>
      </c>
      <c r="M173" s="50">
        <f t="shared" si="17"/>
        <v>0</v>
      </c>
      <c r="N173" s="50">
        <f t="shared" si="18"/>
        <v>0</v>
      </c>
    </row>
    <row r="174" spans="1:14" ht="12.75" customHeight="1" x14ac:dyDescent="0.3">
      <c r="A174" s="13">
        <v>22</v>
      </c>
      <c r="B174" s="40" t="s">
        <v>186</v>
      </c>
      <c r="C174" s="18"/>
      <c r="D174" s="19"/>
      <c r="E174" s="19"/>
      <c r="F174" s="19"/>
      <c r="G174" s="192">
        <f>+SUM(F175:F176)</f>
        <v>2934560</v>
      </c>
      <c r="H174" s="245">
        <f t="shared" si="19"/>
        <v>3.4734882002910904E-3</v>
      </c>
      <c r="I174" s="246"/>
      <c r="J174" s="247"/>
      <c r="K174" s="247"/>
      <c r="L174" s="178"/>
      <c r="M174" s="178"/>
      <c r="N174" s="179"/>
    </row>
    <row r="175" spans="1:14" ht="12.75" customHeight="1" x14ac:dyDescent="0.3">
      <c r="A175" s="115">
        <v>22.01</v>
      </c>
      <c r="B175" s="131" t="s">
        <v>187</v>
      </c>
      <c r="C175" s="132" t="s">
        <v>33</v>
      </c>
      <c r="D175" s="153">
        <v>8</v>
      </c>
      <c r="E175" s="184">
        <v>91705</v>
      </c>
      <c r="F175" s="183">
        <f t="shared" si="14"/>
        <v>733640</v>
      </c>
      <c r="H175" s="245"/>
      <c r="I175" s="250">
        <v>0</v>
      </c>
      <c r="J175" s="250"/>
      <c r="K175" s="251">
        <f t="shared" si="15"/>
        <v>0</v>
      </c>
      <c r="L175" s="50">
        <f t="shared" si="16"/>
        <v>0</v>
      </c>
      <c r="M175" s="50">
        <f t="shared" si="17"/>
        <v>0</v>
      </c>
      <c r="N175" s="50">
        <f t="shared" si="18"/>
        <v>0</v>
      </c>
    </row>
    <row r="176" spans="1:14" ht="12.75" customHeight="1" x14ac:dyDescent="0.3">
      <c r="A176" s="100">
        <v>22.02</v>
      </c>
      <c r="B176" s="98" t="s">
        <v>188</v>
      </c>
      <c r="C176" s="133" t="s">
        <v>33</v>
      </c>
      <c r="D176" s="153">
        <v>24</v>
      </c>
      <c r="E176" s="184">
        <v>91705</v>
      </c>
      <c r="F176" s="183">
        <f t="shared" si="14"/>
        <v>2200920</v>
      </c>
      <c r="H176" s="245"/>
      <c r="I176" s="250">
        <v>0</v>
      </c>
      <c r="J176" s="250"/>
      <c r="K176" s="251">
        <f t="shared" si="15"/>
        <v>0</v>
      </c>
      <c r="L176" s="50">
        <f t="shared" si="16"/>
        <v>0</v>
      </c>
      <c r="M176" s="50">
        <f t="shared" si="17"/>
        <v>0</v>
      </c>
      <c r="N176" s="50">
        <f t="shared" si="18"/>
        <v>0</v>
      </c>
    </row>
    <row r="177" spans="1:14" ht="12.75" customHeight="1" x14ac:dyDescent="0.3">
      <c r="A177" s="13">
        <v>23</v>
      </c>
      <c r="B177" s="40" t="s">
        <v>189</v>
      </c>
      <c r="C177" s="18"/>
      <c r="D177" s="19"/>
      <c r="E177" s="19"/>
      <c r="F177" s="19"/>
      <c r="G177" s="192">
        <f>+SUM(F178:F181)</f>
        <v>19050437</v>
      </c>
      <c r="H177" s="245">
        <f t="shared" si="19"/>
        <v>2.2549025451818604E-2</v>
      </c>
      <c r="I177" s="246"/>
      <c r="J177" s="247"/>
      <c r="K177" s="247"/>
      <c r="L177" s="178"/>
      <c r="M177" s="178"/>
      <c r="N177" s="179"/>
    </row>
    <row r="178" spans="1:14" ht="12.75" customHeight="1" x14ac:dyDescent="0.3">
      <c r="A178" s="115">
        <v>23.01</v>
      </c>
      <c r="B178" s="21" t="s">
        <v>190</v>
      </c>
      <c r="C178" s="93" t="s">
        <v>29</v>
      </c>
      <c r="D178" s="94">
        <v>6</v>
      </c>
      <c r="E178" s="180">
        <v>259063</v>
      </c>
      <c r="F178" s="180">
        <f t="shared" si="14"/>
        <v>1554378</v>
      </c>
      <c r="G178" s="182"/>
      <c r="H178" s="245"/>
      <c r="I178" s="250">
        <v>0</v>
      </c>
      <c r="J178" s="250"/>
      <c r="K178" s="251">
        <f t="shared" si="15"/>
        <v>0</v>
      </c>
      <c r="L178" s="50">
        <f t="shared" si="16"/>
        <v>0</v>
      </c>
      <c r="M178" s="50">
        <f t="shared" si="17"/>
        <v>0</v>
      </c>
      <c r="N178" s="50">
        <f t="shared" si="18"/>
        <v>0</v>
      </c>
    </row>
    <row r="179" spans="1:14" ht="12.75" customHeight="1" x14ac:dyDescent="0.3">
      <c r="A179" s="100">
        <v>23.02</v>
      </c>
      <c r="B179" s="25" t="s">
        <v>191</v>
      </c>
      <c r="C179" s="30" t="s">
        <v>29</v>
      </c>
      <c r="D179" s="31">
        <v>1</v>
      </c>
      <c r="E179" s="181">
        <v>793947</v>
      </c>
      <c r="F179" s="181">
        <f t="shared" si="14"/>
        <v>793947</v>
      </c>
      <c r="H179" s="245"/>
      <c r="I179" s="250">
        <v>0</v>
      </c>
      <c r="J179" s="250"/>
      <c r="K179" s="251">
        <f t="shared" si="15"/>
        <v>0</v>
      </c>
      <c r="L179" s="50">
        <f t="shared" si="16"/>
        <v>0</v>
      </c>
      <c r="M179" s="50">
        <f t="shared" si="17"/>
        <v>0</v>
      </c>
      <c r="N179" s="50">
        <f t="shared" si="18"/>
        <v>0</v>
      </c>
    </row>
    <row r="180" spans="1:14" ht="12.75" customHeight="1" x14ac:dyDescent="0.3">
      <c r="A180" s="100">
        <v>23.03</v>
      </c>
      <c r="B180" s="25" t="s">
        <v>192</v>
      </c>
      <c r="C180" s="30" t="s">
        <v>19</v>
      </c>
      <c r="D180" s="31">
        <v>26</v>
      </c>
      <c r="E180" s="181">
        <v>27076</v>
      </c>
      <c r="F180" s="181">
        <f t="shared" si="14"/>
        <v>703976</v>
      </c>
      <c r="H180" s="245"/>
      <c r="I180" s="250">
        <v>0</v>
      </c>
      <c r="J180" s="250"/>
      <c r="K180" s="251">
        <f t="shared" si="15"/>
        <v>0</v>
      </c>
      <c r="L180" s="50">
        <f t="shared" si="16"/>
        <v>0</v>
      </c>
      <c r="M180" s="50">
        <f t="shared" si="17"/>
        <v>0</v>
      </c>
      <c r="N180" s="50">
        <f t="shared" si="18"/>
        <v>0</v>
      </c>
    </row>
    <row r="181" spans="1:14" ht="12.75" customHeight="1" x14ac:dyDescent="0.3">
      <c r="A181" s="130">
        <v>23.04</v>
      </c>
      <c r="B181" s="154" t="s">
        <v>193</v>
      </c>
      <c r="C181" s="155" t="s">
        <v>19</v>
      </c>
      <c r="D181" s="102">
        <v>231</v>
      </c>
      <c r="E181" s="189">
        <v>69256</v>
      </c>
      <c r="F181" s="189">
        <f t="shared" si="14"/>
        <v>15998136</v>
      </c>
      <c r="H181" s="245"/>
      <c r="I181" s="250">
        <v>0</v>
      </c>
      <c r="J181" s="250"/>
      <c r="K181" s="251">
        <f t="shared" si="15"/>
        <v>0</v>
      </c>
      <c r="L181" s="50">
        <f t="shared" si="16"/>
        <v>0</v>
      </c>
      <c r="M181" s="50">
        <f t="shared" si="17"/>
        <v>0</v>
      </c>
      <c r="N181" s="50">
        <f t="shared" si="18"/>
        <v>0</v>
      </c>
    </row>
    <row r="182" spans="1:14" ht="12.75" customHeight="1" x14ac:dyDescent="0.3">
      <c r="A182" s="13">
        <v>24</v>
      </c>
      <c r="B182" s="40" t="s">
        <v>194</v>
      </c>
      <c r="C182" s="18"/>
      <c r="D182" s="19"/>
      <c r="E182" s="19"/>
      <c r="F182" s="19"/>
      <c r="G182" s="193">
        <f>+SUM(F183:F191)</f>
        <v>76903896</v>
      </c>
      <c r="H182" s="245">
        <f t="shared" si="19"/>
        <v>9.1027198391722505E-2</v>
      </c>
      <c r="I182" s="246"/>
      <c r="J182" s="247"/>
      <c r="K182" s="247"/>
      <c r="L182" s="178"/>
      <c r="M182" s="178"/>
      <c r="N182" s="179"/>
    </row>
    <row r="183" spans="1:14" ht="12.75" customHeight="1" x14ac:dyDescent="0.3">
      <c r="A183" s="20">
        <v>24.01</v>
      </c>
      <c r="B183" s="156" t="s">
        <v>195</v>
      </c>
      <c r="C183" s="22" t="s">
        <v>196</v>
      </c>
      <c r="D183" s="94">
        <v>17</v>
      </c>
      <c r="E183" s="181">
        <v>973327</v>
      </c>
      <c r="F183" s="181">
        <f t="shared" si="14"/>
        <v>16546559</v>
      </c>
      <c r="H183" s="245"/>
      <c r="I183" s="250">
        <v>0.1</v>
      </c>
      <c r="J183" s="250">
        <v>0.05</v>
      </c>
      <c r="K183" s="251">
        <f t="shared" si="15"/>
        <v>0.15000000000000002</v>
      </c>
      <c r="L183" s="50">
        <f t="shared" si="16"/>
        <v>1654655.9000000001</v>
      </c>
      <c r="M183" s="50">
        <f t="shared" si="17"/>
        <v>827327.95000000007</v>
      </c>
      <c r="N183" s="50">
        <f t="shared" si="18"/>
        <v>2481983.8500000006</v>
      </c>
    </row>
    <row r="184" spans="1:14" ht="12.75" customHeight="1" x14ac:dyDescent="0.3">
      <c r="A184" s="24">
        <v>24.02</v>
      </c>
      <c r="B184" s="157" t="s">
        <v>197</v>
      </c>
      <c r="C184" s="26" t="s">
        <v>196</v>
      </c>
      <c r="D184" s="31">
        <v>4</v>
      </c>
      <c r="E184" s="181">
        <v>2005316</v>
      </c>
      <c r="F184" s="181">
        <f t="shared" si="14"/>
        <v>8021264</v>
      </c>
      <c r="H184" s="245"/>
      <c r="I184" s="250">
        <v>0.5</v>
      </c>
      <c r="J184" s="250">
        <v>0.25</v>
      </c>
      <c r="K184" s="251">
        <f t="shared" si="15"/>
        <v>0.75</v>
      </c>
      <c r="L184" s="50">
        <f t="shared" si="16"/>
        <v>4010632</v>
      </c>
      <c r="M184" s="50">
        <f t="shared" si="17"/>
        <v>2005316</v>
      </c>
      <c r="N184" s="50">
        <f t="shared" si="18"/>
        <v>6015948</v>
      </c>
    </row>
    <row r="185" spans="1:14" ht="12.75" customHeight="1" x14ac:dyDescent="0.3">
      <c r="A185" s="24">
        <v>24.03</v>
      </c>
      <c r="B185" s="158" t="s">
        <v>198</v>
      </c>
      <c r="C185" s="26" t="s">
        <v>196</v>
      </c>
      <c r="D185" s="31">
        <v>17</v>
      </c>
      <c r="E185" s="181">
        <v>199910</v>
      </c>
      <c r="F185" s="181">
        <f t="shared" si="14"/>
        <v>3398470</v>
      </c>
      <c r="H185" s="245"/>
      <c r="I185" s="250">
        <v>0.1</v>
      </c>
      <c r="J185" s="250">
        <v>0.05</v>
      </c>
      <c r="K185" s="251">
        <f t="shared" si="15"/>
        <v>0.15000000000000002</v>
      </c>
      <c r="L185" s="50">
        <f t="shared" si="16"/>
        <v>339847</v>
      </c>
      <c r="M185" s="50">
        <f t="shared" si="17"/>
        <v>169923.5</v>
      </c>
      <c r="N185" s="50">
        <f t="shared" si="18"/>
        <v>509770.50000000006</v>
      </c>
    </row>
    <row r="186" spans="1:14" ht="12.75" customHeight="1" x14ac:dyDescent="0.3">
      <c r="A186" s="24">
        <v>24.04</v>
      </c>
      <c r="B186" s="158" t="s">
        <v>199</v>
      </c>
      <c r="C186" s="26" t="s">
        <v>29</v>
      </c>
      <c r="D186" s="27">
        <v>1</v>
      </c>
      <c r="E186" s="181">
        <v>6284456</v>
      </c>
      <c r="F186" s="181">
        <f t="shared" si="14"/>
        <v>6284456</v>
      </c>
      <c r="H186" s="245"/>
      <c r="I186" s="250">
        <v>0</v>
      </c>
      <c r="J186" s="250"/>
      <c r="K186" s="251">
        <f t="shared" si="15"/>
        <v>0</v>
      </c>
      <c r="L186" s="50">
        <f t="shared" si="16"/>
        <v>0</v>
      </c>
      <c r="M186" s="50">
        <f t="shared" si="17"/>
        <v>0</v>
      </c>
      <c r="N186" s="50">
        <f t="shared" si="18"/>
        <v>0</v>
      </c>
    </row>
    <row r="187" spans="1:14" ht="12.75" customHeight="1" x14ac:dyDescent="0.3">
      <c r="A187" s="24">
        <v>24.05</v>
      </c>
      <c r="B187" s="158" t="s">
        <v>200</v>
      </c>
      <c r="C187" s="159" t="s">
        <v>196</v>
      </c>
      <c r="D187" s="31">
        <v>17</v>
      </c>
      <c r="E187" s="181">
        <v>873895</v>
      </c>
      <c r="F187" s="181">
        <f t="shared" si="14"/>
        <v>14856215</v>
      </c>
      <c r="G187" s="194"/>
      <c r="H187" s="245"/>
      <c r="I187" s="250">
        <v>0</v>
      </c>
      <c r="J187" s="250">
        <v>0.05</v>
      </c>
      <c r="K187" s="251">
        <f t="shared" si="15"/>
        <v>0.05</v>
      </c>
      <c r="L187" s="50">
        <f t="shared" si="16"/>
        <v>0</v>
      </c>
      <c r="M187" s="50">
        <f t="shared" si="17"/>
        <v>742810.75</v>
      </c>
      <c r="N187" s="50">
        <f t="shared" si="18"/>
        <v>742810.75</v>
      </c>
    </row>
    <row r="188" spans="1:14" ht="12.75" customHeight="1" x14ac:dyDescent="0.3">
      <c r="A188" s="24">
        <v>24.06</v>
      </c>
      <c r="B188" s="158" t="s">
        <v>201</v>
      </c>
      <c r="C188" s="159" t="s">
        <v>196</v>
      </c>
      <c r="D188" s="31">
        <v>17</v>
      </c>
      <c r="E188" s="181">
        <v>577178</v>
      </c>
      <c r="F188" s="181">
        <f t="shared" si="14"/>
        <v>9812026</v>
      </c>
      <c r="G188" s="194"/>
      <c r="H188" s="245"/>
      <c r="I188" s="250">
        <v>0</v>
      </c>
      <c r="J188" s="250">
        <v>0.05</v>
      </c>
      <c r="K188" s="251">
        <f t="shared" si="15"/>
        <v>0.05</v>
      </c>
      <c r="L188" s="50">
        <f t="shared" si="16"/>
        <v>0</v>
      </c>
      <c r="M188" s="50">
        <f t="shared" si="17"/>
        <v>490601.30000000005</v>
      </c>
      <c r="N188" s="50">
        <f t="shared" si="18"/>
        <v>490601.30000000005</v>
      </c>
    </row>
    <row r="189" spans="1:14" ht="12.75" customHeight="1" x14ac:dyDescent="0.3">
      <c r="A189" s="24">
        <v>24.07</v>
      </c>
      <c r="B189" s="158" t="s">
        <v>202</v>
      </c>
      <c r="C189" s="159" t="s">
        <v>29</v>
      </c>
      <c r="D189" s="27">
        <v>1</v>
      </c>
      <c r="E189" s="181">
        <v>5277814</v>
      </c>
      <c r="F189" s="181">
        <f t="shared" si="14"/>
        <v>5277814</v>
      </c>
      <c r="G189" s="194"/>
      <c r="H189" s="245"/>
      <c r="I189" s="250">
        <v>0</v>
      </c>
      <c r="J189" s="250"/>
      <c r="K189" s="251">
        <f t="shared" si="15"/>
        <v>0</v>
      </c>
      <c r="L189" s="50">
        <f t="shared" si="16"/>
        <v>0</v>
      </c>
      <c r="M189" s="50">
        <f t="shared" si="17"/>
        <v>0</v>
      </c>
      <c r="N189" s="50">
        <f t="shared" si="18"/>
        <v>0</v>
      </c>
    </row>
    <row r="190" spans="1:14" ht="12.75" customHeight="1" x14ac:dyDescent="0.3">
      <c r="A190" s="24">
        <v>24.08</v>
      </c>
      <c r="B190" s="158" t="s">
        <v>203</v>
      </c>
      <c r="C190" s="159" t="s">
        <v>196</v>
      </c>
      <c r="D190" s="31">
        <v>17</v>
      </c>
      <c r="E190" s="181">
        <v>399819</v>
      </c>
      <c r="F190" s="181">
        <f t="shared" si="14"/>
        <v>6796923</v>
      </c>
      <c r="G190" s="194"/>
      <c r="H190" s="245"/>
      <c r="I190" s="250">
        <v>0.06</v>
      </c>
      <c r="J190" s="250">
        <v>0.03</v>
      </c>
      <c r="K190" s="251">
        <f t="shared" si="15"/>
        <v>0.09</v>
      </c>
      <c r="L190" s="50">
        <f t="shared" si="16"/>
        <v>407815.38</v>
      </c>
      <c r="M190" s="50">
        <f t="shared" si="17"/>
        <v>203907.69</v>
      </c>
      <c r="N190" s="50">
        <f t="shared" si="18"/>
        <v>611723.06999999995</v>
      </c>
    </row>
    <row r="191" spans="1:14" ht="12.75" customHeight="1" x14ac:dyDescent="0.3">
      <c r="A191" s="24">
        <v>24.09</v>
      </c>
      <c r="B191" s="160" t="s">
        <v>204</v>
      </c>
      <c r="C191" s="161" t="s">
        <v>196</v>
      </c>
      <c r="D191" s="31">
        <v>17</v>
      </c>
      <c r="E191" s="189">
        <v>347657</v>
      </c>
      <c r="F191" s="189">
        <f t="shared" si="14"/>
        <v>5910169</v>
      </c>
      <c r="G191" s="194"/>
      <c r="H191" s="245"/>
      <c r="I191" s="250">
        <v>0.03</v>
      </c>
      <c r="J191" s="250"/>
      <c r="K191" s="251">
        <f t="shared" si="15"/>
        <v>0.03</v>
      </c>
      <c r="L191" s="50">
        <f t="shared" si="16"/>
        <v>177305.07</v>
      </c>
      <c r="M191" s="50">
        <f t="shared" si="17"/>
        <v>0</v>
      </c>
      <c r="N191" s="50">
        <f t="shared" si="18"/>
        <v>177305.07</v>
      </c>
    </row>
    <row r="192" spans="1:14" ht="12.75" customHeight="1" x14ac:dyDescent="0.3">
      <c r="A192" s="13">
        <v>25</v>
      </c>
      <c r="B192" s="40" t="s">
        <v>205</v>
      </c>
      <c r="C192" s="18"/>
      <c r="D192" s="19"/>
      <c r="E192" s="19"/>
      <c r="F192" s="19"/>
      <c r="G192" s="193">
        <f>+SUM(F193:F194)</f>
        <v>110386593</v>
      </c>
      <c r="H192" s="245">
        <f t="shared" si="19"/>
        <v>0.13065894998086086</v>
      </c>
      <c r="I192" s="246"/>
      <c r="J192" s="247"/>
      <c r="K192" s="247"/>
      <c r="L192" s="178"/>
      <c r="M192" s="178"/>
      <c r="N192" s="179"/>
    </row>
    <row r="193" spans="1:14" ht="12.75" customHeight="1" x14ac:dyDescent="0.3">
      <c r="A193" s="20">
        <v>25.01</v>
      </c>
      <c r="B193" s="21" t="s">
        <v>206</v>
      </c>
      <c r="C193" s="93" t="s">
        <v>196</v>
      </c>
      <c r="D193" s="94">
        <v>17</v>
      </c>
      <c r="E193" s="184">
        <v>5826965</v>
      </c>
      <c r="F193" s="183">
        <f t="shared" si="14"/>
        <v>99058405</v>
      </c>
      <c r="G193" s="195"/>
      <c r="H193" s="245"/>
      <c r="I193" s="250">
        <v>0.1</v>
      </c>
      <c r="J193" s="250">
        <v>0.05</v>
      </c>
      <c r="K193" s="251">
        <f t="shared" si="15"/>
        <v>0.15000000000000002</v>
      </c>
      <c r="L193" s="50">
        <f t="shared" si="16"/>
        <v>9905840.5</v>
      </c>
      <c r="M193" s="50">
        <f t="shared" si="17"/>
        <v>4952920.25</v>
      </c>
      <c r="N193" s="50">
        <f t="shared" si="18"/>
        <v>14858760.750000002</v>
      </c>
    </row>
    <row r="194" spans="1:14" ht="12.75" customHeight="1" x14ac:dyDescent="0.3">
      <c r="A194" s="33">
        <v>25.02</v>
      </c>
      <c r="B194" s="38" t="s">
        <v>207</v>
      </c>
      <c r="C194" s="34" t="s">
        <v>196</v>
      </c>
      <c r="D194" s="35">
        <v>17</v>
      </c>
      <c r="E194" s="184">
        <v>666364</v>
      </c>
      <c r="F194" s="181">
        <f t="shared" si="14"/>
        <v>11328188</v>
      </c>
      <c r="G194" s="196"/>
      <c r="H194" s="245"/>
      <c r="I194" s="255">
        <v>0.1</v>
      </c>
      <c r="J194" s="255">
        <v>0.05</v>
      </c>
      <c r="K194" s="256">
        <f t="shared" si="15"/>
        <v>0.15000000000000002</v>
      </c>
      <c r="L194" s="257">
        <f t="shared" si="16"/>
        <v>1132818.8</v>
      </c>
      <c r="M194" s="257">
        <f t="shared" si="17"/>
        <v>566409.4</v>
      </c>
      <c r="N194" s="257">
        <f t="shared" si="18"/>
        <v>1699228.2000000002</v>
      </c>
    </row>
    <row r="195" spans="1:14" ht="12.75" customHeight="1" x14ac:dyDescent="0.3">
      <c r="A195" s="13"/>
      <c r="B195" s="40" t="s">
        <v>208</v>
      </c>
      <c r="C195" s="18"/>
      <c r="D195" s="19"/>
      <c r="E195" s="19"/>
      <c r="F195" s="197">
        <f>SUM(F9:F194)</f>
        <v>844845248</v>
      </c>
      <c r="G195" s="192">
        <f>SUM(G9:G194)</f>
        <v>844845248</v>
      </c>
      <c r="H195" s="245">
        <f>+SUM(H9:H194)</f>
        <v>0.99999999999999978</v>
      </c>
      <c r="I195" s="258"/>
      <c r="J195" s="259"/>
      <c r="K195" s="259"/>
      <c r="L195" s="260">
        <f>+SUM(L10:L194)</f>
        <v>17628914.650000002</v>
      </c>
      <c r="M195" s="290">
        <f>+SUM(M10:M194)</f>
        <v>9959216.8400000017</v>
      </c>
      <c r="N195" s="261">
        <f>+SUM(N10:N194)</f>
        <v>27588131.490000006</v>
      </c>
    </row>
    <row r="196" spans="1:14" s="41" customFormat="1" ht="13" x14ac:dyDescent="0.3">
      <c r="A196" s="43"/>
      <c r="B196" s="44"/>
      <c r="C196" s="45"/>
      <c r="D196" s="46"/>
      <c r="E196" s="198"/>
      <c r="F196" s="198"/>
      <c r="G196" s="199"/>
      <c r="H196" s="177"/>
      <c r="I196" s="200"/>
      <c r="J196" s="200"/>
      <c r="K196" s="200"/>
      <c r="L196" s="200"/>
      <c r="M196" s="287">
        <f>+M195/G195</f>
        <v>1.1788214307385206E-2</v>
      </c>
      <c r="N196" s="254">
        <f>+N195/G195</f>
        <v>3.2654656643106322E-2</v>
      </c>
    </row>
    <row r="197" spans="1:14" s="41" customFormat="1" ht="13" x14ac:dyDescent="0.3">
      <c r="A197" s="42"/>
      <c r="B197" s="88"/>
      <c r="C197" s="89"/>
      <c r="D197" s="9"/>
      <c r="E197" s="201"/>
      <c r="F197" s="201"/>
      <c r="G197" s="166"/>
      <c r="H197" s="177"/>
      <c r="I197" s="200"/>
      <c r="J197" s="200"/>
      <c r="K197" s="200"/>
      <c r="L197" s="200"/>
      <c r="M197" s="51"/>
      <c r="N197" s="51"/>
    </row>
    <row r="198" spans="1:14" ht="12.75" customHeight="1" x14ac:dyDescent="0.3">
      <c r="A198" s="39"/>
      <c r="B198" s="47"/>
      <c r="D198" s="48"/>
      <c r="E198" s="9"/>
      <c r="F198" s="9"/>
      <c r="G198" s="202"/>
      <c r="I198" s="200"/>
      <c r="J198" s="200"/>
      <c r="K198" s="200"/>
      <c r="L198" s="200"/>
      <c r="M198" s="51"/>
      <c r="N198" s="51"/>
    </row>
    <row r="199" spans="1:14" ht="12.75" customHeight="1" x14ac:dyDescent="0.3">
      <c r="A199" s="52"/>
      <c r="B199" s="53" t="s">
        <v>209</v>
      </c>
      <c r="C199" s="54"/>
      <c r="D199" s="55"/>
      <c r="E199" s="203"/>
      <c r="F199" s="204"/>
      <c r="G199" s="205"/>
      <c r="H199" s="205"/>
      <c r="I199" s="204"/>
      <c r="J199" s="206"/>
      <c r="K199" s="207" t="s">
        <v>210</v>
      </c>
      <c r="L199" s="208">
        <f>+J5</f>
        <v>3</v>
      </c>
      <c r="M199" s="209"/>
      <c r="N199" s="57">
        <f>+N5</f>
        <v>45808</v>
      </c>
    </row>
    <row r="200" spans="1:14" ht="12.75" customHeight="1" x14ac:dyDescent="0.3">
      <c r="A200" s="58"/>
      <c r="B200" s="53" t="s">
        <v>9</v>
      </c>
      <c r="C200" s="56"/>
      <c r="D200" s="59"/>
      <c r="E200" s="211"/>
      <c r="F200" s="205"/>
      <c r="G200" s="205"/>
      <c r="H200" s="205"/>
      <c r="I200" s="205"/>
      <c r="J200" s="209"/>
      <c r="K200" s="205"/>
      <c r="L200" s="205"/>
      <c r="M200" s="209" t="s">
        <v>211</v>
      </c>
      <c r="N200" s="210" t="s">
        <v>212</v>
      </c>
    </row>
    <row r="201" spans="1:14" ht="12.75" customHeight="1" x14ac:dyDescent="0.3">
      <c r="A201" s="60" t="s">
        <v>213</v>
      </c>
      <c r="B201" s="61" t="s">
        <v>214</v>
      </c>
      <c r="C201" s="60"/>
      <c r="D201" s="62"/>
      <c r="E201" s="212"/>
      <c r="F201" s="213"/>
      <c r="G201" s="214"/>
      <c r="H201" s="214"/>
      <c r="I201" s="213"/>
      <c r="J201" s="215"/>
      <c r="K201" s="213"/>
      <c r="L201" s="213"/>
      <c r="M201" s="213"/>
      <c r="N201" s="63">
        <f>+G195</f>
        <v>844845248</v>
      </c>
    </row>
    <row r="202" spans="1:14" ht="12.75" customHeight="1" x14ac:dyDescent="0.3">
      <c r="A202" s="64" t="s">
        <v>215</v>
      </c>
      <c r="B202" s="65" t="s">
        <v>216</v>
      </c>
      <c r="C202" s="66"/>
      <c r="D202" s="67"/>
      <c r="E202" s="216"/>
      <c r="F202" s="217"/>
      <c r="G202" s="218"/>
      <c r="H202" s="218"/>
      <c r="I202" s="217"/>
      <c r="J202" s="219"/>
      <c r="K202" s="217"/>
      <c r="L202" s="217"/>
      <c r="M202" s="236">
        <v>0.1</v>
      </c>
      <c r="N202" s="220">
        <f>+M202*N201</f>
        <v>84484524.800000012</v>
      </c>
    </row>
    <row r="203" spans="1:14" ht="12.75" customHeight="1" x14ac:dyDescent="0.3">
      <c r="A203" s="68" t="s">
        <v>217</v>
      </c>
      <c r="B203" s="69" t="s">
        <v>218</v>
      </c>
      <c r="C203" s="70"/>
      <c r="D203" s="71"/>
      <c r="E203" s="221"/>
      <c r="F203" s="222"/>
      <c r="G203" s="223"/>
      <c r="H203" s="223"/>
      <c r="I203" s="222"/>
      <c r="J203" s="224"/>
      <c r="K203" s="222"/>
      <c r="L203" s="222"/>
      <c r="M203" s="237"/>
      <c r="N203" s="225">
        <f>+M195</f>
        <v>9959216.8400000017</v>
      </c>
    </row>
    <row r="204" spans="1:14" ht="12.75" customHeight="1" x14ac:dyDescent="0.3">
      <c r="A204" s="64" t="s">
        <v>219</v>
      </c>
      <c r="B204" s="65" t="s">
        <v>220</v>
      </c>
      <c r="C204" s="66"/>
      <c r="D204" s="67"/>
      <c r="E204" s="216"/>
      <c r="F204" s="217"/>
      <c r="G204" s="218"/>
      <c r="H204" s="218"/>
      <c r="I204" s="217"/>
      <c r="J204" s="219"/>
      <c r="K204" s="217"/>
      <c r="L204" s="217"/>
      <c r="M204" s="238">
        <f>-M202</f>
        <v>-0.1</v>
      </c>
      <c r="N204" s="241">
        <f>+M204*N203</f>
        <v>-995921.68400000024</v>
      </c>
    </row>
    <row r="205" spans="1:14" ht="12.75" customHeight="1" x14ac:dyDescent="0.3">
      <c r="A205" s="72" t="s">
        <v>221</v>
      </c>
      <c r="B205" s="73" t="s">
        <v>222</v>
      </c>
      <c r="C205" s="74"/>
      <c r="D205" s="75"/>
      <c r="E205" s="226"/>
      <c r="F205" s="223"/>
      <c r="G205" s="223"/>
      <c r="H205" s="223"/>
      <c r="I205" s="223" t="s">
        <v>223</v>
      </c>
      <c r="J205" s="227" t="s">
        <v>230</v>
      </c>
      <c r="K205" s="223"/>
      <c r="L205" s="223"/>
      <c r="M205" s="239"/>
      <c r="N205" s="242">
        <f>+N203+N204</f>
        <v>8963295.1560000014</v>
      </c>
    </row>
    <row r="206" spans="1:14" ht="12.75" customHeight="1" x14ac:dyDescent="0.3">
      <c r="A206" s="76" t="s">
        <v>225</v>
      </c>
      <c r="B206" s="77" t="s">
        <v>226</v>
      </c>
      <c r="C206" s="78"/>
      <c r="D206" s="79"/>
      <c r="E206" s="228"/>
      <c r="F206" s="229"/>
      <c r="G206" s="230"/>
      <c r="H206" s="229"/>
      <c r="I206" s="80">
        <v>15356.4</v>
      </c>
      <c r="J206" s="80">
        <v>16253.5</v>
      </c>
      <c r="K206" s="230"/>
      <c r="L206" s="80">
        <f>J206/I206</f>
        <v>1.0584186397853663</v>
      </c>
      <c r="M206" s="240">
        <f>L206-1</f>
        <v>5.8418639785366322E-2</v>
      </c>
      <c r="N206" s="243">
        <f>N205*M206</f>
        <v>523623.51100828289</v>
      </c>
    </row>
    <row r="207" spans="1:14" ht="12.75" customHeight="1" x14ac:dyDescent="0.3">
      <c r="A207" s="81" t="s">
        <v>227</v>
      </c>
      <c r="B207" s="82" t="s">
        <v>228</v>
      </c>
      <c r="C207" s="83"/>
      <c r="D207" s="84"/>
      <c r="E207" s="232"/>
      <c r="F207" s="233"/>
      <c r="G207" s="233"/>
      <c r="H207" s="233"/>
      <c r="I207" s="233"/>
      <c r="J207" s="234"/>
      <c r="K207" s="233"/>
      <c r="L207" s="233"/>
      <c r="M207" s="233"/>
      <c r="N207" s="244">
        <f>N205+N206</f>
        <v>9486918.6670082845</v>
      </c>
    </row>
    <row r="208" spans="1:14" ht="12.75" customHeight="1" x14ac:dyDescent="0.3">
      <c r="C208" s="85"/>
      <c r="H208" s="235"/>
      <c r="I208" s="235"/>
      <c r="J208" s="235"/>
      <c r="K208" s="235"/>
      <c r="L208" s="235"/>
      <c r="M208" s="235"/>
      <c r="N208" s="235"/>
    </row>
  </sheetData>
  <mergeCells count="2">
    <mergeCell ref="I7:K7"/>
    <mergeCell ref="L7:N7"/>
  </mergeCells>
  <conditionalFormatting sqref="C3:C197">
    <cfRule type="cellIs" dxfId="51" priority="2" operator="equal">
      <formula>"x"</formula>
    </cfRule>
  </conditionalFormatting>
  <conditionalFormatting sqref="K10:K23 K25:K31 K33 K35:K40 K42:K49 K51:K53 K55:K58 K60:K70 K72:K74 K76:K79 K81:K87 K89:K100 K102 K104:K107 K109:K141 K144:K146 K148:K150 K152:K156 K158 K160:K161 K163 K165:K168 K170:K171 K173 K175:K176 K178:K181 K183:K191 K193:K194">
    <cfRule type="cellIs" dxfId="50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BE617-4AD8-4695-8F5A-5DB9B20D403C}">
  <dimension ref="A1:N208"/>
  <sheetViews>
    <sheetView topLeftCell="A171" zoomScaleNormal="100" workbookViewId="0">
      <selection activeCell="M195" sqref="M195"/>
    </sheetView>
  </sheetViews>
  <sheetFormatPr defaultColWidth="11.54296875" defaultRowHeight="12.75" customHeight="1" x14ac:dyDescent="0.3"/>
  <cols>
    <col min="1" max="1" width="7" style="1" bestFit="1" customWidth="1"/>
    <col min="2" max="2" width="56.36328125" style="2" customWidth="1"/>
    <col min="3" max="3" width="4.08984375" style="3" bestFit="1" customWidth="1"/>
    <col min="4" max="4" width="7" style="4" bestFit="1" customWidth="1"/>
    <col min="5" max="5" width="14.36328125" style="86" bestFit="1" customWidth="1"/>
    <col min="6" max="6" width="15.6328125" style="86" bestFit="1" customWidth="1"/>
    <col min="7" max="7" width="14.6328125" style="87" bestFit="1" customWidth="1"/>
    <col min="8" max="8" width="8.54296875" style="92" bestFit="1" customWidth="1"/>
    <col min="9" max="9" width="14" style="92" bestFit="1" customWidth="1"/>
    <col min="10" max="10" width="12.08984375" style="92" customWidth="1"/>
    <col min="11" max="11" width="11.36328125" style="92" bestFit="1" customWidth="1"/>
    <col min="12" max="12" width="13.36328125" style="92" customWidth="1"/>
    <col min="13" max="13" width="12.453125" style="92" bestFit="1" customWidth="1"/>
    <col min="14" max="14" width="15.6328125" style="92" customWidth="1"/>
    <col min="15" max="15" width="12.08984375" style="5" customWidth="1"/>
    <col min="16" max="16384" width="11.54296875" style="5"/>
  </cols>
  <sheetData>
    <row r="1" spans="1:14" ht="12.75" customHeight="1" x14ac:dyDescent="0.3">
      <c r="F1" s="162" t="s">
        <v>0</v>
      </c>
      <c r="G1" s="162" t="s">
        <v>1</v>
      </c>
    </row>
    <row r="2" spans="1:14" ht="13" x14ac:dyDescent="0.3">
      <c r="F2" s="163">
        <v>1066.5</v>
      </c>
      <c r="G2" s="163">
        <v>1170</v>
      </c>
    </row>
    <row r="3" spans="1:14" s="10" customFormat="1" ht="13" x14ac:dyDescent="0.25">
      <c r="A3" s="6"/>
      <c r="B3" s="7"/>
      <c r="C3" s="8"/>
      <c r="D3" s="9"/>
      <c r="E3" s="9"/>
      <c r="F3" s="9"/>
      <c r="G3" s="164"/>
      <c r="H3" s="165"/>
      <c r="I3" s="165"/>
      <c r="J3" s="165"/>
      <c r="K3" s="165"/>
      <c r="L3" s="165"/>
      <c r="M3" s="165"/>
      <c r="N3" s="165"/>
    </row>
    <row r="4" spans="1:14" s="10" customFormat="1" ht="13" x14ac:dyDescent="0.25">
      <c r="A4" s="6"/>
      <c r="B4" s="7"/>
      <c r="C4" s="8"/>
      <c r="D4" s="9"/>
      <c r="E4" s="9"/>
      <c r="F4" s="166">
        <v>45667</v>
      </c>
      <c r="G4" s="164"/>
      <c r="H4" s="165"/>
      <c r="I4" s="165"/>
      <c r="J4" s="165"/>
      <c r="K4" s="165"/>
      <c r="L4" s="165"/>
      <c r="M4" s="165"/>
      <c r="N4" s="165"/>
    </row>
    <row r="5" spans="1:14" s="10" customFormat="1" ht="13" x14ac:dyDescent="0.3">
      <c r="A5" s="6"/>
      <c r="B5" s="90" t="s">
        <v>2</v>
      </c>
      <c r="C5" s="8"/>
      <c r="D5" s="9"/>
      <c r="E5" s="167"/>
      <c r="F5" s="167"/>
      <c r="G5" s="164"/>
      <c r="H5" s="165"/>
      <c r="I5" s="168" t="s">
        <v>3</v>
      </c>
      <c r="J5" s="169">
        <v>4</v>
      </c>
      <c r="K5" s="170"/>
      <c r="L5" s="170"/>
      <c r="M5" s="171"/>
      <c r="N5" s="49">
        <v>45838</v>
      </c>
    </row>
    <row r="6" spans="1:14" s="10" customFormat="1" ht="13" x14ac:dyDescent="0.25">
      <c r="A6" s="6"/>
      <c r="B6" s="90" t="s">
        <v>4</v>
      </c>
      <c r="C6" s="8"/>
      <c r="D6" s="9"/>
      <c r="E6" s="172"/>
      <c r="F6" s="172"/>
      <c r="G6" s="164"/>
      <c r="H6" s="165"/>
      <c r="I6" s="165"/>
      <c r="J6" s="165"/>
      <c r="K6" s="165"/>
      <c r="L6" s="165"/>
      <c r="M6" s="165"/>
      <c r="N6" s="165"/>
    </row>
    <row r="7" spans="1:14" s="10" customFormat="1" ht="13" x14ac:dyDescent="0.25">
      <c r="A7" s="6"/>
      <c r="B7" s="91" t="s">
        <v>5</v>
      </c>
      <c r="C7" s="11"/>
      <c r="D7" s="12"/>
      <c r="E7" s="173"/>
      <c r="F7" s="172"/>
      <c r="G7" s="164"/>
      <c r="H7" s="165"/>
      <c r="I7" s="330" t="s">
        <v>6</v>
      </c>
      <c r="J7" s="330"/>
      <c r="K7" s="330"/>
      <c r="L7" s="330" t="s">
        <v>7</v>
      </c>
      <c r="M7" s="330"/>
      <c r="N7" s="330"/>
    </row>
    <row r="8" spans="1:14" ht="13" x14ac:dyDescent="0.3">
      <c r="A8" s="13" t="s">
        <v>8</v>
      </c>
      <c r="B8" s="14" t="s">
        <v>9</v>
      </c>
      <c r="C8" s="15" t="s">
        <v>10</v>
      </c>
      <c r="D8" s="16" t="s">
        <v>11</v>
      </c>
      <c r="E8" s="175" t="s">
        <v>12</v>
      </c>
      <c r="F8" s="175" t="s">
        <v>13</v>
      </c>
      <c r="I8" s="174" t="s">
        <v>14</v>
      </c>
      <c r="J8" s="174" t="s">
        <v>15</v>
      </c>
      <c r="K8" s="174" t="s">
        <v>16</v>
      </c>
      <c r="L8" s="174" t="s">
        <v>14</v>
      </c>
      <c r="M8" s="174" t="s">
        <v>15</v>
      </c>
      <c r="N8" s="174" t="s">
        <v>16</v>
      </c>
    </row>
    <row r="9" spans="1:14" ht="12.75" customHeight="1" x14ac:dyDescent="0.3">
      <c r="A9" s="13">
        <v>4</v>
      </c>
      <c r="B9" s="17" t="s">
        <v>17</v>
      </c>
      <c r="C9" s="18"/>
      <c r="D9" s="19"/>
      <c r="E9" s="19"/>
      <c r="F9" s="19"/>
      <c r="G9" s="176">
        <f>+SUM(F10:F23)</f>
        <v>51045774</v>
      </c>
      <c r="H9" s="245">
        <f>+G9/$G$195</f>
        <v>6.0420265274428106E-2</v>
      </c>
      <c r="I9" s="246"/>
      <c r="J9" s="247"/>
      <c r="K9" s="247"/>
      <c r="L9" s="178"/>
      <c r="M9" s="178"/>
      <c r="N9" s="179"/>
    </row>
    <row r="10" spans="1:14" ht="12.75" customHeight="1" x14ac:dyDescent="0.3">
      <c r="A10" s="20">
        <v>4.01</v>
      </c>
      <c r="B10" s="21" t="s">
        <v>18</v>
      </c>
      <c r="C10" s="93" t="s">
        <v>19</v>
      </c>
      <c r="D10" s="94">
        <v>621</v>
      </c>
      <c r="E10" s="180">
        <v>22140</v>
      </c>
      <c r="F10" s="181">
        <f t="shared" ref="F10:F73" si="0">+E10*D10</f>
        <v>13748940</v>
      </c>
      <c r="G10" s="182"/>
      <c r="H10" s="245"/>
      <c r="I10" s="248">
        <v>0</v>
      </c>
      <c r="J10" s="248"/>
      <c r="K10" s="249">
        <f t="shared" ref="K10:K73" si="1">+I10+J10</f>
        <v>0</v>
      </c>
      <c r="L10" s="50">
        <f t="shared" ref="L10:L73" si="2">+F10*I10</f>
        <v>0</v>
      </c>
      <c r="M10" s="50">
        <f t="shared" ref="M10:M73" si="3">+F10*J10</f>
        <v>0</v>
      </c>
      <c r="N10" s="50">
        <f t="shared" ref="N10:N73" si="4">+F10*K10</f>
        <v>0</v>
      </c>
    </row>
    <row r="11" spans="1:14" ht="12.75" customHeight="1" x14ac:dyDescent="0.3">
      <c r="A11" s="24">
        <v>4.0199999999999996</v>
      </c>
      <c r="B11" s="95" t="s">
        <v>20</v>
      </c>
      <c r="C11" s="30" t="s">
        <v>19</v>
      </c>
      <c r="D11" s="31">
        <v>780</v>
      </c>
      <c r="E11" s="183">
        <v>24437</v>
      </c>
      <c r="F11" s="181">
        <f t="shared" si="0"/>
        <v>19060860</v>
      </c>
      <c r="G11" s="182"/>
      <c r="H11" s="245"/>
      <c r="I11" s="250">
        <v>0</v>
      </c>
      <c r="J11" s="250"/>
      <c r="K11" s="251">
        <f t="shared" si="1"/>
        <v>0</v>
      </c>
      <c r="L11" s="50">
        <f t="shared" si="2"/>
        <v>0</v>
      </c>
      <c r="M11" s="50">
        <f t="shared" si="3"/>
        <v>0</v>
      </c>
      <c r="N11" s="50">
        <f t="shared" si="4"/>
        <v>0</v>
      </c>
    </row>
    <row r="12" spans="1:14" ht="12.75" customHeight="1" x14ac:dyDescent="0.3">
      <c r="A12" s="24">
        <v>4.03</v>
      </c>
      <c r="B12" s="25" t="s">
        <v>21</v>
      </c>
      <c r="C12" s="30" t="s">
        <v>19</v>
      </c>
      <c r="D12" s="31">
        <v>56</v>
      </c>
      <c r="E12" s="183">
        <v>23248</v>
      </c>
      <c r="F12" s="181">
        <f t="shared" si="0"/>
        <v>1301888</v>
      </c>
      <c r="G12" s="182"/>
      <c r="H12" s="245"/>
      <c r="I12" s="250">
        <v>0</v>
      </c>
      <c r="J12" s="250"/>
      <c r="K12" s="251">
        <f t="shared" si="1"/>
        <v>0</v>
      </c>
      <c r="L12" s="50">
        <f t="shared" si="2"/>
        <v>0</v>
      </c>
      <c r="M12" s="50">
        <f t="shared" si="3"/>
        <v>0</v>
      </c>
      <c r="N12" s="50">
        <f t="shared" si="4"/>
        <v>0</v>
      </c>
    </row>
    <row r="13" spans="1:14" ht="12.75" customHeight="1" x14ac:dyDescent="0.3">
      <c r="A13" s="24">
        <v>4.04</v>
      </c>
      <c r="B13" s="25" t="s">
        <v>22</v>
      </c>
      <c r="C13" s="30" t="s">
        <v>19</v>
      </c>
      <c r="D13" s="31">
        <v>42</v>
      </c>
      <c r="E13" s="183">
        <v>28746</v>
      </c>
      <c r="F13" s="181">
        <f t="shared" si="0"/>
        <v>1207332</v>
      </c>
      <c r="G13" s="182"/>
      <c r="H13" s="245"/>
      <c r="I13" s="250">
        <v>0</v>
      </c>
      <c r="J13" s="250"/>
      <c r="K13" s="251">
        <f t="shared" si="1"/>
        <v>0</v>
      </c>
      <c r="L13" s="50">
        <f t="shared" si="2"/>
        <v>0</v>
      </c>
      <c r="M13" s="50">
        <f t="shared" si="3"/>
        <v>0</v>
      </c>
      <c r="N13" s="50">
        <f t="shared" si="4"/>
        <v>0</v>
      </c>
    </row>
    <row r="14" spans="1:14" ht="12.75" customHeight="1" x14ac:dyDescent="0.3">
      <c r="A14" s="24">
        <v>4.05</v>
      </c>
      <c r="B14" s="25" t="s">
        <v>23</v>
      </c>
      <c r="C14" s="30" t="s">
        <v>19</v>
      </c>
      <c r="D14" s="31">
        <v>70</v>
      </c>
      <c r="E14" s="183">
        <v>36933</v>
      </c>
      <c r="F14" s="181">
        <f t="shared" si="0"/>
        <v>2585310</v>
      </c>
      <c r="G14" s="182"/>
      <c r="H14" s="245"/>
      <c r="I14" s="250">
        <v>0</v>
      </c>
      <c r="J14" s="250"/>
      <c r="K14" s="251">
        <f t="shared" si="1"/>
        <v>0</v>
      </c>
      <c r="L14" s="50">
        <f t="shared" si="2"/>
        <v>0</v>
      </c>
      <c r="M14" s="50">
        <f t="shared" si="3"/>
        <v>0</v>
      </c>
      <c r="N14" s="50">
        <f t="shared" si="4"/>
        <v>0</v>
      </c>
    </row>
    <row r="15" spans="1:14" ht="12.75" customHeight="1" x14ac:dyDescent="0.3">
      <c r="A15" s="24">
        <v>4.0599999999999996</v>
      </c>
      <c r="B15" s="25" t="s">
        <v>24</v>
      </c>
      <c r="C15" s="30" t="s">
        <v>19</v>
      </c>
      <c r="D15" s="31">
        <v>5</v>
      </c>
      <c r="E15" s="183">
        <v>28672</v>
      </c>
      <c r="F15" s="181">
        <f t="shared" si="0"/>
        <v>143360</v>
      </c>
      <c r="G15" s="182"/>
      <c r="H15" s="245"/>
      <c r="I15" s="250">
        <v>0</v>
      </c>
      <c r="J15" s="250"/>
      <c r="K15" s="251">
        <f t="shared" si="1"/>
        <v>0</v>
      </c>
      <c r="L15" s="50">
        <f t="shared" si="2"/>
        <v>0</v>
      </c>
      <c r="M15" s="50">
        <f t="shared" si="3"/>
        <v>0</v>
      </c>
      <c r="N15" s="50">
        <f t="shared" si="4"/>
        <v>0</v>
      </c>
    </row>
    <row r="16" spans="1:14" ht="12.75" customHeight="1" x14ac:dyDescent="0.3">
      <c r="A16" s="24">
        <v>4.07</v>
      </c>
      <c r="B16" s="25" t="s">
        <v>25</v>
      </c>
      <c r="C16" s="30" t="s">
        <v>19</v>
      </c>
      <c r="D16" s="37">
        <v>193</v>
      </c>
      <c r="E16" s="183">
        <v>18611</v>
      </c>
      <c r="F16" s="181">
        <f t="shared" si="0"/>
        <v>3591923</v>
      </c>
      <c r="G16" s="182"/>
      <c r="H16" s="245"/>
      <c r="I16" s="250">
        <v>0</v>
      </c>
      <c r="J16" s="250"/>
      <c r="K16" s="251">
        <f t="shared" si="1"/>
        <v>0</v>
      </c>
      <c r="L16" s="50">
        <f t="shared" si="2"/>
        <v>0</v>
      </c>
      <c r="M16" s="50">
        <f t="shared" si="3"/>
        <v>0</v>
      </c>
      <c r="N16" s="50">
        <f t="shared" si="4"/>
        <v>0</v>
      </c>
    </row>
    <row r="17" spans="1:14" ht="12.75" customHeight="1" x14ac:dyDescent="0.3">
      <c r="A17" s="24">
        <v>4.08</v>
      </c>
      <c r="B17" s="25" t="s">
        <v>26</v>
      </c>
      <c r="C17" s="30" t="s">
        <v>27</v>
      </c>
      <c r="D17" s="37">
        <v>61</v>
      </c>
      <c r="E17" s="183">
        <v>28578</v>
      </c>
      <c r="F17" s="181">
        <f t="shared" si="0"/>
        <v>1743258</v>
      </c>
      <c r="G17" s="182"/>
      <c r="H17" s="245"/>
      <c r="I17" s="250">
        <v>0</v>
      </c>
      <c r="J17" s="250"/>
      <c r="K17" s="251">
        <f t="shared" si="1"/>
        <v>0</v>
      </c>
      <c r="L17" s="50">
        <f t="shared" si="2"/>
        <v>0</v>
      </c>
      <c r="M17" s="50">
        <f t="shared" si="3"/>
        <v>0</v>
      </c>
      <c r="N17" s="50">
        <f t="shared" si="4"/>
        <v>0</v>
      </c>
    </row>
    <row r="18" spans="1:14" ht="12.75" customHeight="1" x14ac:dyDescent="0.3">
      <c r="A18" s="24">
        <v>4.09</v>
      </c>
      <c r="B18" s="25" t="s">
        <v>28</v>
      </c>
      <c r="C18" s="30" t="s">
        <v>29</v>
      </c>
      <c r="D18" s="37">
        <v>1</v>
      </c>
      <c r="E18" s="183">
        <v>280823</v>
      </c>
      <c r="F18" s="181">
        <f t="shared" si="0"/>
        <v>280823</v>
      </c>
      <c r="G18" s="182"/>
      <c r="H18" s="245"/>
      <c r="I18" s="250">
        <v>0</v>
      </c>
      <c r="J18" s="250"/>
      <c r="K18" s="251">
        <f t="shared" si="1"/>
        <v>0</v>
      </c>
      <c r="L18" s="50">
        <f t="shared" si="2"/>
        <v>0</v>
      </c>
      <c r="M18" s="50">
        <f t="shared" si="3"/>
        <v>0</v>
      </c>
      <c r="N18" s="50">
        <f t="shared" si="4"/>
        <v>0</v>
      </c>
    </row>
    <row r="19" spans="1:14" ht="12.75" customHeight="1" x14ac:dyDescent="0.3">
      <c r="A19" s="24">
        <v>4.0999999999999996</v>
      </c>
      <c r="B19" s="25" t="s">
        <v>30</v>
      </c>
      <c r="C19" s="30" t="s">
        <v>29</v>
      </c>
      <c r="D19" s="37">
        <v>1</v>
      </c>
      <c r="E19" s="183">
        <v>801214</v>
      </c>
      <c r="F19" s="181">
        <f t="shared" si="0"/>
        <v>801214</v>
      </c>
      <c r="G19" s="182"/>
      <c r="H19" s="245"/>
      <c r="I19" s="250">
        <v>0</v>
      </c>
      <c r="J19" s="250"/>
      <c r="K19" s="251">
        <f t="shared" si="1"/>
        <v>0</v>
      </c>
      <c r="L19" s="50">
        <f t="shared" si="2"/>
        <v>0</v>
      </c>
      <c r="M19" s="50">
        <f t="shared" si="3"/>
        <v>0</v>
      </c>
      <c r="N19" s="50">
        <f t="shared" si="4"/>
        <v>0</v>
      </c>
    </row>
    <row r="20" spans="1:14" ht="12.75" customHeight="1" x14ac:dyDescent="0.3">
      <c r="A20" s="24">
        <v>4.1100000000000003</v>
      </c>
      <c r="B20" s="25" t="s">
        <v>31</v>
      </c>
      <c r="C20" s="30" t="s">
        <v>29</v>
      </c>
      <c r="D20" s="37">
        <v>1</v>
      </c>
      <c r="E20" s="183">
        <v>525234</v>
      </c>
      <c r="F20" s="181">
        <f t="shared" si="0"/>
        <v>525234</v>
      </c>
      <c r="G20" s="182"/>
      <c r="H20" s="245"/>
      <c r="I20" s="250">
        <v>0</v>
      </c>
      <c r="J20" s="250"/>
      <c r="K20" s="251">
        <f t="shared" si="1"/>
        <v>0</v>
      </c>
      <c r="L20" s="50">
        <f t="shared" si="2"/>
        <v>0</v>
      </c>
      <c r="M20" s="50">
        <f t="shared" si="3"/>
        <v>0</v>
      </c>
      <c r="N20" s="50">
        <f t="shared" si="4"/>
        <v>0</v>
      </c>
    </row>
    <row r="21" spans="1:14" ht="12.75" customHeight="1" x14ac:dyDescent="0.3">
      <c r="A21" s="24">
        <v>4.12</v>
      </c>
      <c r="B21" s="25" t="s">
        <v>32</v>
      </c>
      <c r="C21" s="30" t="s">
        <v>33</v>
      </c>
      <c r="D21" s="37">
        <v>3</v>
      </c>
      <c r="E21" s="183">
        <v>237784</v>
      </c>
      <c r="F21" s="181">
        <f t="shared" si="0"/>
        <v>713352</v>
      </c>
      <c r="G21" s="182"/>
      <c r="H21" s="245"/>
      <c r="I21" s="250">
        <v>0</v>
      </c>
      <c r="J21" s="250"/>
      <c r="K21" s="251">
        <f t="shared" si="1"/>
        <v>0</v>
      </c>
      <c r="L21" s="50">
        <f t="shared" si="2"/>
        <v>0</v>
      </c>
      <c r="M21" s="50">
        <f t="shared" si="3"/>
        <v>0</v>
      </c>
      <c r="N21" s="50">
        <f t="shared" si="4"/>
        <v>0</v>
      </c>
    </row>
    <row r="22" spans="1:14" ht="12.75" customHeight="1" x14ac:dyDescent="0.3">
      <c r="A22" s="24">
        <v>4.13</v>
      </c>
      <c r="B22" s="25" t="s">
        <v>34</v>
      </c>
      <c r="C22" s="30" t="s">
        <v>27</v>
      </c>
      <c r="D22" s="37">
        <v>40</v>
      </c>
      <c r="E22" s="183">
        <v>98026</v>
      </c>
      <c r="F22" s="181">
        <f t="shared" si="0"/>
        <v>3921040</v>
      </c>
      <c r="G22" s="182"/>
      <c r="H22" s="245"/>
      <c r="I22" s="250">
        <v>0</v>
      </c>
      <c r="J22" s="250"/>
      <c r="K22" s="251">
        <f t="shared" si="1"/>
        <v>0</v>
      </c>
      <c r="L22" s="50">
        <f t="shared" si="2"/>
        <v>0</v>
      </c>
      <c r="M22" s="50">
        <f t="shared" si="3"/>
        <v>0</v>
      </c>
      <c r="N22" s="50">
        <f t="shared" si="4"/>
        <v>0</v>
      </c>
    </row>
    <row r="23" spans="1:14" ht="12.75" customHeight="1" x14ac:dyDescent="0.3">
      <c r="A23" s="24">
        <v>4.1399999999999997</v>
      </c>
      <c r="B23" s="38" t="s">
        <v>35</v>
      </c>
      <c r="C23" s="34" t="s">
        <v>33</v>
      </c>
      <c r="D23" s="96">
        <v>8</v>
      </c>
      <c r="E23" s="183">
        <v>177655</v>
      </c>
      <c r="F23" s="181">
        <f t="shared" si="0"/>
        <v>1421240</v>
      </c>
      <c r="G23" s="182"/>
      <c r="H23" s="245"/>
      <c r="I23" s="250">
        <v>0</v>
      </c>
      <c r="J23" s="250"/>
      <c r="K23" s="251">
        <f t="shared" si="1"/>
        <v>0</v>
      </c>
      <c r="L23" s="50">
        <f t="shared" si="2"/>
        <v>0</v>
      </c>
      <c r="M23" s="50">
        <f t="shared" si="3"/>
        <v>0</v>
      </c>
      <c r="N23" s="50">
        <f t="shared" si="4"/>
        <v>0</v>
      </c>
    </row>
    <row r="24" spans="1:14" ht="12.75" customHeight="1" x14ac:dyDescent="0.3">
      <c r="A24" s="13">
        <v>5</v>
      </c>
      <c r="B24" s="40" t="s">
        <v>36</v>
      </c>
      <c r="C24" s="18"/>
      <c r="D24" s="19"/>
      <c r="E24" s="19"/>
      <c r="F24" s="19"/>
      <c r="G24" s="176">
        <f>+SUM(F25:F31)</f>
        <v>19239698</v>
      </c>
      <c r="H24" s="245">
        <f>+G24/$G$195</f>
        <v>2.2773043993022494E-2</v>
      </c>
      <c r="I24" s="246"/>
      <c r="J24" s="247"/>
      <c r="K24" s="247"/>
      <c r="L24" s="178"/>
      <c r="M24" s="178"/>
      <c r="N24" s="179"/>
    </row>
    <row r="25" spans="1:14" ht="12.75" customHeight="1" x14ac:dyDescent="0.3">
      <c r="A25" s="20">
        <v>5.01</v>
      </c>
      <c r="B25" s="21" t="s">
        <v>37</v>
      </c>
      <c r="C25" s="93" t="s">
        <v>27</v>
      </c>
      <c r="D25" s="97">
        <v>136</v>
      </c>
      <c r="E25" s="183">
        <v>6496</v>
      </c>
      <c r="F25" s="181">
        <f t="shared" si="0"/>
        <v>883456</v>
      </c>
      <c r="G25" s="182"/>
      <c r="H25" s="245"/>
      <c r="I25" s="250">
        <v>0</v>
      </c>
      <c r="J25" s="250"/>
      <c r="K25" s="251">
        <f t="shared" si="1"/>
        <v>0</v>
      </c>
      <c r="L25" s="50">
        <f t="shared" si="2"/>
        <v>0</v>
      </c>
      <c r="M25" s="50">
        <f t="shared" si="3"/>
        <v>0</v>
      </c>
      <c r="N25" s="50">
        <f t="shared" si="4"/>
        <v>0</v>
      </c>
    </row>
    <row r="26" spans="1:14" ht="12.75" customHeight="1" x14ac:dyDescent="0.3">
      <c r="A26" s="24">
        <v>5.0199999999999996</v>
      </c>
      <c r="B26" s="98" t="s">
        <v>38</v>
      </c>
      <c r="C26" s="30" t="s">
        <v>19</v>
      </c>
      <c r="D26" s="31">
        <v>77</v>
      </c>
      <c r="E26" s="184">
        <v>33270</v>
      </c>
      <c r="F26" s="183">
        <f t="shared" si="0"/>
        <v>2561790</v>
      </c>
      <c r="G26" s="182"/>
      <c r="H26" s="245"/>
      <c r="I26" s="250">
        <v>0</v>
      </c>
      <c r="J26" s="250"/>
      <c r="K26" s="251">
        <f t="shared" si="1"/>
        <v>0</v>
      </c>
      <c r="L26" s="50">
        <f t="shared" si="2"/>
        <v>0</v>
      </c>
      <c r="M26" s="50">
        <f t="shared" si="3"/>
        <v>0</v>
      </c>
      <c r="N26" s="50">
        <f t="shared" si="4"/>
        <v>0</v>
      </c>
    </row>
    <row r="27" spans="1:14" ht="12.75" customHeight="1" x14ac:dyDescent="0.3">
      <c r="A27" s="24">
        <v>5.03</v>
      </c>
      <c r="B27" s="25" t="s">
        <v>39</v>
      </c>
      <c r="C27" s="30" t="s">
        <v>19</v>
      </c>
      <c r="D27" s="31">
        <v>107</v>
      </c>
      <c r="E27" s="184">
        <v>6496</v>
      </c>
      <c r="F27" s="181">
        <f t="shared" si="0"/>
        <v>695072</v>
      </c>
      <c r="G27" s="182"/>
      <c r="H27" s="245"/>
      <c r="I27" s="250">
        <v>0</v>
      </c>
      <c r="J27" s="250"/>
      <c r="K27" s="251">
        <f t="shared" si="1"/>
        <v>0</v>
      </c>
      <c r="L27" s="50">
        <f t="shared" si="2"/>
        <v>0</v>
      </c>
      <c r="M27" s="50">
        <f t="shared" si="3"/>
        <v>0</v>
      </c>
      <c r="N27" s="50">
        <f t="shared" si="4"/>
        <v>0</v>
      </c>
    </row>
    <row r="28" spans="1:14" ht="12.75" customHeight="1" x14ac:dyDescent="0.3">
      <c r="A28" s="24">
        <v>5.04</v>
      </c>
      <c r="B28" s="25" t="s">
        <v>40</v>
      </c>
      <c r="C28" s="30" t="s">
        <v>19</v>
      </c>
      <c r="D28" s="31">
        <v>186</v>
      </c>
      <c r="E28" s="184">
        <v>4832</v>
      </c>
      <c r="F28" s="181">
        <f t="shared" si="0"/>
        <v>898752</v>
      </c>
      <c r="G28" s="182"/>
      <c r="H28" s="245"/>
      <c r="I28" s="250">
        <v>0</v>
      </c>
      <c r="J28" s="250"/>
      <c r="K28" s="251">
        <f t="shared" si="1"/>
        <v>0</v>
      </c>
      <c r="L28" s="50">
        <f t="shared" si="2"/>
        <v>0</v>
      </c>
      <c r="M28" s="50">
        <f t="shared" si="3"/>
        <v>0</v>
      </c>
      <c r="N28" s="50">
        <f t="shared" si="4"/>
        <v>0</v>
      </c>
    </row>
    <row r="29" spans="1:14" ht="12.75" customHeight="1" x14ac:dyDescent="0.3">
      <c r="A29" s="24">
        <v>5.05</v>
      </c>
      <c r="B29" s="25" t="s">
        <v>41</v>
      </c>
      <c r="C29" s="30" t="s">
        <v>19</v>
      </c>
      <c r="D29" s="31">
        <v>186</v>
      </c>
      <c r="E29" s="184">
        <v>4134</v>
      </c>
      <c r="F29" s="181">
        <f t="shared" si="0"/>
        <v>768924</v>
      </c>
      <c r="G29" s="182"/>
      <c r="H29" s="245"/>
      <c r="I29" s="250">
        <v>0</v>
      </c>
      <c r="J29" s="250"/>
      <c r="K29" s="251">
        <f t="shared" si="1"/>
        <v>0</v>
      </c>
      <c r="L29" s="50">
        <f t="shared" si="2"/>
        <v>0</v>
      </c>
      <c r="M29" s="50">
        <f t="shared" si="3"/>
        <v>0</v>
      </c>
      <c r="N29" s="50">
        <f t="shared" si="4"/>
        <v>0</v>
      </c>
    </row>
    <row r="30" spans="1:14" ht="12.75" customHeight="1" x14ac:dyDescent="0.3">
      <c r="A30" s="24">
        <v>5.0599999999999996</v>
      </c>
      <c r="B30" s="25" t="s">
        <v>42</v>
      </c>
      <c r="C30" s="99" t="s">
        <v>19</v>
      </c>
      <c r="D30" s="31">
        <v>390</v>
      </c>
      <c r="E30" s="184">
        <v>28187</v>
      </c>
      <c r="F30" s="181">
        <f t="shared" si="0"/>
        <v>10992930</v>
      </c>
      <c r="G30" s="185"/>
      <c r="H30" s="245"/>
      <c r="I30" s="250">
        <v>0</v>
      </c>
      <c r="J30" s="250"/>
      <c r="K30" s="251">
        <f t="shared" si="1"/>
        <v>0</v>
      </c>
      <c r="L30" s="50">
        <f t="shared" si="2"/>
        <v>0</v>
      </c>
      <c r="M30" s="50">
        <f t="shared" si="3"/>
        <v>0</v>
      </c>
      <c r="N30" s="50">
        <f t="shared" si="4"/>
        <v>0</v>
      </c>
    </row>
    <row r="31" spans="1:14" ht="12.75" customHeight="1" x14ac:dyDescent="0.3">
      <c r="A31" s="24">
        <v>5.07</v>
      </c>
      <c r="B31" s="25" t="s">
        <v>43</v>
      </c>
      <c r="C31" s="99" t="s">
        <v>29</v>
      </c>
      <c r="D31" s="31">
        <v>1</v>
      </c>
      <c r="E31" s="184">
        <v>2438774</v>
      </c>
      <c r="F31" s="181">
        <f t="shared" si="0"/>
        <v>2438774</v>
      </c>
      <c r="G31" s="186"/>
      <c r="H31" s="245"/>
      <c r="I31" s="250">
        <v>0</v>
      </c>
      <c r="J31" s="250"/>
      <c r="K31" s="251">
        <f t="shared" si="1"/>
        <v>0</v>
      </c>
      <c r="L31" s="50">
        <f t="shared" si="2"/>
        <v>0</v>
      </c>
      <c r="M31" s="50">
        <f t="shared" si="3"/>
        <v>0</v>
      </c>
      <c r="N31" s="50">
        <f t="shared" si="4"/>
        <v>0</v>
      </c>
    </row>
    <row r="32" spans="1:14" ht="12.75" customHeight="1" x14ac:dyDescent="0.3">
      <c r="A32" s="13">
        <v>6</v>
      </c>
      <c r="B32" s="17" t="s">
        <v>44</v>
      </c>
      <c r="C32" s="18"/>
      <c r="D32" s="19"/>
      <c r="E32" s="19"/>
      <c r="F32" s="19"/>
      <c r="G32" s="176">
        <f>+SUM(F33)</f>
        <v>1722875</v>
      </c>
      <c r="H32" s="245">
        <f>+G32/$G$195</f>
        <v>2.0392787958251023E-3</v>
      </c>
      <c r="I32" s="246"/>
      <c r="J32" s="247"/>
      <c r="K32" s="247"/>
      <c r="L32" s="178"/>
      <c r="M32" s="178"/>
      <c r="N32" s="179"/>
    </row>
    <row r="33" spans="1:14" ht="12.75" customHeight="1" x14ac:dyDescent="0.3">
      <c r="A33" s="100">
        <v>6.02</v>
      </c>
      <c r="B33" s="38" t="s">
        <v>45</v>
      </c>
      <c r="C33" s="101" t="s">
        <v>27</v>
      </c>
      <c r="D33" s="102">
        <v>55</v>
      </c>
      <c r="E33" s="181">
        <v>31325</v>
      </c>
      <c r="F33" s="181">
        <f t="shared" si="0"/>
        <v>1722875</v>
      </c>
      <c r="G33" s="185"/>
      <c r="H33" s="245"/>
      <c r="I33" s="250">
        <v>0</v>
      </c>
      <c r="J33" s="250"/>
      <c r="K33" s="251">
        <f t="shared" si="1"/>
        <v>0</v>
      </c>
      <c r="L33" s="50">
        <f t="shared" si="2"/>
        <v>0</v>
      </c>
      <c r="M33" s="50">
        <f t="shared" si="3"/>
        <v>0</v>
      </c>
      <c r="N33" s="50">
        <f t="shared" si="4"/>
        <v>0</v>
      </c>
    </row>
    <row r="34" spans="1:14" ht="12.75" customHeight="1" x14ac:dyDescent="0.3">
      <c r="A34" s="13">
        <v>7</v>
      </c>
      <c r="B34" s="40" t="s">
        <v>46</v>
      </c>
      <c r="C34" s="18"/>
      <c r="D34" s="19"/>
      <c r="E34" s="19"/>
      <c r="F34" s="19"/>
      <c r="G34" s="176">
        <f>+SUM(F35:F40)</f>
        <v>92324467</v>
      </c>
      <c r="H34" s="245">
        <f>+G34/$G$195</f>
        <v>0.10927973758337338</v>
      </c>
      <c r="I34" s="246"/>
      <c r="J34" s="247"/>
      <c r="K34" s="247"/>
      <c r="L34" s="178"/>
      <c r="M34" s="178"/>
      <c r="N34" s="179"/>
    </row>
    <row r="35" spans="1:14" ht="12.75" customHeight="1" x14ac:dyDescent="0.3">
      <c r="A35" s="20">
        <v>7.01</v>
      </c>
      <c r="B35" s="103" t="s">
        <v>47</v>
      </c>
      <c r="C35" s="93" t="s">
        <v>19</v>
      </c>
      <c r="D35" s="94">
        <v>879</v>
      </c>
      <c r="E35" s="180">
        <v>19943</v>
      </c>
      <c r="F35" s="180">
        <f t="shared" si="0"/>
        <v>17529897</v>
      </c>
      <c r="G35" s="187"/>
      <c r="H35" s="245"/>
      <c r="I35" s="250">
        <v>0</v>
      </c>
      <c r="J35" s="250"/>
      <c r="K35" s="251">
        <f t="shared" si="1"/>
        <v>0</v>
      </c>
      <c r="L35" s="50">
        <f t="shared" si="2"/>
        <v>0</v>
      </c>
      <c r="M35" s="50">
        <f t="shared" si="3"/>
        <v>0</v>
      </c>
      <c r="N35" s="50">
        <f t="shared" si="4"/>
        <v>0</v>
      </c>
    </row>
    <row r="36" spans="1:14" ht="12.75" customHeight="1" x14ac:dyDescent="0.3">
      <c r="A36" s="24">
        <v>7.02</v>
      </c>
      <c r="B36" s="104" t="s">
        <v>48</v>
      </c>
      <c r="C36" s="30" t="s">
        <v>19</v>
      </c>
      <c r="D36" s="31">
        <v>716</v>
      </c>
      <c r="E36" s="181">
        <v>26767</v>
      </c>
      <c r="F36" s="181">
        <f t="shared" si="0"/>
        <v>19165172</v>
      </c>
      <c r="G36" s="185"/>
      <c r="H36" s="245"/>
      <c r="I36" s="250">
        <v>0</v>
      </c>
      <c r="J36" s="250"/>
      <c r="K36" s="251">
        <f t="shared" si="1"/>
        <v>0</v>
      </c>
      <c r="L36" s="50">
        <f t="shared" si="2"/>
        <v>0</v>
      </c>
      <c r="M36" s="50">
        <f t="shared" si="3"/>
        <v>0</v>
      </c>
      <c r="N36" s="50">
        <f t="shared" si="4"/>
        <v>0</v>
      </c>
    </row>
    <row r="37" spans="1:14" ht="12.75" customHeight="1" x14ac:dyDescent="0.3">
      <c r="A37" s="24">
        <v>7.03</v>
      </c>
      <c r="B37" s="25" t="s">
        <v>49</v>
      </c>
      <c r="C37" s="30" t="s">
        <v>19</v>
      </c>
      <c r="D37" s="31">
        <v>1439</v>
      </c>
      <c r="E37" s="181">
        <v>22963</v>
      </c>
      <c r="F37" s="181">
        <f t="shared" si="0"/>
        <v>33043757</v>
      </c>
      <c r="G37" s="185"/>
      <c r="H37" s="245"/>
      <c r="I37" s="250">
        <v>0</v>
      </c>
      <c r="J37" s="250"/>
      <c r="K37" s="251">
        <f t="shared" si="1"/>
        <v>0</v>
      </c>
      <c r="L37" s="50">
        <f t="shared" si="2"/>
        <v>0</v>
      </c>
      <c r="M37" s="50">
        <f t="shared" si="3"/>
        <v>0</v>
      </c>
      <c r="N37" s="50">
        <f t="shared" si="4"/>
        <v>0</v>
      </c>
    </row>
    <row r="38" spans="1:14" ht="12.75" customHeight="1" x14ac:dyDescent="0.3">
      <c r="A38" s="100">
        <v>7.04</v>
      </c>
      <c r="B38" s="105" t="s">
        <v>50</v>
      </c>
      <c r="C38" s="30" t="s">
        <v>27</v>
      </c>
      <c r="D38" s="31">
        <v>347</v>
      </c>
      <c r="E38" s="181">
        <v>16909</v>
      </c>
      <c r="F38" s="181">
        <f t="shared" si="0"/>
        <v>5867423</v>
      </c>
      <c r="G38" s="185"/>
      <c r="H38" s="245"/>
      <c r="I38" s="250">
        <v>0</v>
      </c>
      <c r="J38" s="250"/>
      <c r="K38" s="251">
        <f t="shared" si="1"/>
        <v>0</v>
      </c>
      <c r="L38" s="50">
        <f t="shared" si="2"/>
        <v>0</v>
      </c>
      <c r="M38" s="50">
        <f t="shared" si="3"/>
        <v>0</v>
      </c>
      <c r="N38" s="50">
        <f t="shared" si="4"/>
        <v>0</v>
      </c>
    </row>
    <row r="39" spans="1:14" ht="12.75" customHeight="1" x14ac:dyDescent="0.3">
      <c r="A39" s="24">
        <v>7.05</v>
      </c>
      <c r="B39" s="105" t="s">
        <v>51</v>
      </c>
      <c r="C39" s="30" t="s">
        <v>52</v>
      </c>
      <c r="D39" s="31">
        <v>132</v>
      </c>
      <c r="E39" s="181">
        <v>19384</v>
      </c>
      <c r="F39" s="181">
        <f t="shared" si="0"/>
        <v>2558688</v>
      </c>
      <c r="G39" s="185"/>
      <c r="H39" s="245"/>
      <c r="I39" s="250">
        <v>0</v>
      </c>
      <c r="J39" s="250"/>
      <c r="K39" s="251">
        <f t="shared" si="1"/>
        <v>0</v>
      </c>
      <c r="L39" s="50">
        <f t="shared" si="2"/>
        <v>0</v>
      </c>
      <c r="M39" s="50">
        <f t="shared" si="3"/>
        <v>0</v>
      </c>
      <c r="N39" s="50">
        <f t="shared" si="4"/>
        <v>0</v>
      </c>
    </row>
    <row r="40" spans="1:14" ht="12.75" customHeight="1" x14ac:dyDescent="0.3">
      <c r="A40" s="100">
        <v>7.06</v>
      </c>
      <c r="B40" s="25" t="s">
        <v>53</v>
      </c>
      <c r="C40" s="30" t="s">
        <v>19</v>
      </c>
      <c r="D40" s="31">
        <v>710</v>
      </c>
      <c r="E40" s="181">
        <v>19943</v>
      </c>
      <c r="F40" s="181">
        <f t="shared" si="0"/>
        <v>14159530</v>
      </c>
      <c r="G40" s="185"/>
      <c r="H40" s="245"/>
      <c r="I40" s="250">
        <v>0</v>
      </c>
      <c r="J40" s="250"/>
      <c r="K40" s="251">
        <f t="shared" si="1"/>
        <v>0</v>
      </c>
      <c r="L40" s="50">
        <f t="shared" si="2"/>
        <v>0</v>
      </c>
      <c r="M40" s="50">
        <f t="shared" si="3"/>
        <v>0</v>
      </c>
      <c r="N40" s="50">
        <f t="shared" si="4"/>
        <v>0</v>
      </c>
    </row>
    <row r="41" spans="1:14" ht="12.75" customHeight="1" x14ac:dyDescent="0.3">
      <c r="A41" s="13">
        <v>8</v>
      </c>
      <c r="B41" s="17" t="s">
        <v>54</v>
      </c>
      <c r="C41" s="18"/>
      <c r="D41" s="19"/>
      <c r="E41" s="19"/>
      <c r="F41" s="19"/>
      <c r="G41" s="176">
        <f>+SUM(F42:F49)</f>
        <v>49520833</v>
      </c>
      <c r="H41" s="245">
        <f>+G41/$G$195</f>
        <v>5.8615270805192479E-2</v>
      </c>
      <c r="I41" s="246"/>
      <c r="J41" s="247"/>
      <c r="K41" s="247"/>
      <c r="L41" s="178"/>
      <c r="M41" s="178"/>
      <c r="N41" s="179"/>
    </row>
    <row r="42" spans="1:14" ht="12.75" customHeight="1" x14ac:dyDescent="0.3">
      <c r="A42" s="20">
        <v>8.01</v>
      </c>
      <c r="B42" s="21" t="s">
        <v>55</v>
      </c>
      <c r="C42" s="93" t="s">
        <v>19</v>
      </c>
      <c r="D42" s="94">
        <v>107</v>
      </c>
      <c r="E42" s="183">
        <v>58580</v>
      </c>
      <c r="F42" s="183">
        <f t="shared" si="0"/>
        <v>6268060</v>
      </c>
      <c r="G42" s="182"/>
      <c r="H42" s="245"/>
      <c r="I42" s="250">
        <v>0</v>
      </c>
      <c r="J42" s="250"/>
      <c r="K42" s="251">
        <f t="shared" si="1"/>
        <v>0</v>
      </c>
      <c r="L42" s="50">
        <f t="shared" si="2"/>
        <v>0</v>
      </c>
      <c r="M42" s="50">
        <f t="shared" si="3"/>
        <v>0</v>
      </c>
      <c r="N42" s="50">
        <f t="shared" si="4"/>
        <v>0</v>
      </c>
    </row>
    <row r="43" spans="1:14" ht="12.75" customHeight="1" x14ac:dyDescent="0.3">
      <c r="A43" s="106">
        <v>8.02</v>
      </c>
      <c r="B43" s="107" t="s">
        <v>56</v>
      </c>
      <c r="C43" s="108" t="s">
        <v>19</v>
      </c>
      <c r="D43" s="32">
        <v>258</v>
      </c>
      <c r="E43" s="183">
        <v>38729</v>
      </c>
      <c r="F43" s="183">
        <f t="shared" si="0"/>
        <v>9992082</v>
      </c>
      <c r="G43" s="182"/>
      <c r="H43" s="245"/>
      <c r="I43" s="250">
        <v>0</v>
      </c>
      <c r="J43" s="250"/>
      <c r="K43" s="251">
        <f t="shared" si="1"/>
        <v>0</v>
      </c>
      <c r="L43" s="50">
        <f t="shared" si="2"/>
        <v>0</v>
      </c>
      <c r="M43" s="50">
        <f t="shared" si="3"/>
        <v>0</v>
      </c>
      <c r="N43" s="50">
        <f t="shared" si="4"/>
        <v>0</v>
      </c>
    </row>
    <row r="44" spans="1:14" ht="12.75" customHeight="1" x14ac:dyDescent="0.3">
      <c r="A44" s="24">
        <v>8.0299999999999994</v>
      </c>
      <c r="B44" s="25" t="s">
        <v>57</v>
      </c>
      <c r="C44" s="30" t="s">
        <v>19</v>
      </c>
      <c r="D44" s="31">
        <v>425</v>
      </c>
      <c r="E44" s="183">
        <v>22943</v>
      </c>
      <c r="F44" s="183">
        <f t="shared" si="0"/>
        <v>9750775</v>
      </c>
      <c r="G44" s="182"/>
      <c r="H44" s="245"/>
      <c r="I44" s="250">
        <v>0</v>
      </c>
      <c r="J44" s="250"/>
      <c r="K44" s="251">
        <f t="shared" si="1"/>
        <v>0</v>
      </c>
      <c r="L44" s="50">
        <f t="shared" si="2"/>
        <v>0</v>
      </c>
      <c r="M44" s="50">
        <f t="shared" si="3"/>
        <v>0</v>
      </c>
      <c r="N44" s="50">
        <f t="shared" si="4"/>
        <v>0</v>
      </c>
    </row>
    <row r="45" spans="1:14" ht="12.75" customHeight="1" x14ac:dyDescent="0.3">
      <c r="A45" s="106">
        <v>8.0399999999999991</v>
      </c>
      <c r="B45" s="25" t="s">
        <v>58</v>
      </c>
      <c r="C45" s="30" t="s">
        <v>19</v>
      </c>
      <c r="D45" s="31">
        <v>200</v>
      </c>
      <c r="E45" s="183">
        <v>40355</v>
      </c>
      <c r="F45" s="183">
        <f t="shared" si="0"/>
        <v>8071000</v>
      </c>
      <c r="G45" s="182"/>
      <c r="H45" s="245"/>
      <c r="I45" s="250">
        <v>0</v>
      </c>
      <c r="J45" s="250"/>
      <c r="K45" s="251">
        <f t="shared" si="1"/>
        <v>0</v>
      </c>
      <c r="L45" s="50">
        <f t="shared" si="2"/>
        <v>0</v>
      </c>
      <c r="M45" s="50">
        <f t="shared" si="3"/>
        <v>0</v>
      </c>
      <c r="N45" s="50">
        <f t="shared" si="4"/>
        <v>0</v>
      </c>
    </row>
    <row r="46" spans="1:14" ht="12.75" customHeight="1" x14ac:dyDescent="0.3">
      <c r="A46" s="24">
        <v>8.0500000000000007</v>
      </c>
      <c r="B46" s="25" t="s">
        <v>59</v>
      </c>
      <c r="C46" s="30" t="s">
        <v>19</v>
      </c>
      <c r="D46" s="31">
        <v>77</v>
      </c>
      <c r="E46" s="183">
        <v>31515</v>
      </c>
      <c r="F46" s="183">
        <f t="shared" si="0"/>
        <v>2426655</v>
      </c>
      <c r="G46" s="182"/>
      <c r="H46" s="245"/>
      <c r="I46" s="250">
        <v>0</v>
      </c>
      <c r="J46" s="250"/>
      <c r="K46" s="251">
        <f t="shared" si="1"/>
        <v>0</v>
      </c>
      <c r="L46" s="50">
        <f t="shared" si="2"/>
        <v>0</v>
      </c>
      <c r="M46" s="50">
        <f t="shared" si="3"/>
        <v>0</v>
      </c>
      <c r="N46" s="50">
        <f t="shared" si="4"/>
        <v>0</v>
      </c>
    </row>
    <row r="47" spans="1:14" ht="12.75" customHeight="1" x14ac:dyDescent="0.3">
      <c r="A47" s="106">
        <v>8.06</v>
      </c>
      <c r="B47" s="25" t="s">
        <v>60</v>
      </c>
      <c r="C47" s="30" t="s">
        <v>19</v>
      </c>
      <c r="D47" s="31">
        <v>77</v>
      </c>
      <c r="E47" s="183">
        <v>19683</v>
      </c>
      <c r="F47" s="183">
        <f t="shared" si="0"/>
        <v>1515591</v>
      </c>
      <c r="G47" s="182"/>
      <c r="H47" s="245"/>
      <c r="I47" s="250">
        <v>0</v>
      </c>
      <c r="J47" s="250"/>
      <c r="K47" s="251">
        <f t="shared" si="1"/>
        <v>0</v>
      </c>
      <c r="L47" s="50">
        <f t="shared" si="2"/>
        <v>0</v>
      </c>
      <c r="M47" s="50">
        <f t="shared" si="3"/>
        <v>0</v>
      </c>
      <c r="N47" s="50">
        <f t="shared" si="4"/>
        <v>0</v>
      </c>
    </row>
    <row r="48" spans="1:14" ht="12.75" customHeight="1" x14ac:dyDescent="0.3">
      <c r="A48" s="24">
        <v>8.07</v>
      </c>
      <c r="B48" s="25" t="s">
        <v>61</v>
      </c>
      <c r="C48" s="30" t="s">
        <v>19</v>
      </c>
      <c r="D48" s="31">
        <v>442</v>
      </c>
      <c r="E48" s="183">
        <v>14335</v>
      </c>
      <c r="F48" s="183">
        <f t="shared" si="0"/>
        <v>6336070</v>
      </c>
      <c r="G48" s="182"/>
      <c r="H48" s="245"/>
      <c r="I48" s="250">
        <v>0</v>
      </c>
      <c r="J48" s="250"/>
      <c r="K48" s="251">
        <f t="shared" si="1"/>
        <v>0</v>
      </c>
      <c r="L48" s="50">
        <f t="shared" si="2"/>
        <v>0</v>
      </c>
      <c r="M48" s="50">
        <f t="shared" si="3"/>
        <v>0</v>
      </c>
      <c r="N48" s="50">
        <f t="shared" si="4"/>
        <v>0</v>
      </c>
    </row>
    <row r="49" spans="1:14" ht="12.75" customHeight="1" x14ac:dyDescent="0.3">
      <c r="A49" s="106">
        <v>8.08</v>
      </c>
      <c r="B49" s="25" t="s">
        <v>62</v>
      </c>
      <c r="C49" s="30" t="s">
        <v>19</v>
      </c>
      <c r="D49" s="31">
        <v>360</v>
      </c>
      <c r="E49" s="183">
        <v>14335</v>
      </c>
      <c r="F49" s="183">
        <f t="shared" si="0"/>
        <v>5160600</v>
      </c>
      <c r="G49" s="182"/>
      <c r="H49" s="245"/>
      <c r="I49" s="250">
        <v>0</v>
      </c>
      <c r="J49" s="250"/>
      <c r="K49" s="251">
        <f t="shared" si="1"/>
        <v>0</v>
      </c>
      <c r="L49" s="50">
        <f t="shared" si="2"/>
        <v>0</v>
      </c>
      <c r="M49" s="50">
        <f t="shared" si="3"/>
        <v>0</v>
      </c>
      <c r="N49" s="50">
        <f t="shared" si="4"/>
        <v>0</v>
      </c>
    </row>
    <row r="50" spans="1:14" ht="12.75" customHeight="1" x14ac:dyDescent="0.3">
      <c r="A50" s="13">
        <v>9</v>
      </c>
      <c r="B50" s="17" t="s">
        <v>63</v>
      </c>
      <c r="C50" s="18"/>
      <c r="D50" s="19"/>
      <c r="E50" s="19"/>
      <c r="F50" s="19"/>
      <c r="G50" s="176">
        <f>+SUM(F51:F53)</f>
        <v>4852846</v>
      </c>
      <c r="H50" s="245">
        <f>+G50/$G$195</f>
        <v>5.7440649769743392E-3</v>
      </c>
      <c r="I50" s="246"/>
      <c r="J50" s="247"/>
      <c r="K50" s="247"/>
      <c r="L50" s="178"/>
      <c r="M50" s="178"/>
      <c r="N50" s="179"/>
    </row>
    <row r="51" spans="1:14" ht="12.75" customHeight="1" x14ac:dyDescent="0.3">
      <c r="A51" s="20">
        <v>9.01</v>
      </c>
      <c r="B51" s="21" t="s">
        <v>64</v>
      </c>
      <c r="C51" s="109" t="s">
        <v>29</v>
      </c>
      <c r="D51" s="94">
        <v>1</v>
      </c>
      <c r="E51" s="181">
        <v>2109310</v>
      </c>
      <c r="F51" s="181">
        <f t="shared" si="0"/>
        <v>2109310</v>
      </c>
      <c r="G51" s="186"/>
      <c r="H51" s="245"/>
      <c r="I51" s="250">
        <v>0</v>
      </c>
      <c r="J51" s="250"/>
      <c r="K51" s="251">
        <f t="shared" si="1"/>
        <v>0</v>
      </c>
      <c r="L51" s="50">
        <f t="shared" si="2"/>
        <v>0</v>
      </c>
      <c r="M51" s="50">
        <f t="shared" si="3"/>
        <v>0</v>
      </c>
      <c r="N51" s="50">
        <f t="shared" si="4"/>
        <v>0</v>
      </c>
    </row>
    <row r="52" spans="1:14" ht="12.75" customHeight="1" x14ac:dyDescent="0.3">
      <c r="A52" s="24">
        <v>9.02</v>
      </c>
      <c r="B52" s="25" t="s">
        <v>65</v>
      </c>
      <c r="C52" s="110" t="s">
        <v>52</v>
      </c>
      <c r="D52" s="31">
        <v>81</v>
      </c>
      <c r="E52" s="181">
        <v>28022</v>
      </c>
      <c r="F52" s="181">
        <f t="shared" si="0"/>
        <v>2269782</v>
      </c>
      <c r="G52" s="186"/>
      <c r="H52" s="252"/>
      <c r="I52" s="250">
        <v>0</v>
      </c>
      <c r="J52" s="250"/>
      <c r="K52" s="251">
        <f t="shared" si="1"/>
        <v>0</v>
      </c>
      <c r="L52" s="50">
        <f t="shared" si="2"/>
        <v>0</v>
      </c>
      <c r="M52" s="50">
        <f t="shared" si="3"/>
        <v>0</v>
      </c>
      <c r="N52" s="50">
        <f t="shared" si="4"/>
        <v>0</v>
      </c>
    </row>
    <row r="53" spans="1:14" ht="12.75" customHeight="1" x14ac:dyDescent="0.3">
      <c r="A53" s="33">
        <v>9.0299999999999994</v>
      </c>
      <c r="B53" s="38" t="s">
        <v>66</v>
      </c>
      <c r="C53" s="111" t="s">
        <v>27</v>
      </c>
      <c r="D53" s="35">
        <v>46</v>
      </c>
      <c r="E53" s="181">
        <v>10299</v>
      </c>
      <c r="F53" s="181">
        <f t="shared" si="0"/>
        <v>473754</v>
      </c>
      <c r="G53" s="186"/>
      <c r="H53" s="252"/>
      <c r="I53" s="250">
        <v>0</v>
      </c>
      <c r="J53" s="250"/>
      <c r="K53" s="251">
        <f t="shared" si="1"/>
        <v>0</v>
      </c>
      <c r="L53" s="50">
        <f t="shared" si="2"/>
        <v>0</v>
      </c>
      <c r="M53" s="50">
        <f t="shared" si="3"/>
        <v>0</v>
      </c>
      <c r="N53" s="50">
        <f t="shared" si="4"/>
        <v>0</v>
      </c>
    </row>
    <row r="54" spans="1:14" ht="12.75" customHeight="1" x14ac:dyDescent="0.3">
      <c r="A54" s="13">
        <v>10</v>
      </c>
      <c r="B54" s="40" t="s">
        <v>67</v>
      </c>
      <c r="C54" s="18"/>
      <c r="D54" s="19"/>
      <c r="E54" s="19"/>
      <c r="F54" s="19"/>
      <c r="G54" s="176">
        <f>+SUM(F55:F58)</f>
        <v>4184652</v>
      </c>
      <c r="H54" s="245">
        <f>+G54/$G$195</f>
        <v>4.9531580013100814E-3</v>
      </c>
      <c r="I54" s="246"/>
      <c r="J54" s="247"/>
      <c r="K54" s="247"/>
      <c r="L54" s="178"/>
      <c r="M54" s="178"/>
      <c r="N54" s="179"/>
    </row>
    <row r="55" spans="1:14" ht="12.75" customHeight="1" x14ac:dyDescent="0.3">
      <c r="A55" s="24">
        <v>10.01</v>
      </c>
      <c r="B55" s="25" t="s">
        <v>68</v>
      </c>
      <c r="C55" s="112" t="s">
        <v>29</v>
      </c>
      <c r="D55" s="27">
        <v>1</v>
      </c>
      <c r="E55" s="181">
        <v>1844532</v>
      </c>
      <c r="F55" s="181">
        <f t="shared" si="0"/>
        <v>1844532</v>
      </c>
      <c r="G55" s="188"/>
      <c r="H55" s="245"/>
      <c r="I55" s="250">
        <v>0</v>
      </c>
      <c r="J55" s="250"/>
      <c r="K55" s="251">
        <f t="shared" si="1"/>
        <v>0</v>
      </c>
      <c r="L55" s="50">
        <f t="shared" si="2"/>
        <v>0</v>
      </c>
      <c r="M55" s="50">
        <f t="shared" si="3"/>
        <v>0</v>
      </c>
      <c r="N55" s="50">
        <f t="shared" si="4"/>
        <v>0</v>
      </c>
    </row>
    <row r="56" spans="1:14" ht="12.75" customHeight="1" x14ac:dyDescent="0.3">
      <c r="A56" s="24">
        <v>10.02</v>
      </c>
      <c r="B56" s="25" t="s">
        <v>69</v>
      </c>
      <c r="C56" s="112" t="s">
        <v>29</v>
      </c>
      <c r="D56" s="27">
        <v>1</v>
      </c>
      <c r="E56" s="181">
        <v>1214937</v>
      </c>
      <c r="F56" s="181">
        <f t="shared" si="0"/>
        <v>1214937</v>
      </c>
      <c r="H56" s="245"/>
      <c r="I56" s="250">
        <v>0</v>
      </c>
      <c r="J56" s="250"/>
      <c r="K56" s="251">
        <f t="shared" si="1"/>
        <v>0</v>
      </c>
      <c r="L56" s="50">
        <f t="shared" si="2"/>
        <v>0</v>
      </c>
      <c r="M56" s="50">
        <f t="shared" si="3"/>
        <v>0</v>
      </c>
      <c r="N56" s="50">
        <f t="shared" si="4"/>
        <v>0</v>
      </c>
    </row>
    <row r="57" spans="1:14" ht="12.75" customHeight="1" x14ac:dyDescent="0.3">
      <c r="A57" s="24">
        <v>10.029999999999999</v>
      </c>
      <c r="B57" s="25" t="s">
        <v>70</v>
      </c>
      <c r="C57" s="112" t="s">
        <v>29</v>
      </c>
      <c r="D57" s="27">
        <v>1</v>
      </c>
      <c r="E57" s="181">
        <v>539833</v>
      </c>
      <c r="F57" s="181">
        <f t="shared" si="0"/>
        <v>539833</v>
      </c>
      <c r="H57" s="245"/>
      <c r="I57" s="250">
        <v>0</v>
      </c>
      <c r="J57" s="250"/>
      <c r="K57" s="251">
        <f t="shared" si="1"/>
        <v>0</v>
      </c>
      <c r="L57" s="50">
        <f t="shared" si="2"/>
        <v>0</v>
      </c>
      <c r="M57" s="50">
        <f t="shared" si="3"/>
        <v>0</v>
      </c>
      <c r="N57" s="50">
        <f t="shared" si="4"/>
        <v>0</v>
      </c>
    </row>
    <row r="58" spans="1:14" ht="12.75" customHeight="1" x14ac:dyDescent="0.3">
      <c r="A58" s="24">
        <v>10.039999999999999</v>
      </c>
      <c r="B58" s="25" t="s">
        <v>71</v>
      </c>
      <c r="C58" s="30" t="s">
        <v>33</v>
      </c>
      <c r="D58" s="31">
        <v>10</v>
      </c>
      <c r="E58" s="181">
        <v>58535</v>
      </c>
      <c r="F58" s="181">
        <f t="shared" si="0"/>
        <v>585350</v>
      </c>
      <c r="G58" s="182"/>
      <c r="H58" s="245"/>
      <c r="I58" s="250">
        <v>0</v>
      </c>
      <c r="J58" s="250"/>
      <c r="K58" s="251">
        <f t="shared" si="1"/>
        <v>0</v>
      </c>
      <c r="L58" s="50">
        <f t="shared" si="2"/>
        <v>0</v>
      </c>
      <c r="M58" s="50">
        <f t="shared" si="3"/>
        <v>0</v>
      </c>
      <c r="N58" s="50">
        <f t="shared" si="4"/>
        <v>0</v>
      </c>
    </row>
    <row r="59" spans="1:14" ht="12.75" customHeight="1" x14ac:dyDescent="0.3">
      <c r="A59" s="13">
        <v>11</v>
      </c>
      <c r="B59" s="17" t="s">
        <v>72</v>
      </c>
      <c r="C59" s="18"/>
      <c r="D59" s="19"/>
      <c r="E59" s="19"/>
      <c r="F59" s="19"/>
      <c r="G59" s="176">
        <f>+SUM(F60:F70)</f>
        <v>31170783</v>
      </c>
      <c r="H59" s="245">
        <f>+G59/$G$195</f>
        <v>3.6895257532418527E-2</v>
      </c>
      <c r="I59" s="246"/>
      <c r="J59" s="247"/>
      <c r="K59" s="247"/>
      <c r="L59" s="178"/>
      <c r="M59" s="178"/>
      <c r="N59" s="179"/>
    </row>
    <row r="60" spans="1:14" ht="12.75" customHeight="1" x14ac:dyDescent="0.3">
      <c r="A60" s="20">
        <v>11.01</v>
      </c>
      <c r="B60" s="21" t="s">
        <v>73</v>
      </c>
      <c r="C60" s="109" t="s">
        <v>19</v>
      </c>
      <c r="D60" s="94">
        <v>0</v>
      </c>
      <c r="E60" s="181">
        <v>0</v>
      </c>
      <c r="F60" s="181">
        <f t="shared" si="0"/>
        <v>0</v>
      </c>
      <c r="G60" s="185"/>
      <c r="H60" s="252"/>
      <c r="I60" s="250">
        <v>0</v>
      </c>
      <c r="J60" s="250"/>
      <c r="K60" s="251">
        <f t="shared" si="1"/>
        <v>0</v>
      </c>
      <c r="L60" s="50">
        <f t="shared" si="2"/>
        <v>0</v>
      </c>
      <c r="M60" s="50">
        <f t="shared" si="3"/>
        <v>0</v>
      </c>
      <c r="N60" s="50">
        <f t="shared" si="4"/>
        <v>0</v>
      </c>
    </row>
    <row r="61" spans="1:14" ht="12.75" customHeight="1" x14ac:dyDescent="0.3">
      <c r="A61" s="24">
        <v>11.02</v>
      </c>
      <c r="B61" s="25" t="s">
        <v>74</v>
      </c>
      <c r="C61" s="110" t="s">
        <v>19</v>
      </c>
      <c r="D61" s="31">
        <v>39</v>
      </c>
      <c r="E61" s="181">
        <v>19280</v>
      </c>
      <c r="F61" s="181">
        <f t="shared" si="0"/>
        <v>751920</v>
      </c>
      <c r="G61" s="186"/>
      <c r="H61" s="252"/>
      <c r="I61" s="250">
        <v>0</v>
      </c>
      <c r="J61" s="250"/>
      <c r="K61" s="251">
        <f t="shared" si="1"/>
        <v>0</v>
      </c>
      <c r="L61" s="50">
        <f t="shared" si="2"/>
        <v>0</v>
      </c>
      <c r="M61" s="50">
        <f t="shared" si="3"/>
        <v>0</v>
      </c>
      <c r="N61" s="50">
        <f t="shared" si="4"/>
        <v>0</v>
      </c>
    </row>
    <row r="62" spans="1:14" ht="12.75" customHeight="1" x14ac:dyDescent="0.3">
      <c r="A62" s="24">
        <v>11.03</v>
      </c>
      <c r="B62" s="25" t="s">
        <v>75</v>
      </c>
      <c r="C62" s="110" t="s">
        <v>19</v>
      </c>
      <c r="D62" s="31">
        <v>48</v>
      </c>
      <c r="E62" s="181">
        <v>25362</v>
      </c>
      <c r="F62" s="181">
        <f t="shared" si="0"/>
        <v>1217376</v>
      </c>
      <c r="G62" s="186"/>
      <c r="H62" s="252"/>
      <c r="I62" s="250">
        <v>0</v>
      </c>
      <c r="J62" s="250"/>
      <c r="K62" s="251">
        <f t="shared" si="1"/>
        <v>0</v>
      </c>
      <c r="L62" s="50">
        <f t="shared" si="2"/>
        <v>0</v>
      </c>
      <c r="M62" s="50">
        <f t="shared" si="3"/>
        <v>0</v>
      </c>
      <c r="N62" s="50">
        <f t="shared" si="4"/>
        <v>0</v>
      </c>
    </row>
    <row r="63" spans="1:14" ht="12.75" customHeight="1" x14ac:dyDescent="0.3">
      <c r="A63" s="24">
        <v>11.04</v>
      </c>
      <c r="B63" s="25" t="s">
        <v>76</v>
      </c>
      <c r="C63" s="30" t="s">
        <v>19</v>
      </c>
      <c r="D63" s="31">
        <v>174</v>
      </c>
      <c r="E63" s="181">
        <v>19164</v>
      </c>
      <c r="F63" s="181">
        <f t="shared" si="0"/>
        <v>3334536</v>
      </c>
      <c r="G63" s="182"/>
      <c r="H63" s="245"/>
      <c r="I63" s="250">
        <v>0</v>
      </c>
      <c r="J63" s="250"/>
      <c r="K63" s="251">
        <f t="shared" si="1"/>
        <v>0</v>
      </c>
      <c r="L63" s="50">
        <f t="shared" si="2"/>
        <v>0</v>
      </c>
      <c r="M63" s="50">
        <f t="shared" si="3"/>
        <v>0</v>
      </c>
      <c r="N63" s="50">
        <f t="shared" si="4"/>
        <v>0</v>
      </c>
    </row>
    <row r="64" spans="1:14" ht="12.75" customHeight="1" x14ac:dyDescent="0.3">
      <c r="A64" s="24">
        <v>11.05</v>
      </c>
      <c r="B64" s="25" t="s">
        <v>77</v>
      </c>
      <c r="C64" s="110" t="s">
        <v>19</v>
      </c>
      <c r="D64" s="31">
        <v>92</v>
      </c>
      <c r="E64" s="181">
        <v>19164</v>
      </c>
      <c r="F64" s="181">
        <f t="shared" si="0"/>
        <v>1763088</v>
      </c>
      <c r="G64" s="185"/>
      <c r="H64" s="252"/>
      <c r="I64" s="250">
        <v>0</v>
      </c>
      <c r="J64" s="250"/>
      <c r="K64" s="251">
        <f t="shared" si="1"/>
        <v>0</v>
      </c>
      <c r="L64" s="50">
        <f t="shared" si="2"/>
        <v>0</v>
      </c>
      <c r="M64" s="50">
        <f t="shared" si="3"/>
        <v>0</v>
      </c>
      <c r="N64" s="50">
        <f t="shared" si="4"/>
        <v>0</v>
      </c>
    </row>
    <row r="65" spans="1:14" ht="12.75" customHeight="1" x14ac:dyDescent="0.3">
      <c r="A65" s="24">
        <v>11.06</v>
      </c>
      <c r="B65" s="25" t="s">
        <v>78</v>
      </c>
      <c r="C65" s="30" t="s">
        <v>19</v>
      </c>
      <c r="D65" s="31">
        <v>8</v>
      </c>
      <c r="E65" s="181">
        <v>14043</v>
      </c>
      <c r="F65" s="181">
        <f t="shared" si="0"/>
        <v>112344</v>
      </c>
      <c r="G65" s="182"/>
      <c r="H65" s="245"/>
      <c r="I65" s="250">
        <v>0</v>
      </c>
      <c r="J65" s="250"/>
      <c r="K65" s="251">
        <f t="shared" si="1"/>
        <v>0</v>
      </c>
      <c r="L65" s="50">
        <f t="shared" si="2"/>
        <v>0</v>
      </c>
      <c r="M65" s="50">
        <f t="shared" si="3"/>
        <v>0</v>
      </c>
      <c r="N65" s="50">
        <f t="shared" si="4"/>
        <v>0</v>
      </c>
    </row>
    <row r="66" spans="1:14" ht="12.75" customHeight="1" x14ac:dyDescent="0.3">
      <c r="A66" s="24">
        <v>11.07</v>
      </c>
      <c r="B66" s="25" t="s">
        <v>79</v>
      </c>
      <c r="C66" s="110" t="s">
        <v>19</v>
      </c>
      <c r="D66" s="31">
        <v>46</v>
      </c>
      <c r="E66" s="181">
        <v>26630</v>
      </c>
      <c r="F66" s="181">
        <f t="shared" si="0"/>
        <v>1224980</v>
      </c>
      <c r="G66" s="186"/>
      <c r="H66" s="252"/>
      <c r="I66" s="250">
        <v>0</v>
      </c>
      <c r="J66" s="250"/>
      <c r="K66" s="251">
        <f t="shared" si="1"/>
        <v>0</v>
      </c>
      <c r="L66" s="50">
        <f t="shared" si="2"/>
        <v>0</v>
      </c>
      <c r="M66" s="50">
        <f t="shared" si="3"/>
        <v>0</v>
      </c>
      <c r="N66" s="50">
        <f t="shared" si="4"/>
        <v>0</v>
      </c>
    </row>
    <row r="67" spans="1:14" ht="12.75" customHeight="1" x14ac:dyDescent="0.3">
      <c r="A67" s="24">
        <v>11.08</v>
      </c>
      <c r="B67" s="25" t="s">
        <v>80</v>
      </c>
      <c r="C67" s="110" t="s">
        <v>19</v>
      </c>
      <c r="D67" s="31">
        <v>562</v>
      </c>
      <c r="E67" s="181">
        <v>25362</v>
      </c>
      <c r="F67" s="181">
        <f t="shared" si="0"/>
        <v>14253444</v>
      </c>
      <c r="G67" s="186"/>
      <c r="H67" s="252"/>
      <c r="I67" s="250">
        <v>0</v>
      </c>
      <c r="J67" s="250"/>
      <c r="K67" s="251">
        <f t="shared" si="1"/>
        <v>0</v>
      </c>
      <c r="L67" s="50">
        <f t="shared" si="2"/>
        <v>0</v>
      </c>
      <c r="M67" s="50">
        <f t="shared" si="3"/>
        <v>0</v>
      </c>
      <c r="N67" s="50">
        <f t="shared" si="4"/>
        <v>0</v>
      </c>
    </row>
    <row r="68" spans="1:14" ht="12.75" customHeight="1" x14ac:dyDescent="0.3">
      <c r="A68" s="24">
        <v>11.09</v>
      </c>
      <c r="B68" s="25" t="s">
        <v>81</v>
      </c>
      <c r="C68" s="113" t="s">
        <v>19</v>
      </c>
      <c r="D68" s="32">
        <v>73</v>
      </c>
      <c r="E68" s="181">
        <v>30109</v>
      </c>
      <c r="F68" s="181">
        <f t="shared" si="0"/>
        <v>2197957</v>
      </c>
      <c r="G68" s="186"/>
      <c r="H68" s="252"/>
      <c r="I68" s="250">
        <v>0</v>
      </c>
      <c r="J68" s="250"/>
      <c r="K68" s="251">
        <f t="shared" si="1"/>
        <v>0</v>
      </c>
      <c r="L68" s="50">
        <f t="shared" si="2"/>
        <v>0</v>
      </c>
      <c r="M68" s="50">
        <f t="shared" si="3"/>
        <v>0</v>
      </c>
      <c r="N68" s="50">
        <f t="shared" si="4"/>
        <v>0</v>
      </c>
    </row>
    <row r="69" spans="1:14" ht="12.75" customHeight="1" x14ac:dyDescent="0.3">
      <c r="A69" s="24">
        <v>11.1</v>
      </c>
      <c r="B69" s="25" t="s">
        <v>82</v>
      </c>
      <c r="C69" s="113" t="s">
        <v>19</v>
      </c>
      <c r="D69" s="32">
        <v>143</v>
      </c>
      <c r="E69" s="181">
        <v>25362</v>
      </c>
      <c r="F69" s="181">
        <f t="shared" si="0"/>
        <v>3626766</v>
      </c>
      <c r="G69" s="186"/>
      <c r="H69" s="252"/>
      <c r="I69" s="250">
        <v>0</v>
      </c>
      <c r="J69" s="250"/>
      <c r="K69" s="251">
        <f t="shared" si="1"/>
        <v>0</v>
      </c>
      <c r="L69" s="50">
        <f t="shared" si="2"/>
        <v>0</v>
      </c>
      <c r="M69" s="50">
        <f t="shared" si="3"/>
        <v>0</v>
      </c>
      <c r="N69" s="50">
        <f t="shared" si="4"/>
        <v>0</v>
      </c>
    </row>
    <row r="70" spans="1:14" ht="12.75" customHeight="1" x14ac:dyDescent="0.3">
      <c r="A70" s="24">
        <v>11.11</v>
      </c>
      <c r="B70" s="25" t="s">
        <v>83</v>
      </c>
      <c r="C70" s="111" t="s">
        <v>19</v>
      </c>
      <c r="D70" s="35">
        <v>106</v>
      </c>
      <c r="E70" s="181">
        <v>25362</v>
      </c>
      <c r="F70" s="181">
        <f t="shared" si="0"/>
        <v>2688372</v>
      </c>
      <c r="G70" s="186"/>
      <c r="H70" s="252"/>
      <c r="I70" s="250">
        <v>0</v>
      </c>
      <c r="J70" s="250"/>
      <c r="K70" s="251">
        <f t="shared" si="1"/>
        <v>0</v>
      </c>
      <c r="L70" s="50">
        <f t="shared" si="2"/>
        <v>0</v>
      </c>
      <c r="M70" s="50">
        <f t="shared" si="3"/>
        <v>0</v>
      </c>
      <c r="N70" s="50">
        <f t="shared" si="4"/>
        <v>0</v>
      </c>
    </row>
    <row r="71" spans="1:14" ht="12.75" customHeight="1" x14ac:dyDescent="0.3">
      <c r="A71" s="13">
        <v>12</v>
      </c>
      <c r="B71" s="17" t="s">
        <v>84</v>
      </c>
      <c r="C71" s="18"/>
      <c r="D71" s="19"/>
      <c r="E71" s="19"/>
      <c r="F71" s="19"/>
      <c r="G71" s="176">
        <f>+SUM(F72:F74)</f>
        <v>8990052</v>
      </c>
      <c r="H71" s="245">
        <f>+G71/$G$195</f>
        <v>1.0641063580912749E-2</v>
      </c>
      <c r="I71" s="246"/>
      <c r="J71" s="247"/>
      <c r="K71" s="247"/>
      <c r="L71" s="178"/>
      <c r="M71" s="178"/>
      <c r="N71" s="179"/>
    </row>
    <row r="72" spans="1:14" ht="12.75" customHeight="1" x14ac:dyDescent="0.3">
      <c r="A72" s="20">
        <f>+A71+0.01</f>
        <v>12.01</v>
      </c>
      <c r="B72" s="21" t="s">
        <v>85</v>
      </c>
      <c r="C72" s="109" t="s">
        <v>27</v>
      </c>
      <c r="D72" s="94">
        <v>19</v>
      </c>
      <c r="E72" s="181">
        <v>6496</v>
      </c>
      <c r="F72" s="181">
        <f t="shared" si="0"/>
        <v>123424</v>
      </c>
      <c r="H72" s="245"/>
      <c r="I72" s="250">
        <v>0</v>
      </c>
      <c r="J72" s="250"/>
      <c r="K72" s="251">
        <f t="shared" si="1"/>
        <v>0</v>
      </c>
      <c r="L72" s="50">
        <f t="shared" si="2"/>
        <v>0</v>
      </c>
      <c r="M72" s="50">
        <f t="shared" si="3"/>
        <v>0</v>
      </c>
      <c r="N72" s="50">
        <f t="shared" si="4"/>
        <v>0</v>
      </c>
    </row>
    <row r="73" spans="1:14" ht="12.75" customHeight="1" x14ac:dyDescent="0.3">
      <c r="A73" s="106">
        <v>12.02</v>
      </c>
      <c r="B73" s="25" t="s">
        <v>86</v>
      </c>
      <c r="C73" s="114" t="s">
        <v>27</v>
      </c>
      <c r="D73" s="31">
        <v>626</v>
      </c>
      <c r="E73" s="181">
        <v>9059</v>
      </c>
      <c r="F73" s="181">
        <f t="shared" si="0"/>
        <v>5670934</v>
      </c>
      <c r="H73" s="245"/>
      <c r="I73" s="250">
        <v>0</v>
      </c>
      <c r="J73" s="250"/>
      <c r="K73" s="251">
        <f t="shared" si="1"/>
        <v>0</v>
      </c>
      <c r="L73" s="50">
        <f t="shared" si="2"/>
        <v>0</v>
      </c>
      <c r="M73" s="50">
        <f t="shared" si="3"/>
        <v>0</v>
      </c>
      <c r="N73" s="50">
        <f t="shared" si="4"/>
        <v>0</v>
      </c>
    </row>
    <row r="74" spans="1:14" ht="12.75" customHeight="1" x14ac:dyDescent="0.3">
      <c r="A74" s="106">
        <v>12.03</v>
      </c>
      <c r="B74" s="107" t="s">
        <v>87</v>
      </c>
      <c r="C74" s="114" t="s">
        <v>27</v>
      </c>
      <c r="D74" s="35">
        <v>386</v>
      </c>
      <c r="E74" s="181">
        <v>8279</v>
      </c>
      <c r="F74" s="181">
        <f t="shared" ref="F74:F137" si="5">+E74*D74</f>
        <v>3195694</v>
      </c>
      <c r="H74" s="245"/>
      <c r="I74" s="250">
        <v>0</v>
      </c>
      <c r="J74" s="250"/>
      <c r="K74" s="251">
        <f t="shared" ref="K74" si="6">+I74+J74</f>
        <v>0</v>
      </c>
      <c r="L74" s="50">
        <f t="shared" ref="L74" si="7">+F74*I74</f>
        <v>0</v>
      </c>
      <c r="M74" s="50">
        <f t="shared" ref="M74" si="8">+F74*J74</f>
        <v>0</v>
      </c>
      <c r="N74" s="50">
        <f t="shared" ref="N74" si="9">+F74*K74</f>
        <v>0</v>
      </c>
    </row>
    <row r="75" spans="1:14" ht="12.75" customHeight="1" x14ac:dyDescent="0.3">
      <c r="A75" s="13">
        <v>13</v>
      </c>
      <c r="B75" s="17" t="s">
        <v>88</v>
      </c>
      <c r="C75" s="18"/>
      <c r="D75" s="19"/>
      <c r="E75" s="19"/>
      <c r="F75" s="19"/>
      <c r="G75" s="176">
        <f>+SUM(F76:F79)</f>
        <v>14836279</v>
      </c>
      <c r="H75" s="245">
        <f>+G75/$G$195</f>
        <v>1.7560942711250239E-2</v>
      </c>
      <c r="I75" s="246"/>
      <c r="J75" s="247"/>
      <c r="K75" s="247"/>
      <c r="L75" s="178"/>
      <c r="M75" s="178"/>
      <c r="N75" s="179"/>
    </row>
    <row r="76" spans="1:14" ht="12.75" customHeight="1" x14ac:dyDescent="0.3">
      <c r="A76" s="115">
        <v>13.01</v>
      </c>
      <c r="B76" s="116" t="s">
        <v>89</v>
      </c>
      <c r="C76" s="117" t="s">
        <v>19</v>
      </c>
      <c r="D76" s="23">
        <v>413</v>
      </c>
      <c r="E76" s="181">
        <v>30109</v>
      </c>
      <c r="F76" s="181">
        <f t="shared" si="5"/>
        <v>12435017</v>
      </c>
      <c r="H76" s="245"/>
      <c r="I76" s="250">
        <v>0</v>
      </c>
      <c r="J76" s="250"/>
      <c r="K76" s="251">
        <f t="shared" ref="K76:K139" si="10">+I76+J76</f>
        <v>0</v>
      </c>
      <c r="L76" s="50">
        <f t="shared" ref="L76:L139" si="11">+F76*I76</f>
        <v>0</v>
      </c>
      <c r="M76" s="50">
        <f t="shared" ref="M76:M139" si="12">+F76*J76</f>
        <v>0</v>
      </c>
      <c r="N76" s="50">
        <f t="shared" ref="N76:N139" si="13">+F76*K76</f>
        <v>0</v>
      </c>
    </row>
    <row r="77" spans="1:14" ht="12.75" customHeight="1" x14ac:dyDescent="0.3">
      <c r="A77" s="118">
        <v>13.02</v>
      </c>
      <c r="B77" s="119" t="s">
        <v>90</v>
      </c>
      <c r="C77" s="120" t="s">
        <v>19</v>
      </c>
      <c r="D77" s="121">
        <v>18</v>
      </c>
      <c r="E77" s="181">
        <v>30109</v>
      </c>
      <c r="F77" s="181">
        <f t="shared" si="5"/>
        <v>541962</v>
      </c>
      <c r="H77" s="245"/>
      <c r="I77" s="250">
        <v>0</v>
      </c>
      <c r="J77" s="250"/>
      <c r="K77" s="251">
        <f t="shared" si="10"/>
        <v>0</v>
      </c>
      <c r="L77" s="50">
        <f t="shared" si="11"/>
        <v>0</v>
      </c>
      <c r="M77" s="50">
        <f t="shared" si="12"/>
        <v>0</v>
      </c>
      <c r="N77" s="50">
        <f t="shared" si="13"/>
        <v>0</v>
      </c>
    </row>
    <row r="78" spans="1:14" ht="12.75" customHeight="1" x14ac:dyDescent="0.3">
      <c r="A78" s="100">
        <v>13.03</v>
      </c>
      <c r="B78" s="119" t="s">
        <v>91</v>
      </c>
      <c r="C78" s="110" t="s">
        <v>19</v>
      </c>
      <c r="D78" s="31">
        <v>20</v>
      </c>
      <c r="E78" s="181">
        <v>92965</v>
      </c>
      <c r="F78" s="181">
        <f t="shared" si="5"/>
        <v>1859300</v>
      </c>
      <c r="G78" s="186"/>
      <c r="H78" s="252"/>
      <c r="I78" s="250">
        <v>0</v>
      </c>
      <c r="J78" s="250"/>
      <c r="K78" s="251">
        <f t="shared" si="10"/>
        <v>0</v>
      </c>
      <c r="L78" s="50">
        <f t="shared" si="11"/>
        <v>0</v>
      </c>
      <c r="M78" s="50">
        <f t="shared" si="12"/>
        <v>0</v>
      </c>
      <c r="N78" s="50">
        <f t="shared" si="13"/>
        <v>0</v>
      </c>
    </row>
    <row r="79" spans="1:14" ht="12.75" customHeight="1" x14ac:dyDescent="0.3">
      <c r="A79" s="100">
        <v>13.04</v>
      </c>
      <c r="B79" s="25" t="s">
        <v>92</v>
      </c>
      <c r="C79" s="110" t="s">
        <v>19</v>
      </c>
      <c r="D79" s="31">
        <v>0</v>
      </c>
      <c r="E79" s="181">
        <v>0</v>
      </c>
      <c r="F79" s="181">
        <f t="shared" si="5"/>
        <v>0</v>
      </c>
      <c r="G79" s="186"/>
      <c r="H79" s="252"/>
      <c r="I79" s="250">
        <v>0</v>
      </c>
      <c r="J79" s="250"/>
      <c r="K79" s="251">
        <f t="shared" si="10"/>
        <v>0</v>
      </c>
      <c r="L79" s="50">
        <f t="shared" si="11"/>
        <v>0</v>
      </c>
      <c r="M79" s="50">
        <f t="shared" si="12"/>
        <v>0</v>
      </c>
      <c r="N79" s="50">
        <f t="shared" si="13"/>
        <v>0</v>
      </c>
    </row>
    <row r="80" spans="1:14" ht="12.75" customHeight="1" x14ac:dyDescent="0.3">
      <c r="A80" s="13">
        <v>14</v>
      </c>
      <c r="B80" s="17" t="s">
        <v>93</v>
      </c>
      <c r="C80" s="18"/>
      <c r="D80" s="19"/>
      <c r="E80" s="19"/>
      <c r="F80" s="19"/>
      <c r="G80" s="176">
        <f>+SUM(F81:F87)</f>
        <v>33813897</v>
      </c>
      <c r="H80" s="245">
        <f>+G80/$G$195</f>
        <v>4.0023776046616291E-2</v>
      </c>
      <c r="I80" s="246"/>
      <c r="J80" s="247"/>
      <c r="K80" s="247"/>
      <c r="L80" s="178"/>
      <c r="M80" s="178"/>
      <c r="N80" s="179"/>
    </row>
    <row r="81" spans="1:14" ht="12.75" customHeight="1" x14ac:dyDescent="0.3">
      <c r="A81" s="20">
        <f>+A80+0.01</f>
        <v>14.01</v>
      </c>
      <c r="B81" s="21" t="s">
        <v>94</v>
      </c>
      <c r="C81" s="117" t="s">
        <v>19</v>
      </c>
      <c r="D81" s="23">
        <v>460</v>
      </c>
      <c r="E81" s="181">
        <v>23624</v>
      </c>
      <c r="F81" s="181">
        <f t="shared" si="5"/>
        <v>10867040</v>
      </c>
      <c r="H81" s="245"/>
      <c r="I81" s="250">
        <v>0</v>
      </c>
      <c r="J81" s="250"/>
      <c r="K81" s="251">
        <f t="shared" si="10"/>
        <v>0</v>
      </c>
      <c r="L81" s="50">
        <f t="shared" si="11"/>
        <v>0</v>
      </c>
      <c r="M81" s="50">
        <f t="shared" si="12"/>
        <v>0</v>
      </c>
      <c r="N81" s="50">
        <f t="shared" si="13"/>
        <v>0</v>
      </c>
    </row>
    <row r="82" spans="1:14" ht="12.75" customHeight="1" x14ac:dyDescent="0.3">
      <c r="A82" s="106">
        <v>14.02</v>
      </c>
      <c r="B82" s="107" t="s">
        <v>95</v>
      </c>
      <c r="C82" s="120" t="s">
        <v>27</v>
      </c>
      <c r="D82" s="121">
        <v>434</v>
      </c>
      <c r="E82" s="181">
        <v>16659</v>
      </c>
      <c r="F82" s="181">
        <f t="shared" si="5"/>
        <v>7230006</v>
      </c>
      <c r="H82" s="245"/>
      <c r="I82" s="250">
        <v>0</v>
      </c>
      <c r="J82" s="250"/>
      <c r="K82" s="251">
        <f t="shared" si="10"/>
        <v>0</v>
      </c>
      <c r="L82" s="50">
        <f t="shared" si="11"/>
        <v>0</v>
      </c>
      <c r="M82" s="50">
        <f t="shared" si="12"/>
        <v>0</v>
      </c>
      <c r="N82" s="50">
        <f t="shared" si="13"/>
        <v>0</v>
      </c>
    </row>
    <row r="83" spans="1:14" ht="12.75" customHeight="1" x14ac:dyDescent="0.3">
      <c r="A83" s="24">
        <v>14.03</v>
      </c>
      <c r="B83" s="25" t="s">
        <v>96</v>
      </c>
      <c r="C83" s="112" t="s">
        <v>19</v>
      </c>
      <c r="D83" s="27">
        <v>115</v>
      </c>
      <c r="E83" s="181">
        <v>35817</v>
      </c>
      <c r="F83" s="181">
        <f t="shared" si="5"/>
        <v>4118955</v>
      </c>
      <c r="H83" s="245"/>
      <c r="I83" s="250">
        <v>0</v>
      </c>
      <c r="J83" s="250"/>
      <c r="K83" s="251">
        <f t="shared" si="10"/>
        <v>0</v>
      </c>
      <c r="L83" s="50">
        <f t="shared" si="11"/>
        <v>0</v>
      </c>
      <c r="M83" s="50">
        <f t="shared" si="12"/>
        <v>0</v>
      </c>
      <c r="N83" s="50">
        <f t="shared" si="13"/>
        <v>0</v>
      </c>
    </row>
    <row r="84" spans="1:14" ht="12.75" customHeight="1" x14ac:dyDescent="0.3">
      <c r="A84" s="106">
        <v>14.04</v>
      </c>
      <c r="B84" s="25" t="s">
        <v>97</v>
      </c>
      <c r="C84" s="112" t="s">
        <v>19</v>
      </c>
      <c r="D84" s="27">
        <v>89</v>
      </c>
      <c r="E84" s="181">
        <v>41132</v>
      </c>
      <c r="F84" s="181">
        <f t="shared" si="5"/>
        <v>3660748</v>
      </c>
      <c r="H84" s="245"/>
      <c r="I84" s="250">
        <v>0</v>
      </c>
      <c r="J84" s="250"/>
      <c r="K84" s="251">
        <f t="shared" si="10"/>
        <v>0</v>
      </c>
      <c r="L84" s="50">
        <f t="shared" si="11"/>
        <v>0</v>
      </c>
      <c r="M84" s="50">
        <f t="shared" si="12"/>
        <v>0</v>
      </c>
      <c r="N84" s="50">
        <f t="shared" si="13"/>
        <v>0</v>
      </c>
    </row>
    <row r="85" spans="1:14" ht="12.75" customHeight="1" x14ac:dyDescent="0.3">
      <c r="A85" s="24">
        <v>14.05</v>
      </c>
      <c r="B85" s="25" t="s">
        <v>98</v>
      </c>
      <c r="C85" s="112" t="s">
        <v>27</v>
      </c>
      <c r="D85" s="27">
        <v>530</v>
      </c>
      <c r="E85" s="181">
        <v>9274</v>
      </c>
      <c r="F85" s="181">
        <f t="shared" si="5"/>
        <v>4915220</v>
      </c>
      <c r="H85" s="245"/>
      <c r="I85" s="250">
        <v>0</v>
      </c>
      <c r="J85" s="250"/>
      <c r="K85" s="251">
        <f t="shared" si="10"/>
        <v>0</v>
      </c>
      <c r="L85" s="50">
        <f t="shared" si="11"/>
        <v>0</v>
      </c>
      <c r="M85" s="50">
        <f t="shared" si="12"/>
        <v>0</v>
      </c>
      <c r="N85" s="50">
        <f t="shared" si="13"/>
        <v>0</v>
      </c>
    </row>
    <row r="86" spans="1:14" ht="12.75" customHeight="1" x14ac:dyDescent="0.3">
      <c r="A86" s="106">
        <v>14.06</v>
      </c>
      <c r="B86" s="25" t="s">
        <v>99</v>
      </c>
      <c r="C86" s="112" t="s">
        <v>27</v>
      </c>
      <c r="D86" s="27">
        <v>56</v>
      </c>
      <c r="E86" s="181">
        <v>9274</v>
      </c>
      <c r="F86" s="181">
        <f t="shared" si="5"/>
        <v>519344</v>
      </c>
      <c r="H86" s="245"/>
      <c r="I86" s="250">
        <v>0</v>
      </c>
      <c r="J86" s="250"/>
      <c r="K86" s="251">
        <f t="shared" si="10"/>
        <v>0</v>
      </c>
      <c r="L86" s="50">
        <f t="shared" si="11"/>
        <v>0</v>
      </c>
      <c r="M86" s="50">
        <f t="shared" si="12"/>
        <v>0</v>
      </c>
      <c r="N86" s="50">
        <f t="shared" si="13"/>
        <v>0</v>
      </c>
    </row>
    <row r="87" spans="1:14" ht="12.75" customHeight="1" x14ac:dyDescent="0.3">
      <c r="A87" s="24">
        <v>14.07</v>
      </c>
      <c r="B87" s="25" t="s">
        <v>100</v>
      </c>
      <c r="C87" s="112" t="s">
        <v>19</v>
      </c>
      <c r="D87" s="27">
        <v>469</v>
      </c>
      <c r="E87" s="181">
        <v>5336</v>
      </c>
      <c r="F87" s="181">
        <f t="shared" si="5"/>
        <v>2502584</v>
      </c>
      <c r="H87" s="245"/>
      <c r="I87" s="250">
        <v>0</v>
      </c>
      <c r="J87" s="250"/>
      <c r="K87" s="251">
        <f t="shared" si="10"/>
        <v>0</v>
      </c>
      <c r="L87" s="50">
        <f t="shared" si="11"/>
        <v>0</v>
      </c>
      <c r="M87" s="50">
        <f t="shared" si="12"/>
        <v>0</v>
      </c>
      <c r="N87" s="50">
        <f t="shared" si="13"/>
        <v>0</v>
      </c>
    </row>
    <row r="88" spans="1:14" ht="12.75" customHeight="1" x14ac:dyDescent="0.3">
      <c r="A88" s="13">
        <v>15</v>
      </c>
      <c r="B88" s="17" t="s">
        <v>101</v>
      </c>
      <c r="C88" s="18"/>
      <c r="D88" s="19"/>
      <c r="E88" s="19"/>
      <c r="F88" s="19"/>
      <c r="G88" s="176">
        <f>+SUM(F89:F100)</f>
        <v>81675029</v>
      </c>
      <c r="H88" s="245">
        <f>+G88/$G$195</f>
        <v>9.667454388049064E-2</v>
      </c>
      <c r="I88" s="246"/>
      <c r="J88" s="247"/>
      <c r="K88" s="247"/>
      <c r="L88" s="178"/>
      <c r="M88" s="178"/>
      <c r="N88" s="179"/>
    </row>
    <row r="89" spans="1:14" ht="12.75" customHeight="1" x14ac:dyDescent="0.3">
      <c r="A89" s="115">
        <v>15.01</v>
      </c>
      <c r="B89" s="116" t="s">
        <v>102</v>
      </c>
      <c r="C89" s="122" t="s">
        <v>19</v>
      </c>
      <c r="D89" s="123">
        <v>739</v>
      </c>
      <c r="E89" s="181">
        <v>22075</v>
      </c>
      <c r="F89" s="181">
        <f t="shared" si="5"/>
        <v>16313425</v>
      </c>
      <c r="G89" s="186"/>
      <c r="H89" s="253"/>
      <c r="I89" s="250">
        <v>0</v>
      </c>
      <c r="J89" s="250"/>
      <c r="K89" s="251">
        <f t="shared" si="10"/>
        <v>0</v>
      </c>
      <c r="L89" s="50">
        <f t="shared" si="11"/>
        <v>0</v>
      </c>
      <c r="M89" s="50">
        <f t="shared" si="12"/>
        <v>0</v>
      </c>
      <c r="N89" s="50">
        <f t="shared" si="13"/>
        <v>0</v>
      </c>
    </row>
    <row r="90" spans="1:14" ht="12.75" customHeight="1" x14ac:dyDescent="0.3">
      <c r="A90" s="100">
        <v>15.02</v>
      </c>
      <c r="B90" s="25" t="s">
        <v>103</v>
      </c>
      <c r="C90" s="110" t="s">
        <v>19</v>
      </c>
      <c r="D90" s="29">
        <v>1439</v>
      </c>
      <c r="E90" s="181">
        <v>8883</v>
      </c>
      <c r="F90" s="181">
        <f t="shared" si="5"/>
        <v>12782637</v>
      </c>
      <c r="G90" s="186"/>
      <c r="H90" s="253"/>
      <c r="I90" s="250">
        <v>0</v>
      </c>
      <c r="J90" s="250"/>
      <c r="K90" s="251">
        <f t="shared" si="10"/>
        <v>0</v>
      </c>
      <c r="L90" s="50">
        <f t="shared" si="11"/>
        <v>0</v>
      </c>
      <c r="M90" s="50">
        <f t="shared" si="12"/>
        <v>0</v>
      </c>
      <c r="N90" s="50">
        <f t="shared" si="13"/>
        <v>0</v>
      </c>
    </row>
    <row r="91" spans="1:14" ht="12.75" customHeight="1" x14ac:dyDescent="0.3">
      <c r="A91" s="100">
        <v>15.03</v>
      </c>
      <c r="B91" s="25" t="s">
        <v>104</v>
      </c>
      <c r="C91" s="110" t="s">
        <v>19</v>
      </c>
      <c r="D91" s="29">
        <v>462</v>
      </c>
      <c r="E91" s="181">
        <v>14295</v>
      </c>
      <c r="F91" s="181">
        <f t="shared" si="5"/>
        <v>6604290</v>
      </c>
      <c r="G91" s="186"/>
      <c r="H91" s="253"/>
      <c r="I91" s="250">
        <v>0</v>
      </c>
      <c r="J91" s="250"/>
      <c r="K91" s="251">
        <f t="shared" si="10"/>
        <v>0</v>
      </c>
      <c r="L91" s="50">
        <f t="shared" si="11"/>
        <v>0</v>
      </c>
      <c r="M91" s="50">
        <f t="shared" si="12"/>
        <v>0</v>
      </c>
      <c r="N91" s="50">
        <f t="shared" si="13"/>
        <v>0</v>
      </c>
    </row>
    <row r="92" spans="1:14" ht="12.75" customHeight="1" x14ac:dyDescent="0.3">
      <c r="A92" s="100">
        <v>15.04</v>
      </c>
      <c r="B92" s="25" t="s">
        <v>105</v>
      </c>
      <c r="C92" s="110" t="s">
        <v>19</v>
      </c>
      <c r="D92" s="29">
        <v>144</v>
      </c>
      <c r="E92" s="181">
        <v>7538</v>
      </c>
      <c r="F92" s="181">
        <f t="shared" si="5"/>
        <v>1085472</v>
      </c>
      <c r="G92" s="186"/>
      <c r="H92" s="253"/>
      <c r="I92" s="250">
        <v>0</v>
      </c>
      <c r="J92" s="250"/>
      <c r="K92" s="251">
        <f t="shared" si="10"/>
        <v>0</v>
      </c>
      <c r="L92" s="50">
        <f t="shared" si="11"/>
        <v>0</v>
      </c>
      <c r="M92" s="50">
        <f t="shared" si="12"/>
        <v>0</v>
      </c>
      <c r="N92" s="50">
        <f t="shared" si="13"/>
        <v>0</v>
      </c>
    </row>
    <row r="93" spans="1:14" ht="12.75" customHeight="1" x14ac:dyDescent="0.3">
      <c r="A93" s="100">
        <v>15.05</v>
      </c>
      <c r="B93" s="25" t="s">
        <v>106</v>
      </c>
      <c r="C93" s="110" t="s">
        <v>19</v>
      </c>
      <c r="D93" s="29">
        <v>460</v>
      </c>
      <c r="E93" s="181">
        <v>8883</v>
      </c>
      <c r="F93" s="181">
        <f t="shared" si="5"/>
        <v>4086180</v>
      </c>
      <c r="G93" s="186"/>
      <c r="H93" s="253"/>
      <c r="I93" s="250">
        <v>0</v>
      </c>
      <c r="J93" s="250"/>
      <c r="K93" s="251">
        <f t="shared" si="10"/>
        <v>0</v>
      </c>
      <c r="L93" s="50">
        <f t="shared" si="11"/>
        <v>0</v>
      </c>
      <c r="M93" s="50">
        <f t="shared" si="12"/>
        <v>0</v>
      </c>
      <c r="N93" s="50">
        <f t="shared" si="13"/>
        <v>0</v>
      </c>
    </row>
    <row r="94" spans="1:14" ht="12.75" customHeight="1" x14ac:dyDescent="0.3">
      <c r="A94" s="100">
        <v>15.06</v>
      </c>
      <c r="B94" s="25" t="s">
        <v>107</v>
      </c>
      <c r="C94" s="110" t="s">
        <v>19</v>
      </c>
      <c r="D94" s="29">
        <v>204</v>
      </c>
      <c r="E94" s="181">
        <v>15750</v>
      </c>
      <c r="F94" s="181">
        <f t="shared" si="5"/>
        <v>3213000</v>
      </c>
      <c r="G94" s="186"/>
      <c r="H94" s="253"/>
      <c r="I94" s="250">
        <v>0</v>
      </c>
      <c r="J94" s="250"/>
      <c r="K94" s="251">
        <f t="shared" si="10"/>
        <v>0</v>
      </c>
      <c r="L94" s="50">
        <f t="shared" si="11"/>
        <v>0</v>
      </c>
      <c r="M94" s="50">
        <f t="shared" si="12"/>
        <v>0</v>
      </c>
      <c r="N94" s="50">
        <f t="shared" si="13"/>
        <v>0</v>
      </c>
    </row>
    <row r="95" spans="1:14" ht="12.75" customHeight="1" x14ac:dyDescent="0.3">
      <c r="A95" s="100">
        <v>15.07</v>
      </c>
      <c r="B95" s="25" t="s">
        <v>108</v>
      </c>
      <c r="C95" s="28" t="s">
        <v>19</v>
      </c>
      <c r="D95" s="29">
        <v>262</v>
      </c>
      <c r="E95" s="181">
        <v>17154</v>
      </c>
      <c r="F95" s="181">
        <f t="shared" si="5"/>
        <v>4494348</v>
      </c>
      <c r="G95" s="186"/>
      <c r="H95" s="245"/>
      <c r="I95" s="250">
        <v>0</v>
      </c>
      <c r="J95" s="250"/>
      <c r="K95" s="251">
        <f t="shared" si="10"/>
        <v>0</v>
      </c>
      <c r="L95" s="50">
        <f t="shared" si="11"/>
        <v>0</v>
      </c>
      <c r="M95" s="50">
        <f t="shared" si="12"/>
        <v>0</v>
      </c>
      <c r="N95" s="50">
        <f t="shared" si="13"/>
        <v>0</v>
      </c>
    </row>
    <row r="96" spans="1:14" ht="12.75" customHeight="1" x14ac:dyDescent="0.3">
      <c r="A96" s="100">
        <v>15.08</v>
      </c>
      <c r="B96" s="25" t="s">
        <v>109</v>
      </c>
      <c r="C96" s="110" t="s">
        <v>19</v>
      </c>
      <c r="D96" s="31">
        <v>756</v>
      </c>
      <c r="E96" s="181">
        <v>26534</v>
      </c>
      <c r="F96" s="181">
        <f t="shared" si="5"/>
        <v>20059704</v>
      </c>
      <c r="G96" s="186"/>
      <c r="H96" s="252"/>
      <c r="I96" s="250">
        <v>0</v>
      </c>
      <c r="J96" s="250"/>
      <c r="K96" s="251">
        <f t="shared" si="10"/>
        <v>0</v>
      </c>
      <c r="L96" s="50">
        <f t="shared" si="11"/>
        <v>0</v>
      </c>
      <c r="M96" s="50">
        <f t="shared" si="12"/>
        <v>0</v>
      </c>
      <c r="N96" s="50">
        <f t="shared" si="13"/>
        <v>0</v>
      </c>
    </row>
    <row r="97" spans="1:14" ht="12.75" customHeight="1" x14ac:dyDescent="0.3">
      <c r="A97" s="100">
        <v>15.09</v>
      </c>
      <c r="B97" s="25" t="s">
        <v>110</v>
      </c>
      <c r="C97" s="110" t="s">
        <v>19</v>
      </c>
      <c r="D97" s="31">
        <v>56</v>
      </c>
      <c r="E97" s="181">
        <v>31737</v>
      </c>
      <c r="F97" s="181">
        <f t="shared" si="5"/>
        <v>1777272</v>
      </c>
      <c r="G97" s="186"/>
      <c r="H97" s="252"/>
      <c r="I97" s="250">
        <v>0</v>
      </c>
      <c r="J97" s="250"/>
      <c r="K97" s="251">
        <f t="shared" si="10"/>
        <v>0</v>
      </c>
      <c r="L97" s="50">
        <f t="shared" si="11"/>
        <v>0</v>
      </c>
      <c r="M97" s="50">
        <f t="shared" si="12"/>
        <v>0</v>
      </c>
      <c r="N97" s="50">
        <f t="shared" si="13"/>
        <v>0</v>
      </c>
    </row>
    <row r="98" spans="1:14" ht="12.75" customHeight="1" x14ac:dyDescent="0.3">
      <c r="A98" s="100">
        <v>15.1</v>
      </c>
      <c r="B98" s="25" t="s">
        <v>111</v>
      </c>
      <c r="C98" s="110" t="s">
        <v>29</v>
      </c>
      <c r="D98" s="31">
        <v>1</v>
      </c>
      <c r="E98" s="181">
        <v>885031</v>
      </c>
      <c r="F98" s="181">
        <f t="shared" si="5"/>
        <v>885031</v>
      </c>
      <c r="H98" s="245"/>
      <c r="I98" s="250">
        <v>0</v>
      </c>
      <c r="J98" s="250"/>
      <c r="K98" s="251">
        <f t="shared" si="10"/>
        <v>0</v>
      </c>
      <c r="L98" s="50">
        <f t="shared" si="11"/>
        <v>0</v>
      </c>
      <c r="M98" s="50">
        <f t="shared" si="12"/>
        <v>0</v>
      </c>
      <c r="N98" s="50">
        <f t="shared" si="13"/>
        <v>0</v>
      </c>
    </row>
    <row r="99" spans="1:14" ht="12.75" customHeight="1" x14ac:dyDescent="0.3">
      <c r="A99" s="100">
        <v>15.11</v>
      </c>
      <c r="B99" s="25" t="s">
        <v>112</v>
      </c>
      <c r="C99" s="110" t="s">
        <v>52</v>
      </c>
      <c r="D99" s="31">
        <v>73</v>
      </c>
      <c r="E99" s="181">
        <v>83386</v>
      </c>
      <c r="F99" s="181">
        <f t="shared" si="5"/>
        <v>6087178</v>
      </c>
      <c r="H99" s="245"/>
      <c r="I99" s="250">
        <v>0</v>
      </c>
      <c r="J99" s="250"/>
      <c r="K99" s="251">
        <f t="shared" si="10"/>
        <v>0</v>
      </c>
      <c r="L99" s="50">
        <f t="shared" si="11"/>
        <v>0</v>
      </c>
      <c r="M99" s="50">
        <f t="shared" si="12"/>
        <v>0</v>
      </c>
      <c r="N99" s="50">
        <f t="shared" si="13"/>
        <v>0</v>
      </c>
    </row>
    <row r="100" spans="1:14" ht="12.75" customHeight="1" x14ac:dyDescent="0.3">
      <c r="A100" s="100">
        <v>15.12</v>
      </c>
      <c r="B100" s="124" t="s">
        <v>113</v>
      </c>
      <c r="C100" s="111" t="s">
        <v>29</v>
      </c>
      <c r="D100" s="35">
        <v>1</v>
      </c>
      <c r="E100" s="181">
        <v>4286492</v>
      </c>
      <c r="F100" s="181">
        <f t="shared" si="5"/>
        <v>4286492</v>
      </c>
      <c r="H100" s="245"/>
      <c r="I100" s="250">
        <v>0</v>
      </c>
      <c r="J100" s="250"/>
      <c r="K100" s="251">
        <f t="shared" si="10"/>
        <v>0</v>
      </c>
      <c r="L100" s="50">
        <f t="shared" si="11"/>
        <v>0</v>
      </c>
      <c r="M100" s="50">
        <f t="shared" si="12"/>
        <v>0</v>
      </c>
      <c r="N100" s="50">
        <f t="shared" si="13"/>
        <v>0</v>
      </c>
    </row>
    <row r="101" spans="1:14" ht="12.75" customHeight="1" x14ac:dyDescent="0.3">
      <c r="A101" s="13">
        <v>16</v>
      </c>
      <c r="B101" s="125" t="s">
        <v>114</v>
      </c>
      <c r="C101" s="18"/>
      <c r="D101" s="19"/>
      <c r="E101" s="19"/>
      <c r="F101" s="19"/>
      <c r="G101" s="176">
        <f>+SUM(F102)</f>
        <v>0</v>
      </c>
      <c r="H101" s="245">
        <f>+G101/$G$195</f>
        <v>0</v>
      </c>
      <c r="I101" s="246"/>
      <c r="J101" s="247"/>
      <c r="K101" s="247"/>
      <c r="L101" s="178"/>
      <c r="M101" s="178"/>
      <c r="N101" s="179"/>
    </row>
    <row r="102" spans="1:14" ht="12.75" customHeight="1" x14ac:dyDescent="0.3">
      <c r="A102" s="20"/>
      <c r="B102" s="21"/>
      <c r="C102" s="93"/>
      <c r="D102" s="94"/>
      <c r="E102" s="184">
        <v>0</v>
      </c>
      <c r="F102" s="183">
        <f t="shared" si="5"/>
        <v>0</v>
      </c>
      <c r="G102" s="185"/>
      <c r="H102" s="252"/>
      <c r="I102" s="250">
        <v>0</v>
      </c>
      <c r="J102" s="250"/>
      <c r="K102" s="251">
        <f t="shared" si="10"/>
        <v>0</v>
      </c>
      <c r="L102" s="50">
        <f t="shared" si="11"/>
        <v>0</v>
      </c>
      <c r="M102" s="50">
        <f t="shared" si="12"/>
        <v>0</v>
      </c>
      <c r="N102" s="50">
        <f t="shared" si="13"/>
        <v>0</v>
      </c>
    </row>
    <row r="103" spans="1:14" ht="12.75" customHeight="1" x14ac:dyDescent="0.3">
      <c r="A103" s="13">
        <v>17</v>
      </c>
      <c r="B103" s="17" t="s">
        <v>115</v>
      </c>
      <c r="C103" s="18"/>
      <c r="D103" s="19"/>
      <c r="E103" s="19"/>
      <c r="F103" s="19"/>
      <c r="G103" s="176">
        <f>+SUM(F104:F107)</f>
        <v>9415299</v>
      </c>
      <c r="H103" s="245">
        <f>+G103/$G$195</f>
        <v>1.1144406649962005E-2</v>
      </c>
      <c r="I103" s="246"/>
      <c r="J103" s="247"/>
      <c r="K103" s="247"/>
      <c r="L103" s="178"/>
      <c r="M103" s="178"/>
      <c r="N103" s="179"/>
    </row>
    <row r="104" spans="1:14" ht="12.75" customHeight="1" x14ac:dyDescent="0.3">
      <c r="A104" s="20">
        <f>+A103+0.01</f>
        <v>17.010000000000002</v>
      </c>
      <c r="B104" s="126" t="s">
        <v>116</v>
      </c>
      <c r="C104" s="127" t="s">
        <v>33</v>
      </c>
      <c r="D104" s="94">
        <v>57</v>
      </c>
      <c r="E104" s="180">
        <v>79321</v>
      </c>
      <c r="F104" s="180">
        <f t="shared" si="5"/>
        <v>4521297</v>
      </c>
      <c r="G104" s="182"/>
      <c r="H104" s="245"/>
      <c r="I104" s="250">
        <v>0</v>
      </c>
      <c r="J104" s="250"/>
      <c r="K104" s="251">
        <f t="shared" si="10"/>
        <v>0</v>
      </c>
      <c r="L104" s="50">
        <f t="shared" si="11"/>
        <v>0</v>
      </c>
      <c r="M104" s="50">
        <f t="shared" si="12"/>
        <v>0</v>
      </c>
      <c r="N104" s="50">
        <f t="shared" si="13"/>
        <v>0</v>
      </c>
    </row>
    <row r="105" spans="1:14" ht="12.75" customHeight="1" x14ac:dyDescent="0.3">
      <c r="A105" s="24">
        <v>17.02</v>
      </c>
      <c r="B105" s="128" t="s">
        <v>117</v>
      </c>
      <c r="C105" s="129" t="s">
        <v>33</v>
      </c>
      <c r="D105" s="31">
        <v>11</v>
      </c>
      <c r="E105" s="181">
        <v>79321</v>
      </c>
      <c r="F105" s="181">
        <f t="shared" si="5"/>
        <v>872531</v>
      </c>
      <c r="G105" s="182"/>
      <c r="H105" s="245"/>
      <c r="I105" s="250">
        <v>0</v>
      </c>
      <c r="J105" s="250"/>
      <c r="K105" s="251">
        <f t="shared" si="10"/>
        <v>0</v>
      </c>
      <c r="L105" s="50">
        <f t="shared" si="11"/>
        <v>0</v>
      </c>
      <c r="M105" s="50">
        <f t="shared" si="12"/>
        <v>0</v>
      </c>
      <c r="N105" s="50">
        <f t="shared" si="13"/>
        <v>0</v>
      </c>
    </row>
    <row r="106" spans="1:14" ht="12.75" customHeight="1" x14ac:dyDescent="0.3">
      <c r="A106" s="24">
        <v>17.03</v>
      </c>
      <c r="B106" s="128" t="s">
        <v>118</v>
      </c>
      <c r="C106" s="129" t="s">
        <v>33</v>
      </c>
      <c r="D106" s="31">
        <v>65</v>
      </c>
      <c r="E106" s="181">
        <v>51161</v>
      </c>
      <c r="F106" s="181">
        <f t="shared" si="5"/>
        <v>3325465</v>
      </c>
      <c r="G106" s="182"/>
      <c r="H106" s="245"/>
      <c r="I106" s="250">
        <v>0</v>
      </c>
      <c r="J106" s="250"/>
      <c r="K106" s="251">
        <f t="shared" si="10"/>
        <v>0</v>
      </c>
      <c r="L106" s="50">
        <f t="shared" si="11"/>
        <v>0</v>
      </c>
      <c r="M106" s="50">
        <f t="shared" si="12"/>
        <v>0</v>
      </c>
      <c r="N106" s="50">
        <f t="shared" si="13"/>
        <v>0</v>
      </c>
    </row>
    <row r="107" spans="1:14" ht="12.75" customHeight="1" x14ac:dyDescent="0.3">
      <c r="A107" s="130">
        <v>17.04</v>
      </c>
      <c r="B107" s="38" t="s">
        <v>119</v>
      </c>
      <c r="C107" s="34" t="s">
        <v>33</v>
      </c>
      <c r="D107" s="35">
        <v>6</v>
      </c>
      <c r="E107" s="189">
        <v>116001</v>
      </c>
      <c r="F107" s="189">
        <f t="shared" si="5"/>
        <v>696006</v>
      </c>
      <c r="G107" s="182"/>
      <c r="H107" s="245"/>
      <c r="I107" s="250">
        <v>0</v>
      </c>
      <c r="J107" s="250"/>
      <c r="K107" s="251">
        <f t="shared" si="10"/>
        <v>0</v>
      </c>
      <c r="L107" s="50">
        <f t="shared" si="11"/>
        <v>0</v>
      </c>
      <c r="M107" s="50">
        <f t="shared" si="12"/>
        <v>0</v>
      </c>
      <c r="N107" s="50">
        <f t="shared" si="13"/>
        <v>0</v>
      </c>
    </row>
    <row r="108" spans="1:14" ht="12.75" customHeight="1" x14ac:dyDescent="0.3">
      <c r="A108" s="13">
        <v>18</v>
      </c>
      <c r="B108" s="40" t="s">
        <v>120</v>
      </c>
      <c r="C108" s="18"/>
      <c r="D108" s="19"/>
      <c r="E108" s="19"/>
      <c r="F108" s="19"/>
      <c r="G108" s="176">
        <f>+SUM(F109:F141)</f>
        <v>87609553</v>
      </c>
      <c r="H108" s="245">
        <f>+G108/$G$195</f>
        <v>0.10369893564223492</v>
      </c>
      <c r="I108" s="246"/>
      <c r="J108" s="247"/>
      <c r="K108" s="247"/>
      <c r="L108" s="178"/>
      <c r="M108" s="178"/>
      <c r="N108" s="179"/>
    </row>
    <row r="109" spans="1:14" ht="12.75" customHeight="1" x14ac:dyDescent="0.3">
      <c r="A109" s="115">
        <f>+A108+0.01</f>
        <v>18.010000000000002</v>
      </c>
      <c r="B109" s="131" t="s">
        <v>121</v>
      </c>
      <c r="C109" s="132" t="s">
        <v>33</v>
      </c>
      <c r="D109" s="94">
        <v>260</v>
      </c>
      <c r="E109" s="180">
        <v>76531</v>
      </c>
      <c r="F109" s="180">
        <f t="shared" si="5"/>
        <v>19898060</v>
      </c>
      <c r="H109" s="245"/>
      <c r="I109" s="250">
        <v>0</v>
      </c>
      <c r="J109" s="250"/>
      <c r="K109" s="251">
        <f t="shared" si="10"/>
        <v>0</v>
      </c>
      <c r="L109" s="50">
        <f t="shared" si="11"/>
        <v>0</v>
      </c>
      <c r="M109" s="50">
        <f t="shared" si="12"/>
        <v>0</v>
      </c>
      <c r="N109" s="50">
        <f t="shared" si="13"/>
        <v>0</v>
      </c>
    </row>
    <row r="110" spans="1:14" ht="12.75" customHeight="1" x14ac:dyDescent="0.3">
      <c r="A110" s="100">
        <v>18.02</v>
      </c>
      <c r="B110" s="98" t="s">
        <v>122</v>
      </c>
      <c r="C110" s="133" t="s">
        <v>33</v>
      </c>
      <c r="D110" s="31">
        <v>62</v>
      </c>
      <c r="E110" s="181">
        <v>73235</v>
      </c>
      <c r="F110" s="181">
        <f t="shared" si="5"/>
        <v>4540570</v>
      </c>
      <c r="H110" s="245"/>
      <c r="I110" s="250">
        <v>0</v>
      </c>
      <c r="J110" s="250"/>
      <c r="K110" s="251">
        <f t="shared" si="10"/>
        <v>0</v>
      </c>
      <c r="L110" s="50">
        <f t="shared" si="11"/>
        <v>0</v>
      </c>
      <c r="M110" s="50">
        <f t="shared" si="12"/>
        <v>0</v>
      </c>
      <c r="N110" s="50">
        <f t="shared" si="13"/>
        <v>0</v>
      </c>
    </row>
    <row r="111" spans="1:14" ht="12.75" customHeight="1" x14ac:dyDescent="0.3">
      <c r="A111" s="100">
        <v>18.03</v>
      </c>
      <c r="B111" s="98" t="s">
        <v>123</v>
      </c>
      <c r="C111" s="133" t="s">
        <v>33</v>
      </c>
      <c r="D111" s="31">
        <v>12</v>
      </c>
      <c r="E111" s="181">
        <v>73235</v>
      </c>
      <c r="F111" s="181">
        <f t="shared" si="5"/>
        <v>878820</v>
      </c>
      <c r="H111" s="245"/>
      <c r="I111" s="250">
        <v>0</v>
      </c>
      <c r="J111" s="250"/>
      <c r="K111" s="251">
        <f t="shared" si="10"/>
        <v>0</v>
      </c>
      <c r="L111" s="50">
        <f t="shared" si="11"/>
        <v>0</v>
      </c>
      <c r="M111" s="50">
        <f t="shared" si="12"/>
        <v>0</v>
      </c>
      <c r="N111" s="50">
        <f t="shared" si="13"/>
        <v>0</v>
      </c>
    </row>
    <row r="112" spans="1:14" ht="12.75" customHeight="1" x14ac:dyDescent="0.3">
      <c r="A112" s="100">
        <v>18.04</v>
      </c>
      <c r="B112" s="98" t="s">
        <v>124</v>
      </c>
      <c r="C112" s="133" t="s">
        <v>33</v>
      </c>
      <c r="D112" s="31">
        <v>16</v>
      </c>
      <c r="E112" s="181">
        <v>73235</v>
      </c>
      <c r="F112" s="181">
        <f t="shared" si="5"/>
        <v>1171760</v>
      </c>
      <c r="H112" s="245"/>
      <c r="I112" s="250">
        <v>0</v>
      </c>
      <c r="J112" s="250"/>
      <c r="K112" s="251">
        <f t="shared" si="10"/>
        <v>0</v>
      </c>
      <c r="L112" s="50">
        <f t="shared" si="11"/>
        <v>0</v>
      </c>
      <c r="M112" s="50">
        <f t="shared" si="12"/>
        <v>0</v>
      </c>
      <c r="N112" s="50">
        <f t="shared" si="13"/>
        <v>0</v>
      </c>
    </row>
    <row r="113" spans="1:14" ht="12.75" customHeight="1" x14ac:dyDescent="0.3">
      <c r="A113" s="100">
        <v>18.05</v>
      </c>
      <c r="B113" s="98" t="s">
        <v>125</v>
      </c>
      <c r="C113" s="133" t="s">
        <v>33</v>
      </c>
      <c r="D113" s="31">
        <v>1</v>
      </c>
      <c r="E113" s="181">
        <v>73235</v>
      </c>
      <c r="F113" s="181">
        <f t="shared" si="5"/>
        <v>73235</v>
      </c>
      <c r="H113" s="245"/>
      <c r="I113" s="250">
        <v>0</v>
      </c>
      <c r="J113" s="250"/>
      <c r="K113" s="251">
        <f t="shared" si="10"/>
        <v>0</v>
      </c>
      <c r="L113" s="50">
        <f t="shared" si="11"/>
        <v>0</v>
      </c>
      <c r="M113" s="50">
        <f t="shared" si="12"/>
        <v>0</v>
      </c>
      <c r="N113" s="50">
        <f t="shared" si="13"/>
        <v>0</v>
      </c>
    </row>
    <row r="114" spans="1:14" ht="12.75" customHeight="1" x14ac:dyDescent="0.3">
      <c r="A114" s="100">
        <v>18.059999999999999</v>
      </c>
      <c r="B114" s="98" t="s">
        <v>126</v>
      </c>
      <c r="C114" s="133" t="s">
        <v>33</v>
      </c>
      <c r="D114" s="31">
        <v>24</v>
      </c>
      <c r="E114" s="181">
        <v>73235</v>
      </c>
      <c r="F114" s="181">
        <f t="shared" si="5"/>
        <v>1757640</v>
      </c>
      <c r="H114" s="245"/>
      <c r="I114" s="250">
        <v>0</v>
      </c>
      <c r="J114" s="250"/>
      <c r="K114" s="251">
        <f t="shared" si="10"/>
        <v>0</v>
      </c>
      <c r="L114" s="50">
        <f t="shared" si="11"/>
        <v>0</v>
      </c>
      <c r="M114" s="50">
        <f t="shared" si="12"/>
        <v>0</v>
      </c>
      <c r="N114" s="50">
        <f t="shared" si="13"/>
        <v>0</v>
      </c>
    </row>
    <row r="115" spans="1:14" ht="12.75" customHeight="1" x14ac:dyDescent="0.3">
      <c r="A115" s="100">
        <v>18.07</v>
      </c>
      <c r="B115" s="98" t="s">
        <v>127</v>
      </c>
      <c r="C115" s="133" t="s">
        <v>33</v>
      </c>
      <c r="D115" s="31">
        <v>226</v>
      </c>
      <c r="E115" s="181">
        <v>69154</v>
      </c>
      <c r="F115" s="181">
        <f t="shared" si="5"/>
        <v>15628804</v>
      </c>
      <c r="H115" s="245"/>
      <c r="I115" s="250">
        <v>0</v>
      </c>
      <c r="J115" s="250"/>
      <c r="K115" s="251">
        <f t="shared" si="10"/>
        <v>0</v>
      </c>
      <c r="L115" s="50">
        <f t="shared" si="11"/>
        <v>0</v>
      </c>
      <c r="M115" s="50">
        <f t="shared" si="12"/>
        <v>0</v>
      </c>
      <c r="N115" s="50">
        <f t="shared" si="13"/>
        <v>0</v>
      </c>
    </row>
    <row r="116" spans="1:14" ht="12.75" customHeight="1" x14ac:dyDescent="0.3">
      <c r="A116" s="100">
        <v>18.079999999999998</v>
      </c>
      <c r="B116" s="98" t="s">
        <v>128</v>
      </c>
      <c r="C116" s="133" t="s">
        <v>33</v>
      </c>
      <c r="D116" s="31">
        <v>32</v>
      </c>
      <c r="E116" s="181">
        <v>95308</v>
      </c>
      <c r="F116" s="181">
        <f t="shared" si="5"/>
        <v>3049856</v>
      </c>
      <c r="H116" s="245"/>
      <c r="I116" s="250">
        <v>0</v>
      </c>
      <c r="J116" s="250"/>
      <c r="K116" s="251">
        <f t="shared" si="10"/>
        <v>0</v>
      </c>
      <c r="L116" s="50">
        <f t="shared" si="11"/>
        <v>0</v>
      </c>
      <c r="M116" s="50">
        <f t="shared" si="12"/>
        <v>0</v>
      </c>
      <c r="N116" s="50">
        <f t="shared" si="13"/>
        <v>0</v>
      </c>
    </row>
    <row r="117" spans="1:14" ht="12.75" customHeight="1" x14ac:dyDescent="0.3">
      <c r="A117" s="100">
        <v>18.09</v>
      </c>
      <c r="B117" s="98" t="s">
        <v>129</v>
      </c>
      <c r="C117" s="133" t="s">
        <v>33</v>
      </c>
      <c r="D117" s="31">
        <v>8</v>
      </c>
      <c r="E117" s="181">
        <v>69154</v>
      </c>
      <c r="F117" s="181">
        <f t="shared" si="5"/>
        <v>553232</v>
      </c>
      <c r="H117" s="245"/>
      <c r="I117" s="250">
        <v>0</v>
      </c>
      <c r="J117" s="250"/>
      <c r="K117" s="251">
        <f t="shared" si="10"/>
        <v>0</v>
      </c>
      <c r="L117" s="50">
        <f t="shared" si="11"/>
        <v>0</v>
      </c>
      <c r="M117" s="50">
        <f t="shared" si="12"/>
        <v>0</v>
      </c>
      <c r="N117" s="50">
        <f t="shared" si="13"/>
        <v>0</v>
      </c>
    </row>
    <row r="118" spans="1:14" ht="12.75" customHeight="1" x14ac:dyDescent="0.3">
      <c r="A118" s="100">
        <v>18.100000000000001</v>
      </c>
      <c r="B118" s="98" t="s">
        <v>130</v>
      </c>
      <c r="C118" s="133" t="s">
        <v>33</v>
      </c>
      <c r="D118" s="31">
        <v>8</v>
      </c>
      <c r="E118" s="181">
        <v>69154</v>
      </c>
      <c r="F118" s="181">
        <f t="shared" si="5"/>
        <v>553232</v>
      </c>
      <c r="H118" s="245"/>
      <c r="I118" s="250">
        <v>0</v>
      </c>
      <c r="J118" s="250"/>
      <c r="K118" s="251">
        <f t="shared" si="10"/>
        <v>0</v>
      </c>
      <c r="L118" s="50">
        <f t="shared" si="11"/>
        <v>0</v>
      </c>
      <c r="M118" s="50">
        <f t="shared" si="12"/>
        <v>0</v>
      </c>
      <c r="N118" s="50">
        <f t="shared" si="13"/>
        <v>0</v>
      </c>
    </row>
    <row r="119" spans="1:14" ht="12.75" customHeight="1" x14ac:dyDescent="0.3">
      <c r="A119" s="100">
        <v>18.11</v>
      </c>
      <c r="B119" s="98" t="s">
        <v>131</v>
      </c>
      <c r="C119" s="133" t="s">
        <v>33</v>
      </c>
      <c r="D119" s="31">
        <v>26</v>
      </c>
      <c r="E119" s="181">
        <v>50616</v>
      </c>
      <c r="F119" s="181">
        <f t="shared" si="5"/>
        <v>1316016</v>
      </c>
      <c r="H119" s="245"/>
      <c r="I119" s="250">
        <v>0</v>
      </c>
      <c r="J119" s="250"/>
      <c r="K119" s="251">
        <f t="shared" si="10"/>
        <v>0</v>
      </c>
      <c r="L119" s="50">
        <f t="shared" si="11"/>
        <v>0</v>
      </c>
      <c r="M119" s="50">
        <f t="shared" si="12"/>
        <v>0</v>
      </c>
      <c r="N119" s="50">
        <f t="shared" si="13"/>
        <v>0</v>
      </c>
    </row>
    <row r="120" spans="1:14" ht="12.75" customHeight="1" x14ac:dyDescent="0.3">
      <c r="A120" s="100">
        <v>18.12</v>
      </c>
      <c r="B120" s="98" t="s">
        <v>132</v>
      </c>
      <c r="C120" s="133" t="s">
        <v>33</v>
      </c>
      <c r="D120" s="31">
        <v>27</v>
      </c>
      <c r="E120" s="181">
        <v>50616</v>
      </c>
      <c r="F120" s="181">
        <f t="shared" si="5"/>
        <v>1366632</v>
      </c>
      <c r="H120" s="245"/>
      <c r="I120" s="250">
        <v>0</v>
      </c>
      <c r="J120" s="250"/>
      <c r="K120" s="251">
        <f t="shared" si="10"/>
        <v>0</v>
      </c>
      <c r="L120" s="50">
        <f t="shared" si="11"/>
        <v>0</v>
      </c>
      <c r="M120" s="50">
        <f t="shared" si="12"/>
        <v>0</v>
      </c>
      <c r="N120" s="50">
        <f t="shared" si="13"/>
        <v>0</v>
      </c>
    </row>
    <row r="121" spans="1:14" ht="12.75" customHeight="1" x14ac:dyDescent="0.3">
      <c r="A121" s="100">
        <v>18.13</v>
      </c>
      <c r="B121" s="98" t="s">
        <v>133</v>
      </c>
      <c r="C121" s="133" t="s">
        <v>33</v>
      </c>
      <c r="D121" s="31">
        <v>9</v>
      </c>
      <c r="E121" s="181">
        <v>50616</v>
      </c>
      <c r="F121" s="181">
        <f t="shared" si="5"/>
        <v>455544</v>
      </c>
      <c r="H121" s="245"/>
      <c r="I121" s="250">
        <v>0</v>
      </c>
      <c r="J121" s="250"/>
      <c r="K121" s="251">
        <f t="shared" si="10"/>
        <v>0</v>
      </c>
      <c r="L121" s="50">
        <f t="shared" si="11"/>
        <v>0</v>
      </c>
      <c r="M121" s="50">
        <f t="shared" si="12"/>
        <v>0</v>
      </c>
      <c r="N121" s="50">
        <f t="shared" si="13"/>
        <v>0</v>
      </c>
    </row>
    <row r="122" spans="1:14" ht="12.75" customHeight="1" x14ac:dyDescent="0.3">
      <c r="A122" s="100">
        <v>18.14</v>
      </c>
      <c r="B122" s="98" t="s">
        <v>134</v>
      </c>
      <c r="C122" s="133" t="s">
        <v>33</v>
      </c>
      <c r="D122" s="31">
        <v>29</v>
      </c>
      <c r="E122" s="181">
        <v>50616</v>
      </c>
      <c r="F122" s="181">
        <f t="shared" si="5"/>
        <v>1467864</v>
      </c>
      <c r="H122" s="245"/>
      <c r="I122" s="250">
        <v>0</v>
      </c>
      <c r="J122" s="250"/>
      <c r="K122" s="251">
        <f t="shared" si="10"/>
        <v>0</v>
      </c>
      <c r="L122" s="50">
        <f t="shared" si="11"/>
        <v>0</v>
      </c>
      <c r="M122" s="50">
        <f t="shared" si="12"/>
        <v>0</v>
      </c>
      <c r="N122" s="50">
        <f t="shared" si="13"/>
        <v>0</v>
      </c>
    </row>
    <row r="123" spans="1:14" ht="12.75" customHeight="1" x14ac:dyDescent="0.3">
      <c r="A123" s="100">
        <v>18.149999999999999</v>
      </c>
      <c r="B123" s="98" t="s">
        <v>135</v>
      </c>
      <c r="C123" s="133" t="s">
        <v>33</v>
      </c>
      <c r="D123" s="31">
        <v>3</v>
      </c>
      <c r="E123" s="181">
        <v>50616</v>
      </c>
      <c r="F123" s="181">
        <f t="shared" si="5"/>
        <v>151848</v>
      </c>
      <c r="H123" s="245"/>
      <c r="I123" s="250">
        <v>0</v>
      </c>
      <c r="J123" s="250"/>
      <c r="K123" s="251">
        <f t="shared" si="10"/>
        <v>0</v>
      </c>
      <c r="L123" s="50">
        <f t="shared" si="11"/>
        <v>0</v>
      </c>
      <c r="M123" s="50">
        <f t="shared" si="12"/>
        <v>0</v>
      </c>
      <c r="N123" s="50">
        <f t="shared" si="13"/>
        <v>0</v>
      </c>
    </row>
    <row r="124" spans="1:14" ht="12.75" customHeight="1" x14ac:dyDescent="0.3">
      <c r="A124" s="100">
        <v>18.16</v>
      </c>
      <c r="B124" s="98" t="s">
        <v>136</v>
      </c>
      <c r="C124" s="133" t="s">
        <v>33</v>
      </c>
      <c r="D124" s="31">
        <v>1</v>
      </c>
      <c r="E124" s="181">
        <v>2245770</v>
      </c>
      <c r="F124" s="181">
        <f t="shared" si="5"/>
        <v>2245770</v>
      </c>
      <c r="H124" s="245"/>
      <c r="I124" s="250">
        <v>0</v>
      </c>
      <c r="J124" s="250"/>
      <c r="K124" s="251">
        <f t="shared" si="10"/>
        <v>0</v>
      </c>
      <c r="L124" s="50">
        <f t="shared" si="11"/>
        <v>0</v>
      </c>
      <c r="M124" s="50">
        <f t="shared" si="12"/>
        <v>0</v>
      </c>
      <c r="N124" s="50">
        <f t="shared" si="13"/>
        <v>0</v>
      </c>
    </row>
    <row r="125" spans="1:14" ht="12.75" customHeight="1" x14ac:dyDescent="0.3">
      <c r="A125" s="100">
        <v>18.170000000000002</v>
      </c>
      <c r="B125" s="98" t="s">
        <v>137</v>
      </c>
      <c r="C125" s="133" t="s">
        <v>33</v>
      </c>
      <c r="D125" s="31">
        <v>1</v>
      </c>
      <c r="E125" s="181">
        <v>1116033</v>
      </c>
      <c r="F125" s="181">
        <f t="shared" si="5"/>
        <v>1116033</v>
      </c>
      <c r="H125" s="245"/>
      <c r="I125" s="250">
        <v>0</v>
      </c>
      <c r="J125" s="250"/>
      <c r="K125" s="251">
        <f t="shared" si="10"/>
        <v>0</v>
      </c>
      <c r="L125" s="50">
        <f t="shared" si="11"/>
        <v>0</v>
      </c>
      <c r="M125" s="50">
        <f t="shared" si="12"/>
        <v>0</v>
      </c>
      <c r="N125" s="50">
        <f t="shared" si="13"/>
        <v>0</v>
      </c>
    </row>
    <row r="126" spans="1:14" ht="12.75" customHeight="1" x14ac:dyDescent="0.3">
      <c r="A126" s="100">
        <v>18.18</v>
      </c>
      <c r="B126" s="98" t="s">
        <v>138</v>
      </c>
      <c r="C126" s="133" t="s">
        <v>33</v>
      </c>
      <c r="D126" s="31">
        <v>2</v>
      </c>
      <c r="E126" s="181">
        <v>530996</v>
      </c>
      <c r="F126" s="181">
        <f t="shared" si="5"/>
        <v>1061992</v>
      </c>
      <c r="H126" s="245"/>
      <c r="I126" s="250">
        <v>0</v>
      </c>
      <c r="J126" s="250"/>
      <c r="K126" s="251">
        <f t="shared" si="10"/>
        <v>0</v>
      </c>
      <c r="L126" s="50">
        <f t="shared" si="11"/>
        <v>0</v>
      </c>
      <c r="M126" s="50">
        <f t="shared" si="12"/>
        <v>0</v>
      </c>
      <c r="N126" s="50">
        <f t="shared" si="13"/>
        <v>0</v>
      </c>
    </row>
    <row r="127" spans="1:14" ht="12.75" customHeight="1" x14ac:dyDescent="0.3">
      <c r="A127" s="100">
        <v>18.190000000000001</v>
      </c>
      <c r="B127" s="98" t="s">
        <v>139</v>
      </c>
      <c r="C127" s="133" t="s">
        <v>33</v>
      </c>
      <c r="D127" s="31">
        <v>9</v>
      </c>
      <c r="E127" s="181">
        <v>595409</v>
      </c>
      <c r="F127" s="181">
        <f t="shared" si="5"/>
        <v>5358681</v>
      </c>
      <c r="H127" s="245"/>
      <c r="I127" s="250">
        <v>0</v>
      </c>
      <c r="J127" s="250"/>
      <c r="K127" s="251">
        <f t="shared" si="10"/>
        <v>0</v>
      </c>
      <c r="L127" s="50">
        <f t="shared" si="11"/>
        <v>0</v>
      </c>
      <c r="M127" s="50">
        <f t="shared" si="12"/>
        <v>0</v>
      </c>
      <c r="N127" s="50">
        <f t="shared" si="13"/>
        <v>0</v>
      </c>
    </row>
    <row r="128" spans="1:14" ht="12.75" customHeight="1" x14ac:dyDescent="0.3">
      <c r="A128" s="100">
        <v>18.2</v>
      </c>
      <c r="B128" s="98" t="s">
        <v>140</v>
      </c>
      <c r="C128" s="133" t="s">
        <v>29</v>
      </c>
      <c r="D128" s="31">
        <v>1</v>
      </c>
      <c r="E128" s="181">
        <v>6378278</v>
      </c>
      <c r="F128" s="181">
        <f t="shared" si="5"/>
        <v>6378278</v>
      </c>
      <c r="H128" s="245"/>
      <c r="I128" s="250">
        <v>0</v>
      </c>
      <c r="J128" s="250"/>
      <c r="K128" s="251">
        <f t="shared" si="10"/>
        <v>0</v>
      </c>
      <c r="L128" s="50">
        <f t="shared" si="11"/>
        <v>0</v>
      </c>
      <c r="M128" s="50">
        <f t="shared" si="12"/>
        <v>0</v>
      </c>
      <c r="N128" s="50">
        <f t="shared" si="13"/>
        <v>0</v>
      </c>
    </row>
    <row r="129" spans="1:14" ht="12.75" customHeight="1" x14ac:dyDescent="0.3">
      <c r="A129" s="100">
        <v>18.21</v>
      </c>
      <c r="B129" s="98" t="s">
        <v>141</v>
      </c>
      <c r="C129" s="133" t="s">
        <v>29</v>
      </c>
      <c r="D129" s="31">
        <v>1</v>
      </c>
      <c r="E129" s="181">
        <v>1695726</v>
      </c>
      <c r="F129" s="181">
        <f t="shared" si="5"/>
        <v>1695726</v>
      </c>
      <c r="H129" s="245"/>
      <c r="I129" s="250">
        <v>0</v>
      </c>
      <c r="J129" s="250"/>
      <c r="K129" s="251">
        <f t="shared" si="10"/>
        <v>0</v>
      </c>
      <c r="L129" s="50">
        <f t="shared" si="11"/>
        <v>0</v>
      </c>
      <c r="M129" s="50">
        <f t="shared" si="12"/>
        <v>0</v>
      </c>
      <c r="N129" s="50">
        <f t="shared" si="13"/>
        <v>0</v>
      </c>
    </row>
    <row r="130" spans="1:14" ht="12.75" customHeight="1" x14ac:dyDescent="0.3">
      <c r="A130" s="100">
        <v>18.22</v>
      </c>
      <c r="B130" s="98" t="s">
        <v>142</v>
      </c>
      <c r="C130" s="133" t="s">
        <v>29</v>
      </c>
      <c r="D130" s="31">
        <v>1</v>
      </c>
      <c r="E130" s="181">
        <v>1695726</v>
      </c>
      <c r="F130" s="181">
        <f t="shared" si="5"/>
        <v>1695726</v>
      </c>
      <c r="H130" s="245"/>
      <c r="I130" s="250">
        <v>0</v>
      </c>
      <c r="J130" s="250"/>
      <c r="K130" s="251">
        <f t="shared" si="10"/>
        <v>0</v>
      </c>
      <c r="L130" s="50">
        <f t="shared" si="11"/>
        <v>0</v>
      </c>
      <c r="M130" s="50">
        <f t="shared" si="12"/>
        <v>0</v>
      </c>
      <c r="N130" s="50">
        <f t="shared" si="13"/>
        <v>0</v>
      </c>
    </row>
    <row r="131" spans="1:14" ht="12.75" customHeight="1" x14ac:dyDescent="0.3">
      <c r="A131" s="100">
        <v>18.23</v>
      </c>
      <c r="B131" s="98" t="s">
        <v>143</v>
      </c>
      <c r="C131" s="133" t="s">
        <v>33</v>
      </c>
      <c r="D131" s="31">
        <v>16</v>
      </c>
      <c r="E131" s="181">
        <v>15984</v>
      </c>
      <c r="F131" s="181">
        <f t="shared" si="5"/>
        <v>255744</v>
      </c>
      <c r="H131" s="245"/>
      <c r="I131" s="250">
        <v>0</v>
      </c>
      <c r="J131" s="250"/>
      <c r="K131" s="251">
        <f t="shared" si="10"/>
        <v>0</v>
      </c>
      <c r="L131" s="50">
        <f t="shared" si="11"/>
        <v>0</v>
      </c>
      <c r="M131" s="50">
        <f t="shared" si="12"/>
        <v>0</v>
      </c>
      <c r="N131" s="50">
        <f t="shared" si="13"/>
        <v>0</v>
      </c>
    </row>
    <row r="132" spans="1:14" ht="12.75" customHeight="1" x14ac:dyDescent="0.3">
      <c r="A132" s="100">
        <v>18.239999999999998</v>
      </c>
      <c r="B132" s="98" t="s">
        <v>144</v>
      </c>
      <c r="C132" s="133" t="s">
        <v>33</v>
      </c>
      <c r="D132" s="31">
        <v>140</v>
      </c>
      <c r="E132" s="181">
        <v>10416</v>
      </c>
      <c r="F132" s="181">
        <f t="shared" si="5"/>
        <v>1458240</v>
      </c>
      <c r="H132" s="245"/>
      <c r="I132" s="250">
        <v>0</v>
      </c>
      <c r="J132" s="250"/>
      <c r="K132" s="251">
        <f t="shared" si="10"/>
        <v>0</v>
      </c>
      <c r="L132" s="50">
        <f t="shared" si="11"/>
        <v>0</v>
      </c>
      <c r="M132" s="50">
        <f t="shared" si="12"/>
        <v>0</v>
      </c>
      <c r="N132" s="50">
        <f t="shared" si="13"/>
        <v>0</v>
      </c>
    </row>
    <row r="133" spans="1:14" ht="12.75" customHeight="1" x14ac:dyDescent="0.3">
      <c r="A133" s="100">
        <v>18.25</v>
      </c>
      <c r="B133" s="98" t="s">
        <v>145</v>
      </c>
      <c r="C133" s="133" t="s">
        <v>33</v>
      </c>
      <c r="D133" s="31">
        <v>226</v>
      </c>
      <c r="E133" s="181">
        <v>10416</v>
      </c>
      <c r="F133" s="181">
        <f t="shared" si="5"/>
        <v>2354016</v>
      </c>
      <c r="H133" s="245"/>
      <c r="I133" s="250">
        <v>0</v>
      </c>
      <c r="J133" s="250"/>
      <c r="K133" s="251">
        <f t="shared" si="10"/>
        <v>0</v>
      </c>
      <c r="L133" s="50">
        <f t="shared" si="11"/>
        <v>0</v>
      </c>
      <c r="M133" s="50">
        <f t="shared" si="12"/>
        <v>0</v>
      </c>
      <c r="N133" s="50">
        <f t="shared" si="13"/>
        <v>0</v>
      </c>
    </row>
    <row r="134" spans="1:14" ht="12.75" customHeight="1" x14ac:dyDescent="0.3">
      <c r="A134" s="100">
        <v>18.260000000000002</v>
      </c>
      <c r="B134" s="98" t="s">
        <v>146</v>
      </c>
      <c r="C134" s="133" t="s">
        <v>33</v>
      </c>
      <c r="D134" s="31">
        <v>8</v>
      </c>
      <c r="E134" s="181">
        <v>25377</v>
      </c>
      <c r="F134" s="181">
        <f t="shared" si="5"/>
        <v>203016</v>
      </c>
      <c r="H134" s="245"/>
      <c r="I134" s="250">
        <v>0</v>
      </c>
      <c r="J134" s="250"/>
      <c r="K134" s="251">
        <f t="shared" si="10"/>
        <v>0</v>
      </c>
      <c r="L134" s="50">
        <f t="shared" si="11"/>
        <v>0</v>
      </c>
      <c r="M134" s="50">
        <f t="shared" si="12"/>
        <v>0</v>
      </c>
      <c r="N134" s="50">
        <f t="shared" si="13"/>
        <v>0</v>
      </c>
    </row>
    <row r="135" spans="1:14" ht="12.75" customHeight="1" x14ac:dyDescent="0.3">
      <c r="A135" s="100">
        <v>18.27</v>
      </c>
      <c r="B135" s="98" t="s">
        <v>147</v>
      </c>
      <c r="C135" s="133" t="s">
        <v>33</v>
      </c>
      <c r="D135" s="31">
        <v>24</v>
      </c>
      <c r="E135" s="181">
        <v>93081</v>
      </c>
      <c r="F135" s="181">
        <f t="shared" si="5"/>
        <v>2233944</v>
      </c>
      <c r="H135" s="245"/>
      <c r="I135" s="250">
        <v>0</v>
      </c>
      <c r="J135" s="250"/>
      <c r="K135" s="251">
        <f t="shared" si="10"/>
        <v>0</v>
      </c>
      <c r="L135" s="50">
        <f t="shared" si="11"/>
        <v>0</v>
      </c>
      <c r="M135" s="50">
        <f t="shared" si="12"/>
        <v>0</v>
      </c>
      <c r="N135" s="50">
        <f t="shared" si="13"/>
        <v>0</v>
      </c>
    </row>
    <row r="136" spans="1:14" ht="12.75" customHeight="1" x14ac:dyDescent="0.3">
      <c r="A136" s="100">
        <v>18.28</v>
      </c>
      <c r="B136" s="98" t="s">
        <v>148</v>
      </c>
      <c r="C136" s="133" t="s">
        <v>33</v>
      </c>
      <c r="D136" s="31">
        <v>12</v>
      </c>
      <c r="E136" s="181">
        <v>25377</v>
      </c>
      <c r="F136" s="181">
        <f t="shared" si="5"/>
        <v>304524</v>
      </c>
      <c r="H136" s="245"/>
      <c r="I136" s="250">
        <v>0</v>
      </c>
      <c r="J136" s="250"/>
      <c r="K136" s="251">
        <f t="shared" si="10"/>
        <v>0</v>
      </c>
      <c r="L136" s="50">
        <f t="shared" si="11"/>
        <v>0</v>
      </c>
      <c r="M136" s="50">
        <f t="shared" si="12"/>
        <v>0</v>
      </c>
      <c r="N136" s="50">
        <f t="shared" si="13"/>
        <v>0</v>
      </c>
    </row>
    <row r="137" spans="1:14" ht="12.75" customHeight="1" x14ac:dyDescent="0.3">
      <c r="A137" s="100">
        <v>18.2899999999999</v>
      </c>
      <c r="B137" s="98" t="s">
        <v>149</v>
      </c>
      <c r="C137" s="133" t="s">
        <v>33</v>
      </c>
      <c r="D137" s="31">
        <v>1</v>
      </c>
      <c r="E137" s="181">
        <v>25377</v>
      </c>
      <c r="F137" s="181">
        <f t="shared" si="5"/>
        <v>25377</v>
      </c>
      <c r="H137" s="245"/>
      <c r="I137" s="250">
        <v>0</v>
      </c>
      <c r="J137" s="250"/>
      <c r="K137" s="251">
        <f t="shared" si="10"/>
        <v>0</v>
      </c>
      <c r="L137" s="50">
        <f t="shared" si="11"/>
        <v>0</v>
      </c>
      <c r="M137" s="50">
        <f t="shared" si="12"/>
        <v>0</v>
      </c>
      <c r="N137" s="50">
        <f t="shared" si="13"/>
        <v>0</v>
      </c>
    </row>
    <row r="138" spans="1:14" ht="12.75" customHeight="1" x14ac:dyDescent="0.3">
      <c r="A138" s="100">
        <v>18.299999999999901</v>
      </c>
      <c r="B138" s="98" t="s">
        <v>150</v>
      </c>
      <c r="C138" s="133" t="s">
        <v>33</v>
      </c>
      <c r="D138" s="31">
        <v>109</v>
      </c>
      <c r="E138" s="181">
        <v>15984</v>
      </c>
      <c r="F138" s="181">
        <f t="shared" ref="F138:F194" si="14">+E138*D138</f>
        <v>1742256</v>
      </c>
      <c r="H138" s="245"/>
      <c r="I138" s="250">
        <v>0</v>
      </c>
      <c r="J138" s="250"/>
      <c r="K138" s="251">
        <f t="shared" si="10"/>
        <v>0</v>
      </c>
      <c r="L138" s="50">
        <f t="shared" si="11"/>
        <v>0</v>
      </c>
      <c r="M138" s="50">
        <f t="shared" si="12"/>
        <v>0</v>
      </c>
      <c r="N138" s="50">
        <f t="shared" si="13"/>
        <v>0</v>
      </c>
    </row>
    <row r="139" spans="1:14" ht="12.75" customHeight="1" x14ac:dyDescent="0.3">
      <c r="A139" s="100">
        <v>18.309999999999899</v>
      </c>
      <c r="B139" s="98" t="s">
        <v>151</v>
      </c>
      <c r="C139" s="133" t="s">
        <v>29</v>
      </c>
      <c r="D139" s="31">
        <v>1</v>
      </c>
      <c r="E139" s="181">
        <v>5516929</v>
      </c>
      <c r="F139" s="181">
        <f t="shared" si="14"/>
        <v>5516929</v>
      </c>
      <c r="H139" s="245"/>
      <c r="I139" s="250">
        <v>0</v>
      </c>
      <c r="J139" s="250"/>
      <c r="K139" s="251">
        <f t="shared" si="10"/>
        <v>0</v>
      </c>
      <c r="L139" s="50">
        <f t="shared" si="11"/>
        <v>0</v>
      </c>
      <c r="M139" s="50">
        <f t="shared" si="12"/>
        <v>0</v>
      </c>
      <c r="N139" s="50">
        <f t="shared" si="13"/>
        <v>0</v>
      </c>
    </row>
    <row r="140" spans="1:14" ht="12.75" customHeight="1" x14ac:dyDescent="0.3">
      <c r="A140" s="100">
        <v>18.319999999999901</v>
      </c>
      <c r="B140" s="98" t="s">
        <v>152</v>
      </c>
      <c r="C140" s="133" t="s">
        <v>29</v>
      </c>
      <c r="D140" s="31">
        <v>1</v>
      </c>
      <c r="E140" s="181">
        <v>957554</v>
      </c>
      <c r="F140" s="181">
        <f t="shared" si="14"/>
        <v>957554</v>
      </c>
      <c r="H140" s="245"/>
      <c r="I140" s="250">
        <v>0</v>
      </c>
      <c r="J140" s="250"/>
      <c r="K140" s="251">
        <f t="shared" ref="K140:K194" si="15">+I140+J140</f>
        <v>0</v>
      </c>
      <c r="L140" s="50">
        <f t="shared" ref="L140:L194" si="16">+F140*I140</f>
        <v>0</v>
      </c>
      <c r="M140" s="50">
        <f t="shared" ref="M140:M194" si="17">+F140*J140</f>
        <v>0</v>
      </c>
      <c r="N140" s="50">
        <f t="shared" ref="N140:N194" si="18">+F140*K140</f>
        <v>0</v>
      </c>
    </row>
    <row r="141" spans="1:14" ht="12.75" customHeight="1" x14ac:dyDescent="0.3">
      <c r="A141" s="100">
        <v>18.329999999999899</v>
      </c>
      <c r="B141" s="134" t="s">
        <v>153</v>
      </c>
      <c r="C141" s="135" t="s">
        <v>29</v>
      </c>
      <c r="D141" s="35">
        <v>1</v>
      </c>
      <c r="E141" s="181">
        <v>142634</v>
      </c>
      <c r="F141" s="181">
        <f t="shared" si="14"/>
        <v>142634</v>
      </c>
      <c r="H141" s="245"/>
      <c r="I141" s="250">
        <v>0</v>
      </c>
      <c r="J141" s="250"/>
      <c r="K141" s="251">
        <f t="shared" si="15"/>
        <v>0</v>
      </c>
      <c r="L141" s="50">
        <f t="shared" si="16"/>
        <v>0</v>
      </c>
      <c r="M141" s="50">
        <f t="shared" si="17"/>
        <v>0</v>
      </c>
      <c r="N141" s="50">
        <f t="shared" si="18"/>
        <v>0</v>
      </c>
    </row>
    <row r="142" spans="1:14" ht="12.75" customHeight="1" x14ac:dyDescent="0.3">
      <c r="A142" s="13">
        <v>19</v>
      </c>
      <c r="B142" s="40" t="s">
        <v>154</v>
      </c>
      <c r="C142" s="18"/>
      <c r="D142" s="19"/>
      <c r="E142" s="190"/>
      <c r="F142" s="190"/>
      <c r="G142" s="191"/>
      <c r="H142" s="245"/>
      <c r="I142" s="246"/>
      <c r="J142" s="247"/>
      <c r="K142" s="247"/>
      <c r="L142" s="178"/>
      <c r="M142" s="178"/>
      <c r="N142" s="179"/>
    </row>
    <row r="143" spans="1:14" ht="12.75" customHeight="1" x14ac:dyDescent="0.3">
      <c r="A143" s="13"/>
      <c r="B143" s="40" t="s">
        <v>155</v>
      </c>
      <c r="C143" s="18"/>
      <c r="D143" s="19"/>
      <c r="E143" s="19"/>
      <c r="F143" s="19"/>
      <c r="G143" s="192">
        <f>+SUM(F144:F146)</f>
        <v>21227962</v>
      </c>
      <c r="H143" s="245">
        <f>+G143/$G$195</f>
        <v>2.5126450140132647E-2</v>
      </c>
      <c r="I143" s="246"/>
      <c r="J143" s="247"/>
      <c r="K143" s="247"/>
      <c r="L143" s="178"/>
      <c r="M143" s="178"/>
      <c r="N143" s="179"/>
    </row>
    <row r="144" spans="1:14" ht="12.75" customHeight="1" x14ac:dyDescent="0.3">
      <c r="A144" s="20">
        <v>19.010000000000002</v>
      </c>
      <c r="B144" s="136" t="s">
        <v>156</v>
      </c>
      <c r="C144" s="122" t="s">
        <v>29</v>
      </c>
      <c r="D144" s="123">
        <v>1</v>
      </c>
      <c r="E144" s="183">
        <v>6793844</v>
      </c>
      <c r="F144" s="183">
        <f t="shared" si="14"/>
        <v>6793844</v>
      </c>
      <c r="H144" s="245"/>
      <c r="I144" s="250">
        <v>0</v>
      </c>
      <c r="J144" s="250"/>
      <c r="K144" s="251">
        <f t="shared" si="15"/>
        <v>0</v>
      </c>
      <c r="L144" s="50">
        <f t="shared" si="16"/>
        <v>0</v>
      </c>
      <c r="M144" s="50">
        <f t="shared" si="17"/>
        <v>0</v>
      </c>
      <c r="N144" s="50">
        <f t="shared" si="18"/>
        <v>0</v>
      </c>
    </row>
    <row r="145" spans="1:14" ht="12.75" customHeight="1" x14ac:dyDescent="0.3">
      <c r="A145" s="24">
        <v>19.02</v>
      </c>
      <c r="B145" s="36" t="s">
        <v>157</v>
      </c>
      <c r="C145" s="28" t="s">
        <v>29</v>
      </c>
      <c r="D145" s="29">
        <v>1</v>
      </c>
      <c r="E145" s="181">
        <v>9552583</v>
      </c>
      <c r="F145" s="181">
        <f t="shared" si="14"/>
        <v>9552583</v>
      </c>
      <c r="H145" s="245"/>
      <c r="I145" s="250">
        <v>0</v>
      </c>
      <c r="J145" s="250"/>
      <c r="K145" s="251">
        <f t="shared" si="15"/>
        <v>0</v>
      </c>
      <c r="L145" s="50">
        <f t="shared" si="16"/>
        <v>0</v>
      </c>
      <c r="M145" s="50">
        <f t="shared" si="17"/>
        <v>0</v>
      </c>
      <c r="N145" s="50">
        <f t="shared" si="18"/>
        <v>0</v>
      </c>
    </row>
    <row r="146" spans="1:14" ht="12.75" customHeight="1" x14ac:dyDescent="0.3">
      <c r="A146" s="33">
        <v>19.03</v>
      </c>
      <c r="B146" s="137" t="s">
        <v>158</v>
      </c>
      <c r="C146" s="138" t="s">
        <v>29</v>
      </c>
      <c r="D146" s="139">
        <v>1</v>
      </c>
      <c r="E146" s="181">
        <v>4881535</v>
      </c>
      <c r="F146" s="181">
        <f t="shared" si="14"/>
        <v>4881535</v>
      </c>
      <c r="H146" s="245"/>
      <c r="I146" s="250">
        <v>0</v>
      </c>
      <c r="J146" s="250"/>
      <c r="K146" s="251">
        <f t="shared" si="15"/>
        <v>0</v>
      </c>
      <c r="L146" s="50">
        <f t="shared" si="16"/>
        <v>0</v>
      </c>
      <c r="M146" s="50">
        <f t="shared" si="17"/>
        <v>0</v>
      </c>
      <c r="N146" s="50">
        <f t="shared" si="18"/>
        <v>0</v>
      </c>
    </row>
    <row r="147" spans="1:14" ht="12.75" customHeight="1" x14ac:dyDescent="0.3">
      <c r="A147" s="140"/>
      <c r="B147" s="141" t="s">
        <v>159</v>
      </c>
      <c r="C147" s="11"/>
      <c r="D147" s="12"/>
      <c r="E147" s="19"/>
      <c r="F147" s="19"/>
      <c r="G147" s="192">
        <f>+SUM(F148:F150)</f>
        <v>7075989</v>
      </c>
      <c r="H147" s="245">
        <f>+G147/$G$195</f>
        <v>8.3754853527920892E-3</v>
      </c>
      <c r="I147" s="246"/>
      <c r="J147" s="247"/>
      <c r="K147" s="247"/>
      <c r="L147" s="178"/>
      <c r="M147" s="178"/>
      <c r="N147" s="179"/>
    </row>
    <row r="148" spans="1:14" ht="12.75" customHeight="1" x14ac:dyDescent="0.3">
      <c r="A148" s="20">
        <v>19.04</v>
      </c>
      <c r="B148" s="136" t="s">
        <v>160</v>
      </c>
      <c r="C148" s="122" t="s">
        <v>29</v>
      </c>
      <c r="D148" s="123">
        <v>1</v>
      </c>
      <c r="E148" s="181">
        <v>2476596</v>
      </c>
      <c r="F148" s="181">
        <f t="shared" si="14"/>
        <v>2476596</v>
      </c>
      <c r="H148" s="245"/>
      <c r="I148" s="250">
        <v>0</v>
      </c>
      <c r="J148" s="250"/>
      <c r="K148" s="251">
        <f t="shared" si="15"/>
        <v>0</v>
      </c>
      <c r="L148" s="50">
        <f t="shared" si="16"/>
        <v>0</v>
      </c>
      <c r="M148" s="50">
        <f t="shared" si="17"/>
        <v>0</v>
      </c>
      <c r="N148" s="50">
        <f t="shared" si="18"/>
        <v>0</v>
      </c>
    </row>
    <row r="149" spans="1:14" ht="12.75" customHeight="1" x14ac:dyDescent="0.3">
      <c r="A149" s="24">
        <v>19.05</v>
      </c>
      <c r="B149" s="36" t="s">
        <v>161</v>
      </c>
      <c r="C149" s="28" t="s">
        <v>29</v>
      </c>
      <c r="D149" s="29">
        <v>1</v>
      </c>
      <c r="E149" s="181">
        <v>3537994</v>
      </c>
      <c r="F149" s="181">
        <f t="shared" si="14"/>
        <v>3537994</v>
      </c>
      <c r="H149" s="245"/>
      <c r="I149" s="250">
        <v>0</v>
      </c>
      <c r="J149" s="250"/>
      <c r="K149" s="251">
        <f t="shared" si="15"/>
        <v>0</v>
      </c>
      <c r="L149" s="50">
        <f t="shared" si="16"/>
        <v>0</v>
      </c>
      <c r="M149" s="50">
        <f t="shared" si="17"/>
        <v>0</v>
      </c>
      <c r="N149" s="50">
        <f t="shared" si="18"/>
        <v>0</v>
      </c>
    </row>
    <row r="150" spans="1:14" ht="12.75" customHeight="1" x14ac:dyDescent="0.3">
      <c r="A150" s="33">
        <v>19.059999999999999</v>
      </c>
      <c r="B150" s="137" t="s">
        <v>162</v>
      </c>
      <c r="C150" s="138" t="s">
        <v>29</v>
      </c>
      <c r="D150" s="139">
        <v>1</v>
      </c>
      <c r="E150" s="181">
        <v>1061399</v>
      </c>
      <c r="F150" s="181">
        <f t="shared" si="14"/>
        <v>1061399</v>
      </c>
      <c r="H150" s="245"/>
      <c r="I150" s="250">
        <v>0</v>
      </c>
      <c r="J150" s="250"/>
      <c r="K150" s="251">
        <f t="shared" si="15"/>
        <v>0</v>
      </c>
      <c r="L150" s="50">
        <f t="shared" si="16"/>
        <v>0</v>
      </c>
      <c r="M150" s="50">
        <f t="shared" si="17"/>
        <v>0</v>
      </c>
      <c r="N150" s="50">
        <f t="shared" si="18"/>
        <v>0</v>
      </c>
    </row>
    <row r="151" spans="1:14" ht="12.75" customHeight="1" x14ac:dyDescent="0.3">
      <c r="A151" s="13"/>
      <c r="B151" s="40" t="s">
        <v>163</v>
      </c>
      <c r="C151" s="18"/>
      <c r="D151" s="19"/>
      <c r="E151" s="19"/>
      <c r="F151" s="19"/>
      <c r="G151" s="192">
        <f>+SUM(F152:F156)</f>
        <v>34829620</v>
      </c>
      <c r="H151" s="245">
        <f>+G151/$G$195</f>
        <v>4.1226035279777064E-2</v>
      </c>
      <c r="I151" s="246"/>
      <c r="J151" s="247"/>
      <c r="K151" s="247"/>
      <c r="L151" s="178"/>
      <c r="M151" s="178"/>
      <c r="N151" s="179"/>
    </row>
    <row r="152" spans="1:14" ht="12.75" customHeight="1" x14ac:dyDescent="0.3">
      <c r="A152" s="115">
        <v>19.07</v>
      </c>
      <c r="B152" s="142" t="s">
        <v>164</v>
      </c>
      <c r="C152" s="122" t="s">
        <v>29</v>
      </c>
      <c r="D152" s="123">
        <v>1</v>
      </c>
      <c r="E152" s="180">
        <v>3263223</v>
      </c>
      <c r="F152" s="180">
        <f t="shared" si="14"/>
        <v>3263223</v>
      </c>
      <c r="H152" s="245"/>
      <c r="I152" s="250">
        <v>0</v>
      </c>
      <c r="J152" s="250"/>
      <c r="K152" s="251">
        <f t="shared" si="15"/>
        <v>0</v>
      </c>
      <c r="L152" s="50">
        <f t="shared" si="16"/>
        <v>0</v>
      </c>
      <c r="M152" s="50">
        <f t="shared" si="17"/>
        <v>0</v>
      </c>
      <c r="N152" s="50">
        <f t="shared" si="18"/>
        <v>0</v>
      </c>
    </row>
    <row r="153" spans="1:14" ht="12.75" customHeight="1" x14ac:dyDescent="0.3">
      <c r="A153" s="100">
        <v>19.079999999999998</v>
      </c>
      <c r="B153" s="143" t="s">
        <v>165</v>
      </c>
      <c r="C153" s="28" t="s">
        <v>29</v>
      </c>
      <c r="D153" s="29">
        <v>1</v>
      </c>
      <c r="E153" s="181">
        <v>3665831</v>
      </c>
      <c r="F153" s="181">
        <f t="shared" si="14"/>
        <v>3665831</v>
      </c>
      <c r="H153" s="245"/>
      <c r="I153" s="250">
        <v>0</v>
      </c>
      <c r="J153" s="250"/>
      <c r="K153" s="251">
        <f t="shared" si="15"/>
        <v>0</v>
      </c>
      <c r="L153" s="50">
        <f t="shared" si="16"/>
        <v>0</v>
      </c>
      <c r="M153" s="50">
        <f t="shared" si="17"/>
        <v>0</v>
      </c>
      <c r="N153" s="50">
        <f t="shared" si="18"/>
        <v>0</v>
      </c>
    </row>
    <row r="154" spans="1:14" ht="12.75" customHeight="1" x14ac:dyDescent="0.3">
      <c r="A154" s="100">
        <v>19.09</v>
      </c>
      <c r="B154" s="144" t="s">
        <v>166</v>
      </c>
      <c r="C154" s="28" t="s">
        <v>29</v>
      </c>
      <c r="D154" s="29">
        <v>1</v>
      </c>
      <c r="E154" s="181">
        <v>3263223</v>
      </c>
      <c r="F154" s="181">
        <f t="shared" si="14"/>
        <v>3263223</v>
      </c>
      <c r="H154" s="245"/>
      <c r="I154" s="250">
        <v>0</v>
      </c>
      <c r="J154" s="250"/>
      <c r="K154" s="251">
        <f t="shared" si="15"/>
        <v>0</v>
      </c>
      <c r="L154" s="50">
        <f t="shared" si="16"/>
        <v>0</v>
      </c>
      <c r="M154" s="50">
        <f t="shared" si="17"/>
        <v>0</v>
      </c>
      <c r="N154" s="50">
        <f t="shared" si="18"/>
        <v>0</v>
      </c>
    </row>
    <row r="155" spans="1:14" ht="12.75" customHeight="1" x14ac:dyDescent="0.3">
      <c r="A155" s="100">
        <v>19.100000000000001</v>
      </c>
      <c r="B155" s="143" t="s">
        <v>167</v>
      </c>
      <c r="C155" s="28" t="s">
        <v>29</v>
      </c>
      <c r="D155" s="29">
        <v>1</v>
      </c>
      <c r="E155" s="181">
        <v>18413869</v>
      </c>
      <c r="F155" s="181">
        <f t="shared" si="14"/>
        <v>18413869</v>
      </c>
      <c r="H155" s="245"/>
      <c r="I155" s="250">
        <v>0</v>
      </c>
      <c r="J155" s="250"/>
      <c r="K155" s="251">
        <f t="shared" si="15"/>
        <v>0</v>
      </c>
      <c r="L155" s="50">
        <f t="shared" si="16"/>
        <v>0</v>
      </c>
      <c r="M155" s="50">
        <f t="shared" si="17"/>
        <v>0</v>
      </c>
      <c r="N155" s="50">
        <f t="shared" si="18"/>
        <v>0</v>
      </c>
    </row>
    <row r="156" spans="1:14" ht="12.75" customHeight="1" x14ac:dyDescent="0.3">
      <c r="A156" s="100">
        <v>19.11</v>
      </c>
      <c r="B156" s="145" t="s">
        <v>168</v>
      </c>
      <c r="C156" s="138" t="s">
        <v>29</v>
      </c>
      <c r="D156" s="139">
        <v>1</v>
      </c>
      <c r="E156" s="189">
        <v>6223474</v>
      </c>
      <c r="F156" s="189">
        <f t="shared" si="14"/>
        <v>6223474</v>
      </c>
      <c r="H156" s="245"/>
      <c r="I156" s="250">
        <v>0</v>
      </c>
      <c r="J156" s="250"/>
      <c r="K156" s="251">
        <f t="shared" si="15"/>
        <v>0</v>
      </c>
      <c r="L156" s="50">
        <f t="shared" si="16"/>
        <v>0</v>
      </c>
      <c r="M156" s="50">
        <f t="shared" si="17"/>
        <v>0</v>
      </c>
      <c r="N156" s="50">
        <f t="shared" si="18"/>
        <v>0</v>
      </c>
    </row>
    <row r="157" spans="1:14" ht="12.75" customHeight="1" x14ac:dyDescent="0.3">
      <c r="A157" s="13"/>
      <c r="B157" s="40" t="s">
        <v>169</v>
      </c>
      <c r="C157" s="18"/>
      <c r="D157" s="19"/>
      <c r="E157" s="19"/>
      <c r="F157" s="19"/>
      <c r="G157" s="192">
        <f>+SUM(F158)</f>
        <v>2637801</v>
      </c>
      <c r="H157" s="245">
        <f>+G157/$G$195</f>
        <v>3.1222297885257206E-3</v>
      </c>
      <c r="I157" s="246"/>
      <c r="J157" s="247"/>
      <c r="K157" s="247"/>
      <c r="L157" s="178"/>
      <c r="M157" s="178"/>
      <c r="N157" s="179"/>
    </row>
    <row r="158" spans="1:14" ht="12.75" customHeight="1" x14ac:dyDescent="0.3">
      <c r="A158" s="24">
        <v>19.12</v>
      </c>
      <c r="B158" s="36" t="s">
        <v>170</v>
      </c>
      <c r="C158" s="28" t="s">
        <v>29</v>
      </c>
      <c r="D158" s="29">
        <v>1</v>
      </c>
      <c r="E158" s="181">
        <v>2637801</v>
      </c>
      <c r="F158" s="181">
        <f t="shared" si="14"/>
        <v>2637801</v>
      </c>
      <c r="H158" s="245"/>
      <c r="I158" s="250">
        <v>0</v>
      </c>
      <c r="J158" s="250"/>
      <c r="K158" s="251">
        <f t="shared" si="15"/>
        <v>0</v>
      </c>
      <c r="L158" s="50">
        <f t="shared" si="16"/>
        <v>0</v>
      </c>
      <c r="M158" s="50">
        <f t="shared" si="17"/>
        <v>0</v>
      </c>
      <c r="N158" s="50">
        <f t="shared" si="18"/>
        <v>0</v>
      </c>
    </row>
    <row r="159" spans="1:14" ht="12.75" customHeight="1" x14ac:dyDescent="0.3">
      <c r="A159" s="13"/>
      <c r="B159" s="40" t="s">
        <v>171</v>
      </c>
      <c r="C159" s="18"/>
      <c r="D159" s="19"/>
      <c r="E159" s="19"/>
      <c r="F159" s="19"/>
      <c r="G159" s="192">
        <f>+SUM(F160:F161)</f>
        <v>39784561</v>
      </c>
      <c r="H159" s="245">
        <f>+G159/$G$195</f>
        <v>4.7090944873255651E-2</v>
      </c>
      <c r="I159" s="246"/>
      <c r="J159" s="247"/>
      <c r="K159" s="247"/>
      <c r="L159" s="178"/>
      <c r="M159" s="178"/>
      <c r="N159" s="179"/>
    </row>
    <row r="160" spans="1:14" ht="12.75" customHeight="1" x14ac:dyDescent="0.3">
      <c r="A160" s="20">
        <v>19.13</v>
      </c>
      <c r="B160" s="136" t="s">
        <v>172</v>
      </c>
      <c r="C160" s="122" t="s">
        <v>29</v>
      </c>
      <c r="D160" s="123">
        <v>1</v>
      </c>
      <c r="E160" s="181">
        <v>36002858</v>
      </c>
      <c r="F160" s="181">
        <f t="shared" si="14"/>
        <v>36002858</v>
      </c>
      <c r="H160" s="245"/>
      <c r="I160" s="250">
        <v>0</v>
      </c>
      <c r="J160" s="250"/>
      <c r="K160" s="251">
        <f t="shared" si="15"/>
        <v>0</v>
      </c>
      <c r="L160" s="50">
        <f t="shared" si="16"/>
        <v>0</v>
      </c>
      <c r="M160" s="50">
        <f t="shared" si="17"/>
        <v>0</v>
      </c>
      <c r="N160" s="50">
        <f t="shared" si="18"/>
        <v>0</v>
      </c>
    </row>
    <row r="161" spans="1:14" ht="12.75" customHeight="1" x14ac:dyDescent="0.3">
      <c r="A161" s="33">
        <v>19.14</v>
      </c>
      <c r="B161" s="137" t="s">
        <v>173</v>
      </c>
      <c r="C161" s="138" t="s">
        <v>29</v>
      </c>
      <c r="D161" s="139">
        <v>1</v>
      </c>
      <c r="E161" s="181">
        <v>3781703</v>
      </c>
      <c r="F161" s="181">
        <f t="shared" si="14"/>
        <v>3781703</v>
      </c>
      <c r="H161" s="245"/>
      <c r="I161" s="250">
        <v>0</v>
      </c>
      <c r="J161" s="250"/>
      <c r="K161" s="251">
        <f t="shared" si="15"/>
        <v>0</v>
      </c>
      <c r="L161" s="50">
        <f t="shared" si="16"/>
        <v>0</v>
      </c>
      <c r="M161" s="50">
        <f t="shared" si="17"/>
        <v>0</v>
      </c>
      <c r="N161" s="50">
        <f t="shared" si="18"/>
        <v>0</v>
      </c>
    </row>
    <row r="162" spans="1:14" ht="12.75" customHeight="1" x14ac:dyDescent="0.3">
      <c r="A162" s="13"/>
      <c r="B162" s="40" t="s">
        <v>174</v>
      </c>
      <c r="C162" s="18"/>
      <c r="D162" s="19"/>
      <c r="E162" s="19"/>
      <c r="F162" s="19"/>
      <c r="G162" s="192">
        <f>+SUM(F163)</f>
        <v>6439007</v>
      </c>
      <c r="H162" s="245">
        <f>+G162/$G$195</f>
        <v>7.6215224211097178E-3</v>
      </c>
      <c r="I162" s="246"/>
      <c r="J162" s="247"/>
      <c r="K162" s="247"/>
      <c r="L162" s="178"/>
      <c r="M162" s="178"/>
      <c r="N162" s="179"/>
    </row>
    <row r="163" spans="1:14" ht="12.75" customHeight="1" x14ac:dyDescent="0.3">
      <c r="A163" s="24">
        <v>19.149999999999999</v>
      </c>
      <c r="B163" s="98" t="s">
        <v>175</v>
      </c>
      <c r="C163" s="28" t="s">
        <v>29</v>
      </c>
      <c r="D163" s="29">
        <v>1</v>
      </c>
      <c r="E163" s="181">
        <v>6439007</v>
      </c>
      <c r="F163" s="181">
        <f t="shared" si="14"/>
        <v>6439007</v>
      </c>
      <c r="H163" s="245"/>
      <c r="I163" s="250">
        <v>0</v>
      </c>
      <c r="J163" s="250"/>
      <c r="K163" s="251">
        <f t="shared" si="15"/>
        <v>0</v>
      </c>
      <c r="L163" s="50">
        <f t="shared" si="16"/>
        <v>0</v>
      </c>
      <c r="M163" s="50">
        <f t="shared" si="17"/>
        <v>0</v>
      </c>
      <c r="N163" s="50">
        <f t="shared" si="18"/>
        <v>0</v>
      </c>
    </row>
    <row r="164" spans="1:14" ht="12.75" customHeight="1" x14ac:dyDescent="0.3">
      <c r="A164" s="13"/>
      <c r="B164" s="40" t="s">
        <v>176</v>
      </c>
      <c r="C164" s="18"/>
      <c r="D164" s="19"/>
      <c r="E164" s="19"/>
      <c r="F164" s="19"/>
      <c r="G164" s="192">
        <f>+SUM(F165:F168)</f>
        <v>33172785</v>
      </c>
      <c r="H164" s="245">
        <f t="shared" ref="H164:H192" si="19">+G164/$G$195</f>
        <v>3.9264924645702685E-2</v>
      </c>
      <c r="I164" s="246"/>
      <c r="J164" s="247"/>
      <c r="K164" s="247"/>
      <c r="L164" s="178"/>
      <c r="M164" s="178"/>
      <c r="N164" s="179"/>
    </row>
    <row r="165" spans="1:14" ht="12.75" customHeight="1" x14ac:dyDescent="0.3">
      <c r="A165" s="24">
        <v>19.16</v>
      </c>
      <c r="B165" s="143" t="s">
        <v>177</v>
      </c>
      <c r="C165" s="28" t="s">
        <v>29</v>
      </c>
      <c r="D165" s="29">
        <v>1</v>
      </c>
      <c r="E165" s="181">
        <v>27794007</v>
      </c>
      <c r="F165" s="181">
        <f t="shared" si="14"/>
        <v>27794007</v>
      </c>
      <c r="H165" s="245"/>
      <c r="I165" s="250">
        <v>0</v>
      </c>
      <c r="J165" s="250"/>
      <c r="K165" s="251">
        <f t="shared" si="15"/>
        <v>0</v>
      </c>
      <c r="L165" s="50">
        <f t="shared" si="16"/>
        <v>0</v>
      </c>
      <c r="M165" s="50">
        <f t="shared" si="17"/>
        <v>0</v>
      </c>
      <c r="N165" s="50">
        <f t="shared" si="18"/>
        <v>0</v>
      </c>
    </row>
    <row r="166" spans="1:14" ht="12.75" customHeight="1" x14ac:dyDescent="0.3">
      <c r="A166" s="24">
        <v>19.170000000000002</v>
      </c>
      <c r="B166" s="146" t="s">
        <v>178</v>
      </c>
      <c r="C166" s="147" t="s">
        <v>33</v>
      </c>
      <c r="D166" s="148">
        <v>8</v>
      </c>
      <c r="E166" s="181">
        <v>59973</v>
      </c>
      <c r="F166" s="181">
        <f t="shared" si="14"/>
        <v>479784</v>
      </c>
      <c r="H166" s="245"/>
      <c r="I166" s="250">
        <v>0</v>
      </c>
      <c r="J166" s="250"/>
      <c r="K166" s="251">
        <f t="shared" si="15"/>
        <v>0</v>
      </c>
      <c r="L166" s="50">
        <f t="shared" si="16"/>
        <v>0</v>
      </c>
      <c r="M166" s="50">
        <f t="shared" si="17"/>
        <v>0</v>
      </c>
      <c r="N166" s="50">
        <f t="shared" si="18"/>
        <v>0</v>
      </c>
    </row>
    <row r="167" spans="1:14" ht="12.75" customHeight="1" x14ac:dyDescent="0.3">
      <c r="A167" s="24">
        <v>19.18</v>
      </c>
      <c r="B167" s="146" t="s">
        <v>179</v>
      </c>
      <c r="C167" s="147" t="s">
        <v>29</v>
      </c>
      <c r="D167" s="148">
        <v>8</v>
      </c>
      <c r="E167" s="181">
        <v>27640</v>
      </c>
      <c r="F167" s="181">
        <f t="shared" si="14"/>
        <v>221120</v>
      </c>
      <c r="H167" s="245"/>
      <c r="I167" s="250">
        <v>0</v>
      </c>
      <c r="J167" s="250"/>
      <c r="K167" s="251">
        <f t="shared" si="15"/>
        <v>0</v>
      </c>
      <c r="L167" s="50">
        <f t="shared" si="16"/>
        <v>0</v>
      </c>
      <c r="M167" s="50">
        <f t="shared" si="17"/>
        <v>0</v>
      </c>
      <c r="N167" s="50">
        <f t="shared" si="18"/>
        <v>0</v>
      </c>
    </row>
    <row r="168" spans="1:14" ht="12.75" customHeight="1" x14ac:dyDescent="0.3">
      <c r="A168" s="100">
        <v>19.190000000000001</v>
      </c>
      <c r="B168" s="145" t="s">
        <v>180</v>
      </c>
      <c r="C168" s="138" t="s">
        <v>29</v>
      </c>
      <c r="D168" s="139">
        <v>1</v>
      </c>
      <c r="E168" s="181">
        <v>4677874</v>
      </c>
      <c r="F168" s="181">
        <f t="shared" si="14"/>
        <v>4677874</v>
      </c>
      <c r="H168" s="245"/>
      <c r="I168" s="250">
        <v>0</v>
      </c>
      <c r="J168" s="250"/>
      <c r="K168" s="251">
        <f t="shared" si="15"/>
        <v>0</v>
      </c>
      <c r="L168" s="50">
        <f t="shared" si="16"/>
        <v>0</v>
      </c>
      <c r="M168" s="50">
        <f t="shared" si="17"/>
        <v>0</v>
      </c>
      <c r="N168" s="50">
        <f t="shared" si="18"/>
        <v>0</v>
      </c>
    </row>
    <row r="169" spans="1:14" ht="12.75" customHeight="1" x14ac:dyDescent="0.3">
      <c r="A169" s="13">
        <v>20</v>
      </c>
      <c r="B169" s="40" t="s">
        <v>181</v>
      </c>
      <c r="C169" s="18"/>
      <c r="D169" s="19"/>
      <c r="E169" s="19"/>
      <c r="F169" s="19"/>
      <c r="G169" s="192">
        <f>+SUM(F170:F171)</f>
        <v>0</v>
      </c>
      <c r="H169" s="245">
        <f t="shared" si="19"/>
        <v>0</v>
      </c>
      <c r="I169" s="246"/>
      <c r="J169" s="247"/>
      <c r="K169" s="247"/>
      <c r="L169" s="178"/>
      <c r="M169" s="178"/>
      <c r="N169" s="179"/>
    </row>
    <row r="170" spans="1:14" ht="12.75" customHeight="1" x14ac:dyDescent="0.3">
      <c r="A170" s="106">
        <v>20.010000000000002</v>
      </c>
      <c r="B170" s="107" t="s">
        <v>182</v>
      </c>
      <c r="C170" s="120" t="s">
        <v>33</v>
      </c>
      <c r="D170" s="121">
        <v>0</v>
      </c>
      <c r="E170" s="183">
        <v>0</v>
      </c>
      <c r="F170" s="183">
        <f t="shared" si="14"/>
        <v>0</v>
      </c>
      <c r="H170" s="245"/>
      <c r="I170" s="250">
        <v>0</v>
      </c>
      <c r="J170" s="250"/>
      <c r="K170" s="251">
        <f t="shared" si="15"/>
        <v>0</v>
      </c>
      <c r="L170" s="50">
        <f t="shared" si="16"/>
        <v>0</v>
      </c>
      <c r="M170" s="50">
        <f t="shared" si="17"/>
        <v>0</v>
      </c>
      <c r="N170" s="50">
        <f t="shared" si="18"/>
        <v>0</v>
      </c>
    </row>
    <row r="171" spans="1:14" ht="12.75" customHeight="1" x14ac:dyDescent="0.3">
      <c r="A171" s="24">
        <v>20.02</v>
      </c>
      <c r="B171" s="25" t="s">
        <v>183</v>
      </c>
      <c r="C171" s="112" t="s">
        <v>33</v>
      </c>
      <c r="D171" s="27">
        <v>0</v>
      </c>
      <c r="E171" s="181">
        <v>0</v>
      </c>
      <c r="F171" s="181">
        <f t="shared" si="14"/>
        <v>0</v>
      </c>
      <c r="H171" s="245"/>
      <c r="I171" s="250">
        <v>0</v>
      </c>
      <c r="J171" s="250"/>
      <c r="K171" s="251">
        <f t="shared" si="15"/>
        <v>0</v>
      </c>
      <c r="L171" s="50">
        <f t="shared" si="16"/>
        <v>0</v>
      </c>
      <c r="M171" s="50">
        <f t="shared" si="17"/>
        <v>0</v>
      </c>
      <c r="N171" s="50">
        <f t="shared" si="18"/>
        <v>0</v>
      </c>
    </row>
    <row r="172" spans="1:14" ht="12.75" customHeight="1" x14ac:dyDescent="0.3">
      <c r="A172" s="13">
        <v>21</v>
      </c>
      <c r="B172" s="40" t="s">
        <v>184</v>
      </c>
      <c r="C172" s="18"/>
      <c r="D172" s="19"/>
      <c r="E172" s="19"/>
      <c r="F172" s="19"/>
      <c r="G172" s="192">
        <f>+SUM(F173)</f>
        <v>0</v>
      </c>
      <c r="H172" s="245">
        <f t="shared" si="19"/>
        <v>0</v>
      </c>
      <c r="I172" s="246"/>
      <c r="J172" s="247"/>
      <c r="K172" s="247"/>
      <c r="L172" s="178"/>
      <c r="M172" s="178"/>
      <c r="N172" s="179"/>
    </row>
    <row r="173" spans="1:14" ht="12.75" customHeight="1" x14ac:dyDescent="0.3">
      <c r="A173" s="149">
        <v>21.01</v>
      </c>
      <c r="B173" s="150" t="s">
        <v>185</v>
      </c>
      <c r="C173" s="151" t="s">
        <v>29</v>
      </c>
      <c r="D173" s="152">
        <v>1</v>
      </c>
      <c r="E173" s="184">
        <v>0</v>
      </c>
      <c r="F173" s="181">
        <f t="shared" si="14"/>
        <v>0</v>
      </c>
      <c r="G173" s="182"/>
      <c r="H173" s="245"/>
      <c r="I173" s="250">
        <v>0</v>
      </c>
      <c r="J173" s="250"/>
      <c r="K173" s="251">
        <f t="shared" si="15"/>
        <v>0</v>
      </c>
      <c r="L173" s="50">
        <f t="shared" si="16"/>
        <v>0</v>
      </c>
      <c r="M173" s="50">
        <f t="shared" si="17"/>
        <v>0</v>
      </c>
      <c r="N173" s="50">
        <f t="shared" si="18"/>
        <v>0</v>
      </c>
    </row>
    <row r="174" spans="1:14" ht="12.75" customHeight="1" x14ac:dyDescent="0.3">
      <c r="A174" s="13">
        <v>22</v>
      </c>
      <c r="B174" s="40" t="s">
        <v>186</v>
      </c>
      <c r="C174" s="18"/>
      <c r="D174" s="19"/>
      <c r="E174" s="19"/>
      <c r="F174" s="19"/>
      <c r="G174" s="192">
        <f>+SUM(F175:F176)</f>
        <v>2934560</v>
      </c>
      <c r="H174" s="245">
        <f t="shared" si="19"/>
        <v>3.4734882002910904E-3</v>
      </c>
      <c r="I174" s="246"/>
      <c r="J174" s="247"/>
      <c r="K174" s="247"/>
      <c r="L174" s="178"/>
      <c r="M174" s="178"/>
      <c r="N174" s="179"/>
    </row>
    <row r="175" spans="1:14" ht="12.75" customHeight="1" x14ac:dyDescent="0.3">
      <c r="A175" s="115">
        <v>22.01</v>
      </c>
      <c r="B175" s="131" t="s">
        <v>187</v>
      </c>
      <c r="C175" s="132" t="s">
        <v>33</v>
      </c>
      <c r="D175" s="153">
        <v>8</v>
      </c>
      <c r="E175" s="184">
        <v>91705</v>
      </c>
      <c r="F175" s="183">
        <f t="shared" si="14"/>
        <v>733640</v>
      </c>
      <c r="H175" s="245"/>
      <c r="I175" s="250">
        <v>0</v>
      </c>
      <c r="J175" s="250"/>
      <c r="K175" s="251">
        <f t="shared" si="15"/>
        <v>0</v>
      </c>
      <c r="L175" s="50">
        <f t="shared" si="16"/>
        <v>0</v>
      </c>
      <c r="M175" s="50">
        <f t="shared" si="17"/>
        <v>0</v>
      </c>
      <c r="N175" s="50">
        <f t="shared" si="18"/>
        <v>0</v>
      </c>
    </row>
    <row r="176" spans="1:14" ht="12.75" customHeight="1" x14ac:dyDescent="0.3">
      <c r="A176" s="100">
        <v>22.02</v>
      </c>
      <c r="B176" s="98" t="s">
        <v>188</v>
      </c>
      <c r="C176" s="133" t="s">
        <v>33</v>
      </c>
      <c r="D176" s="153">
        <v>24</v>
      </c>
      <c r="E176" s="184">
        <v>91705</v>
      </c>
      <c r="F176" s="183">
        <f t="shared" si="14"/>
        <v>2200920</v>
      </c>
      <c r="H176" s="245"/>
      <c r="I176" s="250">
        <v>0</v>
      </c>
      <c r="J176" s="250"/>
      <c r="K176" s="251">
        <f t="shared" si="15"/>
        <v>0</v>
      </c>
      <c r="L176" s="50">
        <f t="shared" si="16"/>
        <v>0</v>
      </c>
      <c r="M176" s="50">
        <f t="shared" si="17"/>
        <v>0</v>
      </c>
      <c r="N176" s="50">
        <f t="shared" si="18"/>
        <v>0</v>
      </c>
    </row>
    <row r="177" spans="1:14" ht="12.75" customHeight="1" x14ac:dyDescent="0.3">
      <c r="A177" s="13">
        <v>23</v>
      </c>
      <c r="B177" s="40" t="s">
        <v>189</v>
      </c>
      <c r="C177" s="18"/>
      <c r="D177" s="19"/>
      <c r="E177" s="19"/>
      <c r="F177" s="19"/>
      <c r="G177" s="192">
        <f>+SUM(F178:F181)</f>
        <v>19050437</v>
      </c>
      <c r="H177" s="245">
        <f t="shared" si="19"/>
        <v>2.2549025451818604E-2</v>
      </c>
      <c r="I177" s="246"/>
      <c r="J177" s="247"/>
      <c r="K177" s="247"/>
      <c r="L177" s="178"/>
      <c r="M177" s="178"/>
      <c r="N177" s="179"/>
    </row>
    <row r="178" spans="1:14" ht="12.75" customHeight="1" x14ac:dyDescent="0.3">
      <c r="A178" s="115">
        <v>23.01</v>
      </c>
      <c r="B178" s="21" t="s">
        <v>190</v>
      </c>
      <c r="C178" s="93" t="s">
        <v>29</v>
      </c>
      <c r="D178" s="94">
        <v>6</v>
      </c>
      <c r="E178" s="180">
        <v>259063</v>
      </c>
      <c r="F178" s="180">
        <f t="shared" si="14"/>
        <v>1554378</v>
      </c>
      <c r="G178" s="182"/>
      <c r="H178" s="245"/>
      <c r="I178" s="250">
        <v>0</v>
      </c>
      <c r="J178" s="250"/>
      <c r="K178" s="251">
        <f t="shared" si="15"/>
        <v>0</v>
      </c>
      <c r="L178" s="50">
        <f t="shared" si="16"/>
        <v>0</v>
      </c>
      <c r="M178" s="50">
        <f t="shared" si="17"/>
        <v>0</v>
      </c>
      <c r="N178" s="50">
        <f t="shared" si="18"/>
        <v>0</v>
      </c>
    </row>
    <row r="179" spans="1:14" ht="12.75" customHeight="1" x14ac:dyDescent="0.3">
      <c r="A179" s="100">
        <v>23.02</v>
      </c>
      <c r="B179" s="25" t="s">
        <v>191</v>
      </c>
      <c r="C179" s="30" t="s">
        <v>29</v>
      </c>
      <c r="D179" s="31">
        <v>1</v>
      </c>
      <c r="E179" s="181">
        <v>793947</v>
      </c>
      <c r="F179" s="181">
        <f t="shared" si="14"/>
        <v>793947</v>
      </c>
      <c r="H179" s="245"/>
      <c r="I179" s="250">
        <v>0</v>
      </c>
      <c r="J179" s="250"/>
      <c r="K179" s="251">
        <f t="shared" si="15"/>
        <v>0</v>
      </c>
      <c r="L179" s="50">
        <f t="shared" si="16"/>
        <v>0</v>
      </c>
      <c r="M179" s="50">
        <f t="shared" si="17"/>
        <v>0</v>
      </c>
      <c r="N179" s="50">
        <f t="shared" si="18"/>
        <v>0</v>
      </c>
    </row>
    <row r="180" spans="1:14" ht="12.75" customHeight="1" x14ac:dyDescent="0.3">
      <c r="A180" s="100">
        <v>23.03</v>
      </c>
      <c r="B180" s="25" t="s">
        <v>192</v>
      </c>
      <c r="C180" s="30" t="s">
        <v>19</v>
      </c>
      <c r="D180" s="31">
        <v>26</v>
      </c>
      <c r="E180" s="181">
        <v>27076</v>
      </c>
      <c r="F180" s="181">
        <f t="shared" si="14"/>
        <v>703976</v>
      </c>
      <c r="H180" s="245"/>
      <c r="I180" s="250">
        <v>0</v>
      </c>
      <c r="J180" s="250"/>
      <c r="K180" s="251">
        <f t="shared" si="15"/>
        <v>0</v>
      </c>
      <c r="L180" s="50">
        <f t="shared" si="16"/>
        <v>0</v>
      </c>
      <c r="M180" s="50">
        <f t="shared" si="17"/>
        <v>0</v>
      </c>
      <c r="N180" s="50">
        <f t="shared" si="18"/>
        <v>0</v>
      </c>
    </row>
    <row r="181" spans="1:14" ht="12.75" customHeight="1" x14ac:dyDescent="0.3">
      <c r="A181" s="130">
        <v>23.04</v>
      </c>
      <c r="B181" s="154" t="s">
        <v>193</v>
      </c>
      <c r="C181" s="155" t="s">
        <v>19</v>
      </c>
      <c r="D181" s="102">
        <v>231</v>
      </c>
      <c r="E181" s="189">
        <v>69256</v>
      </c>
      <c r="F181" s="189">
        <f t="shared" si="14"/>
        <v>15998136</v>
      </c>
      <c r="H181" s="245"/>
      <c r="I181" s="250">
        <v>0</v>
      </c>
      <c r="J181" s="250"/>
      <c r="K181" s="251">
        <f t="shared" si="15"/>
        <v>0</v>
      </c>
      <c r="L181" s="50">
        <f t="shared" si="16"/>
        <v>0</v>
      </c>
      <c r="M181" s="50">
        <f t="shared" si="17"/>
        <v>0</v>
      </c>
      <c r="N181" s="50">
        <f t="shared" si="18"/>
        <v>0</v>
      </c>
    </row>
    <row r="182" spans="1:14" ht="12.75" customHeight="1" x14ac:dyDescent="0.3">
      <c r="A182" s="13">
        <v>24</v>
      </c>
      <c r="B182" s="40" t="s">
        <v>194</v>
      </c>
      <c r="C182" s="18"/>
      <c r="D182" s="19"/>
      <c r="E182" s="19"/>
      <c r="F182" s="19"/>
      <c r="G182" s="193">
        <f>+SUM(F183:F191)</f>
        <v>76903896</v>
      </c>
      <c r="H182" s="245">
        <f t="shared" si="19"/>
        <v>9.1027198391722505E-2</v>
      </c>
      <c r="I182" s="246"/>
      <c r="J182" s="247"/>
      <c r="K182" s="247"/>
      <c r="L182" s="178"/>
      <c r="M182" s="178"/>
      <c r="N182" s="179"/>
    </row>
    <row r="183" spans="1:14" ht="12.75" customHeight="1" x14ac:dyDescent="0.3">
      <c r="A183" s="20">
        <v>24.01</v>
      </c>
      <c r="B183" s="156" t="s">
        <v>195</v>
      </c>
      <c r="C183" s="22" t="s">
        <v>196</v>
      </c>
      <c r="D183" s="94">
        <v>17</v>
      </c>
      <c r="E183" s="181">
        <v>973327</v>
      </c>
      <c r="F183" s="181">
        <f t="shared" si="14"/>
        <v>16546559</v>
      </c>
      <c r="H183" s="245"/>
      <c r="I183" s="250">
        <v>0.15000000000000002</v>
      </c>
      <c r="J183" s="250">
        <v>0.05</v>
      </c>
      <c r="K183" s="251">
        <f t="shared" si="15"/>
        <v>0.2</v>
      </c>
      <c r="L183" s="50">
        <f t="shared" si="16"/>
        <v>2481983.8500000006</v>
      </c>
      <c r="M183" s="50">
        <f t="shared" si="17"/>
        <v>827327.95000000007</v>
      </c>
      <c r="N183" s="50">
        <f t="shared" si="18"/>
        <v>3309311.8000000003</v>
      </c>
    </row>
    <row r="184" spans="1:14" ht="12.75" customHeight="1" x14ac:dyDescent="0.3">
      <c r="A184" s="24">
        <v>24.02</v>
      </c>
      <c r="B184" s="157" t="s">
        <v>197</v>
      </c>
      <c r="C184" s="26" t="s">
        <v>196</v>
      </c>
      <c r="D184" s="31">
        <v>4</v>
      </c>
      <c r="E184" s="181">
        <v>2005316</v>
      </c>
      <c r="F184" s="181">
        <f t="shared" si="14"/>
        <v>8021264</v>
      </c>
      <c r="H184" s="245"/>
      <c r="I184" s="250">
        <v>0.75</v>
      </c>
      <c r="J184" s="250">
        <v>0.15</v>
      </c>
      <c r="K184" s="251">
        <f t="shared" si="15"/>
        <v>0.9</v>
      </c>
      <c r="L184" s="50">
        <f t="shared" si="16"/>
        <v>6015948</v>
      </c>
      <c r="M184" s="50">
        <f t="shared" si="17"/>
        <v>1203189.5999999999</v>
      </c>
      <c r="N184" s="50">
        <f t="shared" si="18"/>
        <v>7219137.6000000006</v>
      </c>
    </row>
    <row r="185" spans="1:14" ht="12.75" customHeight="1" x14ac:dyDescent="0.3">
      <c r="A185" s="24">
        <v>24.03</v>
      </c>
      <c r="B185" s="158" t="s">
        <v>198</v>
      </c>
      <c r="C185" s="26" t="s">
        <v>196</v>
      </c>
      <c r="D185" s="31">
        <v>17</v>
      </c>
      <c r="E185" s="181">
        <v>199910</v>
      </c>
      <c r="F185" s="181">
        <f t="shared" si="14"/>
        <v>3398470</v>
      </c>
      <c r="H185" s="245"/>
      <c r="I185" s="250">
        <v>0.15000000000000002</v>
      </c>
      <c r="J185" s="250">
        <v>0.05</v>
      </c>
      <c r="K185" s="251">
        <f t="shared" si="15"/>
        <v>0.2</v>
      </c>
      <c r="L185" s="50">
        <f t="shared" si="16"/>
        <v>509770.50000000006</v>
      </c>
      <c r="M185" s="50">
        <f t="shared" si="17"/>
        <v>169923.5</v>
      </c>
      <c r="N185" s="50">
        <f t="shared" si="18"/>
        <v>679694</v>
      </c>
    </row>
    <row r="186" spans="1:14" ht="12.75" customHeight="1" x14ac:dyDescent="0.3">
      <c r="A186" s="24">
        <v>24.04</v>
      </c>
      <c r="B186" s="158" t="s">
        <v>199</v>
      </c>
      <c r="C186" s="26" t="s">
        <v>29</v>
      </c>
      <c r="D186" s="27">
        <v>1</v>
      </c>
      <c r="E186" s="181">
        <v>6284456</v>
      </c>
      <c r="F186" s="181">
        <f t="shared" si="14"/>
        <v>6284456</v>
      </c>
      <c r="H186" s="245"/>
      <c r="I186" s="250">
        <v>0</v>
      </c>
      <c r="J186" s="250"/>
      <c r="K186" s="251">
        <f t="shared" si="15"/>
        <v>0</v>
      </c>
      <c r="L186" s="50">
        <f t="shared" si="16"/>
        <v>0</v>
      </c>
      <c r="M186" s="50">
        <f t="shared" si="17"/>
        <v>0</v>
      </c>
      <c r="N186" s="50">
        <f t="shared" si="18"/>
        <v>0</v>
      </c>
    </row>
    <row r="187" spans="1:14" ht="12.75" customHeight="1" x14ac:dyDescent="0.3">
      <c r="A187" s="24">
        <v>24.05</v>
      </c>
      <c r="B187" s="158" t="s">
        <v>200</v>
      </c>
      <c r="C187" s="159" t="s">
        <v>196</v>
      </c>
      <c r="D187" s="31">
        <v>17</v>
      </c>
      <c r="E187" s="181">
        <v>873895</v>
      </c>
      <c r="F187" s="181">
        <f t="shared" si="14"/>
        <v>14856215</v>
      </c>
      <c r="G187" s="194"/>
      <c r="H187" s="245"/>
      <c r="I187" s="250">
        <v>0.05</v>
      </c>
      <c r="J187" s="250">
        <v>0.05</v>
      </c>
      <c r="K187" s="251">
        <f t="shared" si="15"/>
        <v>0.1</v>
      </c>
      <c r="L187" s="50">
        <f t="shared" si="16"/>
        <v>742810.75</v>
      </c>
      <c r="M187" s="50">
        <f t="shared" si="17"/>
        <v>742810.75</v>
      </c>
      <c r="N187" s="50">
        <f t="shared" si="18"/>
        <v>1485621.5</v>
      </c>
    </row>
    <row r="188" spans="1:14" ht="12.75" customHeight="1" x14ac:dyDescent="0.3">
      <c r="A188" s="24">
        <v>24.06</v>
      </c>
      <c r="B188" s="158" t="s">
        <v>201</v>
      </c>
      <c r="C188" s="159" t="s">
        <v>196</v>
      </c>
      <c r="D188" s="31">
        <v>17</v>
      </c>
      <c r="E188" s="181">
        <v>577178</v>
      </c>
      <c r="F188" s="181">
        <f t="shared" si="14"/>
        <v>9812026</v>
      </c>
      <c r="G188" s="194"/>
      <c r="H188" s="245"/>
      <c r="I188" s="250">
        <v>0.05</v>
      </c>
      <c r="J188" s="250">
        <v>0.05</v>
      </c>
      <c r="K188" s="251">
        <f t="shared" si="15"/>
        <v>0.1</v>
      </c>
      <c r="L188" s="50">
        <f t="shared" si="16"/>
        <v>490601.30000000005</v>
      </c>
      <c r="M188" s="50">
        <f t="shared" si="17"/>
        <v>490601.30000000005</v>
      </c>
      <c r="N188" s="50">
        <f t="shared" si="18"/>
        <v>981202.60000000009</v>
      </c>
    </row>
    <row r="189" spans="1:14" ht="12.75" customHeight="1" x14ac:dyDescent="0.3">
      <c r="A189" s="24">
        <v>24.07</v>
      </c>
      <c r="B189" s="158" t="s">
        <v>202</v>
      </c>
      <c r="C189" s="159" t="s">
        <v>29</v>
      </c>
      <c r="D189" s="27">
        <v>1</v>
      </c>
      <c r="E189" s="181">
        <v>5277814</v>
      </c>
      <c r="F189" s="181">
        <f t="shared" si="14"/>
        <v>5277814</v>
      </c>
      <c r="G189" s="194"/>
      <c r="H189" s="245"/>
      <c r="I189" s="250">
        <v>0</v>
      </c>
      <c r="J189" s="250"/>
      <c r="K189" s="251">
        <f t="shared" si="15"/>
        <v>0</v>
      </c>
      <c r="L189" s="50">
        <f t="shared" si="16"/>
        <v>0</v>
      </c>
      <c r="M189" s="50">
        <f t="shared" si="17"/>
        <v>0</v>
      </c>
      <c r="N189" s="50">
        <f t="shared" si="18"/>
        <v>0</v>
      </c>
    </row>
    <row r="190" spans="1:14" ht="12.75" customHeight="1" x14ac:dyDescent="0.3">
      <c r="A190" s="24">
        <v>24.08</v>
      </c>
      <c r="B190" s="158" t="s">
        <v>203</v>
      </c>
      <c r="C190" s="159" t="s">
        <v>196</v>
      </c>
      <c r="D190" s="31">
        <v>17</v>
      </c>
      <c r="E190" s="181">
        <v>399819</v>
      </c>
      <c r="F190" s="181">
        <f t="shared" si="14"/>
        <v>6796923</v>
      </c>
      <c r="G190" s="194"/>
      <c r="H190" s="245"/>
      <c r="I190" s="250">
        <v>0.09</v>
      </c>
      <c r="J190" s="250">
        <v>0.03</v>
      </c>
      <c r="K190" s="251">
        <f t="shared" si="15"/>
        <v>0.12</v>
      </c>
      <c r="L190" s="50">
        <f t="shared" si="16"/>
        <v>611723.06999999995</v>
      </c>
      <c r="M190" s="50">
        <f t="shared" si="17"/>
        <v>203907.69</v>
      </c>
      <c r="N190" s="50">
        <f t="shared" si="18"/>
        <v>815630.76</v>
      </c>
    </row>
    <row r="191" spans="1:14" ht="12.75" customHeight="1" x14ac:dyDescent="0.3">
      <c r="A191" s="24">
        <v>24.09</v>
      </c>
      <c r="B191" s="160" t="s">
        <v>204</v>
      </c>
      <c r="C191" s="161" t="s">
        <v>196</v>
      </c>
      <c r="D191" s="31">
        <v>17</v>
      </c>
      <c r="E191" s="189">
        <v>347657</v>
      </c>
      <c r="F191" s="189">
        <f t="shared" si="14"/>
        <v>5910169</v>
      </c>
      <c r="G191" s="194"/>
      <c r="H191" s="245"/>
      <c r="I191" s="250">
        <v>0.03</v>
      </c>
      <c r="J191" s="250"/>
      <c r="K191" s="251">
        <f t="shared" si="15"/>
        <v>0.03</v>
      </c>
      <c r="L191" s="50">
        <f t="shared" si="16"/>
        <v>177305.07</v>
      </c>
      <c r="M191" s="50">
        <f t="shared" si="17"/>
        <v>0</v>
      </c>
      <c r="N191" s="50">
        <f t="shared" si="18"/>
        <v>177305.07</v>
      </c>
    </row>
    <row r="192" spans="1:14" ht="12.75" customHeight="1" x14ac:dyDescent="0.3">
      <c r="A192" s="13">
        <v>25</v>
      </c>
      <c r="B192" s="40" t="s">
        <v>205</v>
      </c>
      <c r="C192" s="18"/>
      <c r="D192" s="19"/>
      <c r="E192" s="19"/>
      <c r="F192" s="19"/>
      <c r="G192" s="193">
        <f>+SUM(F193:F194)</f>
        <v>110386593</v>
      </c>
      <c r="H192" s="245">
        <f t="shared" si="19"/>
        <v>0.13065894998086086</v>
      </c>
      <c r="I192" s="246"/>
      <c r="J192" s="247"/>
      <c r="K192" s="247"/>
      <c r="L192" s="178"/>
      <c r="M192" s="178"/>
      <c r="N192" s="179"/>
    </row>
    <row r="193" spans="1:14" ht="12.75" customHeight="1" x14ac:dyDescent="0.3">
      <c r="A193" s="20">
        <v>25.01</v>
      </c>
      <c r="B193" s="21" t="s">
        <v>206</v>
      </c>
      <c r="C193" s="93" t="s">
        <v>196</v>
      </c>
      <c r="D193" s="94">
        <v>17</v>
      </c>
      <c r="E193" s="184">
        <v>5826965</v>
      </c>
      <c r="F193" s="183">
        <f t="shared" si="14"/>
        <v>99058405</v>
      </c>
      <c r="G193" s="195"/>
      <c r="H193" s="245"/>
      <c r="I193" s="250">
        <v>0.15000000000000002</v>
      </c>
      <c r="J193" s="250">
        <v>0.05</v>
      </c>
      <c r="K193" s="251">
        <f t="shared" si="15"/>
        <v>0.2</v>
      </c>
      <c r="L193" s="50">
        <f t="shared" si="16"/>
        <v>14858760.750000002</v>
      </c>
      <c r="M193" s="50">
        <f t="shared" si="17"/>
        <v>4952920.25</v>
      </c>
      <c r="N193" s="50">
        <f t="shared" si="18"/>
        <v>19811681</v>
      </c>
    </row>
    <row r="194" spans="1:14" ht="12.75" customHeight="1" x14ac:dyDescent="0.3">
      <c r="A194" s="33">
        <v>25.02</v>
      </c>
      <c r="B194" s="38" t="s">
        <v>207</v>
      </c>
      <c r="C194" s="34" t="s">
        <v>196</v>
      </c>
      <c r="D194" s="35">
        <v>17</v>
      </c>
      <c r="E194" s="184">
        <v>666364</v>
      </c>
      <c r="F194" s="181">
        <f t="shared" si="14"/>
        <v>11328188</v>
      </c>
      <c r="G194" s="196"/>
      <c r="H194" s="245"/>
      <c r="I194" s="255">
        <v>0.15000000000000002</v>
      </c>
      <c r="J194" s="255">
        <v>0.05</v>
      </c>
      <c r="K194" s="256">
        <f t="shared" si="15"/>
        <v>0.2</v>
      </c>
      <c r="L194" s="257">
        <f t="shared" si="16"/>
        <v>1699228.2000000002</v>
      </c>
      <c r="M194" s="257">
        <f t="shared" si="17"/>
        <v>566409.4</v>
      </c>
      <c r="N194" s="257">
        <f t="shared" si="18"/>
        <v>2265637.6</v>
      </c>
    </row>
    <row r="195" spans="1:14" ht="12.75" customHeight="1" x14ac:dyDescent="0.3">
      <c r="A195" s="13"/>
      <c r="B195" s="40" t="s">
        <v>208</v>
      </c>
      <c r="C195" s="18"/>
      <c r="D195" s="19"/>
      <c r="E195" s="19"/>
      <c r="F195" s="197">
        <f>SUM(F9:F194)</f>
        <v>844845248</v>
      </c>
      <c r="G195" s="192">
        <f>SUM(G9:G194)</f>
        <v>844845248</v>
      </c>
      <c r="H195" s="245">
        <f>+SUM(H9:H194)</f>
        <v>0.99999999999999978</v>
      </c>
      <c r="I195" s="258"/>
      <c r="J195" s="259"/>
      <c r="K195" s="259"/>
      <c r="L195" s="260">
        <f>+SUM(L10:L194)</f>
        <v>27588131.490000006</v>
      </c>
      <c r="M195" s="290">
        <f>+SUM(M10:M194)</f>
        <v>9157090.4399999995</v>
      </c>
      <c r="N195" s="261">
        <f>+SUM(N10:N194)</f>
        <v>36745221.93</v>
      </c>
    </row>
    <row r="196" spans="1:14" s="41" customFormat="1" ht="13" x14ac:dyDescent="0.3">
      <c r="A196" s="43"/>
      <c r="B196" s="44"/>
      <c r="C196" s="45"/>
      <c r="D196" s="46"/>
      <c r="E196" s="198"/>
      <c r="F196" s="198"/>
      <c r="G196" s="199"/>
      <c r="H196" s="177"/>
      <c r="I196" s="200"/>
      <c r="J196" s="200"/>
      <c r="K196" s="200"/>
      <c r="L196" s="200"/>
      <c r="M196" s="287">
        <f>+M195/G195</f>
        <v>1.0838778417322647E-2</v>
      </c>
      <c r="N196" s="254">
        <f>+N195/G195</f>
        <v>4.3493435060428957E-2</v>
      </c>
    </row>
    <row r="197" spans="1:14" s="41" customFormat="1" ht="13" x14ac:dyDescent="0.3">
      <c r="A197" s="42"/>
      <c r="B197" s="88"/>
      <c r="C197" s="89"/>
      <c r="D197" s="9"/>
      <c r="E197" s="201"/>
      <c r="F197" s="201"/>
      <c r="G197" s="166"/>
      <c r="H197" s="177"/>
      <c r="I197" s="200"/>
      <c r="J197" s="200"/>
      <c r="K197" s="200"/>
      <c r="L197" s="200"/>
      <c r="M197" s="51"/>
      <c r="N197" s="51"/>
    </row>
    <row r="198" spans="1:14" ht="12.75" customHeight="1" x14ac:dyDescent="0.3">
      <c r="A198" s="39"/>
      <c r="B198" s="47"/>
      <c r="D198" s="48"/>
      <c r="E198" s="9"/>
      <c r="F198" s="9"/>
      <c r="G198" s="202"/>
      <c r="I198" s="200"/>
      <c r="J198" s="200"/>
      <c r="K198" s="200"/>
      <c r="L198" s="200"/>
      <c r="M198" s="51"/>
      <c r="N198" s="51"/>
    </row>
    <row r="199" spans="1:14" ht="12.75" customHeight="1" x14ac:dyDescent="0.3">
      <c r="A199" s="52"/>
      <c r="B199" s="53" t="s">
        <v>209</v>
      </c>
      <c r="C199" s="54"/>
      <c r="D199" s="55"/>
      <c r="E199" s="203"/>
      <c r="F199" s="204"/>
      <c r="G199" s="205"/>
      <c r="H199" s="205"/>
      <c r="I199" s="204"/>
      <c r="J199" s="206"/>
      <c r="K199" s="207" t="s">
        <v>210</v>
      </c>
      <c r="L199" s="208">
        <f>+J5</f>
        <v>4</v>
      </c>
      <c r="M199" s="209"/>
      <c r="N199" s="57">
        <f>+N5</f>
        <v>45838</v>
      </c>
    </row>
    <row r="200" spans="1:14" ht="12.75" customHeight="1" x14ac:dyDescent="0.3">
      <c r="A200" s="58"/>
      <c r="B200" s="53" t="s">
        <v>9</v>
      </c>
      <c r="C200" s="56"/>
      <c r="D200" s="59"/>
      <c r="E200" s="211"/>
      <c r="F200" s="205"/>
      <c r="G200" s="205"/>
      <c r="H200" s="205"/>
      <c r="I200" s="205"/>
      <c r="J200" s="209"/>
      <c r="K200" s="205"/>
      <c r="L200" s="205"/>
      <c r="M200" s="209" t="s">
        <v>211</v>
      </c>
      <c r="N200" s="210" t="s">
        <v>212</v>
      </c>
    </row>
    <row r="201" spans="1:14" ht="12.75" customHeight="1" x14ac:dyDescent="0.3">
      <c r="A201" s="60" t="s">
        <v>213</v>
      </c>
      <c r="B201" s="61" t="s">
        <v>214</v>
      </c>
      <c r="C201" s="60"/>
      <c r="D201" s="62"/>
      <c r="E201" s="212"/>
      <c r="F201" s="213"/>
      <c r="G201" s="214"/>
      <c r="H201" s="214"/>
      <c r="I201" s="213"/>
      <c r="J201" s="215"/>
      <c r="K201" s="213"/>
      <c r="L201" s="213"/>
      <c r="M201" s="213"/>
      <c r="N201" s="63">
        <f>+G195</f>
        <v>844845248</v>
      </c>
    </row>
    <row r="202" spans="1:14" ht="12.75" customHeight="1" x14ac:dyDescent="0.3">
      <c r="A202" s="64" t="s">
        <v>215</v>
      </c>
      <c r="B202" s="65" t="s">
        <v>216</v>
      </c>
      <c r="C202" s="66"/>
      <c r="D202" s="67"/>
      <c r="E202" s="216"/>
      <c r="F202" s="217"/>
      <c r="G202" s="218"/>
      <c r="H202" s="218"/>
      <c r="I202" s="217"/>
      <c r="J202" s="219"/>
      <c r="K202" s="217"/>
      <c r="L202" s="217"/>
      <c r="M202" s="236">
        <v>0.1</v>
      </c>
      <c r="N202" s="220">
        <f>+M202*N201</f>
        <v>84484524.800000012</v>
      </c>
    </row>
    <row r="203" spans="1:14" ht="12.75" customHeight="1" x14ac:dyDescent="0.3">
      <c r="A203" s="68" t="s">
        <v>217</v>
      </c>
      <c r="B203" s="69" t="s">
        <v>218</v>
      </c>
      <c r="C203" s="70"/>
      <c r="D203" s="71"/>
      <c r="E203" s="221"/>
      <c r="F203" s="222"/>
      <c r="G203" s="223"/>
      <c r="H203" s="223"/>
      <c r="I203" s="222"/>
      <c r="J203" s="224"/>
      <c r="K203" s="222"/>
      <c r="L203" s="222"/>
      <c r="M203" s="237"/>
      <c r="N203" s="225">
        <f>+M195</f>
        <v>9157090.4399999995</v>
      </c>
    </row>
    <row r="204" spans="1:14" ht="12.75" customHeight="1" x14ac:dyDescent="0.3">
      <c r="A204" s="64" t="s">
        <v>219</v>
      </c>
      <c r="B204" s="65" t="s">
        <v>220</v>
      </c>
      <c r="C204" s="66"/>
      <c r="D204" s="67"/>
      <c r="E204" s="216"/>
      <c r="F204" s="217"/>
      <c r="G204" s="218"/>
      <c r="H204" s="218"/>
      <c r="I204" s="217"/>
      <c r="J204" s="219"/>
      <c r="K204" s="217"/>
      <c r="L204" s="217"/>
      <c r="M204" s="238">
        <f>-M202</f>
        <v>-0.1</v>
      </c>
      <c r="N204" s="241">
        <f>+M204*N203</f>
        <v>-915709.04399999999</v>
      </c>
    </row>
    <row r="205" spans="1:14" ht="12.75" customHeight="1" x14ac:dyDescent="0.3">
      <c r="A205" s="72" t="s">
        <v>221</v>
      </c>
      <c r="B205" s="73" t="s">
        <v>222</v>
      </c>
      <c r="C205" s="74"/>
      <c r="D205" s="75"/>
      <c r="E205" s="226"/>
      <c r="F205" s="223"/>
      <c r="G205" s="223"/>
      <c r="H205" s="223"/>
      <c r="I205" s="223" t="s">
        <v>223</v>
      </c>
      <c r="J205" s="227" t="s">
        <v>231</v>
      </c>
      <c r="K205" s="223"/>
      <c r="L205" s="223"/>
      <c r="M205" s="239"/>
      <c r="N205" s="242">
        <f>+N203+N204</f>
        <v>8241381.3959999997</v>
      </c>
    </row>
    <row r="206" spans="1:14" ht="12.75" customHeight="1" x14ac:dyDescent="0.3">
      <c r="A206" s="76" t="s">
        <v>225</v>
      </c>
      <c r="B206" s="77" t="s">
        <v>226</v>
      </c>
      <c r="C206" s="78"/>
      <c r="D206" s="79"/>
      <c r="E206" s="228"/>
      <c r="F206" s="229"/>
      <c r="G206" s="230"/>
      <c r="H206" s="229"/>
      <c r="I206" s="80">
        <v>15356.4</v>
      </c>
      <c r="J206" s="80">
        <v>16521.3</v>
      </c>
      <c r="K206" s="230"/>
      <c r="L206" s="80">
        <f>J206/I206</f>
        <v>1.0758576228803625</v>
      </c>
      <c r="M206" s="240">
        <f>L206-1</f>
        <v>7.5857622880362463E-2</v>
      </c>
      <c r="N206" s="243">
        <f>N205*M206</f>
        <v>625171.60195100307</v>
      </c>
    </row>
    <row r="207" spans="1:14" ht="12.75" customHeight="1" x14ac:dyDescent="0.3">
      <c r="A207" s="81" t="s">
        <v>227</v>
      </c>
      <c r="B207" s="82" t="s">
        <v>228</v>
      </c>
      <c r="C207" s="83"/>
      <c r="D207" s="84"/>
      <c r="E207" s="232"/>
      <c r="F207" s="233"/>
      <c r="G207" s="233"/>
      <c r="H207" s="233"/>
      <c r="I207" s="233"/>
      <c r="J207" s="234"/>
      <c r="K207" s="233"/>
      <c r="L207" s="233"/>
      <c r="M207" s="233"/>
      <c r="N207" s="244">
        <f>N205+N206</f>
        <v>8866552.9979510028</v>
      </c>
    </row>
    <row r="208" spans="1:14" ht="12.75" customHeight="1" x14ac:dyDescent="0.3">
      <c r="C208" s="85"/>
      <c r="H208" s="235"/>
      <c r="I208" s="235"/>
      <c r="J208" s="235"/>
      <c r="K208" s="235"/>
      <c r="L208" s="235"/>
      <c r="M208" s="235"/>
      <c r="N208" s="235"/>
    </row>
  </sheetData>
  <mergeCells count="2">
    <mergeCell ref="I7:K7"/>
    <mergeCell ref="L7:N7"/>
  </mergeCells>
  <conditionalFormatting sqref="C3:C197">
    <cfRule type="cellIs" dxfId="49" priority="2" operator="equal">
      <formula>"x"</formula>
    </cfRule>
  </conditionalFormatting>
  <conditionalFormatting sqref="K10:K23 K25:K31 K33 K35:K40 K42:K49 K51:K53 K55:K58 K60:K70 K72:K74 K76:K79 K81:K87 K89:K100 K102 K104:K107 K109:K141 K144:K146 K148:K150 K152:K156 K158 K160:K161 K163 K165:K168 K170:K171 K173 K175:K176 K178:K181 K183:K191 K193:K194">
    <cfRule type="cellIs" dxfId="48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99B3DE-118F-47DA-8794-9C43DD40CF5E}">
  <dimension ref="A1:S207"/>
  <sheetViews>
    <sheetView topLeftCell="A139" zoomScaleNormal="100" workbookViewId="0">
      <selection activeCell="R197" sqref="R197"/>
    </sheetView>
  </sheetViews>
  <sheetFormatPr defaultColWidth="11.54296875" defaultRowHeight="12.75" customHeight="1" x14ac:dyDescent="0.3"/>
  <cols>
    <col min="1" max="1" width="7" style="1" bestFit="1" customWidth="1"/>
    <col min="2" max="2" width="56.36328125" style="2" customWidth="1"/>
    <col min="3" max="3" width="4.08984375" style="3" bestFit="1" customWidth="1"/>
    <col min="4" max="4" width="7" style="4" bestFit="1" customWidth="1"/>
    <col min="5" max="5" width="14.36328125" style="86" bestFit="1" customWidth="1"/>
    <col min="6" max="6" width="15.6328125" style="86" bestFit="1" customWidth="1"/>
    <col min="7" max="7" width="14.6328125" style="87" bestFit="1" customWidth="1"/>
    <col min="8" max="8" width="8.54296875" style="92" bestFit="1" customWidth="1"/>
    <col min="9" max="9" width="14" style="92" bestFit="1" customWidth="1"/>
    <col min="10" max="10" width="12.08984375" style="92" customWidth="1"/>
    <col min="11" max="12" width="11.36328125" style="92" bestFit="1" customWidth="1"/>
    <col min="13" max="13" width="13.453125" style="92" bestFit="1" customWidth="1"/>
    <col min="14" max="14" width="13.6328125" style="92" bestFit="1" customWidth="1"/>
    <col min="15" max="15" width="12.08984375" style="5" customWidth="1"/>
    <col min="16" max="16384" width="11.54296875" style="5"/>
  </cols>
  <sheetData>
    <row r="1" spans="1:14" ht="12.75" customHeight="1" x14ac:dyDescent="0.3">
      <c r="F1" s="162" t="s">
        <v>0</v>
      </c>
      <c r="G1" s="162" t="s">
        <v>1</v>
      </c>
    </row>
    <row r="2" spans="1:14" ht="13" x14ac:dyDescent="0.3">
      <c r="F2" s="163">
        <v>1066.5</v>
      </c>
      <c r="G2" s="163">
        <v>1170</v>
      </c>
    </row>
    <row r="3" spans="1:14" s="10" customFormat="1" ht="13" x14ac:dyDescent="0.25">
      <c r="A3" s="6"/>
      <c r="B3" s="7"/>
      <c r="C3" s="8"/>
      <c r="D3" s="9"/>
      <c r="E3" s="9"/>
      <c r="F3" s="9"/>
      <c r="G3" s="164"/>
      <c r="H3" s="165"/>
      <c r="I3" s="165"/>
      <c r="J3" s="165"/>
      <c r="K3" s="165"/>
      <c r="L3" s="165"/>
      <c r="M3" s="165"/>
      <c r="N3" s="165"/>
    </row>
    <row r="4" spans="1:14" s="10" customFormat="1" ht="13" x14ac:dyDescent="0.25">
      <c r="A4" s="6"/>
      <c r="B4" s="7"/>
      <c r="C4" s="8"/>
      <c r="D4" s="9"/>
      <c r="E4" s="9"/>
      <c r="F4" s="166">
        <v>45667</v>
      </c>
      <c r="G4" s="164"/>
      <c r="H4" s="165"/>
      <c r="I4" s="165"/>
      <c r="J4" s="165"/>
      <c r="K4" s="165"/>
      <c r="L4" s="165"/>
      <c r="M4" s="165"/>
      <c r="N4" s="165"/>
    </row>
    <row r="5" spans="1:14" s="10" customFormat="1" ht="13" x14ac:dyDescent="0.3">
      <c r="A5" s="6"/>
      <c r="B5" s="90" t="s">
        <v>2</v>
      </c>
      <c r="C5" s="8"/>
      <c r="D5" s="9"/>
      <c r="E5" s="167"/>
      <c r="F5" s="167"/>
      <c r="G5" s="164"/>
      <c r="H5" s="165"/>
      <c r="I5" s="168" t="s">
        <v>3</v>
      </c>
      <c r="J5" s="169">
        <v>5</v>
      </c>
      <c r="K5" s="170"/>
      <c r="L5" s="170"/>
      <c r="M5" s="171"/>
      <c r="N5" s="49">
        <v>45869</v>
      </c>
    </row>
    <row r="6" spans="1:14" s="10" customFormat="1" ht="13" x14ac:dyDescent="0.25">
      <c r="A6" s="6"/>
      <c r="B6" s="90" t="s">
        <v>4</v>
      </c>
      <c r="C6" s="8"/>
      <c r="D6" s="9"/>
      <c r="E6" s="172"/>
      <c r="F6" s="172"/>
      <c r="G6" s="164"/>
      <c r="H6" s="165"/>
      <c r="I6" s="165"/>
      <c r="J6" s="165"/>
      <c r="K6" s="165"/>
      <c r="L6" s="165"/>
      <c r="M6" s="165"/>
      <c r="N6" s="165"/>
    </row>
    <row r="7" spans="1:14" s="10" customFormat="1" ht="13" x14ac:dyDescent="0.25">
      <c r="A7" s="6"/>
      <c r="B7" s="91" t="s">
        <v>5</v>
      </c>
      <c r="C7" s="11"/>
      <c r="D7" s="12"/>
      <c r="E7" s="173"/>
      <c r="F7" s="172"/>
      <c r="G7" s="164"/>
      <c r="H7" s="165"/>
      <c r="I7" s="330" t="s">
        <v>6</v>
      </c>
      <c r="J7" s="330"/>
      <c r="K7" s="330"/>
      <c r="L7" s="330" t="s">
        <v>7</v>
      </c>
      <c r="M7" s="330"/>
      <c r="N7" s="330"/>
    </row>
    <row r="8" spans="1:14" ht="13" x14ac:dyDescent="0.3">
      <c r="A8" s="13" t="s">
        <v>8</v>
      </c>
      <c r="B8" s="14" t="s">
        <v>9</v>
      </c>
      <c r="C8" s="15" t="s">
        <v>10</v>
      </c>
      <c r="D8" s="16" t="s">
        <v>11</v>
      </c>
      <c r="E8" s="175" t="s">
        <v>12</v>
      </c>
      <c r="F8" s="175" t="s">
        <v>13</v>
      </c>
      <c r="I8" s="174" t="s">
        <v>14</v>
      </c>
      <c r="J8" s="174" t="s">
        <v>15</v>
      </c>
      <c r="K8" s="174" t="s">
        <v>16</v>
      </c>
      <c r="L8" s="174" t="s">
        <v>14</v>
      </c>
      <c r="M8" s="174" t="s">
        <v>15</v>
      </c>
      <c r="N8" s="174" t="s">
        <v>16</v>
      </c>
    </row>
    <row r="9" spans="1:14" ht="12.75" customHeight="1" x14ac:dyDescent="0.3">
      <c r="A9" s="13">
        <v>4</v>
      </c>
      <c r="B9" s="17" t="s">
        <v>17</v>
      </c>
      <c r="C9" s="18"/>
      <c r="D9" s="19"/>
      <c r="E9" s="19"/>
      <c r="F9" s="19"/>
      <c r="G9" s="176">
        <f>+SUM(F10:F23)</f>
        <v>51045774</v>
      </c>
      <c r="H9" s="245">
        <f>+G9/$G$195</f>
        <v>6.0420265274428106E-2</v>
      </c>
      <c r="I9" s="246"/>
      <c r="J9" s="247"/>
      <c r="K9" s="247"/>
      <c r="L9" s="178"/>
      <c r="M9" s="178"/>
      <c r="N9" s="179"/>
    </row>
    <row r="10" spans="1:14" ht="12.75" customHeight="1" x14ac:dyDescent="0.3">
      <c r="A10" s="20">
        <v>4.01</v>
      </c>
      <c r="B10" s="21" t="s">
        <v>18</v>
      </c>
      <c r="C10" s="93" t="s">
        <v>19</v>
      </c>
      <c r="D10" s="94">
        <v>621</v>
      </c>
      <c r="E10" s="180">
        <v>22140</v>
      </c>
      <c r="F10" s="181">
        <f t="shared" ref="F10:F73" si="0">+E10*D10</f>
        <v>13748940</v>
      </c>
      <c r="G10" s="182"/>
      <c r="H10" s="245"/>
      <c r="I10" s="248">
        <v>0</v>
      </c>
      <c r="J10" s="248"/>
      <c r="K10" s="249">
        <f t="shared" ref="K10:K73" si="1">+I10+J10</f>
        <v>0</v>
      </c>
      <c r="L10" s="50">
        <f t="shared" ref="L10:L73" si="2">+F10*I10</f>
        <v>0</v>
      </c>
      <c r="M10" s="50">
        <f t="shared" ref="M10:M73" si="3">+F10*J10</f>
        <v>0</v>
      </c>
      <c r="N10" s="50">
        <f t="shared" ref="N10:N73" si="4">+F10*K10</f>
        <v>0</v>
      </c>
    </row>
    <row r="11" spans="1:14" ht="12.75" customHeight="1" x14ac:dyDescent="0.3">
      <c r="A11" s="24">
        <v>4.0199999999999996</v>
      </c>
      <c r="B11" s="95" t="s">
        <v>20</v>
      </c>
      <c r="C11" s="30" t="s">
        <v>19</v>
      </c>
      <c r="D11" s="31">
        <v>780</v>
      </c>
      <c r="E11" s="183">
        <v>24437</v>
      </c>
      <c r="F11" s="181">
        <f t="shared" si="0"/>
        <v>19060860</v>
      </c>
      <c r="G11" s="182"/>
      <c r="H11" s="245"/>
      <c r="I11" s="250">
        <v>0</v>
      </c>
      <c r="J11" s="250"/>
      <c r="K11" s="251">
        <f t="shared" si="1"/>
        <v>0</v>
      </c>
      <c r="L11" s="50">
        <f t="shared" si="2"/>
        <v>0</v>
      </c>
      <c r="M11" s="50">
        <f t="shared" si="3"/>
        <v>0</v>
      </c>
      <c r="N11" s="50">
        <f t="shared" si="4"/>
        <v>0</v>
      </c>
    </row>
    <row r="12" spans="1:14" ht="12.75" customHeight="1" x14ac:dyDescent="0.3">
      <c r="A12" s="24">
        <v>4.03</v>
      </c>
      <c r="B12" s="25" t="s">
        <v>21</v>
      </c>
      <c r="C12" s="30" t="s">
        <v>19</v>
      </c>
      <c r="D12" s="31">
        <v>56</v>
      </c>
      <c r="E12" s="183">
        <v>23248</v>
      </c>
      <c r="F12" s="181">
        <f t="shared" si="0"/>
        <v>1301888</v>
      </c>
      <c r="G12" s="182"/>
      <c r="H12" s="245"/>
      <c r="I12" s="250">
        <v>0</v>
      </c>
      <c r="J12" s="250"/>
      <c r="K12" s="251">
        <f t="shared" si="1"/>
        <v>0</v>
      </c>
      <c r="L12" s="50">
        <f t="shared" si="2"/>
        <v>0</v>
      </c>
      <c r="M12" s="50">
        <f t="shared" si="3"/>
        <v>0</v>
      </c>
      <c r="N12" s="50">
        <f t="shared" si="4"/>
        <v>0</v>
      </c>
    </row>
    <row r="13" spans="1:14" ht="12.75" customHeight="1" x14ac:dyDescent="0.3">
      <c r="A13" s="24">
        <v>4.04</v>
      </c>
      <c r="B13" s="25" t="s">
        <v>22</v>
      </c>
      <c r="C13" s="30" t="s">
        <v>19</v>
      </c>
      <c r="D13" s="31">
        <v>42</v>
      </c>
      <c r="E13" s="183">
        <v>28746</v>
      </c>
      <c r="F13" s="181">
        <f t="shared" si="0"/>
        <v>1207332</v>
      </c>
      <c r="G13" s="182"/>
      <c r="H13" s="245"/>
      <c r="I13" s="250">
        <v>0</v>
      </c>
      <c r="J13" s="250"/>
      <c r="K13" s="251">
        <f t="shared" si="1"/>
        <v>0</v>
      </c>
      <c r="L13" s="50">
        <f t="shared" si="2"/>
        <v>0</v>
      </c>
      <c r="M13" s="50">
        <f t="shared" si="3"/>
        <v>0</v>
      </c>
      <c r="N13" s="50">
        <f t="shared" si="4"/>
        <v>0</v>
      </c>
    </row>
    <row r="14" spans="1:14" ht="12.75" customHeight="1" x14ac:dyDescent="0.3">
      <c r="A14" s="24">
        <v>4.05</v>
      </c>
      <c r="B14" s="25" t="s">
        <v>23</v>
      </c>
      <c r="C14" s="30" t="s">
        <v>19</v>
      </c>
      <c r="D14" s="31">
        <v>70</v>
      </c>
      <c r="E14" s="183">
        <v>36933</v>
      </c>
      <c r="F14" s="181">
        <f t="shared" si="0"/>
        <v>2585310</v>
      </c>
      <c r="G14" s="182"/>
      <c r="H14" s="245"/>
      <c r="I14" s="250">
        <v>0</v>
      </c>
      <c r="J14" s="250"/>
      <c r="K14" s="251">
        <f t="shared" si="1"/>
        <v>0</v>
      </c>
      <c r="L14" s="50">
        <f t="shared" si="2"/>
        <v>0</v>
      </c>
      <c r="M14" s="50">
        <f t="shared" si="3"/>
        <v>0</v>
      </c>
      <c r="N14" s="50">
        <f t="shared" si="4"/>
        <v>0</v>
      </c>
    </row>
    <row r="15" spans="1:14" ht="12.75" customHeight="1" x14ac:dyDescent="0.3">
      <c r="A15" s="24">
        <v>4.0599999999999996</v>
      </c>
      <c r="B15" s="25" t="s">
        <v>24</v>
      </c>
      <c r="C15" s="30" t="s">
        <v>19</v>
      </c>
      <c r="D15" s="31">
        <v>5</v>
      </c>
      <c r="E15" s="183">
        <v>28672</v>
      </c>
      <c r="F15" s="181">
        <f t="shared" si="0"/>
        <v>143360</v>
      </c>
      <c r="G15" s="182"/>
      <c r="H15" s="245"/>
      <c r="I15" s="250">
        <v>0</v>
      </c>
      <c r="J15" s="250"/>
      <c r="K15" s="251">
        <f t="shared" si="1"/>
        <v>0</v>
      </c>
      <c r="L15" s="50">
        <f t="shared" si="2"/>
        <v>0</v>
      </c>
      <c r="M15" s="50">
        <f t="shared" si="3"/>
        <v>0</v>
      </c>
      <c r="N15" s="50">
        <f t="shared" si="4"/>
        <v>0</v>
      </c>
    </row>
    <row r="16" spans="1:14" ht="12.75" customHeight="1" x14ac:dyDescent="0.3">
      <c r="A16" s="24">
        <v>4.07</v>
      </c>
      <c r="B16" s="25" t="s">
        <v>25</v>
      </c>
      <c r="C16" s="30" t="s">
        <v>19</v>
      </c>
      <c r="D16" s="37">
        <v>193</v>
      </c>
      <c r="E16" s="183">
        <v>18611</v>
      </c>
      <c r="F16" s="181">
        <f t="shared" si="0"/>
        <v>3591923</v>
      </c>
      <c r="G16" s="182"/>
      <c r="H16" s="245"/>
      <c r="I16" s="250">
        <v>0</v>
      </c>
      <c r="J16" s="250"/>
      <c r="K16" s="251">
        <f t="shared" si="1"/>
        <v>0</v>
      </c>
      <c r="L16" s="50">
        <f t="shared" si="2"/>
        <v>0</v>
      </c>
      <c r="M16" s="50">
        <f t="shared" si="3"/>
        <v>0</v>
      </c>
      <c r="N16" s="50">
        <f t="shared" si="4"/>
        <v>0</v>
      </c>
    </row>
    <row r="17" spans="1:14" ht="12.75" customHeight="1" x14ac:dyDescent="0.3">
      <c r="A17" s="24">
        <v>4.08</v>
      </c>
      <c r="B17" s="25" t="s">
        <v>26</v>
      </c>
      <c r="C17" s="30" t="s">
        <v>27</v>
      </c>
      <c r="D17" s="37">
        <v>61</v>
      </c>
      <c r="E17" s="183">
        <v>28578</v>
      </c>
      <c r="F17" s="181">
        <f t="shared" si="0"/>
        <v>1743258</v>
      </c>
      <c r="G17" s="182"/>
      <c r="H17" s="245"/>
      <c r="I17" s="250">
        <v>0</v>
      </c>
      <c r="J17" s="250"/>
      <c r="K17" s="251">
        <f t="shared" si="1"/>
        <v>0</v>
      </c>
      <c r="L17" s="50">
        <f t="shared" si="2"/>
        <v>0</v>
      </c>
      <c r="M17" s="50">
        <f t="shared" si="3"/>
        <v>0</v>
      </c>
      <c r="N17" s="50">
        <f t="shared" si="4"/>
        <v>0</v>
      </c>
    </row>
    <row r="18" spans="1:14" ht="12.75" customHeight="1" x14ac:dyDescent="0.3">
      <c r="A18" s="24">
        <v>4.09</v>
      </c>
      <c r="B18" s="25" t="s">
        <v>28</v>
      </c>
      <c r="C18" s="30" t="s">
        <v>29</v>
      </c>
      <c r="D18" s="37">
        <v>1</v>
      </c>
      <c r="E18" s="183">
        <v>280823</v>
      </c>
      <c r="F18" s="181">
        <f t="shared" si="0"/>
        <v>280823</v>
      </c>
      <c r="G18" s="182"/>
      <c r="H18" s="245"/>
      <c r="I18" s="250">
        <v>0</v>
      </c>
      <c r="J18" s="250"/>
      <c r="K18" s="251">
        <f t="shared" si="1"/>
        <v>0</v>
      </c>
      <c r="L18" s="50">
        <f t="shared" si="2"/>
        <v>0</v>
      </c>
      <c r="M18" s="50">
        <f t="shared" si="3"/>
        <v>0</v>
      </c>
      <c r="N18" s="50">
        <f t="shared" si="4"/>
        <v>0</v>
      </c>
    </row>
    <row r="19" spans="1:14" ht="12.75" customHeight="1" x14ac:dyDescent="0.3">
      <c r="A19" s="24">
        <v>4.0999999999999996</v>
      </c>
      <c r="B19" s="25" t="s">
        <v>30</v>
      </c>
      <c r="C19" s="30" t="s">
        <v>29</v>
      </c>
      <c r="D19" s="37">
        <v>1</v>
      </c>
      <c r="E19" s="183">
        <v>801214</v>
      </c>
      <c r="F19" s="181">
        <f t="shared" si="0"/>
        <v>801214</v>
      </c>
      <c r="G19" s="182"/>
      <c r="H19" s="245"/>
      <c r="I19" s="250">
        <v>0</v>
      </c>
      <c r="J19" s="250"/>
      <c r="K19" s="251">
        <f t="shared" si="1"/>
        <v>0</v>
      </c>
      <c r="L19" s="50">
        <f t="shared" si="2"/>
        <v>0</v>
      </c>
      <c r="M19" s="50">
        <f t="shared" si="3"/>
        <v>0</v>
      </c>
      <c r="N19" s="50">
        <f t="shared" si="4"/>
        <v>0</v>
      </c>
    </row>
    <row r="20" spans="1:14" ht="12.75" customHeight="1" x14ac:dyDescent="0.3">
      <c r="A20" s="24">
        <v>4.1100000000000003</v>
      </c>
      <c r="B20" s="25" t="s">
        <v>31</v>
      </c>
      <c r="C20" s="30" t="s">
        <v>29</v>
      </c>
      <c r="D20" s="37">
        <v>1</v>
      </c>
      <c r="E20" s="183">
        <v>525234</v>
      </c>
      <c r="F20" s="181">
        <f t="shared" si="0"/>
        <v>525234</v>
      </c>
      <c r="G20" s="182"/>
      <c r="H20" s="245"/>
      <c r="I20" s="250">
        <v>0</v>
      </c>
      <c r="J20" s="250"/>
      <c r="K20" s="251">
        <f t="shared" si="1"/>
        <v>0</v>
      </c>
      <c r="L20" s="50">
        <f t="shared" si="2"/>
        <v>0</v>
      </c>
      <c r="M20" s="50">
        <f t="shared" si="3"/>
        <v>0</v>
      </c>
      <c r="N20" s="50">
        <f t="shared" si="4"/>
        <v>0</v>
      </c>
    </row>
    <row r="21" spans="1:14" ht="12.75" customHeight="1" x14ac:dyDescent="0.3">
      <c r="A21" s="24">
        <v>4.12</v>
      </c>
      <c r="B21" s="25" t="s">
        <v>32</v>
      </c>
      <c r="C21" s="30" t="s">
        <v>33</v>
      </c>
      <c r="D21" s="37">
        <v>3</v>
      </c>
      <c r="E21" s="183">
        <v>237784</v>
      </c>
      <c r="F21" s="181">
        <f t="shared" si="0"/>
        <v>713352</v>
      </c>
      <c r="G21" s="182"/>
      <c r="H21" s="245"/>
      <c r="I21" s="250">
        <v>0</v>
      </c>
      <c r="J21" s="250"/>
      <c r="K21" s="251">
        <f t="shared" si="1"/>
        <v>0</v>
      </c>
      <c r="L21" s="50">
        <f t="shared" si="2"/>
        <v>0</v>
      </c>
      <c r="M21" s="50">
        <f t="shared" si="3"/>
        <v>0</v>
      </c>
      <c r="N21" s="50">
        <f t="shared" si="4"/>
        <v>0</v>
      </c>
    </row>
    <row r="22" spans="1:14" ht="12.75" customHeight="1" x14ac:dyDescent="0.3">
      <c r="A22" s="24">
        <v>4.13</v>
      </c>
      <c r="B22" s="25" t="s">
        <v>34</v>
      </c>
      <c r="C22" s="30" t="s">
        <v>27</v>
      </c>
      <c r="D22" s="37">
        <v>40</v>
      </c>
      <c r="E22" s="183">
        <v>98026</v>
      </c>
      <c r="F22" s="181">
        <f t="shared" si="0"/>
        <v>3921040</v>
      </c>
      <c r="G22" s="182"/>
      <c r="H22" s="245"/>
      <c r="I22" s="250">
        <v>0</v>
      </c>
      <c r="J22" s="250"/>
      <c r="K22" s="251">
        <f t="shared" si="1"/>
        <v>0</v>
      </c>
      <c r="L22" s="50">
        <f t="shared" si="2"/>
        <v>0</v>
      </c>
      <c r="M22" s="50">
        <f t="shared" si="3"/>
        <v>0</v>
      </c>
      <c r="N22" s="50">
        <f t="shared" si="4"/>
        <v>0</v>
      </c>
    </row>
    <row r="23" spans="1:14" ht="12.75" customHeight="1" x14ac:dyDescent="0.3">
      <c r="A23" s="24">
        <v>4.1399999999999997</v>
      </c>
      <c r="B23" s="38" t="s">
        <v>35</v>
      </c>
      <c r="C23" s="34" t="s">
        <v>33</v>
      </c>
      <c r="D23" s="96">
        <v>8</v>
      </c>
      <c r="E23" s="183">
        <v>177655</v>
      </c>
      <c r="F23" s="181">
        <f t="shared" si="0"/>
        <v>1421240</v>
      </c>
      <c r="G23" s="182"/>
      <c r="H23" s="245"/>
      <c r="I23" s="250">
        <v>0</v>
      </c>
      <c r="J23" s="250"/>
      <c r="K23" s="251">
        <f t="shared" si="1"/>
        <v>0</v>
      </c>
      <c r="L23" s="50">
        <f t="shared" si="2"/>
        <v>0</v>
      </c>
      <c r="M23" s="50">
        <f t="shared" si="3"/>
        <v>0</v>
      </c>
      <c r="N23" s="50">
        <f t="shared" si="4"/>
        <v>0</v>
      </c>
    </row>
    <row r="24" spans="1:14" ht="12.75" customHeight="1" x14ac:dyDescent="0.3">
      <c r="A24" s="13">
        <v>5</v>
      </c>
      <c r="B24" s="40" t="s">
        <v>36</v>
      </c>
      <c r="C24" s="18"/>
      <c r="D24" s="19"/>
      <c r="E24" s="19"/>
      <c r="F24" s="19"/>
      <c r="G24" s="176">
        <f>+SUM(F25:F31)</f>
        <v>19239698</v>
      </c>
      <c r="H24" s="245">
        <f>+G24/$G$195</f>
        <v>2.2773043993022494E-2</v>
      </c>
      <c r="I24" s="246"/>
      <c r="J24" s="247"/>
      <c r="K24" s="247"/>
      <c r="L24" s="178"/>
      <c r="M24" s="178"/>
      <c r="N24" s="179"/>
    </row>
    <row r="25" spans="1:14" ht="12.75" customHeight="1" x14ac:dyDescent="0.3">
      <c r="A25" s="20">
        <v>5.01</v>
      </c>
      <c r="B25" s="21" t="s">
        <v>37</v>
      </c>
      <c r="C25" s="93" t="s">
        <v>27</v>
      </c>
      <c r="D25" s="97">
        <v>136</v>
      </c>
      <c r="E25" s="183">
        <v>6496</v>
      </c>
      <c r="F25" s="181">
        <f t="shared" si="0"/>
        <v>883456</v>
      </c>
      <c r="G25" s="182"/>
      <c r="H25" s="245"/>
      <c r="I25" s="250">
        <v>0</v>
      </c>
      <c r="J25" s="250"/>
      <c r="K25" s="251">
        <f t="shared" si="1"/>
        <v>0</v>
      </c>
      <c r="L25" s="50">
        <f t="shared" si="2"/>
        <v>0</v>
      </c>
      <c r="M25" s="50">
        <f t="shared" si="3"/>
        <v>0</v>
      </c>
      <c r="N25" s="50">
        <f t="shared" si="4"/>
        <v>0</v>
      </c>
    </row>
    <row r="26" spans="1:14" ht="12.75" customHeight="1" x14ac:dyDescent="0.3">
      <c r="A26" s="24">
        <v>5.0199999999999996</v>
      </c>
      <c r="B26" s="98" t="s">
        <v>38</v>
      </c>
      <c r="C26" s="30" t="s">
        <v>19</v>
      </c>
      <c r="D26" s="31">
        <v>77</v>
      </c>
      <c r="E26" s="184">
        <v>33270</v>
      </c>
      <c r="F26" s="183">
        <f t="shared" si="0"/>
        <v>2561790</v>
      </c>
      <c r="G26" s="182"/>
      <c r="H26" s="245"/>
      <c r="I26" s="250">
        <v>0</v>
      </c>
      <c r="J26" s="250"/>
      <c r="K26" s="251">
        <f t="shared" si="1"/>
        <v>0</v>
      </c>
      <c r="L26" s="50">
        <f t="shared" si="2"/>
        <v>0</v>
      </c>
      <c r="M26" s="50">
        <f t="shared" si="3"/>
        <v>0</v>
      </c>
      <c r="N26" s="50">
        <f t="shared" si="4"/>
        <v>0</v>
      </c>
    </row>
    <row r="27" spans="1:14" ht="12.75" customHeight="1" x14ac:dyDescent="0.3">
      <c r="A27" s="24">
        <v>5.03</v>
      </c>
      <c r="B27" s="25" t="s">
        <v>39</v>
      </c>
      <c r="C27" s="30" t="s">
        <v>19</v>
      </c>
      <c r="D27" s="31">
        <v>107</v>
      </c>
      <c r="E27" s="184">
        <v>6496</v>
      </c>
      <c r="F27" s="181">
        <f t="shared" si="0"/>
        <v>695072</v>
      </c>
      <c r="G27" s="182"/>
      <c r="H27" s="245"/>
      <c r="I27" s="250">
        <v>0</v>
      </c>
      <c r="J27" s="250"/>
      <c r="K27" s="251">
        <f t="shared" si="1"/>
        <v>0</v>
      </c>
      <c r="L27" s="50">
        <f t="shared" si="2"/>
        <v>0</v>
      </c>
      <c r="M27" s="50">
        <f t="shared" si="3"/>
        <v>0</v>
      </c>
      <c r="N27" s="50">
        <f t="shared" si="4"/>
        <v>0</v>
      </c>
    </row>
    <row r="28" spans="1:14" ht="12.75" customHeight="1" x14ac:dyDescent="0.3">
      <c r="A28" s="24">
        <v>5.04</v>
      </c>
      <c r="B28" s="25" t="s">
        <v>40</v>
      </c>
      <c r="C28" s="30" t="s">
        <v>19</v>
      </c>
      <c r="D28" s="31">
        <v>186</v>
      </c>
      <c r="E28" s="184">
        <v>4832</v>
      </c>
      <c r="F28" s="181">
        <f t="shared" si="0"/>
        <v>898752</v>
      </c>
      <c r="G28" s="182"/>
      <c r="H28" s="245"/>
      <c r="I28" s="250">
        <v>0</v>
      </c>
      <c r="J28" s="250"/>
      <c r="K28" s="251">
        <f t="shared" si="1"/>
        <v>0</v>
      </c>
      <c r="L28" s="50">
        <f t="shared" si="2"/>
        <v>0</v>
      </c>
      <c r="M28" s="50">
        <f t="shared" si="3"/>
        <v>0</v>
      </c>
      <c r="N28" s="50">
        <f t="shared" si="4"/>
        <v>0</v>
      </c>
    </row>
    <row r="29" spans="1:14" ht="12.75" customHeight="1" x14ac:dyDescent="0.3">
      <c r="A29" s="24">
        <v>5.05</v>
      </c>
      <c r="B29" s="25" t="s">
        <v>41</v>
      </c>
      <c r="C29" s="30" t="s">
        <v>19</v>
      </c>
      <c r="D29" s="31">
        <v>186</v>
      </c>
      <c r="E29" s="184">
        <v>4134</v>
      </c>
      <c r="F29" s="181">
        <f t="shared" si="0"/>
        <v>768924</v>
      </c>
      <c r="G29" s="182"/>
      <c r="H29" s="245"/>
      <c r="I29" s="250">
        <v>0</v>
      </c>
      <c r="J29" s="250"/>
      <c r="K29" s="251">
        <f t="shared" si="1"/>
        <v>0</v>
      </c>
      <c r="L29" s="50">
        <f t="shared" si="2"/>
        <v>0</v>
      </c>
      <c r="M29" s="50">
        <f t="shared" si="3"/>
        <v>0</v>
      </c>
      <c r="N29" s="50">
        <f t="shared" si="4"/>
        <v>0</v>
      </c>
    </row>
    <row r="30" spans="1:14" ht="12.75" customHeight="1" x14ac:dyDescent="0.3">
      <c r="A30" s="24">
        <v>5.0599999999999996</v>
      </c>
      <c r="B30" s="25" t="s">
        <v>42</v>
      </c>
      <c r="C30" s="99" t="s">
        <v>19</v>
      </c>
      <c r="D30" s="31">
        <v>390</v>
      </c>
      <c r="E30" s="184">
        <v>28187</v>
      </c>
      <c r="F30" s="181">
        <f t="shared" si="0"/>
        <v>10992930</v>
      </c>
      <c r="G30" s="185"/>
      <c r="H30" s="245"/>
      <c r="I30" s="250">
        <v>0</v>
      </c>
      <c r="J30" s="250"/>
      <c r="K30" s="251">
        <f t="shared" si="1"/>
        <v>0</v>
      </c>
      <c r="L30" s="50">
        <f t="shared" si="2"/>
        <v>0</v>
      </c>
      <c r="M30" s="50">
        <f t="shared" si="3"/>
        <v>0</v>
      </c>
      <c r="N30" s="50">
        <f t="shared" si="4"/>
        <v>0</v>
      </c>
    </row>
    <row r="31" spans="1:14" ht="12.75" customHeight="1" x14ac:dyDescent="0.3">
      <c r="A31" s="24">
        <v>5.07</v>
      </c>
      <c r="B31" s="25" t="s">
        <v>43</v>
      </c>
      <c r="C31" s="99" t="s">
        <v>29</v>
      </c>
      <c r="D31" s="31">
        <v>1</v>
      </c>
      <c r="E31" s="184">
        <v>2438774</v>
      </c>
      <c r="F31" s="181">
        <f t="shared" si="0"/>
        <v>2438774</v>
      </c>
      <c r="G31" s="186"/>
      <c r="H31" s="245"/>
      <c r="I31" s="250">
        <v>0</v>
      </c>
      <c r="J31" s="250"/>
      <c r="K31" s="251">
        <f t="shared" si="1"/>
        <v>0</v>
      </c>
      <c r="L31" s="50">
        <f t="shared" si="2"/>
        <v>0</v>
      </c>
      <c r="M31" s="50">
        <f t="shared" si="3"/>
        <v>0</v>
      </c>
      <c r="N31" s="50">
        <f t="shared" si="4"/>
        <v>0</v>
      </c>
    </row>
    <row r="32" spans="1:14" ht="12.75" customHeight="1" x14ac:dyDescent="0.3">
      <c r="A32" s="13">
        <v>6</v>
      </c>
      <c r="B32" s="17" t="s">
        <v>44</v>
      </c>
      <c r="C32" s="18"/>
      <c r="D32" s="19"/>
      <c r="E32" s="19"/>
      <c r="F32" s="19"/>
      <c r="G32" s="176">
        <f>+SUM(F33)</f>
        <v>1722875</v>
      </c>
      <c r="H32" s="245">
        <f>+G32/$G$195</f>
        <v>2.0392787958251023E-3</v>
      </c>
      <c r="I32" s="246"/>
      <c r="J32" s="247"/>
      <c r="K32" s="247"/>
      <c r="L32" s="178"/>
      <c r="M32" s="178"/>
      <c r="N32" s="179"/>
    </row>
    <row r="33" spans="1:14" ht="12.75" customHeight="1" x14ac:dyDescent="0.3">
      <c r="A33" s="100">
        <v>6.02</v>
      </c>
      <c r="B33" s="38" t="s">
        <v>45</v>
      </c>
      <c r="C33" s="101" t="s">
        <v>27</v>
      </c>
      <c r="D33" s="102">
        <v>55</v>
      </c>
      <c r="E33" s="181">
        <v>31325</v>
      </c>
      <c r="F33" s="181">
        <f t="shared" si="0"/>
        <v>1722875</v>
      </c>
      <c r="G33" s="185"/>
      <c r="H33" s="245"/>
      <c r="I33" s="250">
        <v>0</v>
      </c>
      <c r="J33" s="250"/>
      <c r="K33" s="251">
        <f t="shared" si="1"/>
        <v>0</v>
      </c>
      <c r="L33" s="50">
        <f t="shared" si="2"/>
        <v>0</v>
      </c>
      <c r="M33" s="50">
        <f t="shared" si="3"/>
        <v>0</v>
      </c>
      <c r="N33" s="50">
        <f t="shared" si="4"/>
        <v>0</v>
      </c>
    </row>
    <row r="34" spans="1:14" ht="12.75" customHeight="1" x14ac:dyDescent="0.3">
      <c r="A34" s="13">
        <v>7</v>
      </c>
      <c r="B34" s="40" t="s">
        <v>46</v>
      </c>
      <c r="C34" s="18"/>
      <c r="D34" s="19"/>
      <c r="E34" s="19"/>
      <c r="F34" s="19"/>
      <c r="G34" s="176">
        <f>+SUM(F35:F40)</f>
        <v>92324467</v>
      </c>
      <c r="H34" s="245">
        <f>+G34/$G$195</f>
        <v>0.10927973758337338</v>
      </c>
      <c r="I34" s="246"/>
      <c r="J34" s="247"/>
      <c r="K34" s="247"/>
      <c r="L34" s="178"/>
      <c r="M34" s="178"/>
      <c r="N34" s="179"/>
    </row>
    <row r="35" spans="1:14" ht="12.75" customHeight="1" x14ac:dyDescent="0.3">
      <c r="A35" s="20">
        <v>7.01</v>
      </c>
      <c r="B35" s="103" t="s">
        <v>47</v>
      </c>
      <c r="C35" s="93" t="s">
        <v>19</v>
      </c>
      <c r="D35" s="94">
        <v>879</v>
      </c>
      <c r="E35" s="180">
        <v>19943</v>
      </c>
      <c r="F35" s="180">
        <f t="shared" si="0"/>
        <v>17529897</v>
      </c>
      <c r="G35" s="187"/>
      <c r="H35" s="245"/>
      <c r="I35" s="250">
        <v>0</v>
      </c>
      <c r="J35" s="250"/>
      <c r="K35" s="251">
        <f t="shared" si="1"/>
        <v>0</v>
      </c>
      <c r="L35" s="50">
        <f t="shared" si="2"/>
        <v>0</v>
      </c>
      <c r="M35" s="50">
        <f t="shared" si="3"/>
        <v>0</v>
      </c>
      <c r="N35" s="50">
        <f t="shared" si="4"/>
        <v>0</v>
      </c>
    </row>
    <row r="36" spans="1:14" ht="12.75" customHeight="1" x14ac:dyDescent="0.3">
      <c r="A36" s="24">
        <v>7.02</v>
      </c>
      <c r="B36" s="104" t="s">
        <v>48</v>
      </c>
      <c r="C36" s="30" t="s">
        <v>19</v>
      </c>
      <c r="D36" s="31">
        <v>716</v>
      </c>
      <c r="E36" s="181">
        <v>26767</v>
      </c>
      <c r="F36" s="181">
        <f t="shared" si="0"/>
        <v>19165172</v>
      </c>
      <c r="G36" s="185"/>
      <c r="H36" s="245"/>
      <c r="I36" s="250">
        <v>0</v>
      </c>
      <c r="J36" s="250"/>
      <c r="K36" s="251">
        <f t="shared" si="1"/>
        <v>0</v>
      </c>
      <c r="L36" s="50">
        <f t="shared" si="2"/>
        <v>0</v>
      </c>
      <c r="M36" s="50">
        <f t="shared" si="3"/>
        <v>0</v>
      </c>
      <c r="N36" s="50">
        <f t="shared" si="4"/>
        <v>0</v>
      </c>
    </row>
    <row r="37" spans="1:14" ht="12.75" customHeight="1" x14ac:dyDescent="0.3">
      <c r="A37" s="24">
        <v>7.03</v>
      </c>
      <c r="B37" s="25" t="s">
        <v>49</v>
      </c>
      <c r="C37" s="30" t="s">
        <v>19</v>
      </c>
      <c r="D37" s="31">
        <v>1439</v>
      </c>
      <c r="E37" s="181">
        <v>22963</v>
      </c>
      <c r="F37" s="181">
        <f t="shared" si="0"/>
        <v>33043757</v>
      </c>
      <c r="G37" s="185"/>
      <c r="H37" s="245"/>
      <c r="I37" s="250">
        <v>0</v>
      </c>
      <c r="J37" s="250"/>
      <c r="K37" s="251">
        <f t="shared" si="1"/>
        <v>0</v>
      </c>
      <c r="L37" s="50">
        <f t="shared" si="2"/>
        <v>0</v>
      </c>
      <c r="M37" s="50">
        <f t="shared" si="3"/>
        <v>0</v>
      </c>
      <c r="N37" s="50">
        <f t="shared" si="4"/>
        <v>0</v>
      </c>
    </row>
    <row r="38" spans="1:14" ht="12.75" customHeight="1" x14ac:dyDescent="0.3">
      <c r="A38" s="100">
        <v>7.04</v>
      </c>
      <c r="B38" s="105" t="s">
        <v>50</v>
      </c>
      <c r="C38" s="30" t="s">
        <v>27</v>
      </c>
      <c r="D38" s="31">
        <v>347</v>
      </c>
      <c r="E38" s="181">
        <v>16909</v>
      </c>
      <c r="F38" s="181">
        <f t="shared" si="0"/>
        <v>5867423</v>
      </c>
      <c r="G38" s="185"/>
      <c r="H38" s="245"/>
      <c r="I38" s="250">
        <v>0</v>
      </c>
      <c r="J38" s="250"/>
      <c r="K38" s="251">
        <f t="shared" si="1"/>
        <v>0</v>
      </c>
      <c r="L38" s="50">
        <f t="shared" si="2"/>
        <v>0</v>
      </c>
      <c r="M38" s="50">
        <f t="shared" si="3"/>
        <v>0</v>
      </c>
      <c r="N38" s="50">
        <f t="shared" si="4"/>
        <v>0</v>
      </c>
    </row>
    <row r="39" spans="1:14" ht="12.75" customHeight="1" x14ac:dyDescent="0.3">
      <c r="A39" s="24">
        <v>7.05</v>
      </c>
      <c r="B39" s="105" t="s">
        <v>51</v>
      </c>
      <c r="C39" s="30" t="s">
        <v>52</v>
      </c>
      <c r="D39" s="31">
        <v>132</v>
      </c>
      <c r="E39" s="181">
        <v>19384</v>
      </c>
      <c r="F39" s="181">
        <f t="shared" si="0"/>
        <v>2558688</v>
      </c>
      <c r="G39" s="185"/>
      <c r="H39" s="245"/>
      <c r="I39" s="250">
        <v>0</v>
      </c>
      <c r="J39" s="250"/>
      <c r="K39" s="251">
        <f t="shared" si="1"/>
        <v>0</v>
      </c>
      <c r="L39" s="50">
        <f t="shared" si="2"/>
        <v>0</v>
      </c>
      <c r="M39" s="50">
        <f t="shared" si="3"/>
        <v>0</v>
      </c>
      <c r="N39" s="50">
        <f t="shared" si="4"/>
        <v>0</v>
      </c>
    </row>
    <row r="40" spans="1:14" ht="12.75" customHeight="1" x14ac:dyDescent="0.3">
      <c r="A40" s="100">
        <v>7.06</v>
      </c>
      <c r="B40" s="25" t="s">
        <v>53</v>
      </c>
      <c r="C40" s="30" t="s">
        <v>19</v>
      </c>
      <c r="D40" s="31">
        <v>710</v>
      </c>
      <c r="E40" s="181">
        <v>19943</v>
      </c>
      <c r="F40" s="181">
        <f t="shared" si="0"/>
        <v>14159530</v>
      </c>
      <c r="G40" s="185"/>
      <c r="H40" s="245"/>
      <c r="I40" s="250">
        <v>0</v>
      </c>
      <c r="J40" s="250"/>
      <c r="K40" s="251">
        <f t="shared" si="1"/>
        <v>0</v>
      </c>
      <c r="L40" s="50">
        <f t="shared" si="2"/>
        <v>0</v>
      </c>
      <c r="M40" s="50">
        <f t="shared" si="3"/>
        <v>0</v>
      </c>
      <c r="N40" s="50">
        <f t="shared" si="4"/>
        <v>0</v>
      </c>
    </row>
    <row r="41" spans="1:14" ht="12.75" customHeight="1" x14ac:dyDescent="0.3">
      <c r="A41" s="13">
        <v>8</v>
      </c>
      <c r="B41" s="17" t="s">
        <v>54</v>
      </c>
      <c r="C41" s="18"/>
      <c r="D41" s="19"/>
      <c r="E41" s="19"/>
      <c r="F41" s="19"/>
      <c r="G41" s="176">
        <f>+SUM(F42:F49)</f>
        <v>49520833</v>
      </c>
      <c r="H41" s="245">
        <f>+G41/$G$195</f>
        <v>5.8615270805192479E-2</v>
      </c>
      <c r="I41" s="246"/>
      <c r="J41" s="247"/>
      <c r="K41" s="247"/>
      <c r="L41" s="178"/>
      <c r="M41" s="178"/>
      <c r="N41" s="179"/>
    </row>
    <row r="42" spans="1:14" ht="12.75" customHeight="1" x14ac:dyDescent="0.3">
      <c r="A42" s="20">
        <v>8.01</v>
      </c>
      <c r="B42" s="21" t="s">
        <v>55</v>
      </c>
      <c r="C42" s="93" t="s">
        <v>19</v>
      </c>
      <c r="D42" s="94">
        <v>107</v>
      </c>
      <c r="E42" s="183">
        <v>58580</v>
      </c>
      <c r="F42" s="183">
        <f t="shared" si="0"/>
        <v>6268060</v>
      </c>
      <c r="G42" s="182"/>
      <c r="H42" s="245"/>
      <c r="I42" s="250">
        <v>0</v>
      </c>
      <c r="J42" s="250"/>
      <c r="K42" s="251">
        <f t="shared" si="1"/>
        <v>0</v>
      </c>
      <c r="L42" s="50">
        <f t="shared" si="2"/>
        <v>0</v>
      </c>
      <c r="M42" s="50">
        <f t="shared" si="3"/>
        <v>0</v>
      </c>
      <c r="N42" s="50">
        <f t="shared" si="4"/>
        <v>0</v>
      </c>
    </row>
    <row r="43" spans="1:14" ht="12.75" customHeight="1" x14ac:dyDescent="0.3">
      <c r="A43" s="106">
        <v>8.02</v>
      </c>
      <c r="B43" s="107" t="s">
        <v>56</v>
      </c>
      <c r="C43" s="108" t="s">
        <v>19</v>
      </c>
      <c r="D43" s="32">
        <v>258</v>
      </c>
      <c r="E43" s="183">
        <v>38729</v>
      </c>
      <c r="F43" s="183">
        <f t="shared" si="0"/>
        <v>9992082</v>
      </c>
      <c r="G43" s="182"/>
      <c r="H43" s="245"/>
      <c r="I43" s="250">
        <v>0</v>
      </c>
      <c r="J43" s="250"/>
      <c r="K43" s="251">
        <f t="shared" si="1"/>
        <v>0</v>
      </c>
      <c r="L43" s="50">
        <f t="shared" si="2"/>
        <v>0</v>
      </c>
      <c r="M43" s="50">
        <f t="shared" si="3"/>
        <v>0</v>
      </c>
      <c r="N43" s="50">
        <f t="shared" si="4"/>
        <v>0</v>
      </c>
    </row>
    <row r="44" spans="1:14" ht="12.75" customHeight="1" x14ac:dyDescent="0.3">
      <c r="A44" s="24">
        <v>8.0299999999999994</v>
      </c>
      <c r="B44" s="25" t="s">
        <v>57</v>
      </c>
      <c r="C44" s="30" t="s">
        <v>19</v>
      </c>
      <c r="D44" s="31">
        <v>425</v>
      </c>
      <c r="E44" s="183">
        <v>22943</v>
      </c>
      <c r="F44" s="183">
        <f t="shared" si="0"/>
        <v>9750775</v>
      </c>
      <c r="G44" s="182"/>
      <c r="H44" s="245"/>
      <c r="I44" s="250">
        <v>0</v>
      </c>
      <c r="J44" s="250"/>
      <c r="K44" s="251">
        <f t="shared" si="1"/>
        <v>0</v>
      </c>
      <c r="L44" s="50">
        <f t="shared" si="2"/>
        <v>0</v>
      </c>
      <c r="M44" s="50">
        <f t="shared" si="3"/>
        <v>0</v>
      </c>
      <c r="N44" s="50">
        <f t="shared" si="4"/>
        <v>0</v>
      </c>
    </row>
    <row r="45" spans="1:14" ht="12.75" customHeight="1" x14ac:dyDescent="0.3">
      <c r="A45" s="106">
        <v>8.0399999999999991</v>
      </c>
      <c r="B45" s="25" t="s">
        <v>58</v>
      </c>
      <c r="C45" s="30" t="s">
        <v>19</v>
      </c>
      <c r="D45" s="31">
        <v>200</v>
      </c>
      <c r="E45" s="183">
        <v>40355</v>
      </c>
      <c r="F45" s="183">
        <f t="shared" si="0"/>
        <v>8071000</v>
      </c>
      <c r="G45" s="182"/>
      <c r="H45" s="245"/>
      <c r="I45" s="250">
        <v>0</v>
      </c>
      <c r="J45" s="250"/>
      <c r="K45" s="251">
        <f t="shared" si="1"/>
        <v>0</v>
      </c>
      <c r="L45" s="50">
        <f t="shared" si="2"/>
        <v>0</v>
      </c>
      <c r="M45" s="50">
        <f t="shared" si="3"/>
        <v>0</v>
      </c>
      <c r="N45" s="50">
        <f t="shared" si="4"/>
        <v>0</v>
      </c>
    </row>
    <row r="46" spans="1:14" ht="12.75" customHeight="1" x14ac:dyDescent="0.3">
      <c r="A46" s="24">
        <v>8.0500000000000007</v>
      </c>
      <c r="B46" s="25" t="s">
        <v>59</v>
      </c>
      <c r="C46" s="30" t="s">
        <v>19</v>
      </c>
      <c r="D46" s="31">
        <v>77</v>
      </c>
      <c r="E46" s="183">
        <v>31515</v>
      </c>
      <c r="F46" s="183">
        <f t="shared" si="0"/>
        <v>2426655</v>
      </c>
      <c r="G46" s="182"/>
      <c r="H46" s="245"/>
      <c r="I46" s="250">
        <v>0</v>
      </c>
      <c r="J46" s="250"/>
      <c r="K46" s="251">
        <f t="shared" si="1"/>
        <v>0</v>
      </c>
      <c r="L46" s="50">
        <f t="shared" si="2"/>
        <v>0</v>
      </c>
      <c r="M46" s="50">
        <f t="shared" si="3"/>
        <v>0</v>
      </c>
      <c r="N46" s="50">
        <f t="shared" si="4"/>
        <v>0</v>
      </c>
    </row>
    <row r="47" spans="1:14" ht="12.75" customHeight="1" x14ac:dyDescent="0.3">
      <c r="A47" s="106">
        <v>8.06</v>
      </c>
      <c r="B47" s="25" t="s">
        <v>60</v>
      </c>
      <c r="C47" s="30" t="s">
        <v>19</v>
      </c>
      <c r="D47" s="31">
        <v>77</v>
      </c>
      <c r="E47" s="183">
        <v>19683</v>
      </c>
      <c r="F47" s="183">
        <f t="shared" si="0"/>
        <v>1515591</v>
      </c>
      <c r="G47" s="182"/>
      <c r="H47" s="245"/>
      <c r="I47" s="250">
        <v>0</v>
      </c>
      <c r="J47" s="250"/>
      <c r="K47" s="251">
        <f t="shared" si="1"/>
        <v>0</v>
      </c>
      <c r="L47" s="50">
        <f t="shared" si="2"/>
        <v>0</v>
      </c>
      <c r="M47" s="50">
        <f t="shared" si="3"/>
        <v>0</v>
      </c>
      <c r="N47" s="50">
        <f t="shared" si="4"/>
        <v>0</v>
      </c>
    </row>
    <row r="48" spans="1:14" ht="12.75" customHeight="1" x14ac:dyDescent="0.3">
      <c r="A48" s="24">
        <v>8.07</v>
      </c>
      <c r="B48" s="25" t="s">
        <v>61</v>
      </c>
      <c r="C48" s="30" t="s">
        <v>19</v>
      </c>
      <c r="D48" s="31">
        <v>442</v>
      </c>
      <c r="E48" s="183">
        <v>14335</v>
      </c>
      <c r="F48" s="183">
        <f t="shared" si="0"/>
        <v>6336070</v>
      </c>
      <c r="G48" s="182"/>
      <c r="H48" s="245"/>
      <c r="I48" s="250">
        <v>0</v>
      </c>
      <c r="J48" s="250"/>
      <c r="K48" s="251">
        <f t="shared" si="1"/>
        <v>0</v>
      </c>
      <c r="L48" s="50">
        <f t="shared" si="2"/>
        <v>0</v>
      </c>
      <c r="M48" s="50">
        <f t="shared" si="3"/>
        <v>0</v>
      </c>
      <c r="N48" s="50">
        <f t="shared" si="4"/>
        <v>0</v>
      </c>
    </row>
    <row r="49" spans="1:14" ht="12.75" customHeight="1" x14ac:dyDescent="0.3">
      <c r="A49" s="106">
        <v>8.08</v>
      </c>
      <c r="B49" s="25" t="s">
        <v>62</v>
      </c>
      <c r="C49" s="30" t="s">
        <v>19</v>
      </c>
      <c r="D49" s="31">
        <v>360</v>
      </c>
      <c r="E49" s="183">
        <v>14335</v>
      </c>
      <c r="F49" s="183">
        <f t="shared" si="0"/>
        <v>5160600</v>
      </c>
      <c r="G49" s="182"/>
      <c r="H49" s="245"/>
      <c r="I49" s="250">
        <v>0</v>
      </c>
      <c r="J49" s="250"/>
      <c r="K49" s="251">
        <f t="shared" si="1"/>
        <v>0</v>
      </c>
      <c r="L49" s="50">
        <f t="shared" si="2"/>
        <v>0</v>
      </c>
      <c r="M49" s="50">
        <f t="shared" si="3"/>
        <v>0</v>
      </c>
      <c r="N49" s="50">
        <f t="shared" si="4"/>
        <v>0</v>
      </c>
    </row>
    <row r="50" spans="1:14" ht="12.75" customHeight="1" x14ac:dyDescent="0.3">
      <c r="A50" s="13">
        <v>9</v>
      </c>
      <c r="B50" s="17" t="s">
        <v>63</v>
      </c>
      <c r="C50" s="18"/>
      <c r="D50" s="19"/>
      <c r="E50" s="19"/>
      <c r="F50" s="19"/>
      <c r="G50" s="176">
        <f>+SUM(F51:F53)</f>
        <v>4852846</v>
      </c>
      <c r="H50" s="245">
        <f>+G50/$G$195</f>
        <v>5.7440649769743392E-3</v>
      </c>
      <c r="I50" s="246"/>
      <c r="J50" s="247"/>
      <c r="K50" s="247"/>
      <c r="L50" s="178"/>
      <c r="M50" s="178"/>
      <c r="N50" s="179"/>
    </row>
    <row r="51" spans="1:14" ht="12.75" customHeight="1" x14ac:dyDescent="0.3">
      <c r="A51" s="20">
        <v>9.01</v>
      </c>
      <c r="B51" s="21" t="s">
        <v>64</v>
      </c>
      <c r="C51" s="109" t="s">
        <v>29</v>
      </c>
      <c r="D51" s="94">
        <v>1</v>
      </c>
      <c r="E51" s="181">
        <v>2109310</v>
      </c>
      <c r="F51" s="181">
        <f t="shared" si="0"/>
        <v>2109310</v>
      </c>
      <c r="G51" s="186"/>
      <c r="H51" s="245"/>
      <c r="I51" s="250">
        <v>0</v>
      </c>
      <c r="J51" s="250"/>
      <c r="K51" s="251">
        <f t="shared" si="1"/>
        <v>0</v>
      </c>
      <c r="L51" s="50">
        <f t="shared" si="2"/>
        <v>0</v>
      </c>
      <c r="M51" s="50">
        <f t="shared" si="3"/>
        <v>0</v>
      </c>
      <c r="N51" s="50">
        <f t="shared" si="4"/>
        <v>0</v>
      </c>
    </row>
    <row r="52" spans="1:14" ht="12.75" customHeight="1" x14ac:dyDescent="0.3">
      <c r="A52" s="24">
        <v>9.02</v>
      </c>
      <c r="B52" s="25" t="s">
        <v>65</v>
      </c>
      <c r="C52" s="110" t="s">
        <v>52</v>
      </c>
      <c r="D52" s="31">
        <v>81</v>
      </c>
      <c r="E52" s="181">
        <v>28022</v>
      </c>
      <c r="F52" s="181">
        <f t="shared" si="0"/>
        <v>2269782</v>
      </c>
      <c r="G52" s="186"/>
      <c r="H52" s="252"/>
      <c r="I52" s="250">
        <v>0</v>
      </c>
      <c r="J52" s="250"/>
      <c r="K52" s="251">
        <f t="shared" si="1"/>
        <v>0</v>
      </c>
      <c r="L52" s="50">
        <f t="shared" si="2"/>
        <v>0</v>
      </c>
      <c r="M52" s="50">
        <f t="shared" si="3"/>
        <v>0</v>
      </c>
      <c r="N52" s="50">
        <f t="shared" si="4"/>
        <v>0</v>
      </c>
    </row>
    <row r="53" spans="1:14" ht="12.75" customHeight="1" x14ac:dyDescent="0.3">
      <c r="A53" s="33">
        <v>9.0299999999999994</v>
      </c>
      <c r="B53" s="38" t="s">
        <v>66</v>
      </c>
      <c r="C53" s="111" t="s">
        <v>27</v>
      </c>
      <c r="D53" s="35">
        <v>46</v>
      </c>
      <c r="E53" s="181">
        <v>10299</v>
      </c>
      <c r="F53" s="181">
        <f t="shared" si="0"/>
        <v>473754</v>
      </c>
      <c r="G53" s="186"/>
      <c r="H53" s="252"/>
      <c r="I53" s="250">
        <v>0</v>
      </c>
      <c r="J53" s="250"/>
      <c r="K53" s="251">
        <f t="shared" si="1"/>
        <v>0</v>
      </c>
      <c r="L53" s="50">
        <f t="shared" si="2"/>
        <v>0</v>
      </c>
      <c r="M53" s="50">
        <f t="shared" si="3"/>
        <v>0</v>
      </c>
      <c r="N53" s="50">
        <f t="shared" si="4"/>
        <v>0</v>
      </c>
    </row>
    <row r="54" spans="1:14" ht="12.75" customHeight="1" x14ac:dyDescent="0.3">
      <c r="A54" s="13">
        <v>10</v>
      </c>
      <c r="B54" s="40" t="s">
        <v>67</v>
      </c>
      <c r="C54" s="18"/>
      <c r="D54" s="19"/>
      <c r="E54" s="19"/>
      <c r="F54" s="19"/>
      <c r="G54" s="176">
        <f>+SUM(F55:F58)</f>
        <v>4184652</v>
      </c>
      <c r="H54" s="245">
        <f>+G54/$G$195</f>
        <v>4.9531580013100814E-3</v>
      </c>
      <c r="I54" s="246"/>
      <c r="J54" s="247"/>
      <c r="K54" s="247"/>
      <c r="L54" s="178"/>
      <c r="M54" s="178"/>
      <c r="N54" s="179"/>
    </row>
    <row r="55" spans="1:14" ht="12.75" customHeight="1" x14ac:dyDescent="0.3">
      <c r="A55" s="24">
        <v>10.01</v>
      </c>
      <c r="B55" s="25" t="s">
        <v>68</v>
      </c>
      <c r="C55" s="112" t="s">
        <v>29</v>
      </c>
      <c r="D55" s="27">
        <v>1</v>
      </c>
      <c r="E55" s="181">
        <v>1844532</v>
      </c>
      <c r="F55" s="181">
        <f t="shared" si="0"/>
        <v>1844532</v>
      </c>
      <c r="G55" s="188"/>
      <c r="H55" s="245"/>
      <c r="I55" s="250">
        <v>0</v>
      </c>
      <c r="J55" s="250"/>
      <c r="K55" s="251">
        <f t="shared" si="1"/>
        <v>0</v>
      </c>
      <c r="L55" s="50">
        <f t="shared" si="2"/>
        <v>0</v>
      </c>
      <c r="M55" s="50">
        <f t="shared" si="3"/>
        <v>0</v>
      </c>
      <c r="N55" s="50">
        <f t="shared" si="4"/>
        <v>0</v>
      </c>
    </row>
    <row r="56" spans="1:14" ht="12.75" customHeight="1" x14ac:dyDescent="0.3">
      <c r="A56" s="24">
        <v>10.02</v>
      </c>
      <c r="B56" s="25" t="s">
        <v>69</v>
      </c>
      <c r="C56" s="112" t="s">
        <v>29</v>
      </c>
      <c r="D56" s="27">
        <v>1</v>
      </c>
      <c r="E56" s="181">
        <v>1214937</v>
      </c>
      <c r="F56" s="181">
        <f t="shared" si="0"/>
        <v>1214937</v>
      </c>
      <c r="H56" s="245"/>
      <c r="I56" s="250">
        <v>0</v>
      </c>
      <c r="J56" s="250"/>
      <c r="K56" s="251">
        <f t="shared" si="1"/>
        <v>0</v>
      </c>
      <c r="L56" s="50">
        <f t="shared" si="2"/>
        <v>0</v>
      </c>
      <c r="M56" s="50">
        <f t="shared" si="3"/>
        <v>0</v>
      </c>
      <c r="N56" s="50">
        <f t="shared" si="4"/>
        <v>0</v>
      </c>
    </row>
    <row r="57" spans="1:14" ht="12.75" customHeight="1" x14ac:dyDescent="0.3">
      <c r="A57" s="24">
        <v>10.029999999999999</v>
      </c>
      <c r="B57" s="25" t="s">
        <v>70</v>
      </c>
      <c r="C57" s="112" t="s">
        <v>29</v>
      </c>
      <c r="D57" s="27">
        <v>1</v>
      </c>
      <c r="E57" s="181">
        <v>539833</v>
      </c>
      <c r="F57" s="181">
        <f t="shared" si="0"/>
        <v>539833</v>
      </c>
      <c r="H57" s="245"/>
      <c r="I57" s="250">
        <v>0</v>
      </c>
      <c r="J57" s="250"/>
      <c r="K57" s="251">
        <f t="shared" si="1"/>
        <v>0</v>
      </c>
      <c r="L57" s="50">
        <f t="shared" si="2"/>
        <v>0</v>
      </c>
      <c r="M57" s="50">
        <f t="shared" si="3"/>
        <v>0</v>
      </c>
      <c r="N57" s="50">
        <f t="shared" si="4"/>
        <v>0</v>
      </c>
    </row>
    <row r="58" spans="1:14" ht="12.75" customHeight="1" x14ac:dyDescent="0.3">
      <c r="A58" s="24">
        <v>10.039999999999999</v>
      </c>
      <c r="B58" s="25" t="s">
        <v>71</v>
      </c>
      <c r="C58" s="30" t="s">
        <v>33</v>
      </c>
      <c r="D58" s="31">
        <v>10</v>
      </c>
      <c r="E58" s="181">
        <v>58535</v>
      </c>
      <c r="F58" s="181">
        <f t="shared" si="0"/>
        <v>585350</v>
      </c>
      <c r="G58" s="182"/>
      <c r="H58" s="245"/>
      <c r="I58" s="250">
        <v>0</v>
      </c>
      <c r="J58" s="250"/>
      <c r="K58" s="251">
        <f t="shared" si="1"/>
        <v>0</v>
      </c>
      <c r="L58" s="50">
        <f t="shared" si="2"/>
        <v>0</v>
      </c>
      <c r="M58" s="50">
        <f t="shared" si="3"/>
        <v>0</v>
      </c>
      <c r="N58" s="50">
        <f t="shared" si="4"/>
        <v>0</v>
      </c>
    </row>
    <row r="59" spans="1:14" ht="12.75" customHeight="1" x14ac:dyDescent="0.3">
      <c r="A59" s="13">
        <v>11</v>
      </c>
      <c r="B59" s="17" t="s">
        <v>72</v>
      </c>
      <c r="C59" s="18"/>
      <c r="D59" s="19"/>
      <c r="E59" s="19"/>
      <c r="F59" s="19"/>
      <c r="G59" s="176">
        <f>+SUM(F60:F70)</f>
        <v>31170783</v>
      </c>
      <c r="H59" s="245">
        <f>+G59/$G$195</f>
        <v>3.6895257532418527E-2</v>
      </c>
      <c r="I59" s="246"/>
      <c r="J59" s="247"/>
      <c r="K59" s="247"/>
      <c r="L59" s="178"/>
      <c r="M59" s="178"/>
      <c r="N59" s="179"/>
    </row>
    <row r="60" spans="1:14" ht="12.75" customHeight="1" x14ac:dyDescent="0.3">
      <c r="A60" s="20">
        <v>11.01</v>
      </c>
      <c r="B60" s="21" t="s">
        <v>73</v>
      </c>
      <c r="C60" s="109" t="s">
        <v>19</v>
      </c>
      <c r="D60" s="94">
        <v>0</v>
      </c>
      <c r="E60" s="181">
        <v>0</v>
      </c>
      <c r="F60" s="181">
        <f t="shared" si="0"/>
        <v>0</v>
      </c>
      <c r="G60" s="185"/>
      <c r="H60" s="252"/>
      <c r="I60" s="250">
        <v>0</v>
      </c>
      <c r="J60" s="250"/>
      <c r="K60" s="251">
        <f t="shared" si="1"/>
        <v>0</v>
      </c>
      <c r="L60" s="50">
        <f t="shared" si="2"/>
        <v>0</v>
      </c>
      <c r="M60" s="50">
        <f t="shared" si="3"/>
        <v>0</v>
      </c>
      <c r="N60" s="50">
        <f t="shared" si="4"/>
        <v>0</v>
      </c>
    </row>
    <row r="61" spans="1:14" ht="12.75" customHeight="1" x14ac:dyDescent="0.3">
      <c r="A61" s="24">
        <v>11.02</v>
      </c>
      <c r="B61" s="25" t="s">
        <v>74</v>
      </c>
      <c r="C61" s="110" t="s">
        <v>19</v>
      </c>
      <c r="D61" s="31">
        <v>39</v>
      </c>
      <c r="E61" s="181">
        <v>19280</v>
      </c>
      <c r="F61" s="181">
        <f t="shared" si="0"/>
        <v>751920</v>
      </c>
      <c r="G61" s="186"/>
      <c r="H61" s="252"/>
      <c r="I61" s="250">
        <v>0</v>
      </c>
      <c r="J61" s="250"/>
      <c r="K61" s="251">
        <f t="shared" si="1"/>
        <v>0</v>
      </c>
      <c r="L61" s="50">
        <f t="shared" si="2"/>
        <v>0</v>
      </c>
      <c r="M61" s="50">
        <f t="shared" si="3"/>
        <v>0</v>
      </c>
      <c r="N61" s="50">
        <f t="shared" si="4"/>
        <v>0</v>
      </c>
    </row>
    <row r="62" spans="1:14" ht="12.75" customHeight="1" x14ac:dyDescent="0.3">
      <c r="A62" s="24">
        <v>11.03</v>
      </c>
      <c r="B62" s="25" t="s">
        <v>75</v>
      </c>
      <c r="C62" s="110" t="s">
        <v>19</v>
      </c>
      <c r="D62" s="31">
        <v>48</v>
      </c>
      <c r="E62" s="181">
        <v>25362</v>
      </c>
      <c r="F62" s="181">
        <f t="shared" si="0"/>
        <v>1217376</v>
      </c>
      <c r="G62" s="186"/>
      <c r="H62" s="252"/>
      <c r="I62" s="250">
        <v>0</v>
      </c>
      <c r="J62" s="250"/>
      <c r="K62" s="251">
        <f t="shared" si="1"/>
        <v>0</v>
      </c>
      <c r="L62" s="50">
        <f t="shared" si="2"/>
        <v>0</v>
      </c>
      <c r="M62" s="50">
        <f t="shared" si="3"/>
        <v>0</v>
      </c>
      <c r="N62" s="50">
        <f t="shared" si="4"/>
        <v>0</v>
      </c>
    </row>
    <row r="63" spans="1:14" ht="12.75" customHeight="1" x14ac:dyDescent="0.3">
      <c r="A63" s="24">
        <v>11.04</v>
      </c>
      <c r="B63" s="25" t="s">
        <v>76</v>
      </c>
      <c r="C63" s="30" t="s">
        <v>19</v>
      </c>
      <c r="D63" s="31">
        <v>174</v>
      </c>
      <c r="E63" s="181">
        <v>19164</v>
      </c>
      <c r="F63" s="181">
        <f t="shared" si="0"/>
        <v>3334536</v>
      </c>
      <c r="G63" s="182"/>
      <c r="H63" s="245"/>
      <c r="I63" s="250">
        <v>0</v>
      </c>
      <c r="J63" s="250"/>
      <c r="K63" s="251">
        <f t="shared" si="1"/>
        <v>0</v>
      </c>
      <c r="L63" s="50">
        <f t="shared" si="2"/>
        <v>0</v>
      </c>
      <c r="M63" s="50">
        <f t="shared" si="3"/>
        <v>0</v>
      </c>
      <c r="N63" s="50">
        <f t="shared" si="4"/>
        <v>0</v>
      </c>
    </row>
    <row r="64" spans="1:14" ht="12.75" customHeight="1" x14ac:dyDescent="0.3">
      <c r="A64" s="24">
        <v>11.05</v>
      </c>
      <c r="B64" s="25" t="s">
        <v>77</v>
      </c>
      <c r="C64" s="110" t="s">
        <v>19</v>
      </c>
      <c r="D64" s="31">
        <v>92</v>
      </c>
      <c r="E64" s="181">
        <v>19164</v>
      </c>
      <c r="F64" s="181">
        <f t="shared" si="0"/>
        <v>1763088</v>
      </c>
      <c r="G64" s="185"/>
      <c r="H64" s="252"/>
      <c r="I64" s="250">
        <v>0</v>
      </c>
      <c r="J64" s="250"/>
      <c r="K64" s="251">
        <f t="shared" si="1"/>
        <v>0</v>
      </c>
      <c r="L64" s="50">
        <f t="shared" si="2"/>
        <v>0</v>
      </c>
      <c r="M64" s="50">
        <f t="shared" si="3"/>
        <v>0</v>
      </c>
      <c r="N64" s="50">
        <f t="shared" si="4"/>
        <v>0</v>
      </c>
    </row>
    <row r="65" spans="1:14" ht="12.75" customHeight="1" x14ac:dyDescent="0.3">
      <c r="A65" s="24">
        <v>11.06</v>
      </c>
      <c r="B65" s="25" t="s">
        <v>78</v>
      </c>
      <c r="C65" s="30" t="s">
        <v>19</v>
      </c>
      <c r="D65" s="31">
        <v>8</v>
      </c>
      <c r="E65" s="181">
        <v>14043</v>
      </c>
      <c r="F65" s="181">
        <f t="shared" si="0"/>
        <v>112344</v>
      </c>
      <c r="G65" s="182"/>
      <c r="H65" s="245"/>
      <c r="I65" s="250">
        <v>0</v>
      </c>
      <c r="J65" s="250"/>
      <c r="K65" s="251">
        <f t="shared" si="1"/>
        <v>0</v>
      </c>
      <c r="L65" s="50">
        <f t="shared" si="2"/>
        <v>0</v>
      </c>
      <c r="M65" s="50">
        <f t="shared" si="3"/>
        <v>0</v>
      </c>
      <c r="N65" s="50">
        <f t="shared" si="4"/>
        <v>0</v>
      </c>
    </row>
    <row r="66" spans="1:14" ht="12.75" customHeight="1" x14ac:dyDescent="0.3">
      <c r="A66" s="24">
        <v>11.07</v>
      </c>
      <c r="B66" s="25" t="s">
        <v>79</v>
      </c>
      <c r="C66" s="110" t="s">
        <v>19</v>
      </c>
      <c r="D66" s="31">
        <v>46</v>
      </c>
      <c r="E66" s="181">
        <v>26630</v>
      </c>
      <c r="F66" s="181">
        <f t="shared" si="0"/>
        <v>1224980</v>
      </c>
      <c r="G66" s="186"/>
      <c r="H66" s="252"/>
      <c r="I66" s="250">
        <v>0</v>
      </c>
      <c r="J66" s="250"/>
      <c r="K66" s="251">
        <f t="shared" si="1"/>
        <v>0</v>
      </c>
      <c r="L66" s="50">
        <f t="shared" si="2"/>
        <v>0</v>
      </c>
      <c r="M66" s="50">
        <f t="shared" si="3"/>
        <v>0</v>
      </c>
      <c r="N66" s="50">
        <f t="shared" si="4"/>
        <v>0</v>
      </c>
    </row>
    <row r="67" spans="1:14" ht="12.75" customHeight="1" x14ac:dyDescent="0.3">
      <c r="A67" s="24">
        <v>11.08</v>
      </c>
      <c r="B67" s="25" t="s">
        <v>80</v>
      </c>
      <c r="C67" s="110" t="s">
        <v>19</v>
      </c>
      <c r="D67" s="31">
        <v>562</v>
      </c>
      <c r="E67" s="181">
        <v>25362</v>
      </c>
      <c r="F67" s="181">
        <f t="shared" si="0"/>
        <v>14253444</v>
      </c>
      <c r="G67" s="186"/>
      <c r="H67" s="252"/>
      <c r="I67" s="250">
        <v>0</v>
      </c>
      <c r="J67" s="250"/>
      <c r="K67" s="251">
        <f t="shared" si="1"/>
        <v>0</v>
      </c>
      <c r="L67" s="50">
        <f t="shared" si="2"/>
        <v>0</v>
      </c>
      <c r="M67" s="50">
        <f t="shared" si="3"/>
        <v>0</v>
      </c>
      <c r="N67" s="50">
        <f t="shared" si="4"/>
        <v>0</v>
      </c>
    </row>
    <row r="68" spans="1:14" ht="12.75" customHeight="1" x14ac:dyDescent="0.3">
      <c r="A68" s="24">
        <v>11.09</v>
      </c>
      <c r="B68" s="25" t="s">
        <v>81</v>
      </c>
      <c r="C68" s="113" t="s">
        <v>19</v>
      </c>
      <c r="D68" s="32">
        <v>73</v>
      </c>
      <c r="E68" s="181">
        <v>30109</v>
      </c>
      <c r="F68" s="181">
        <f t="shared" si="0"/>
        <v>2197957</v>
      </c>
      <c r="G68" s="186"/>
      <c r="H68" s="252"/>
      <c r="I68" s="250">
        <v>0</v>
      </c>
      <c r="J68" s="250"/>
      <c r="K68" s="251">
        <f t="shared" si="1"/>
        <v>0</v>
      </c>
      <c r="L68" s="50">
        <f t="shared" si="2"/>
        <v>0</v>
      </c>
      <c r="M68" s="50">
        <f t="shared" si="3"/>
        <v>0</v>
      </c>
      <c r="N68" s="50">
        <f t="shared" si="4"/>
        <v>0</v>
      </c>
    </row>
    <row r="69" spans="1:14" ht="12.75" customHeight="1" x14ac:dyDescent="0.3">
      <c r="A69" s="24">
        <v>11.1</v>
      </c>
      <c r="B69" s="25" t="s">
        <v>82</v>
      </c>
      <c r="C69" s="113" t="s">
        <v>19</v>
      </c>
      <c r="D69" s="32">
        <v>143</v>
      </c>
      <c r="E69" s="181">
        <v>25362</v>
      </c>
      <c r="F69" s="181">
        <f t="shared" si="0"/>
        <v>3626766</v>
      </c>
      <c r="G69" s="186"/>
      <c r="H69" s="252"/>
      <c r="I69" s="250">
        <v>0</v>
      </c>
      <c r="J69" s="250"/>
      <c r="K69" s="251">
        <f t="shared" si="1"/>
        <v>0</v>
      </c>
      <c r="L69" s="50">
        <f t="shared" si="2"/>
        <v>0</v>
      </c>
      <c r="M69" s="50">
        <f t="shared" si="3"/>
        <v>0</v>
      </c>
      <c r="N69" s="50">
        <f t="shared" si="4"/>
        <v>0</v>
      </c>
    </row>
    <row r="70" spans="1:14" ht="12.75" customHeight="1" x14ac:dyDescent="0.3">
      <c r="A70" s="24">
        <v>11.11</v>
      </c>
      <c r="B70" s="25" t="s">
        <v>83</v>
      </c>
      <c r="C70" s="111" t="s">
        <v>19</v>
      </c>
      <c r="D70" s="35">
        <v>106</v>
      </c>
      <c r="E70" s="181">
        <v>25362</v>
      </c>
      <c r="F70" s="181">
        <f t="shared" si="0"/>
        <v>2688372</v>
      </c>
      <c r="G70" s="186"/>
      <c r="H70" s="252"/>
      <c r="I70" s="250">
        <v>0</v>
      </c>
      <c r="J70" s="250"/>
      <c r="K70" s="251">
        <f t="shared" si="1"/>
        <v>0</v>
      </c>
      <c r="L70" s="50">
        <f t="shared" si="2"/>
        <v>0</v>
      </c>
      <c r="M70" s="50">
        <f t="shared" si="3"/>
        <v>0</v>
      </c>
      <c r="N70" s="50">
        <f t="shared" si="4"/>
        <v>0</v>
      </c>
    </row>
    <row r="71" spans="1:14" ht="12.75" customHeight="1" x14ac:dyDescent="0.3">
      <c r="A71" s="13">
        <v>12</v>
      </c>
      <c r="B71" s="17" t="s">
        <v>84</v>
      </c>
      <c r="C71" s="18"/>
      <c r="D71" s="19"/>
      <c r="E71" s="19"/>
      <c r="F71" s="19"/>
      <c r="G71" s="176">
        <f>+SUM(F72:F74)</f>
        <v>8990052</v>
      </c>
      <c r="H71" s="245">
        <f>+G71/$G$195</f>
        <v>1.0641063580912749E-2</v>
      </c>
      <c r="I71" s="246"/>
      <c r="J71" s="247"/>
      <c r="K71" s="247"/>
      <c r="L71" s="178"/>
      <c r="M71" s="178"/>
      <c r="N71" s="179"/>
    </row>
    <row r="72" spans="1:14" ht="12.75" customHeight="1" x14ac:dyDescent="0.3">
      <c r="A72" s="20">
        <f>+A71+0.01</f>
        <v>12.01</v>
      </c>
      <c r="B72" s="21" t="s">
        <v>85</v>
      </c>
      <c r="C72" s="109" t="s">
        <v>27</v>
      </c>
      <c r="D72" s="94">
        <v>19</v>
      </c>
      <c r="E72" s="181">
        <v>6496</v>
      </c>
      <c r="F72" s="181">
        <f t="shared" si="0"/>
        <v>123424</v>
      </c>
      <c r="H72" s="245"/>
      <c r="I72" s="250">
        <v>0</v>
      </c>
      <c r="J72" s="250"/>
      <c r="K72" s="251">
        <f t="shared" si="1"/>
        <v>0</v>
      </c>
      <c r="L72" s="50">
        <f t="shared" si="2"/>
        <v>0</v>
      </c>
      <c r="M72" s="50">
        <f t="shared" si="3"/>
        <v>0</v>
      </c>
      <c r="N72" s="50">
        <f t="shared" si="4"/>
        <v>0</v>
      </c>
    </row>
    <row r="73" spans="1:14" ht="12.75" customHeight="1" x14ac:dyDescent="0.3">
      <c r="A73" s="106">
        <v>12.02</v>
      </c>
      <c r="B73" s="25" t="s">
        <v>86</v>
      </c>
      <c r="C73" s="114" t="s">
        <v>27</v>
      </c>
      <c r="D73" s="31">
        <v>626</v>
      </c>
      <c r="E73" s="181">
        <v>9059</v>
      </c>
      <c r="F73" s="181">
        <f t="shared" si="0"/>
        <v>5670934</v>
      </c>
      <c r="H73" s="245"/>
      <c r="I73" s="250">
        <v>0</v>
      </c>
      <c r="J73" s="250"/>
      <c r="K73" s="251">
        <f t="shared" si="1"/>
        <v>0</v>
      </c>
      <c r="L73" s="50">
        <f t="shared" si="2"/>
        <v>0</v>
      </c>
      <c r="M73" s="50">
        <f t="shared" si="3"/>
        <v>0</v>
      </c>
      <c r="N73" s="50">
        <f t="shared" si="4"/>
        <v>0</v>
      </c>
    </row>
    <row r="74" spans="1:14" ht="12.75" customHeight="1" x14ac:dyDescent="0.3">
      <c r="A74" s="106">
        <v>12.03</v>
      </c>
      <c r="B74" s="107" t="s">
        <v>87</v>
      </c>
      <c r="C74" s="114" t="s">
        <v>27</v>
      </c>
      <c r="D74" s="35">
        <v>386</v>
      </c>
      <c r="E74" s="181">
        <v>8279</v>
      </c>
      <c r="F74" s="181">
        <f t="shared" ref="F74:F137" si="5">+E74*D74</f>
        <v>3195694</v>
      </c>
      <c r="H74" s="245"/>
      <c r="I74" s="250">
        <v>0</v>
      </c>
      <c r="J74" s="250"/>
      <c r="K74" s="251">
        <f t="shared" ref="K74" si="6">+I74+J74</f>
        <v>0</v>
      </c>
      <c r="L74" s="50">
        <f t="shared" ref="L74" si="7">+F74*I74</f>
        <v>0</v>
      </c>
      <c r="M74" s="50">
        <f t="shared" ref="M74" si="8">+F74*J74</f>
        <v>0</v>
      </c>
      <c r="N74" s="50">
        <f t="shared" ref="N74" si="9">+F74*K74</f>
        <v>0</v>
      </c>
    </row>
    <row r="75" spans="1:14" ht="12.75" customHeight="1" x14ac:dyDescent="0.3">
      <c r="A75" s="13">
        <v>13</v>
      </c>
      <c r="B75" s="17" t="s">
        <v>88</v>
      </c>
      <c r="C75" s="18"/>
      <c r="D75" s="19"/>
      <c r="E75" s="19"/>
      <c r="F75" s="19"/>
      <c r="G75" s="176">
        <f>+SUM(F76:F79)</f>
        <v>14836279</v>
      </c>
      <c r="H75" s="245">
        <f>+G75/$G$195</f>
        <v>1.7560942711250239E-2</v>
      </c>
      <c r="I75" s="246"/>
      <c r="J75" s="247"/>
      <c r="K75" s="247"/>
      <c r="L75" s="178"/>
      <c r="M75" s="178"/>
      <c r="N75" s="179"/>
    </row>
    <row r="76" spans="1:14" ht="12.75" customHeight="1" x14ac:dyDescent="0.3">
      <c r="A76" s="115">
        <v>13.01</v>
      </c>
      <c r="B76" s="116" t="s">
        <v>89</v>
      </c>
      <c r="C76" s="117" t="s">
        <v>19</v>
      </c>
      <c r="D76" s="23">
        <v>413</v>
      </c>
      <c r="E76" s="181">
        <v>30109</v>
      </c>
      <c r="F76" s="181">
        <f t="shared" si="5"/>
        <v>12435017</v>
      </c>
      <c r="H76" s="245"/>
      <c r="I76" s="250">
        <v>0</v>
      </c>
      <c r="J76" s="250"/>
      <c r="K76" s="251">
        <f t="shared" ref="K76:K139" si="10">+I76+J76</f>
        <v>0</v>
      </c>
      <c r="L76" s="50">
        <f t="shared" ref="L76:L139" si="11">+F76*I76</f>
        <v>0</v>
      </c>
      <c r="M76" s="50">
        <f t="shared" ref="M76:M139" si="12">+F76*J76</f>
        <v>0</v>
      </c>
      <c r="N76" s="50">
        <f t="shared" ref="N76:N139" si="13">+F76*K76</f>
        <v>0</v>
      </c>
    </row>
    <row r="77" spans="1:14" ht="12.75" customHeight="1" x14ac:dyDescent="0.3">
      <c r="A77" s="118">
        <v>13.02</v>
      </c>
      <c r="B77" s="119" t="s">
        <v>90</v>
      </c>
      <c r="C77" s="120" t="s">
        <v>19</v>
      </c>
      <c r="D77" s="121">
        <v>18</v>
      </c>
      <c r="E77" s="181">
        <v>30109</v>
      </c>
      <c r="F77" s="181">
        <f t="shared" si="5"/>
        <v>541962</v>
      </c>
      <c r="H77" s="245"/>
      <c r="I77" s="250">
        <v>0</v>
      </c>
      <c r="J77" s="250"/>
      <c r="K77" s="251">
        <f t="shared" si="10"/>
        <v>0</v>
      </c>
      <c r="L77" s="50">
        <f t="shared" si="11"/>
        <v>0</v>
      </c>
      <c r="M77" s="50">
        <f t="shared" si="12"/>
        <v>0</v>
      </c>
      <c r="N77" s="50">
        <f t="shared" si="13"/>
        <v>0</v>
      </c>
    </row>
    <row r="78" spans="1:14" ht="12.75" customHeight="1" x14ac:dyDescent="0.3">
      <c r="A78" s="100">
        <v>13.03</v>
      </c>
      <c r="B78" s="119" t="s">
        <v>91</v>
      </c>
      <c r="C78" s="110" t="s">
        <v>19</v>
      </c>
      <c r="D78" s="31">
        <v>20</v>
      </c>
      <c r="E78" s="181">
        <v>92965</v>
      </c>
      <c r="F78" s="181">
        <f t="shared" si="5"/>
        <v>1859300</v>
      </c>
      <c r="G78" s="186"/>
      <c r="H78" s="252"/>
      <c r="I78" s="250">
        <v>0</v>
      </c>
      <c r="J78" s="250"/>
      <c r="K78" s="251">
        <f t="shared" si="10"/>
        <v>0</v>
      </c>
      <c r="L78" s="50">
        <f t="shared" si="11"/>
        <v>0</v>
      </c>
      <c r="M78" s="50">
        <f t="shared" si="12"/>
        <v>0</v>
      </c>
      <c r="N78" s="50">
        <f t="shared" si="13"/>
        <v>0</v>
      </c>
    </row>
    <row r="79" spans="1:14" ht="12.75" customHeight="1" x14ac:dyDescent="0.3">
      <c r="A79" s="100">
        <v>13.04</v>
      </c>
      <c r="B79" s="25" t="s">
        <v>92</v>
      </c>
      <c r="C79" s="110" t="s">
        <v>19</v>
      </c>
      <c r="D79" s="31">
        <v>0</v>
      </c>
      <c r="E79" s="181">
        <v>0</v>
      </c>
      <c r="F79" s="181">
        <f t="shared" si="5"/>
        <v>0</v>
      </c>
      <c r="G79" s="186"/>
      <c r="H79" s="252"/>
      <c r="I79" s="250">
        <v>0</v>
      </c>
      <c r="J79" s="250"/>
      <c r="K79" s="251">
        <f t="shared" si="10"/>
        <v>0</v>
      </c>
      <c r="L79" s="50">
        <f t="shared" si="11"/>
        <v>0</v>
      </c>
      <c r="M79" s="50">
        <f t="shared" si="12"/>
        <v>0</v>
      </c>
      <c r="N79" s="50">
        <f t="shared" si="13"/>
        <v>0</v>
      </c>
    </row>
    <row r="80" spans="1:14" ht="12.75" customHeight="1" x14ac:dyDescent="0.3">
      <c r="A80" s="13">
        <v>14</v>
      </c>
      <c r="B80" s="17" t="s">
        <v>93</v>
      </c>
      <c r="C80" s="18"/>
      <c r="D80" s="19"/>
      <c r="E80" s="19"/>
      <c r="F80" s="19"/>
      <c r="G80" s="176">
        <f>+SUM(F81:F87)</f>
        <v>33813897</v>
      </c>
      <c r="H80" s="245">
        <f>+G80/$G$195</f>
        <v>4.0023776046616291E-2</v>
      </c>
      <c r="I80" s="246"/>
      <c r="J80" s="247"/>
      <c r="K80" s="247"/>
      <c r="L80" s="178"/>
      <c r="M80" s="178"/>
      <c r="N80" s="179"/>
    </row>
    <row r="81" spans="1:14" ht="12.75" customHeight="1" x14ac:dyDescent="0.3">
      <c r="A81" s="20">
        <f>+A80+0.01</f>
        <v>14.01</v>
      </c>
      <c r="B81" s="21" t="s">
        <v>94</v>
      </c>
      <c r="C81" s="117" t="s">
        <v>19</v>
      </c>
      <c r="D81" s="23">
        <v>460</v>
      </c>
      <c r="E81" s="181">
        <v>23624</v>
      </c>
      <c r="F81" s="181">
        <f t="shared" si="5"/>
        <v>10867040</v>
      </c>
      <c r="H81" s="245"/>
      <c r="I81" s="250">
        <v>0</v>
      </c>
      <c r="J81" s="250"/>
      <c r="K81" s="251">
        <f t="shared" si="10"/>
        <v>0</v>
      </c>
      <c r="L81" s="50">
        <f t="shared" si="11"/>
        <v>0</v>
      </c>
      <c r="M81" s="50">
        <f t="shared" si="12"/>
        <v>0</v>
      </c>
      <c r="N81" s="50">
        <f t="shared" si="13"/>
        <v>0</v>
      </c>
    </row>
    <row r="82" spans="1:14" ht="12.75" customHeight="1" x14ac:dyDescent="0.3">
      <c r="A82" s="106">
        <v>14.02</v>
      </c>
      <c r="B82" s="107" t="s">
        <v>95</v>
      </c>
      <c r="C82" s="120" t="s">
        <v>27</v>
      </c>
      <c r="D82" s="121">
        <v>434</v>
      </c>
      <c r="E82" s="181">
        <v>16659</v>
      </c>
      <c r="F82" s="181">
        <f t="shared" si="5"/>
        <v>7230006</v>
      </c>
      <c r="H82" s="245"/>
      <c r="I82" s="250">
        <v>0</v>
      </c>
      <c r="J82" s="250"/>
      <c r="K82" s="251">
        <f t="shared" si="10"/>
        <v>0</v>
      </c>
      <c r="L82" s="50">
        <f t="shared" si="11"/>
        <v>0</v>
      </c>
      <c r="M82" s="50">
        <f t="shared" si="12"/>
        <v>0</v>
      </c>
      <c r="N82" s="50">
        <f t="shared" si="13"/>
        <v>0</v>
      </c>
    </row>
    <row r="83" spans="1:14" ht="12.75" customHeight="1" x14ac:dyDescent="0.3">
      <c r="A83" s="24">
        <v>14.03</v>
      </c>
      <c r="B83" s="25" t="s">
        <v>96</v>
      </c>
      <c r="C83" s="112" t="s">
        <v>19</v>
      </c>
      <c r="D83" s="27">
        <v>115</v>
      </c>
      <c r="E83" s="181">
        <v>35817</v>
      </c>
      <c r="F83" s="181">
        <f t="shared" si="5"/>
        <v>4118955</v>
      </c>
      <c r="H83" s="245"/>
      <c r="I83" s="250">
        <v>0</v>
      </c>
      <c r="J83" s="250"/>
      <c r="K83" s="251">
        <f t="shared" si="10"/>
        <v>0</v>
      </c>
      <c r="L83" s="50">
        <f t="shared" si="11"/>
        <v>0</v>
      </c>
      <c r="M83" s="50">
        <f t="shared" si="12"/>
        <v>0</v>
      </c>
      <c r="N83" s="50">
        <f t="shared" si="13"/>
        <v>0</v>
      </c>
    </row>
    <row r="84" spans="1:14" ht="12.75" customHeight="1" x14ac:dyDescent="0.3">
      <c r="A84" s="106">
        <v>14.04</v>
      </c>
      <c r="B84" s="25" t="s">
        <v>97</v>
      </c>
      <c r="C84" s="112" t="s">
        <v>19</v>
      </c>
      <c r="D84" s="27">
        <v>89</v>
      </c>
      <c r="E84" s="181">
        <v>41132</v>
      </c>
      <c r="F84" s="181">
        <f t="shared" si="5"/>
        <v>3660748</v>
      </c>
      <c r="H84" s="245"/>
      <c r="I84" s="250">
        <v>0</v>
      </c>
      <c r="J84" s="250"/>
      <c r="K84" s="251">
        <f t="shared" si="10"/>
        <v>0</v>
      </c>
      <c r="L84" s="50">
        <f t="shared" si="11"/>
        <v>0</v>
      </c>
      <c r="M84" s="50">
        <f t="shared" si="12"/>
        <v>0</v>
      </c>
      <c r="N84" s="50">
        <f t="shared" si="13"/>
        <v>0</v>
      </c>
    </row>
    <row r="85" spans="1:14" ht="12.75" customHeight="1" x14ac:dyDescent="0.3">
      <c r="A85" s="24">
        <v>14.05</v>
      </c>
      <c r="B85" s="25" t="s">
        <v>98</v>
      </c>
      <c r="C85" s="112" t="s">
        <v>27</v>
      </c>
      <c r="D85" s="27">
        <v>530</v>
      </c>
      <c r="E85" s="181">
        <v>9274</v>
      </c>
      <c r="F85" s="181">
        <f t="shared" si="5"/>
        <v>4915220</v>
      </c>
      <c r="H85" s="245"/>
      <c r="I85" s="250">
        <v>0</v>
      </c>
      <c r="J85" s="250"/>
      <c r="K85" s="251">
        <f t="shared" si="10"/>
        <v>0</v>
      </c>
      <c r="L85" s="50">
        <f t="shared" si="11"/>
        <v>0</v>
      </c>
      <c r="M85" s="50">
        <f t="shared" si="12"/>
        <v>0</v>
      </c>
      <c r="N85" s="50">
        <f t="shared" si="13"/>
        <v>0</v>
      </c>
    </row>
    <row r="86" spans="1:14" ht="12.75" customHeight="1" x14ac:dyDescent="0.3">
      <c r="A86" s="106">
        <v>14.06</v>
      </c>
      <c r="B86" s="25" t="s">
        <v>99</v>
      </c>
      <c r="C86" s="112" t="s">
        <v>27</v>
      </c>
      <c r="D86" s="27">
        <v>56</v>
      </c>
      <c r="E86" s="181">
        <v>9274</v>
      </c>
      <c r="F86" s="181">
        <f t="shared" si="5"/>
        <v>519344</v>
      </c>
      <c r="H86" s="245"/>
      <c r="I86" s="250">
        <v>0</v>
      </c>
      <c r="J86" s="250"/>
      <c r="K86" s="251">
        <f t="shared" si="10"/>
        <v>0</v>
      </c>
      <c r="L86" s="50">
        <f t="shared" si="11"/>
        <v>0</v>
      </c>
      <c r="M86" s="50">
        <f t="shared" si="12"/>
        <v>0</v>
      </c>
      <c r="N86" s="50">
        <f t="shared" si="13"/>
        <v>0</v>
      </c>
    </row>
    <row r="87" spans="1:14" ht="12.75" customHeight="1" x14ac:dyDescent="0.3">
      <c r="A87" s="24">
        <v>14.07</v>
      </c>
      <c r="B87" s="25" t="s">
        <v>100</v>
      </c>
      <c r="C87" s="112" t="s">
        <v>19</v>
      </c>
      <c r="D87" s="27">
        <v>469</v>
      </c>
      <c r="E87" s="181">
        <v>5336</v>
      </c>
      <c r="F87" s="181">
        <f t="shared" si="5"/>
        <v>2502584</v>
      </c>
      <c r="H87" s="245"/>
      <c r="I87" s="250">
        <v>0</v>
      </c>
      <c r="J87" s="250"/>
      <c r="K87" s="251">
        <f t="shared" si="10"/>
        <v>0</v>
      </c>
      <c r="L87" s="50">
        <f t="shared" si="11"/>
        <v>0</v>
      </c>
      <c r="M87" s="50">
        <f t="shared" si="12"/>
        <v>0</v>
      </c>
      <c r="N87" s="50">
        <f t="shared" si="13"/>
        <v>0</v>
      </c>
    </row>
    <row r="88" spans="1:14" ht="12.75" customHeight="1" x14ac:dyDescent="0.3">
      <c r="A88" s="13">
        <v>15</v>
      </c>
      <c r="B88" s="17" t="s">
        <v>101</v>
      </c>
      <c r="C88" s="18"/>
      <c r="D88" s="19"/>
      <c r="E88" s="19"/>
      <c r="F88" s="19"/>
      <c r="G88" s="176">
        <f>+SUM(F89:F100)</f>
        <v>81675029</v>
      </c>
      <c r="H88" s="245">
        <f>+G88/$G$195</f>
        <v>9.667454388049064E-2</v>
      </c>
      <c r="I88" s="246"/>
      <c r="J88" s="247"/>
      <c r="K88" s="247"/>
      <c r="L88" s="178"/>
      <c r="M88" s="178"/>
      <c r="N88" s="179"/>
    </row>
    <row r="89" spans="1:14" ht="12.75" customHeight="1" x14ac:dyDescent="0.3">
      <c r="A89" s="115">
        <v>15.01</v>
      </c>
      <c r="B89" s="116" t="s">
        <v>102</v>
      </c>
      <c r="C89" s="122" t="s">
        <v>19</v>
      </c>
      <c r="D89" s="123">
        <v>739</v>
      </c>
      <c r="E89" s="181">
        <v>22075</v>
      </c>
      <c r="F89" s="181">
        <f t="shared" si="5"/>
        <v>16313425</v>
      </c>
      <c r="G89" s="186"/>
      <c r="H89" s="253"/>
      <c r="I89" s="250">
        <v>0</v>
      </c>
      <c r="J89" s="250"/>
      <c r="K89" s="251">
        <f t="shared" si="10"/>
        <v>0</v>
      </c>
      <c r="L89" s="50">
        <f t="shared" si="11"/>
        <v>0</v>
      </c>
      <c r="M89" s="50">
        <f t="shared" si="12"/>
        <v>0</v>
      </c>
      <c r="N89" s="50">
        <f t="shared" si="13"/>
        <v>0</v>
      </c>
    </row>
    <row r="90" spans="1:14" ht="12.75" customHeight="1" x14ac:dyDescent="0.3">
      <c r="A90" s="100">
        <v>15.02</v>
      </c>
      <c r="B90" s="25" t="s">
        <v>103</v>
      </c>
      <c r="C90" s="110" t="s">
        <v>19</v>
      </c>
      <c r="D90" s="29">
        <v>1439</v>
      </c>
      <c r="E90" s="181">
        <v>8883</v>
      </c>
      <c r="F90" s="181">
        <f t="shared" si="5"/>
        <v>12782637</v>
      </c>
      <c r="G90" s="186"/>
      <c r="H90" s="253"/>
      <c r="I90" s="250">
        <v>0</v>
      </c>
      <c r="J90" s="250"/>
      <c r="K90" s="251">
        <f t="shared" si="10"/>
        <v>0</v>
      </c>
      <c r="L90" s="50">
        <f t="shared" si="11"/>
        <v>0</v>
      </c>
      <c r="M90" s="50">
        <f t="shared" si="12"/>
        <v>0</v>
      </c>
      <c r="N90" s="50">
        <f t="shared" si="13"/>
        <v>0</v>
      </c>
    </row>
    <row r="91" spans="1:14" ht="12.75" customHeight="1" x14ac:dyDescent="0.3">
      <c r="A91" s="100">
        <v>15.03</v>
      </c>
      <c r="B91" s="25" t="s">
        <v>104</v>
      </c>
      <c r="C91" s="110" t="s">
        <v>19</v>
      </c>
      <c r="D91" s="29">
        <v>462</v>
      </c>
      <c r="E91" s="181">
        <v>14295</v>
      </c>
      <c r="F91" s="181">
        <f t="shared" si="5"/>
        <v>6604290</v>
      </c>
      <c r="G91" s="186"/>
      <c r="H91" s="253"/>
      <c r="I91" s="250">
        <v>0</v>
      </c>
      <c r="J91" s="250"/>
      <c r="K91" s="251">
        <f t="shared" si="10"/>
        <v>0</v>
      </c>
      <c r="L91" s="50">
        <f t="shared" si="11"/>
        <v>0</v>
      </c>
      <c r="M91" s="50">
        <f t="shared" si="12"/>
        <v>0</v>
      </c>
      <c r="N91" s="50">
        <f t="shared" si="13"/>
        <v>0</v>
      </c>
    </row>
    <row r="92" spans="1:14" ht="12.75" customHeight="1" x14ac:dyDescent="0.3">
      <c r="A92" s="100">
        <v>15.04</v>
      </c>
      <c r="B92" s="25" t="s">
        <v>105</v>
      </c>
      <c r="C92" s="110" t="s">
        <v>19</v>
      </c>
      <c r="D92" s="29">
        <v>144</v>
      </c>
      <c r="E92" s="181">
        <v>7538</v>
      </c>
      <c r="F92" s="181">
        <f t="shared" si="5"/>
        <v>1085472</v>
      </c>
      <c r="G92" s="186"/>
      <c r="H92" s="253"/>
      <c r="I92" s="250">
        <v>0</v>
      </c>
      <c r="J92" s="250"/>
      <c r="K92" s="251">
        <f t="shared" si="10"/>
        <v>0</v>
      </c>
      <c r="L92" s="50">
        <f t="shared" si="11"/>
        <v>0</v>
      </c>
      <c r="M92" s="50">
        <f t="shared" si="12"/>
        <v>0</v>
      </c>
      <c r="N92" s="50">
        <f t="shared" si="13"/>
        <v>0</v>
      </c>
    </row>
    <row r="93" spans="1:14" ht="12.75" customHeight="1" x14ac:dyDescent="0.3">
      <c r="A93" s="100">
        <v>15.05</v>
      </c>
      <c r="B93" s="25" t="s">
        <v>106</v>
      </c>
      <c r="C93" s="110" t="s">
        <v>19</v>
      </c>
      <c r="D93" s="29">
        <v>460</v>
      </c>
      <c r="E93" s="181">
        <v>8883</v>
      </c>
      <c r="F93" s="181">
        <f t="shared" si="5"/>
        <v>4086180</v>
      </c>
      <c r="G93" s="186"/>
      <c r="H93" s="253"/>
      <c r="I93" s="250">
        <v>0</v>
      </c>
      <c r="J93" s="250"/>
      <c r="K93" s="251">
        <f t="shared" si="10"/>
        <v>0</v>
      </c>
      <c r="L93" s="50">
        <f t="shared" si="11"/>
        <v>0</v>
      </c>
      <c r="M93" s="50">
        <f t="shared" si="12"/>
        <v>0</v>
      </c>
      <c r="N93" s="50">
        <f t="shared" si="13"/>
        <v>0</v>
      </c>
    </row>
    <row r="94" spans="1:14" ht="12.75" customHeight="1" x14ac:dyDescent="0.3">
      <c r="A94" s="100">
        <v>15.06</v>
      </c>
      <c r="B94" s="25" t="s">
        <v>107</v>
      </c>
      <c r="C94" s="110" t="s">
        <v>19</v>
      </c>
      <c r="D94" s="29">
        <v>204</v>
      </c>
      <c r="E94" s="181">
        <v>15750</v>
      </c>
      <c r="F94" s="181">
        <f t="shared" si="5"/>
        <v>3213000</v>
      </c>
      <c r="G94" s="186"/>
      <c r="H94" s="253"/>
      <c r="I94" s="250">
        <v>0</v>
      </c>
      <c r="J94" s="250"/>
      <c r="K94" s="251">
        <f t="shared" si="10"/>
        <v>0</v>
      </c>
      <c r="L94" s="50">
        <f t="shared" si="11"/>
        <v>0</v>
      </c>
      <c r="M94" s="50">
        <f t="shared" si="12"/>
        <v>0</v>
      </c>
      <c r="N94" s="50">
        <f t="shared" si="13"/>
        <v>0</v>
      </c>
    </row>
    <row r="95" spans="1:14" ht="12.75" customHeight="1" x14ac:dyDescent="0.3">
      <c r="A95" s="100">
        <v>15.07</v>
      </c>
      <c r="B95" s="25" t="s">
        <v>108</v>
      </c>
      <c r="C95" s="28" t="s">
        <v>19</v>
      </c>
      <c r="D95" s="29">
        <v>262</v>
      </c>
      <c r="E95" s="181">
        <v>17154</v>
      </c>
      <c r="F95" s="181">
        <f t="shared" si="5"/>
        <v>4494348</v>
      </c>
      <c r="G95" s="186"/>
      <c r="H95" s="245"/>
      <c r="I95" s="250">
        <v>0</v>
      </c>
      <c r="J95" s="250"/>
      <c r="K95" s="251">
        <f t="shared" si="10"/>
        <v>0</v>
      </c>
      <c r="L95" s="50">
        <f t="shared" si="11"/>
        <v>0</v>
      </c>
      <c r="M95" s="50">
        <f t="shared" si="12"/>
        <v>0</v>
      </c>
      <c r="N95" s="50">
        <f t="shared" si="13"/>
        <v>0</v>
      </c>
    </row>
    <row r="96" spans="1:14" ht="12.75" customHeight="1" x14ac:dyDescent="0.3">
      <c r="A96" s="100">
        <v>15.08</v>
      </c>
      <c r="B96" s="25" t="s">
        <v>109</v>
      </c>
      <c r="C96" s="110" t="s">
        <v>19</v>
      </c>
      <c r="D96" s="31">
        <v>756</v>
      </c>
      <c r="E96" s="181">
        <v>26534</v>
      </c>
      <c r="F96" s="181">
        <f t="shared" si="5"/>
        <v>20059704</v>
      </c>
      <c r="G96" s="186"/>
      <c r="H96" s="252"/>
      <c r="I96" s="250">
        <v>0</v>
      </c>
      <c r="J96" s="250"/>
      <c r="K96" s="251">
        <f t="shared" si="10"/>
        <v>0</v>
      </c>
      <c r="L96" s="50">
        <f t="shared" si="11"/>
        <v>0</v>
      </c>
      <c r="M96" s="50">
        <f t="shared" si="12"/>
        <v>0</v>
      </c>
      <c r="N96" s="50">
        <f t="shared" si="13"/>
        <v>0</v>
      </c>
    </row>
    <row r="97" spans="1:19" ht="12.75" customHeight="1" x14ac:dyDescent="0.3">
      <c r="A97" s="100">
        <v>15.09</v>
      </c>
      <c r="B97" s="25" t="s">
        <v>110</v>
      </c>
      <c r="C97" s="110" t="s">
        <v>19</v>
      </c>
      <c r="D97" s="31">
        <v>56</v>
      </c>
      <c r="E97" s="181">
        <v>31737</v>
      </c>
      <c r="F97" s="181">
        <f t="shared" si="5"/>
        <v>1777272</v>
      </c>
      <c r="G97" s="186"/>
      <c r="H97" s="252"/>
      <c r="I97" s="250">
        <v>0</v>
      </c>
      <c r="J97" s="250"/>
      <c r="K97" s="251">
        <f t="shared" si="10"/>
        <v>0</v>
      </c>
      <c r="L97" s="50">
        <f t="shared" si="11"/>
        <v>0</v>
      </c>
      <c r="M97" s="50">
        <f t="shared" si="12"/>
        <v>0</v>
      </c>
      <c r="N97" s="50">
        <f t="shared" si="13"/>
        <v>0</v>
      </c>
    </row>
    <row r="98" spans="1:19" ht="12.75" customHeight="1" x14ac:dyDescent="0.3">
      <c r="A98" s="100">
        <v>15.1</v>
      </c>
      <c r="B98" s="25" t="s">
        <v>111</v>
      </c>
      <c r="C98" s="110" t="s">
        <v>29</v>
      </c>
      <c r="D98" s="31">
        <v>1</v>
      </c>
      <c r="E98" s="181">
        <v>885031</v>
      </c>
      <c r="F98" s="181">
        <f t="shared" si="5"/>
        <v>885031</v>
      </c>
      <c r="H98" s="245"/>
      <c r="I98" s="250">
        <v>0</v>
      </c>
      <c r="J98" s="250"/>
      <c r="K98" s="251">
        <f t="shared" si="10"/>
        <v>0</v>
      </c>
      <c r="L98" s="50">
        <f t="shared" si="11"/>
        <v>0</v>
      </c>
      <c r="M98" s="50">
        <f t="shared" si="12"/>
        <v>0</v>
      </c>
      <c r="N98" s="50">
        <f t="shared" si="13"/>
        <v>0</v>
      </c>
    </row>
    <row r="99" spans="1:19" ht="12.75" customHeight="1" x14ac:dyDescent="0.3">
      <c r="A99" s="100">
        <v>15.11</v>
      </c>
      <c r="B99" s="25" t="s">
        <v>112</v>
      </c>
      <c r="C99" s="110" t="s">
        <v>52</v>
      </c>
      <c r="D99" s="31">
        <v>73</v>
      </c>
      <c r="E99" s="181">
        <v>83386</v>
      </c>
      <c r="F99" s="181">
        <f t="shared" si="5"/>
        <v>6087178</v>
      </c>
      <c r="H99" s="245"/>
      <c r="I99" s="250">
        <v>0</v>
      </c>
      <c r="J99" s="250"/>
      <c r="K99" s="251">
        <f t="shared" si="10"/>
        <v>0</v>
      </c>
      <c r="L99" s="50">
        <f t="shared" si="11"/>
        <v>0</v>
      </c>
      <c r="M99" s="50">
        <f t="shared" si="12"/>
        <v>0</v>
      </c>
      <c r="N99" s="50">
        <f t="shared" si="13"/>
        <v>0</v>
      </c>
    </row>
    <row r="100" spans="1:19" ht="12.75" customHeight="1" x14ac:dyDescent="0.3">
      <c r="A100" s="100">
        <v>15.12</v>
      </c>
      <c r="B100" s="124" t="s">
        <v>113</v>
      </c>
      <c r="C100" s="111" t="s">
        <v>29</v>
      </c>
      <c r="D100" s="35">
        <v>1</v>
      </c>
      <c r="E100" s="181">
        <v>4286492</v>
      </c>
      <c r="F100" s="181">
        <f t="shared" si="5"/>
        <v>4286492</v>
      </c>
      <c r="H100" s="245"/>
      <c r="I100" s="250">
        <v>0</v>
      </c>
      <c r="J100" s="250"/>
      <c r="K100" s="251">
        <f t="shared" si="10"/>
        <v>0</v>
      </c>
      <c r="L100" s="50">
        <f t="shared" si="11"/>
        <v>0</v>
      </c>
      <c r="M100" s="50">
        <f t="shared" si="12"/>
        <v>0</v>
      </c>
      <c r="N100" s="50">
        <f t="shared" si="13"/>
        <v>0</v>
      </c>
    </row>
    <row r="101" spans="1:19" ht="12.75" customHeight="1" x14ac:dyDescent="0.3">
      <c r="A101" s="13">
        <v>16</v>
      </c>
      <c r="B101" s="125" t="s">
        <v>114</v>
      </c>
      <c r="C101" s="18"/>
      <c r="D101" s="19"/>
      <c r="E101" s="19"/>
      <c r="F101" s="19"/>
      <c r="G101" s="176">
        <f>+SUM(F102)</f>
        <v>0</v>
      </c>
      <c r="H101" s="245">
        <f>+G101/$G$195</f>
        <v>0</v>
      </c>
      <c r="I101" s="246"/>
      <c r="J101" s="247"/>
      <c r="K101" s="247"/>
      <c r="L101" s="178"/>
      <c r="M101" s="178"/>
      <c r="N101" s="179"/>
    </row>
    <row r="102" spans="1:19" ht="12.75" customHeight="1" x14ac:dyDescent="0.3">
      <c r="A102" s="20"/>
      <c r="B102" s="21"/>
      <c r="C102" s="93"/>
      <c r="D102" s="94"/>
      <c r="E102" s="184">
        <v>0</v>
      </c>
      <c r="F102" s="183">
        <f t="shared" si="5"/>
        <v>0</v>
      </c>
      <c r="G102" s="185"/>
      <c r="H102" s="252"/>
      <c r="I102" s="250">
        <v>0</v>
      </c>
      <c r="J102" s="250"/>
      <c r="K102" s="251">
        <f t="shared" si="10"/>
        <v>0</v>
      </c>
      <c r="L102" s="50">
        <f t="shared" si="11"/>
        <v>0</v>
      </c>
      <c r="M102" s="50">
        <f t="shared" si="12"/>
        <v>0</v>
      </c>
      <c r="N102" s="50">
        <f t="shared" si="13"/>
        <v>0</v>
      </c>
    </row>
    <row r="103" spans="1:19" ht="12.75" customHeight="1" x14ac:dyDescent="0.3">
      <c r="A103" s="13">
        <v>17</v>
      </c>
      <c r="B103" s="17" t="s">
        <v>115</v>
      </c>
      <c r="C103" s="18"/>
      <c r="D103" s="19"/>
      <c r="E103" s="19"/>
      <c r="F103" s="19"/>
      <c r="G103" s="176">
        <f>+SUM(F104:F107)</f>
        <v>9415299</v>
      </c>
      <c r="H103" s="245">
        <f>+G103/$G$195</f>
        <v>1.1144406649962005E-2</v>
      </c>
      <c r="I103" s="246"/>
      <c r="J103" s="247"/>
      <c r="K103" s="247"/>
      <c r="L103" s="178"/>
      <c r="M103" s="178"/>
      <c r="N103" s="179"/>
    </row>
    <row r="104" spans="1:19" ht="12.75" customHeight="1" x14ac:dyDescent="0.3">
      <c r="A104" s="20">
        <f>+A103+0.01</f>
        <v>17.010000000000002</v>
      </c>
      <c r="B104" s="126" t="s">
        <v>116</v>
      </c>
      <c r="C104" s="127" t="s">
        <v>33</v>
      </c>
      <c r="D104" s="94">
        <v>57</v>
      </c>
      <c r="E104" s="180">
        <v>79321</v>
      </c>
      <c r="F104" s="180">
        <f t="shared" si="5"/>
        <v>4521297</v>
      </c>
      <c r="G104" s="182"/>
      <c r="H104" s="245"/>
      <c r="I104" s="250">
        <v>0</v>
      </c>
      <c r="J104" s="250"/>
      <c r="K104" s="251">
        <f t="shared" si="10"/>
        <v>0</v>
      </c>
      <c r="L104" s="50">
        <f t="shared" si="11"/>
        <v>0</v>
      </c>
      <c r="M104" s="50">
        <f t="shared" si="12"/>
        <v>0</v>
      </c>
      <c r="N104" s="50">
        <f t="shared" si="13"/>
        <v>0</v>
      </c>
    </row>
    <row r="105" spans="1:19" ht="12.75" customHeight="1" x14ac:dyDescent="0.3">
      <c r="A105" s="24">
        <v>17.02</v>
      </c>
      <c r="B105" s="128" t="s">
        <v>117</v>
      </c>
      <c r="C105" s="129" t="s">
        <v>33</v>
      </c>
      <c r="D105" s="31">
        <v>11</v>
      </c>
      <c r="E105" s="181">
        <v>79321</v>
      </c>
      <c r="F105" s="181">
        <f t="shared" si="5"/>
        <v>872531</v>
      </c>
      <c r="G105" s="182"/>
      <c r="H105" s="245"/>
      <c r="I105" s="250">
        <v>0</v>
      </c>
      <c r="J105" s="250"/>
      <c r="K105" s="251">
        <f t="shared" si="10"/>
        <v>0</v>
      </c>
      <c r="L105" s="50">
        <f t="shared" si="11"/>
        <v>0</v>
      </c>
      <c r="M105" s="50">
        <f t="shared" si="12"/>
        <v>0</v>
      </c>
      <c r="N105" s="50">
        <f t="shared" si="13"/>
        <v>0</v>
      </c>
    </row>
    <row r="106" spans="1:19" ht="12.75" customHeight="1" x14ac:dyDescent="0.3">
      <c r="A106" s="24">
        <v>17.03</v>
      </c>
      <c r="B106" s="128" t="s">
        <v>118</v>
      </c>
      <c r="C106" s="129" t="s">
        <v>33</v>
      </c>
      <c r="D106" s="31">
        <v>65</v>
      </c>
      <c r="E106" s="181">
        <v>51161</v>
      </c>
      <c r="F106" s="181">
        <f t="shared" si="5"/>
        <v>3325465</v>
      </c>
      <c r="G106" s="182"/>
      <c r="H106" s="245"/>
      <c r="I106" s="250">
        <v>0</v>
      </c>
      <c r="J106" s="250"/>
      <c r="K106" s="251">
        <f t="shared" si="10"/>
        <v>0</v>
      </c>
      <c r="L106" s="50">
        <f t="shared" si="11"/>
        <v>0</v>
      </c>
      <c r="M106" s="50">
        <f t="shared" si="12"/>
        <v>0</v>
      </c>
      <c r="N106" s="50">
        <f t="shared" si="13"/>
        <v>0</v>
      </c>
    </row>
    <row r="107" spans="1:19" ht="12.75" customHeight="1" x14ac:dyDescent="0.3">
      <c r="A107" s="130">
        <v>17.04</v>
      </c>
      <c r="B107" s="38" t="s">
        <v>119</v>
      </c>
      <c r="C107" s="34" t="s">
        <v>33</v>
      </c>
      <c r="D107" s="35">
        <v>6</v>
      </c>
      <c r="E107" s="189">
        <v>116001</v>
      </c>
      <c r="F107" s="189">
        <f t="shared" si="5"/>
        <v>696006</v>
      </c>
      <c r="G107" s="182"/>
      <c r="H107" s="245"/>
      <c r="I107" s="250">
        <v>0</v>
      </c>
      <c r="J107" s="250"/>
      <c r="K107" s="251">
        <f t="shared" si="10"/>
        <v>0</v>
      </c>
      <c r="L107" s="50">
        <f t="shared" si="11"/>
        <v>0</v>
      </c>
      <c r="M107" s="50">
        <f t="shared" si="12"/>
        <v>0</v>
      </c>
      <c r="N107" s="50">
        <f t="shared" si="13"/>
        <v>0</v>
      </c>
    </row>
    <row r="108" spans="1:19" ht="12.75" customHeight="1" x14ac:dyDescent="0.3">
      <c r="A108" s="13">
        <v>18</v>
      </c>
      <c r="B108" s="40" t="s">
        <v>120</v>
      </c>
      <c r="C108" s="18"/>
      <c r="D108" s="19"/>
      <c r="E108" s="19"/>
      <c r="F108" s="19"/>
      <c r="G108" s="176">
        <f>+SUM(F109:F141)</f>
        <v>87609553</v>
      </c>
      <c r="H108" s="245">
        <f>+G108/$G$195</f>
        <v>0.10369893564223492</v>
      </c>
      <c r="I108" s="246"/>
      <c r="J108" s="247"/>
      <c r="K108" s="247"/>
      <c r="L108" s="178"/>
      <c r="M108" s="178"/>
      <c r="N108" s="179"/>
    </row>
    <row r="109" spans="1:19" ht="12.75" customHeight="1" x14ac:dyDescent="0.3">
      <c r="A109" s="115">
        <f>+A108+0.01</f>
        <v>18.010000000000002</v>
      </c>
      <c r="B109" s="131" t="s">
        <v>121</v>
      </c>
      <c r="C109" s="132" t="s">
        <v>33</v>
      </c>
      <c r="D109" s="94">
        <v>260</v>
      </c>
      <c r="E109" s="180">
        <v>76531</v>
      </c>
      <c r="F109" s="180">
        <f t="shared" si="5"/>
        <v>19898060</v>
      </c>
      <c r="H109" s="245"/>
      <c r="I109" s="250">
        <v>0</v>
      </c>
      <c r="J109" s="288">
        <v>0.05</v>
      </c>
      <c r="K109" s="251">
        <f t="shared" si="10"/>
        <v>0.05</v>
      </c>
      <c r="L109" s="50">
        <f t="shared" si="11"/>
        <v>0</v>
      </c>
      <c r="M109" s="50">
        <f t="shared" si="12"/>
        <v>994903</v>
      </c>
      <c r="N109" s="50">
        <f t="shared" si="13"/>
        <v>994903</v>
      </c>
      <c r="Q109" s="263"/>
      <c r="S109" s="262"/>
    </row>
    <row r="110" spans="1:19" ht="12.75" customHeight="1" x14ac:dyDescent="0.3">
      <c r="A110" s="100">
        <v>18.02</v>
      </c>
      <c r="B110" s="98" t="s">
        <v>122</v>
      </c>
      <c r="C110" s="133" t="s">
        <v>33</v>
      </c>
      <c r="D110" s="31">
        <v>62</v>
      </c>
      <c r="E110" s="181">
        <v>73235</v>
      </c>
      <c r="F110" s="181">
        <f t="shared" si="5"/>
        <v>4540570</v>
      </c>
      <c r="H110" s="245"/>
      <c r="I110" s="250">
        <v>0</v>
      </c>
      <c r="J110" s="288">
        <v>0.06</v>
      </c>
      <c r="K110" s="251">
        <f t="shared" si="10"/>
        <v>0.06</v>
      </c>
      <c r="L110" s="50">
        <f t="shared" si="11"/>
        <v>0</v>
      </c>
      <c r="M110" s="50">
        <f t="shared" si="12"/>
        <v>272434.2</v>
      </c>
      <c r="N110" s="50">
        <f t="shared" si="13"/>
        <v>272434.2</v>
      </c>
      <c r="Q110" s="263"/>
      <c r="S110" s="262"/>
    </row>
    <row r="111" spans="1:19" ht="12.75" customHeight="1" x14ac:dyDescent="0.3">
      <c r="A111" s="100">
        <v>18.03</v>
      </c>
      <c r="B111" s="98" t="s">
        <v>123</v>
      </c>
      <c r="C111" s="133" t="s">
        <v>33</v>
      </c>
      <c r="D111" s="31">
        <v>12</v>
      </c>
      <c r="E111" s="181">
        <v>73235</v>
      </c>
      <c r="F111" s="181">
        <f t="shared" si="5"/>
        <v>878820</v>
      </c>
      <c r="H111" s="245"/>
      <c r="I111" s="250">
        <v>0</v>
      </c>
      <c r="J111" s="288">
        <v>0.25</v>
      </c>
      <c r="K111" s="251">
        <f t="shared" si="10"/>
        <v>0.25</v>
      </c>
      <c r="L111" s="50">
        <f t="shared" si="11"/>
        <v>0</v>
      </c>
      <c r="M111" s="50">
        <f t="shared" si="12"/>
        <v>219705</v>
      </c>
      <c r="N111" s="50">
        <f t="shared" si="13"/>
        <v>219705</v>
      </c>
      <c r="Q111" s="263"/>
      <c r="S111" s="262"/>
    </row>
    <row r="112" spans="1:19" ht="12.75" customHeight="1" x14ac:dyDescent="0.3">
      <c r="A112" s="100">
        <v>18.04</v>
      </c>
      <c r="B112" s="98" t="s">
        <v>124</v>
      </c>
      <c r="C112" s="133" t="s">
        <v>33</v>
      </c>
      <c r="D112" s="31">
        <v>16</v>
      </c>
      <c r="E112" s="181">
        <v>73235</v>
      </c>
      <c r="F112" s="181">
        <f t="shared" si="5"/>
        <v>1171760</v>
      </c>
      <c r="H112" s="245"/>
      <c r="I112" s="250">
        <v>0</v>
      </c>
      <c r="J112" s="288">
        <v>0.15</v>
      </c>
      <c r="K112" s="251">
        <f t="shared" si="10"/>
        <v>0.15</v>
      </c>
      <c r="L112" s="50">
        <f t="shared" si="11"/>
        <v>0</v>
      </c>
      <c r="M112" s="50">
        <f t="shared" si="12"/>
        <v>175764</v>
      </c>
      <c r="N112" s="50">
        <f t="shared" si="13"/>
        <v>175764</v>
      </c>
      <c r="Q112" s="263"/>
      <c r="S112" s="262"/>
    </row>
    <row r="113" spans="1:19" ht="12.75" customHeight="1" x14ac:dyDescent="0.3">
      <c r="A113" s="100">
        <v>18.05</v>
      </c>
      <c r="B113" s="98" t="s">
        <v>125</v>
      </c>
      <c r="C113" s="133" t="s">
        <v>33</v>
      </c>
      <c r="D113" s="31">
        <v>1</v>
      </c>
      <c r="E113" s="181">
        <v>73235</v>
      </c>
      <c r="F113" s="181">
        <f t="shared" si="5"/>
        <v>73235</v>
      </c>
      <c r="H113" s="245"/>
      <c r="I113" s="250">
        <v>0</v>
      </c>
      <c r="J113" s="288">
        <v>0.4</v>
      </c>
      <c r="K113" s="251">
        <f t="shared" si="10"/>
        <v>0.4</v>
      </c>
      <c r="L113" s="50">
        <f t="shared" si="11"/>
        <v>0</v>
      </c>
      <c r="M113" s="50">
        <f t="shared" si="12"/>
        <v>29294</v>
      </c>
      <c r="N113" s="50">
        <f t="shared" si="13"/>
        <v>29294</v>
      </c>
    </row>
    <row r="114" spans="1:19" ht="12.75" customHeight="1" x14ac:dyDescent="0.3">
      <c r="A114" s="100">
        <v>18.059999999999999</v>
      </c>
      <c r="B114" s="98" t="s">
        <v>126</v>
      </c>
      <c r="C114" s="133" t="s">
        <v>33</v>
      </c>
      <c r="D114" s="31">
        <v>24</v>
      </c>
      <c r="E114" s="181">
        <v>73235</v>
      </c>
      <c r="F114" s="181">
        <f t="shared" si="5"/>
        <v>1757640</v>
      </c>
      <c r="H114" s="245"/>
      <c r="I114" s="250">
        <v>0</v>
      </c>
      <c r="J114" s="288"/>
      <c r="K114" s="251">
        <f t="shared" si="10"/>
        <v>0</v>
      </c>
      <c r="L114" s="50">
        <f t="shared" si="11"/>
        <v>0</v>
      </c>
      <c r="M114" s="50">
        <f t="shared" si="12"/>
        <v>0</v>
      </c>
      <c r="N114" s="50">
        <f t="shared" si="13"/>
        <v>0</v>
      </c>
    </row>
    <row r="115" spans="1:19" ht="12.75" customHeight="1" x14ac:dyDescent="0.3">
      <c r="A115" s="100">
        <v>18.07</v>
      </c>
      <c r="B115" s="98" t="s">
        <v>127</v>
      </c>
      <c r="C115" s="133" t="s">
        <v>33</v>
      </c>
      <c r="D115" s="31">
        <v>226</v>
      </c>
      <c r="E115" s="181">
        <v>69154</v>
      </c>
      <c r="F115" s="181">
        <f t="shared" si="5"/>
        <v>15628804</v>
      </c>
      <c r="H115" s="245"/>
      <c r="I115" s="250">
        <v>0</v>
      </c>
      <c r="J115" s="288">
        <v>0.03</v>
      </c>
      <c r="K115" s="251">
        <f t="shared" si="10"/>
        <v>0.03</v>
      </c>
      <c r="L115" s="50">
        <f t="shared" si="11"/>
        <v>0</v>
      </c>
      <c r="M115" s="50">
        <f t="shared" si="12"/>
        <v>468864.12</v>
      </c>
      <c r="N115" s="50">
        <f t="shared" si="13"/>
        <v>468864.12</v>
      </c>
      <c r="Q115" s="263"/>
    </row>
    <row r="116" spans="1:19" ht="12.75" customHeight="1" x14ac:dyDescent="0.3">
      <c r="A116" s="100">
        <v>18.079999999999998</v>
      </c>
      <c r="B116" s="98" t="s">
        <v>128</v>
      </c>
      <c r="C116" s="133" t="s">
        <v>33</v>
      </c>
      <c r="D116" s="31">
        <v>32</v>
      </c>
      <c r="E116" s="181">
        <v>95308</v>
      </c>
      <c r="F116" s="181">
        <f t="shared" si="5"/>
        <v>3049856</v>
      </c>
      <c r="H116" s="245"/>
      <c r="I116" s="250">
        <v>0</v>
      </c>
      <c r="J116" s="288"/>
      <c r="K116" s="251">
        <f t="shared" si="10"/>
        <v>0</v>
      </c>
      <c r="L116" s="50">
        <f t="shared" si="11"/>
        <v>0</v>
      </c>
      <c r="M116" s="50">
        <f t="shared" si="12"/>
        <v>0</v>
      </c>
      <c r="N116" s="50">
        <f t="shared" si="13"/>
        <v>0</v>
      </c>
    </row>
    <row r="117" spans="1:19" ht="12.75" customHeight="1" x14ac:dyDescent="0.3">
      <c r="A117" s="100">
        <v>18.09</v>
      </c>
      <c r="B117" s="98" t="s">
        <v>129</v>
      </c>
      <c r="C117" s="133" t="s">
        <v>33</v>
      </c>
      <c r="D117" s="31">
        <v>8</v>
      </c>
      <c r="E117" s="181">
        <v>69154</v>
      </c>
      <c r="F117" s="181">
        <f t="shared" si="5"/>
        <v>553232</v>
      </c>
      <c r="H117" s="245"/>
      <c r="I117" s="250">
        <v>0</v>
      </c>
      <c r="J117" s="288"/>
      <c r="K117" s="251">
        <f t="shared" si="10"/>
        <v>0</v>
      </c>
      <c r="L117" s="50">
        <f t="shared" si="11"/>
        <v>0</v>
      </c>
      <c r="M117" s="50">
        <f t="shared" si="12"/>
        <v>0</v>
      </c>
      <c r="N117" s="50">
        <f t="shared" si="13"/>
        <v>0</v>
      </c>
    </row>
    <row r="118" spans="1:19" ht="12.75" customHeight="1" x14ac:dyDescent="0.3">
      <c r="A118" s="100">
        <v>18.100000000000001</v>
      </c>
      <c r="B118" s="98" t="s">
        <v>130</v>
      </c>
      <c r="C118" s="133" t="s">
        <v>33</v>
      </c>
      <c r="D118" s="31">
        <v>8</v>
      </c>
      <c r="E118" s="181">
        <v>69154</v>
      </c>
      <c r="F118" s="181">
        <f t="shared" si="5"/>
        <v>553232</v>
      </c>
      <c r="H118" s="245"/>
      <c r="I118" s="250">
        <v>0</v>
      </c>
      <c r="J118" s="288"/>
      <c r="K118" s="251">
        <f t="shared" si="10"/>
        <v>0</v>
      </c>
      <c r="L118" s="50">
        <f t="shared" si="11"/>
        <v>0</v>
      </c>
      <c r="M118" s="50">
        <f t="shared" si="12"/>
        <v>0</v>
      </c>
      <c r="N118" s="50">
        <f t="shared" si="13"/>
        <v>0</v>
      </c>
    </row>
    <row r="119" spans="1:19" ht="12.75" customHeight="1" x14ac:dyDescent="0.3">
      <c r="A119" s="100">
        <v>18.11</v>
      </c>
      <c r="B119" s="98" t="s">
        <v>131</v>
      </c>
      <c r="C119" s="133" t="s">
        <v>33</v>
      </c>
      <c r="D119" s="31">
        <v>26</v>
      </c>
      <c r="E119" s="181">
        <v>50616</v>
      </c>
      <c r="F119" s="181">
        <f t="shared" si="5"/>
        <v>1316016</v>
      </c>
      <c r="H119" s="245"/>
      <c r="I119" s="250">
        <v>0</v>
      </c>
      <c r="J119" s="288"/>
      <c r="K119" s="251">
        <f t="shared" si="10"/>
        <v>0</v>
      </c>
      <c r="L119" s="50">
        <f t="shared" si="11"/>
        <v>0</v>
      </c>
      <c r="M119" s="50">
        <f t="shared" si="12"/>
        <v>0</v>
      </c>
      <c r="N119" s="50">
        <f t="shared" si="13"/>
        <v>0</v>
      </c>
    </row>
    <row r="120" spans="1:19" ht="12.75" customHeight="1" x14ac:dyDescent="0.3">
      <c r="A120" s="100">
        <v>18.12</v>
      </c>
      <c r="B120" s="98" t="s">
        <v>132</v>
      </c>
      <c r="C120" s="133" t="s">
        <v>33</v>
      </c>
      <c r="D120" s="31">
        <v>27</v>
      </c>
      <c r="E120" s="181">
        <v>50616</v>
      </c>
      <c r="F120" s="181">
        <f t="shared" si="5"/>
        <v>1366632</v>
      </c>
      <c r="H120" s="245"/>
      <c r="I120" s="250">
        <v>0</v>
      </c>
      <c r="J120" s="288"/>
      <c r="K120" s="251">
        <f t="shared" si="10"/>
        <v>0</v>
      </c>
      <c r="L120" s="50">
        <f t="shared" si="11"/>
        <v>0</v>
      </c>
      <c r="M120" s="50">
        <f t="shared" si="12"/>
        <v>0</v>
      </c>
      <c r="N120" s="50">
        <f t="shared" si="13"/>
        <v>0</v>
      </c>
    </row>
    <row r="121" spans="1:19" ht="12.75" customHeight="1" x14ac:dyDescent="0.3">
      <c r="A121" s="100">
        <v>18.13</v>
      </c>
      <c r="B121" s="98" t="s">
        <v>133</v>
      </c>
      <c r="C121" s="133" t="s">
        <v>33</v>
      </c>
      <c r="D121" s="31">
        <v>9</v>
      </c>
      <c r="E121" s="181">
        <v>50616</v>
      </c>
      <c r="F121" s="181">
        <f t="shared" si="5"/>
        <v>455544</v>
      </c>
      <c r="H121" s="245"/>
      <c r="I121" s="250">
        <v>0</v>
      </c>
      <c r="J121" s="288"/>
      <c r="K121" s="251">
        <f t="shared" si="10"/>
        <v>0</v>
      </c>
      <c r="L121" s="50">
        <f t="shared" si="11"/>
        <v>0</v>
      </c>
      <c r="M121" s="50">
        <f t="shared" si="12"/>
        <v>0</v>
      </c>
      <c r="N121" s="50">
        <f t="shared" si="13"/>
        <v>0</v>
      </c>
    </row>
    <row r="122" spans="1:19" ht="12.75" customHeight="1" x14ac:dyDescent="0.3">
      <c r="A122" s="100">
        <v>18.14</v>
      </c>
      <c r="B122" s="98" t="s">
        <v>134</v>
      </c>
      <c r="C122" s="133" t="s">
        <v>33</v>
      </c>
      <c r="D122" s="31">
        <v>29</v>
      </c>
      <c r="E122" s="181">
        <v>50616</v>
      </c>
      <c r="F122" s="181">
        <f t="shared" si="5"/>
        <v>1467864</v>
      </c>
      <c r="H122" s="245"/>
      <c r="I122" s="250">
        <v>0</v>
      </c>
      <c r="J122" s="288"/>
      <c r="K122" s="251">
        <f t="shared" si="10"/>
        <v>0</v>
      </c>
      <c r="L122" s="50">
        <f t="shared" si="11"/>
        <v>0</v>
      </c>
      <c r="M122" s="50">
        <f t="shared" si="12"/>
        <v>0</v>
      </c>
      <c r="N122" s="50">
        <f t="shared" si="13"/>
        <v>0</v>
      </c>
    </row>
    <row r="123" spans="1:19" ht="12.75" customHeight="1" x14ac:dyDescent="0.3">
      <c r="A123" s="100">
        <v>18.149999999999999</v>
      </c>
      <c r="B123" s="98" t="s">
        <v>135</v>
      </c>
      <c r="C123" s="133" t="s">
        <v>33</v>
      </c>
      <c r="D123" s="31">
        <v>3</v>
      </c>
      <c r="E123" s="181">
        <v>50616</v>
      </c>
      <c r="F123" s="181">
        <f t="shared" si="5"/>
        <v>151848</v>
      </c>
      <c r="H123" s="245"/>
      <c r="I123" s="250">
        <v>0</v>
      </c>
      <c r="J123" s="288">
        <v>0.4</v>
      </c>
      <c r="K123" s="251">
        <f t="shared" si="10"/>
        <v>0.4</v>
      </c>
      <c r="L123" s="50">
        <f t="shared" si="11"/>
        <v>0</v>
      </c>
      <c r="M123" s="50">
        <f t="shared" si="12"/>
        <v>60739.200000000004</v>
      </c>
      <c r="N123" s="50">
        <f t="shared" si="13"/>
        <v>60739.200000000004</v>
      </c>
      <c r="Q123" s="263"/>
      <c r="S123" s="262"/>
    </row>
    <row r="124" spans="1:19" ht="12.75" customHeight="1" x14ac:dyDescent="0.3">
      <c r="A124" s="100">
        <v>18.16</v>
      </c>
      <c r="B124" s="98" t="s">
        <v>136</v>
      </c>
      <c r="C124" s="133" t="s">
        <v>33</v>
      </c>
      <c r="D124" s="31">
        <v>1</v>
      </c>
      <c r="E124" s="181">
        <v>2245770</v>
      </c>
      <c r="F124" s="181">
        <f t="shared" si="5"/>
        <v>2245770</v>
      </c>
      <c r="H124" s="245"/>
      <c r="I124" s="250">
        <v>0</v>
      </c>
      <c r="J124" s="288"/>
      <c r="K124" s="251">
        <f t="shared" si="10"/>
        <v>0</v>
      </c>
      <c r="L124" s="50">
        <f t="shared" si="11"/>
        <v>0</v>
      </c>
      <c r="M124" s="50">
        <f t="shared" si="12"/>
        <v>0</v>
      </c>
      <c r="N124" s="50">
        <f t="shared" si="13"/>
        <v>0</v>
      </c>
    </row>
    <row r="125" spans="1:19" ht="12.75" customHeight="1" x14ac:dyDescent="0.3">
      <c r="A125" s="100">
        <v>18.170000000000002</v>
      </c>
      <c r="B125" s="98" t="s">
        <v>137</v>
      </c>
      <c r="C125" s="133" t="s">
        <v>33</v>
      </c>
      <c r="D125" s="31">
        <v>1</v>
      </c>
      <c r="E125" s="181">
        <v>1116033</v>
      </c>
      <c r="F125" s="181">
        <f t="shared" si="5"/>
        <v>1116033</v>
      </c>
      <c r="H125" s="245"/>
      <c r="I125" s="250">
        <v>0</v>
      </c>
      <c r="J125" s="288"/>
      <c r="K125" s="251">
        <f t="shared" si="10"/>
        <v>0</v>
      </c>
      <c r="L125" s="50">
        <f t="shared" si="11"/>
        <v>0</v>
      </c>
      <c r="M125" s="50">
        <f t="shared" si="12"/>
        <v>0</v>
      </c>
      <c r="N125" s="50">
        <f t="shared" si="13"/>
        <v>0</v>
      </c>
    </row>
    <row r="126" spans="1:19" ht="12.75" customHeight="1" x14ac:dyDescent="0.3">
      <c r="A126" s="100">
        <v>18.18</v>
      </c>
      <c r="B126" s="98" t="s">
        <v>138</v>
      </c>
      <c r="C126" s="133" t="s">
        <v>33</v>
      </c>
      <c r="D126" s="31">
        <v>2</v>
      </c>
      <c r="E126" s="181">
        <v>530996</v>
      </c>
      <c r="F126" s="181">
        <f t="shared" si="5"/>
        <v>1061992</v>
      </c>
      <c r="H126" s="245"/>
      <c r="I126" s="250">
        <v>0</v>
      </c>
      <c r="J126" s="288"/>
      <c r="K126" s="251">
        <f t="shared" si="10"/>
        <v>0</v>
      </c>
      <c r="L126" s="50">
        <f t="shared" si="11"/>
        <v>0</v>
      </c>
      <c r="M126" s="50">
        <f t="shared" si="12"/>
        <v>0</v>
      </c>
      <c r="N126" s="50">
        <f t="shared" si="13"/>
        <v>0</v>
      </c>
    </row>
    <row r="127" spans="1:19" ht="12.75" customHeight="1" x14ac:dyDescent="0.3">
      <c r="A127" s="100">
        <v>18.190000000000001</v>
      </c>
      <c r="B127" s="98" t="s">
        <v>139</v>
      </c>
      <c r="C127" s="133" t="s">
        <v>33</v>
      </c>
      <c r="D127" s="31">
        <v>9</v>
      </c>
      <c r="E127" s="181">
        <v>595409</v>
      </c>
      <c r="F127" s="181">
        <f t="shared" si="5"/>
        <v>5358681</v>
      </c>
      <c r="H127" s="245"/>
      <c r="I127" s="250">
        <v>0</v>
      </c>
      <c r="J127" s="288"/>
      <c r="K127" s="251">
        <f t="shared" si="10"/>
        <v>0</v>
      </c>
      <c r="L127" s="50">
        <f t="shared" si="11"/>
        <v>0</v>
      </c>
      <c r="M127" s="50">
        <f t="shared" si="12"/>
        <v>0</v>
      </c>
      <c r="N127" s="50">
        <f t="shared" si="13"/>
        <v>0</v>
      </c>
    </row>
    <row r="128" spans="1:19" ht="12.75" customHeight="1" x14ac:dyDescent="0.3">
      <c r="A128" s="100">
        <v>18.2</v>
      </c>
      <c r="B128" s="98" t="s">
        <v>140</v>
      </c>
      <c r="C128" s="133" t="s">
        <v>29</v>
      </c>
      <c r="D128" s="31">
        <v>1</v>
      </c>
      <c r="E128" s="181">
        <v>6378278</v>
      </c>
      <c r="F128" s="181">
        <f t="shared" si="5"/>
        <v>6378278</v>
      </c>
      <c r="H128" s="245"/>
      <c r="I128" s="250">
        <v>0</v>
      </c>
      <c r="J128" s="288"/>
      <c r="K128" s="251">
        <f t="shared" si="10"/>
        <v>0</v>
      </c>
      <c r="L128" s="50">
        <f t="shared" si="11"/>
        <v>0</v>
      </c>
      <c r="M128" s="50">
        <f t="shared" si="12"/>
        <v>0</v>
      </c>
      <c r="N128" s="50">
        <f t="shared" si="13"/>
        <v>0</v>
      </c>
    </row>
    <row r="129" spans="1:14" ht="12.75" customHeight="1" x14ac:dyDescent="0.3">
      <c r="A129" s="100">
        <v>18.21</v>
      </c>
      <c r="B129" s="98" t="s">
        <v>141</v>
      </c>
      <c r="C129" s="133" t="s">
        <v>29</v>
      </c>
      <c r="D129" s="31">
        <v>1</v>
      </c>
      <c r="E129" s="181">
        <v>1695726</v>
      </c>
      <c r="F129" s="181">
        <f t="shared" si="5"/>
        <v>1695726</v>
      </c>
      <c r="H129" s="245"/>
      <c r="I129" s="250">
        <v>0</v>
      </c>
      <c r="J129" s="288"/>
      <c r="K129" s="251">
        <f t="shared" si="10"/>
        <v>0</v>
      </c>
      <c r="L129" s="50">
        <f t="shared" si="11"/>
        <v>0</v>
      </c>
      <c r="M129" s="50">
        <f t="shared" si="12"/>
        <v>0</v>
      </c>
      <c r="N129" s="50">
        <f t="shared" si="13"/>
        <v>0</v>
      </c>
    </row>
    <row r="130" spans="1:14" ht="12.75" customHeight="1" x14ac:dyDescent="0.3">
      <c r="A130" s="100">
        <v>18.22</v>
      </c>
      <c r="B130" s="98" t="s">
        <v>142</v>
      </c>
      <c r="C130" s="133" t="s">
        <v>29</v>
      </c>
      <c r="D130" s="31">
        <v>1</v>
      </c>
      <c r="E130" s="181">
        <v>1695726</v>
      </c>
      <c r="F130" s="181">
        <f t="shared" si="5"/>
        <v>1695726</v>
      </c>
      <c r="H130" s="245"/>
      <c r="I130" s="250">
        <v>0</v>
      </c>
      <c r="J130" s="288"/>
      <c r="K130" s="251">
        <f t="shared" si="10"/>
        <v>0</v>
      </c>
      <c r="L130" s="50">
        <f t="shared" si="11"/>
        <v>0</v>
      </c>
      <c r="M130" s="50">
        <f t="shared" si="12"/>
        <v>0</v>
      </c>
      <c r="N130" s="50">
        <f t="shared" si="13"/>
        <v>0</v>
      </c>
    </row>
    <row r="131" spans="1:14" ht="12.75" customHeight="1" x14ac:dyDescent="0.3">
      <c r="A131" s="100">
        <v>18.23</v>
      </c>
      <c r="B131" s="98" t="s">
        <v>143</v>
      </c>
      <c r="C131" s="133" t="s">
        <v>33</v>
      </c>
      <c r="D131" s="31">
        <v>16</v>
      </c>
      <c r="E131" s="181">
        <v>15984</v>
      </c>
      <c r="F131" s="181">
        <f t="shared" si="5"/>
        <v>255744</v>
      </c>
      <c r="H131" s="245"/>
      <c r="I131" s="250">
        <v>0</v>
      </c>
      <c r="J131" s="288"/>
      <c r="K131" s="251">
        <f t="shared" si="10"/>
        <v>0</v>
      </c>
      <c r="L131" s="50">
        <f t="shared" si="11"/>
        <v>0</v>
      </c>
      <c r="M131" s="50">
        <f t="shared" si="12"/>
        <v>0</v>
      </c>
      <c r="N131" s="50">
        <f t="shared" si="13"/>
        <v>0</v>
      </c>
    </row>
    <row r="132" spans="1:14" ht="12.75" customHeight="1" x14ac:dyDescent="0.3">
      <c r="A132" s="100">
        <v>18.239999999999998</v>
      </c>
      <c r="B132" s="98" t="s">
        <v>144</v>
      </c>
      <c r="C132" s="133" t="s">
        <v>33</v>
      </c>
      <c r="D132" s="31">
        <v>140</v>
      </c>
      <c r="E132" s="181">
        <v>10416</v>
      </c>
      <c r="F132" s="181">
        <f t="shared" si="5"/>
        <v>1458240</v>
      </c>
      <c r="H132" s="245"/>
      <c r="I132" s="250">
        <v>0</v>
      </c>
      <c r="J132" s="288"/>
      <c r="K132" s="251">
        <f t="shared" si="10"/>
        <v>0</v>
      </c>
      <c r="L132" s="50">
        <f t="shared" si="11"/>
        <v>0</v>
      </c>
      <c r="M132" s="50">
        <f t="shared" si="12"/>
        <v>0</v>
      </c>
      <c r="N132" s="50">
        <f t="shared" si="13"/>
        <v>0</v>
      </c>
    </row>
    <row r="133" spans="1:14" ht="12.75" customHeight="1" x14ac:dyDescent="0.3">
      <c r="A133" s="100">
        <v>18.25</v>
      </c>
      <c r="B133" s="98" t="s">
        <v>145</v>
      </c>
      <c r="C133" s="133" t="s">
        <v>33</v>
      </c>
      <c r="D133" s="31">
        <v>226</v>
      </c>
      <c r="E133" s="181">
        <v>10416</v>
      </c>
      <c r="F133" s="181">
        <f t="shared" si="5"/>
        <v>2354016</v>
      </c>
      <c r="H133" s="245"/>
      <c r="I133" s="250">
        <v>0</v>
      </c>
      <c r="J133" s="288"/>
      <c r="K133" s="251">
        <f t="shared" si="10"/>
        <v>0</v>
      </c>
      <c r="L133" s="50">
        <f t="shared" si="11"/>
        <v>0</v>
      </c>
      <c r="M133" s="50">
        <f t="shared" si="12"/>
        <v>0</v>
      </c>
      <c r="N133" s="50">
        <f t="shared" si="13"/>
        <v>0</v>
      </c>
    </row>
    <row r="134" spans="1:14" ht="12.75" customHeight="1" x14ac:dyDescent="0.3">
      <c r="A134" s="100">
        <v>18.260000000000002</v>
      </c>
      <c r="B134" s="98" t="s">
        <v>146</v>
      </c>
      <c r="C134" s="133" t="s">
        <v>33</v>
      </c>
      <c r="D134" s="31">
        <v>8</v>
      </c>
      <c r="E134" s="181">
        <v>25377</v>
      </c>
      <c r="F134" s="181">
        <f t="shared" si="5"/>
        <v>203016</v>
      </c>
      <c r="H134" s="245"/>
      <c r="I134" s="250">
        <v>0</v>
      </c>
      <c r="J134" s="288"/>
      <c r="K134" s="251">
        <f t="shared" si="10"/>
        <v>0</v>
      </c>
      <c r="L134" s="50">
        <f t="shared" si="11"/>
        <v>0</v>
      </c>
      <c r="M134" s="50">
        <f t="shared" si="12"/>
        <v>0</v>
      </c>
      <c r="N134" s="50">
        <f t="shared" si="13"/>
        <v>0</v>
      </c>
    </row>
    <row r="135" spans="1:14" ht="12.75" customHeight="1" x14ac:dyDescent="0.3">
      <c r="A135" s="100">
        <v>18.27</v>
      </c>
      <c r="B135" s="98" t="s">
        <v>147</v>
      </c>
      <c r="C135" s="133" t="s">
        <v>33</v>
      </c>
      <c r="D135" s="31">
        <v>24</v>
      </c>
      <c r="E135" s="181">
        <v>93081</v>
      </c>
      <c r="F135" s="181">
        <f t="shared" si="5"/>
        <v>2233944</v>
      </c>
      <c r="H135" s="245"/>
      <c r="I135" s="250">
        <v>0</v>
      </c>
      <c r="J135" s="288"/>
      <c r="K135" s="251">
        <f t="shared" si="10"/>
        <v>0</v>
      </c>
      <c r="L135" s="50">
        <f t="shared" si="11"/>
        <v>0</v>
      </c>
      <c r="M135" s="50">
        <f t="shared" si="12"/>
        <v>0</v>
      </c>
      <c r="N135" s="50">
        <f t="shared" si="13"/>
        <v>0</v>
      </c>
    </row>
    <row r="136" spans="1:14" ht="12.75" customHeight="1" x14ac:dyDescent="0.3">
      <c r="A136" s="100">
        <v>18.28</v>
      </c>
      <c r="B136" s="98" t="s">
        <v>148</v>
      </c>
      <c r="C136" s="133" t="s">
        <v>33</v>
      </c>
      <c r="D136" s="31">
        <v>12</v>
      </c>
      <c r="E136" s="181">
        <v>25377</v>
      </c>
      <c r="F136" s="181">
        <f t="shared" si="5"/>
        <v>304524</v>
      </c>
      <c r="H136" s="245"/>
      <c r="I136" s="250">
        <v>0</v>
      </c>
      <c r="J136" s="288"/>
      <c r="K136" s="251">
        <f t="shared" si="10"/>
        <v>0</v>
      </c>
      <c r="L136" s="50">
        <f t="shared" si="11"/>
        <v>0</v>
      </c>
      <c r="M136" s="50">
        <f t="shared" si="12"/>
        <v>0</v>
      </c>
      <c r="N136" s="50">
        <f t="shared" si="13"/>
        <v>0</v>
      </c>
    </row>
    <row r="137" spans="1:14" ht="12.75" customHeight="1" x14ac:dyDescent="0.3">
      <c r="A137" s="100">
        <v>18.2899999999999</v>
      </c>
      <c r="B137" s="98" t="s">
        <v>149</v>
      </c>
      <c r="C137" s="133" t="s">
        <v>33</v>
      </c>
      <c r="D137" s="31">
        <v>1</v>
      </c>
      <c r="E137" s="181">
        <v>25377</v>
      </c>
      <c r="F137" s="181">
        <f t="shared" si="5"/>
        <v>25377</v>
      </c>
      <c r="H137" s="245"/>
      <c r="I137" s="250">
        <v>0</v>
      </c>
      <c r="J137" s="288"/>
      <c r="K137" s="251">
        <f t="shared" si="10"/>
        <v>0</v>
      </c>
      <c r="L137" s="50">
        <f t="shared" si="11"/>
        <v>0</v>
      </c>
      <c r="M137" s="50">
        <f t="shared" si="12"/>
        <v>0</v>
      </c>
      <c r="N137" s="50">
        <f t="shared" si="13"/>
        <v>0</v>
      </c>
    </row>
    <row r="138" spans="1:14" ht="12.75" customHeight="1" x14ac:dyDescent="0.3">
      <c r="A138" s="100">
        <v>18.299999999999901</v>
      </c>
      <c r="B138" s="98" t="s">
        <v>150</v>
      </c>
      <c r="C138" s="133" t="s">
        <v>33</v>
      </c>
      <c r="D138" s="31">
        <v>109</v>
      </c>
      <c r="E138" s="181">
        <v>15984</v>
      </c>
      <c r="F138" s="181">
        <f t="shared" ref="F138:F194" si="14">+E138*D138</f>
        <v>1742256</v>
      </c>
      <c r="H138" s="245"/>
      <c r="I138" s="250">
        <v>0</v>
      </c>
      <c r="J138" s="288"/>
      <c r="K138" s="251">
        <f t="shared" si="10"/>
        <v>0</v>
      </c>
      <c r="L138" s="50">
        <f t="shared" si="11"/>
        <v>0</v>
      </c>
      <c r="M138" s="50">
        <f t="shared" si="12"/>
        <v>0</v>
      </c>
      <c r="N138" s="50">
        <f t="shared" si="13"/>
        <v>0</v>
      </c>
    </row>
    <row r="139" spans="1:14" ht="12.75" customHeight="1" x14ac:dyDescent="0.3">
      <c r="A139" s="100">
        <v>18.309999999999899</v>
      </c>
      <c r="B139" s="98" t="s">
        <v>151</v>
      </c>
      <c r="C139" s="133" t="s">
        <v>29</v>
      </c>
      <c r="D139" s="31">
        <v>1</v>
      </c>
      <c r="E139" s="181">
        <v>5516929</v>
      </c>
      <c r="F139" s="181">
        <f t="shared" si="14"/>
        <v>5516929</v>
      </c>
      <c r="H139" s="245"/>
      <c r="I139" s="250">
        <v>0</v>
      </c>
      <c r="J139" s="288"/>
      <c r="K139" s="251">
        <f t="shared" si="10"/>
        <v>0</v>
      </c>
      <c r="L139" s="50">
        <f t="shared" si="11"/>
        <v>0</v>
      </c>
      <c r="M139" s="50">
        <f t="shared" si="12"/>
        <v>0</v>
      </c>
      <c r="N139" s="50">
        <f t="shared" si="13"/>
        <v>0</v>
      </c>
    </row>
    <row r="140" spans="1:14" ht="12.75" customHeight="1" x14ac:dyDescent="0.3">
      <c r="A140" s="100">
        <v>18.319999999999901</v>
      </c>
      <c r="B140" s="98" t="s">
        <v>152</v>
      </c>
      <c r="C140" s="133" t="s">
        <v>29</v>
      </c>
      <c r="D140" s="31">
        <v>1</v>
      </c>
      <c r="E140" s="181">
        <v>957554</v>
      </c>
      <c r="F140" s="181">
        <f t="shared" si="14"/>
        <v>957554</v>
      </c>
      <c r="H140" s="245"/>
      <c r="I140" s="250">
        <v>0</v>
      </c>
      <c r="J140" s="288"/>
      <c r="K140" s="251">
        <f t="shared" ref="K140:K194" si="15">+I140+J140</f>
        <v>0</v>
      </c>
      <c r="L140" s="50">
        <f t="shared" ref="L140:L194" si="16">+F140*I140</f>
        <v>0</v>
      </c>
      <c r="M140" s="50">
        <f t="shared" ref="M140:M194" si="17">+F140*J140</f>
        <v>0</v>
      </c>
      <c r="N140" s="50">
        <f t="shared" ref="N140:N194" si="18">+F140*K140</f>
        <v>0</v>
      </c>
    </row>
    <row r="141" spans="1:14" ht="12.75" customHeight="1" x14ac:dyDescent="0.3">
      <c r="A141" s="100">
        <v>18.329999999999899</v>
      </c>
      <c r="B141" s="134" t="s">
        <v>153</v>
      </c>
      <c r="C141" s="135" t="s">
        <v>29</v>
      </c>
      <c r="D141" s="35">
        <v>1</v>
      </c>
      <c r="E141" s="181">
        <v>142634</v>
      </c>
      <c r="F141" s="181">
        <f t="shared" si="14"/>
        <v>142634</v>
      </c>
      <c r="H141" s="245"/>
      <c r="I141" s="250">
        <v>0</v>
      </c>
      <c r="J141" s="288"/>
      <c r="K141" s="251">
        <f t="shared" si="15"/>
        <v>0</v>
      </c>
      <c r="L141" s="50">
        <f t="shared" si="16"/>
        <v>0</v>
      </c>
      <c r="M141" s="50">
        <f t="shared" si="17"/>
        <v>0</v>
      </c>
      <c r="N141" s="50">
        <f t="shared" si="18"/>
        <v>0</v>
      </c>
    </row>
    <row r="142" spans="1:14" ht="12.75" customHeight="1" x14ac:dyDescent="0.3">
      <c r="A142" s="13">
        <v>19</v>
      </c>
      <c r="B142" s="40" t="s">
        <v>154</v>
      </c>
      <c r="C142" s="18"/>
      <c r="D142" s="19"/>
      <c r="E142" s="190"/>
      <c r="F142" s="190"/>
      <c r="G142" s="191"/>
      <c r="H142" s="245"/>
      <c r="I142" s="246"/>
      <c r="J142" s="247"/>
      <c r="K142" s="247"/>
      <c r="L142" s="178"/>
      <c r="M142" s="178"/>
      <c r="N142" s="179"/>
    </row>
    <row r="143" spans="1:14" ht="12.75" customHeight="1" x14ac:dyDescent="0.3">
      <c r="A143" s="13"/>
      <c r="B143" s="40" t="s">
        <v>155</v>
      </c>
      <c r="C143" s="18"/>
      <c r="D143" s="19"/>
      <c r="E143" s="19"/>
      <c r="F143" s="19"/>
      <c r="G143" s="192">
        <f>+SUM(F144:F146)</f>
        <v>21227962</v>
      </c>
      <c r="H143" s="245">
        <f>+G143/$G$195</f>
        <v>2.5126450140132647E-2</v>
      </c>
      <c r="I143" s="246"/>
      <c r="J143" s="247"/>
      <c r="K143" s="247"/>
      <c r="L143" s="178"/>
      <c r="M143" s="178"/>
      <c r="N143" s="179"/>
    </row>
    <row r="144" spans="1:14" ht="12.75" customHeight="1" x14ac:dyDescent="0.3">
      <c r="A144" s="20">
        <v>19.010000000000002</v>
      </c>
      <c r="B144" s="136" t="s">
        <v>156</v>
      </c>
      <c r="C144" s="122" t="s">
        <v>29</v>
      </c>
      <c r="D144" s="123">
        <v>1</v>
      </c>
      <c r="E144" s="183">
        <v>6793844</v>
      </c>
      <c r="F144" s="183">
        <f t="shared" si="14"/>
        <v>6793844</v>
      </c>
      <c r="H144" s="245"/>
      <c r="I144" s="250">
        <v>0</v>
      </c>
      <c r="J144" s="250"/>
      <c r="K144" s="251">
        <f t="shared" si="15"/>
        <v>0</v>
      </c>
      <c r="L144" s="50">
        <f t="shared" si="16"/>
        <v>0</v>
      </c>
      <c r="M144" s="50">
        <f t="shared" si="17"/>
        <v>0</v>
      </c>
      <c r="N144" s="50">
        <f t="shared" si="18"/>
        <v>0</v>
      </c>
    </row>
    <row r="145" spans="1:14" ht="12.75" customHeight="1" x14ac:dyDescent="0.3">
      <c r="A145" s="24">
        <v>19.02</v>
      </c>
      <c r="B145" s="36" t="s">
        <v>157</v>
      </c>
      <c r="C145" s="28" t="s">
        <v>29</v>
      </c>
      <c r="D145" s="29">
        <v>1</v>
      </c>
      <c r="E145" s="181">
        <v>9552583</v>
      </c>
      <c r="F145" s="181">
        <f t="shared" si="14"/>
        <v>9552583</v>
      </c>
      <c r="H145" s="245"/>
      <c r="I145" s="250">
        <v>0</v>
      </c>
      <c r="J145" s="250"/>
      <c r="K145" s="251">
        <f t="shared" si="15"/>
        <v>0</v>
      </c>
      <c r="L145" s="50">
        <f t="shared" si="16"/>
        <v>0</v>
      </c>
      <c r="M145" s="50">
        <f t="shared" si="17"/>
        <v>0</v>
      </c>
      <c r="N145" s="50">
        <f t="shared" si="18"/>
        <v>0</v>
      </c>
    </row>
    <row r="146" spans="1:14" ht="12.75" customHeight="1" x14ac:dyDescent="0.3">
      <c r="A146" s="33">
        <v>19.03</v>
      </c>
      <c r="B146" s="137" t="s">
        <v>158</v>
      </c>
      <c r="C146" s="138" t="s">
        <v>29</v>
      </c>
      <c r="D146" s="139">
        <v>1</v>
      </c>
      <c r="E146" s="181">
        <v>4881535</v>
      </c>
      <c r="F146" s="181">
        <f t="shared" si="14"/>
        <v>4881535</v>
      </c>
      <c r="H146" s="245"/>
      <c r="I146" s="250">
        <v>0</v>
      </c>
      <c r="J146" s="250"/>
      <c r="K146" s="251">
        <f t="shared" si="15"/>
        <v>0</v>
      </c>
      <c r="L146" s="50">
        <f t="shared" si="16"/>
        <v>0</v>
      </c>
      <c r="M146" s="50">
        <f t="shared" si="17"/>
        <v>0</v>
      </c>
      <c r="N146" s="50">
        <f t="shared" si="18"/>
        <v>0</v>
      </c>
    </row>
    <row r="147" spans="1:14" ht="12.75" customHeight="1" x14ac:dyDescent="0.3">
      <c r="A147" s="140"/>
      <c r="B147" s="141" t="s">
        <v>159</v>
      </c>
      <c r="C147" s="11"/>
      <c r="D147" s="12"/>
      <c r="E147" s="19"/>
      <c r="F147" s="19"/>
      <c r="G147" s="192">
        <f>+SUM(F148:F150)</f>
        <v>7075989</v>
      </c>
      <c r="H147" s="245">
        <f>+G147/$G$195</f>
        <v>8.3754853527920892E-3</v>
      </c>
      <c r="I147" s="246"/>
      <c r="J147" s="247"/>
      <c r="K147" s="247"/>
      <c r="L147" s="178"/>
      <c r="M147" s="178"/>
      <c r="N147" s="179"/>
    </row>
    <row r="148" spans="1:14" ht="12.75" customHeight="1" x14ac:dyDescent="0.3">
      <c r="A148" s="20">
        <v>19.04</v>
      </c>
      <c r="B148" s="136" t="s">
        <v>160</v>
      </c>
      <c r="C148" s="122" t="s">
        <v>29</v>
      </c>
      <c r="D148" s="123">
        <v>1</v>
      </c>
      <c r="E148" s="181">
        <v>2476596</v>
      </c>
      <c r="F148" s="181">
        <f t="shared" si="14"/>
        <v>2476596</v>
      </c>
      <c r="H148" s="245"/>
      <c r="I148" s="250">
        <v>0</v>
      </c>
      <c r="J148" s="250"/>
      <c r="K148" s="251">
        <f t="shared" si="15"/>
        <v>0</v>
      </c>
      <c r="L148" s="50">
        <f t="shared" si="16"/>
        <v>0</v>
      </c>
      <c r="M148" s="50">
        <f t="shared" si="17"/>
        <v>0</v>
      </c>
      <c r="N148" s="50">
        <f t="shared" si="18"/>
        <v>0</v>
      </c>
    </row>
    <row r="149" spans="1:14" ht="12.75" customHeight="1" x14ac:dyDescent="0.3">
      <c r="A149" s="24">
        <v>19.05</v>
      </c>
      <c r="B149" s="36" t="s">
        <v>161</v>
      </c>
      <c r="C149" s="28" t="s">
        <v>29</v>
      </c>
      <c r="D149" s="29">
        <v>1</v>
      </c>
      <c r="E149" s="181">
        <v>3537994</v>
      </c>
      <c r="F149" s="181">
        <f t="shared" si="14"/>
        <v>3537994</v>
      </c>
      <c r="H149" s="245"/>
      <c r="I149" s="250">
        <v>0</v>
      </c>
      <c r="J149" s="250"/>
      <c r="K149" s="251">
        <f t="shared" si="15"/>
        <v>0</v>
      </c>
      <c r="L149" s="50">
        <f t="shared" si="16"/>
        <v>0</v>
      </c>
      <c r="M149" s="50">
        <f t="shared" si="17"/>
        <v>0</v>
      </c>
      <c r="N149" s="50">
        <f t="shared" si="18"/>
        <v>0</v>
      </c>
    </row>
    <row r="150" spans="1:14" ht="12.75" customHeight="1" x14ac:dyDescent="0.3">
      <c r="A150" s="33">
        <v>19.059999999999999</v>
      </c>
      <c r="B150" s="137" t="s">
        <v>162</v>
      </c>
      <c r="C150" s="138" t="s">
        <v>29</v>
      </c>
      <c r="D150" s="139">
        <v>1</v>
      </c>
      <c r="E150" s="181">
        <v>1061399</v>
      </c>
      <c r="F150" s="181">
        <f t="shared" si="14"/>
        <v>1061399</v>
      </c>
      <c r="H150" s="245"/>
      <c r="I150" s="250">
        <v>0</v>
      </c>
      <c r="J150" s="250"/>
      <c r="K150" s="251">
        <f t="shared" si="15"/>
        <v>0</v>
      </c>
      <c r="L150" s="50">
        <f t="shared" si="16"/>
        <v>0</v>
      </c>
      <c r="M150" s="50">
        <f t="shared" si="17"/>
        <v>0</v>
      </c>
      <c r="N150" s="50">
        <f t="shared" si="18"/>
        <v>0</v>
      </c>
    </row>
    <row r="151" spans="1:14" ht="12.75" customHeight="1" x14ac:dyDescent="0.3">
      <c r="A151" s="13"/>
      <c r="B151" s="40" t="s">
        <v>163</v>
      </c>
      <c r="C151" s="18"/>
      <c r="D151" s="19"/>
      <c r="E151" s="19"/>
      <c r="F151" s="19"/>
      <c r="G151" s="192">
        <f>+SUM(F152:F156)</f>
        <v>34829620</v>
      </c>
      <c r="H151" s="245">
        <f>+G151/$G$195</f>
        <v>4.1226035279777064E-2</v>
      </c>
      <c r="I151" s="246"/>
      <c r="J151" s="247"/>
      <c r="K151" s="247"/>
      <c r="L151" s="178"/>
      <c r="M151" s="178"/>
      <c r="N151" s="179"/>
    </row>
    <row r="152" spans="1:14" ht="12.75" customHeight="1" x14ac:dyDescent="0.3">
      <c r="A152" s="115">
        <v>19.07</v>
      </c>
      <c r="B152" s="142" t="s">
        <v>164</v>
      </c>
      <c r="C152" s="122" t="s">
        <v>29</v>
      </c>
      <c r="D152" s="123">
        <v>1</v>
      </c>
      <c r="E152" s="180">
        <v>3263223</v>
      </c>
      <c r="F152" s="180">
        <f t="shared" si="14"/>
        <v>3263223</v>
      </c>
      <c r="H152" s="245"/>
      <c r="I152" s="250">
        <v>0</v>
      </c>
      <c r="J152" s="250"/>
      <c r="K152" s="251">
        <f t="shared" si="15"/>
        <v>0</v>
      </c>
      <c r="L152" s="50">
        <f t="shared" si="16"/>
        <v>0</v>
      </c>
      <c r="M152" s="50">
        <f t="shared" si="17"/>
        <v>0</v>
      </c>
      <c r="N152" s="50">
        <f t="shared" si="18"/>
        <v>0</v>
      </c>
    </row>
    <row r="153" spans="1:14" ht="12.75" customHeight="1" x14ac:dyDescent="0.3">
      <c r="A153" s="100">
        <v>19.079999999999998</v>
      </c>
      <c r="B153" s="143" t="s">
        <v>165</v>
      </c>
      <c r="C153" s="28" t="s">
        <v>29</v>
      </c>
      <c r="D153" s="29">
        <v>1</v>
      </c>
      <c r="E153" s="181">
        <v>3665831</v>
      </c>
      <c r="F153" s="181">
        <f t="shared" si="14"/>
        <v>3665831</v>
      </c>
      <c r="H153" s="245"/>
      <c r="I153" s="250">
        <v>0</v>
      </c>
      <c r="J153" s="250"/>
      <c r="K153" s="251">
        <f t="shared" si="15"/>
        <v>0</v>
      </c>
      <c r="L153" s="50">
        <f t="shared" si="16"/>
        <v>0</v>
      </c>
      <c r="M153" s="50">
        <f t="shared" si="17"/>
        <v>0</v>
      </c>
      <c r="N153" s="50">
        <f t="shared" si="18"/>
        <v>0</v>
      </c>
    </row>
    <row r="154" spans="1:14" ht="12.75" customHeight="1" x14ac:dyDescent="0.3">
      <c r="A154" s="100">
        <v>19.09</v>
      </c>
      <c r="B154" s="144" t="s">
        <v>166</v>
      </c>
      <c r="C154" s="28" t="s">
        <v>29</v>
      </c>
      <c r="D154" s="29">
        <v>1</v>
      </c>
      <c r="E154" s="181">
        <v>3263223</v>
      </c>
      <c r="F154" s="181">
        <f t="shared" si="14"/>
        <v>3263223</v>
      </c>
      <c r="H154" s="245"/>
      <c r="I154" s="250">
        <v>0</v>
      </c>
      <c r="J154" s="250"/>
      <c r="K154" s="251">
        <f t="shared" si="15"/>
        <v>0</v>
      </c>
      <c r="L154" s="50">
        <f t="shared" si="16"/>
        <v>0</v>
      </c>
      <c r="M154" s="50">
        <f t="shared" si="17"/>
        <v>0</v>
      </c>
      <c r="N154" s="50">
        <f t="shared" si="18"/>
        <v>0</v>
      </c>
    </row>
    <row r="155" spans="1:14" ht="12.75" customHeight="1" x14ac:dyDescent="0.3">
      <c r="A155" s="100">
        <v>19.100000000000001</v>
      </c>
      <c r="B155" s="143" t="s">
        <v>167</v>
      </c>
      <c r="C155" s="28" t="s">
        <v>29</v>
      </c>
      <c r="D155" s="29">
        <v>1</v>
      </c>
      <c r="E155" s="181">
        <v>18413869</v>
      </c>
      <c r="F155" s="181">
        <f t="shared" si="14"/>
        <v>18413869</v>
      </c>
      <c r="H155" s="245"/>
      <c r="I155" s="250">
        <v>0</v>
      </c>
      <c r="J155" s="250"/>
      <c r="K155" s="251">
        <f t="shared" si="15"/>
        <v>0</v>
      </c>
      <c r="L155" s="50">
        <f t="shared" si="16"/>
        <v>0</v>
      </c>
      <c r="M155" s="50">
        <f t="shared" si="17"/>
        <v>0</v>
      </c>
      <c r="N155" s="50">
        <f t="shared" si="18"/>
        <v>0</v>
      </c>
    </row>
    <row r="156" spans="1:14" ht="12.75" customHeight="1" x14ac:dyDescent="0.3">
      <c r="A156" s="100">
        <v>19.11</v>
      </c>
      <c r="B156" s="145" t="s">
        <v>168</v>
      </c>
      <c r="C156" s="138" t="s">
        <v>29</v>
      </c>
      <c r="D156" s="139">
        <v>1</v>
      </c>
      <c r="E156" s="189">
        <v>6223474</v>
      </c>
      <c r="F156" s="189">
        <f t="shared" si="14"/>
        <v>6223474</v>
      </c>
      <c r="H156" s="245"/>
      <c r="I156" s="250">
        <v>0</v>
      </c>
      <c r="J156" s="250"/>
      <c r="K156" s="251">
        <f t="shared" si="15"/>
        <v>0</v>
      </c>
      <c r="L156" s="50">
        <f t="shared" si="16"/>
        <v>0</v>
      </c>
      <c r="M156" s="50">
        <f t="shared" si="17"/>
        <v>0</v>
      </c>
      <c r="N156" s="50">
        <f t="shared" si="18"/>
        <v>0</v>
      </c>
    </row>
    <row r="157" spans="1:14" ht="12.75" customHeight="1" x14ac:dyDescent="0.3">
      <c r="A157" s="13"/>
      <c r="B157" s="40" t="s">
        <v>169</v>
      </c>
      <c r="C157" s="18"/>
      <c r="D157" s="19"/>
      <c r="E157" s="19"/>
      <c r="F157" s="19"/>
      <c r="G157" s="192">
        <f>+SUM(F158)</f>
        <v>2637801</v>
      </c>
      <c r="H157" s="245">
        <f>+G157/$G$195</f>
        <v>3.1222297885257206E-3</v>
      </c>
      <c r="I157" s="246"/>
      <c r="J157" s="247"/>
      <c r="K157" s="247"/>
      <c r="L157" s="178"/>
      <c r="M157" s="178"/>
      <c r="N157" s="179"/>
    </row>
    <row r="158" spans="1:14" ht="12.75" customHeight="1" x14ac:dyDescent="0.3">
      <c r="A158" s="24">
        <v>19.12</v>
      </c>
      <c r="B158" s="36" t="s">
        <v>170</v>
      </c>
      <c r="C158" s="28" t="s">
        <v>29</v>
      </c>
      <c r="D158" s="29">
        <v>1</v>
      </c>
      <c r="E158" s="181">
        <v>2637801</v>
      </c>
      <c r="F158" s="181">
        <f t="shared" si="14"/>
        <v>2637801</v>
      </c>
      <c r="H158" s="245"/>
      <c r="I158" s="250">
        <v>0</v>
      </c>
      <c r="J158" s="250"/>
      <c r="K158" s="251">
        <f t="shared" si="15"/>
        <v>0</v>
      </c>
      <c r="L158" s="50">
        <f t="shared" si="16"/>
        <v>0</v>
      </c>
      <c r="M158" s="50">
        <f t="shared" si="17"/>
        <v>0</v>
      </c>
      <c r="N158" s="50">
        <f t="shared" si="18"/>
        <v>0</v>
      </c>
    </row>
    <row r="159" spans="1:14" ht="12.75" customHeight="1" x14ac:dyDescent="0.3">
      <c r="A159" s="13"/>
      <c r="B159" s="40" t="s">
        <v>171</v>
      </c>
      <c r="C159" s="18"/>
      <c r="D159" s="19"/>
      <c r="E159" s="19"/>
      <c r="F159" s="19"/>
      <c r="G159" s="192">
        <f>+SUM(F160:F161)</f>
        <v>39784561</v>
      </c>
      <c r="H159" s="245">
        <f>+G159/$G$195</f>
        <v>4.7090944873255651E-2</v>
      </c>
      <c r="I159" s="246"/>
      <c r="J159" s="247"/>
      <c r="K159" s="247"/>
      <c r="L159" s="178"/>
      <c r="M159" s="178"/>
      <c r="N159" s="179"/>
    </row>
    <row r="160" spans="1:14" ht="12.75" customHeight="1" x14ac:dyDescent="0.3">
      <c r="A160" s="20">
        <v>19.13</v>
      </c>
      <c r="B160" s="136" t="s">
        <v>172</v>
      </c>
      <c r="C160" s="122" t="s">
        <v>29</v>
      </c>
      <c r="D160" s="123">
        <v>1</v>
      </c>
      <c r="E160" s="181">
        <v>36002858</v>
      </c>
      <c r="F160" s="181">
        <f t="shared" si="14"/>
        <v>36002858</v>
      </c>
      <c r="H160" s="245"/>
      <c r="I160" s="250">
        <v>0</v>
      </c>
      <c r="J160" s="250"/>
      <c r="K160" s="251">
        <f t="shared" si="15"/>
        <v>0</v>
      </c>
      <c r="L160" s="50">
        <f t="shared" si="16"/>
        <v>0</v>
      </c>
      <c r="M160" s="50">
        <f t="shared" si="17"/>
        <v>0</v>
      </c>
      <c r="N160" s="50">
        <f t="shared" si="18"/>
        <v>0</v>
      </c>
    </row>
    <row r="161" spans="1:14" ht="12.75" customHeight="1" x14ac:dyDescent="0.3">
      <c r="A161" s="33">
        <v>19.14</v>
      </c>
      <c r="B161" s="137" t="s">
        <v>173</v>
      </c>
      <c r="C161" s="138" t="s">
        <v>29</v>
      </c>
      <c r="D161" s="139">
        <v>1</v>
      </c>
      <c r="E161" s="181">
        <v>3781703</v>
      </c>
      <c r="F161" s="181">
        <f t="shared" si="14"/>
        <v>3781703</v>
      </c>
      <c r="H161" s="245"/>
      <c r="I161" s="250">
        <v>0</v>
      </c>
      <c r="J161" s="250"/>
      <c r="K161" s="251">
        <f t="shared" si="15"/>
        <v>0</v>
      </c>
      <c r="L161" s="50">
        <f t="shared" si="16"/>
        <v>0</v>
      </c>
      <c r="M161" s="50">
        <f t="shared" si="17"/>
        <v>0</v>
      </c>
      <c r="N161" s="50">
        <f t="shared" si="18"/>
        <v>0</v>
      </c>
    </row>
    <row r="162" spans="1:14" ht="12.75" customHeight="1" x14ac:dyDescent="0.3">
      <c r="A162" s="13"/>
      <c r="B162" s="40" t="s">
        <v>174</v>
      </c>
      <c r="C162" s="18"/>
      <c r="D162" s="19"/>
      <c r="E162" s="19"/>
      <c r="F162" s="19"/>
      <c r="G162" s="192">
        <f>+SUM(F163)</f>
        <v>6439007</v>
      </c>
      <c r="H162" s="245">
        <f>+G162/$G$195</f>
        <v>7.6215224211097178E-3</v>
      </c>
      <c r="I162" s="246"/>
      <c r="J162" s="247"/>
      <c r="K162" s="247"/>
      <c r="L162" s="178"/>
      <c r="M162" s="178"/>
      <c r="N162" s="179"/>
    </row>
    <row r="163" spans="1:14" ht="12.75" customHeight="1" x14ac:dyDescent="0.3">
      <c r="A163" s="24">
        <v>19.149999999999999</v>
      </c>
      <c r="B163" s="98" t="s">
        <v>175</v>
      </c>
      <c r="C163" s="28" t="s">
        <v>29</v>
      </c>
      <c r="D163" s="29">
        <v>1</v>
      </c>
      <c r="E163" s="181">
        <v>6439007</v>
      </c>
      <c r="F163" s="181">
        <f t="shared" si="14"/>
        <v>6439007</v>
      </c>
      <c r="H163" s="245"/>
      <c r="I163" s="250">
        <v>0</v>
      </c>
      <c r="J163" s="250"/>
      <c r="K163" s="251">
        <f t="shared" si="15"/>
        <v>0</v>
      </c>
      <c r="L163" s="50">
        <f t="shared" si="16"/>
        <v>0</v>
      </c>
      <c r="M163" s="50">
        <f t="shared" si="17"/>
        <v>0</v>
      </c>
      <c r="N163" s="50">
        <f t="shared" si="18"/>
        <v>0</v>
      </c>
    </row>
    <row r="164" spans="1:14" ht="12.75" customHeight="1" x14ac:dyDescent="0.3">
      <c r="A164" s="13"/>
      <c r="B164" s="40" t="s">
        <v>176</v>
      </c>
      <c r="C164" s="18"/>
      <c r="D164" s="19"/>
      <c r="E164" s="19"/>
      <c r="F164" s="19"/>
      <c r="G164" s="192">
        <f>+SUM(F165:F168)</f>
        <v>33172785</v>
      </c>
      <c r="H164" s="245">
        <f t="shared" ref="H164:H192" si="19">+G164/$G$195</f>
        <v>3.9264924645702685E-2</v>
      </c>
      <c r="I164" s="246"/>
      <c r="J164" s="247"/>
      <c r="K164" s="247"/>
      <c r="L164" s="178"/>
      <c r="M164" s="178"/>
      <c r="N164" s="179"/>
    </row>
    <row r="165" spans="1:14" ht="12.75" customHeight="1" x14ac:dyDescent="0.3">
      <c r="A165" s="24">
        <v>19.16</v>
      </c>
      <c r="B165" s="143" t="s">
        <v>177</v>
      </c>
      <c r="C165" s="28" t="s">
        <v>29</v>
      </c>
      <c r="D165" s="29">
        <v>1</v>
      </c>
      <c r="E165" s="181">
        <v>27794007</v>
      </c>
      <c r="F165" s="181">
        <f t="shared" si="14"/>
        <v>27794007</v>
      </c>
      <c r="H165" s="245"/>
      <c r="I165" s="250">
        <v>0</v>
      </c>
      <c r="J165" s="250"/>
      <c r="K165" s="251">
        <f t="shared" si="15"/>
        <v>0</v>
      </c>
      <c r="L165" s="50">
        <f t="shared" si="16"/>
        <v>0</v>
      </c>
      <c r="M165" s="50">
        <f t="shared" si="17"/>
        <v>0</v>
      </c>
      <c r="N165" s="50">
        <f t="shared" si="18"/>
        <v>0</v>
      </c>
    </row>
    <row r="166" spans="1:14" ht="12.75" customHeight="1" x14ac:dyDescent="0.3">
      <c r="A166" s="24">
        <v>19.170000000000002</v>
      </c>
      <c r="B166" s="146" t="s">
        <v>178</v>
      </c>
      <c r="C166" s="147" t="s">
        <v>33</v>
      </c>
      <c r="D166" s="148">
        <v>8</v>
      </c>
      <c r="E166" s="181">
        <v>59973</v>
      </c>
      <c r="F166" s="181">
        <f t="shared" si="14"/>
        <v>479784</v>
      </c>
      <c r="H166" s="245"/>
      <c r="I166" s="250">
        <v>0</v>
      </c>
      <c r="J166" s="250"/>
      <c r="K166" s="251">
        <f t="shared" si="15"/>
        <v>0</v>
      </c>
      <c r="L166" s="50">
        <f t="shared" si="16"/>
        <v>0</v>
      </c>
      <c r="M166" s="50">
        <f t="shared" si="17"/>
        <v>0</v>
      </c>
      <c r="N166" s="50">
        <f t="shared" si="18"/>
        <v>0</v>
      </c>
    </row>
    <row r="167" spans="1:14" ht="12.75" customHeight="1" x14ac:dyDescent="0.3">
      <c r="A167" s="24">
        <v>19.18</v>
      </c>
      <c r="B167" s="146" t="s">
        <v>179</v>
      </c>
      <c r="C167" s="147" t="s">
        <v>29</v>
      </c>
      <c r="D167" s="148">
        <v>8</v>
      </c>
      <c r="E167" s="181">
        <v>27640</v>
      </c>
      <c r="F167" s="181">
        <f t="shared" si="14"/>
        <v>221120</v>
      </c>
      <c r="H167" s="245"/>
      <c r="I167" s="250">
        <v>0</v>
      </c>
      <c r="J167" s="250"/>
      <c r="K167" s="251">
        <f t="shared" si="15"/>
        <v>0</v>
      </c>
      <c r="L167" s="50">
        <f t="shared" si="16"/>
        <v>0</v>
      </c>
      <c r="M167" s="50">
        <f t="shared" si="17"/>
        <v>0</v>
      </c>
      <c r="N167" s="50">
        <f t="shared" si="18"/>
        <v>0</v>
      </c>
    </row>
    <row r="168" spans="1:14" ht="12.75" customHeight="1" x14ac:dyDescent="0.3">
      <c r="A168" s="100">
        <v>19.190000000000001</v>
      </c>
      <c r="B168" s="145" t="s">
        <v>180</v>
      </c>
      <c r="C168" s="138" t="s">
        <v>29</v>
      </c>
      <c r="D168" s="139">
        <v>1</v>
      </c>
      <c r="E168" s="181">
        <v>4677874</v>
      </c>
      <c r="F168" s="181">
        <f t="shared" si="14"/>
        <v>4677874</v>
      </c>
      <c r="H168" s="245"/>
      <c r="I168" s="250">
        <v>0</v>
      </c>
      <c r="J168" s="250"/>
      <c r="K168" s="251">
        <f t="shared" si="15"/>
        <v>0</v>
      </c>
      <c r="L168" s="50">
        <f t="shared" si="16"/>
        <v>0</v>
      </c>
      <c r="M168" s="50">
        <f t="shared" si="17"/>
        <v>0</v>
      </c>
      <c r="N168" s="50">
        <f t="shared" si="18"/>
        <v>0</v>
      </c>
    </row>
    <row r="169" spans="1:14" ht="12.75" customHeight="1" x14ac:dyDescent="0.3">
      <c r="A169" s="13">
        <v>20</v>
      </c>
      <c r="B169" s="40" t="s">
        <v>181</v>
      </c>
      <c r="C169" s="18"/>
      <c r="D169" s="19"/>
      <c r="E169" s="19"/>
      <c r="F169" s="19"/>
      <c r="G169" s="192">
        <f>+SUM(F170:F171)</f>
        <v>0</v>
      </c>
      <c r="H169" s="245">
        <f t="shared" si="19"/>
        <v>0</v>
      </c>
      <c r="I169" s="246"/>
      <c r="J169" s="247"/>
      <c r="K169" s="247"/>
      <c r="L169" s="178"/>
      <c r="M169" s="178"/>
      <c r="N169" s="179"/>
    </row>
    <row r="170" spans="1:14" ht="12.75" customHeight="1" x14ac:dyDescent="0.3">
      <c r="A170" s="106">
        <v>20.010000000000002</v>
      </c>
      <c r="B170" s="107" t="s">
        <v>182</v>
      </c>
      <c r="C170" s="120" t="s">
        <v>33</v>
      </c>
      <c r="D170" s="121">
        <v>0</v>
      </c>
      <c r="E170" s="183">
        <v>0</v>
      </c>
      <c r="F170" s="183">
        <f t="shared" si="14"/>
        <v>0</v>
      </c>
      <c r="H170" s="245"/>
      <c r="I170" s="250">
        <v>0</v>
      </c>
      <c r="J170" s="250"/>
      <c r="K170" s="251">
        <f t="shared" si="15"/>
        <v>0</v>
      </c>
      <c r="L170" s="50">
        <f t="shared" si="16"/>
        <v>0</v>
      </c>
      <c r="M170" s="50">
        <f t="shared" si="17"/>
        <v>0</v>
      </c>
      <c r="N170" s="50">
        <f t="shared" si="18"/>
        <v>0</v>
      </c>
    </row>
    <row r="171" spans="1:14" ht="12.75" customHeight="1" x14ac:dyDescent="0.3">
      <c r="A171" s="24">
        <v>20.02</v>
      </c>
      <c r="B171" s="25" t="s">
        <v>183</v>
      </c>
      <c r="C171" s="112" t="s">
        <v>33</v>
      </c>
      <c r="D171" s="27">
        <v>0</v>
      </c>
      <c r="E171" s="181">
        <v>0</v>
      </c>
      <c r="F171" s="181">
        <f t="shared" si="14"/>
        <v>0</v>
      </c>
      <c r="H171" s="245"/>
      <c r="I171" s="250">
        <v>0</v>
      </c>
      <c r="J171" s="250"/>
      <c r="K171" s="251">
        <f t="shared" si="15"/>
        <v>0</v>
      </c>
      <c r="L171" s="50">
        <f t="shared" si="16"/>
        <v>0</v>
      </c>
      <c r="M171" s="50">
        <f t="shared" si="17"/>
        <v>0</v>
      </c>
      <c r="N171" s="50">
        <f t="shared" si="18"/>
        <v>0</v>
      </c>
    </row>
    <row r="172" spans="1:14" ht="12.75" customHeight="1" x14ac:dyDescent="0.3">
      <c r="A172" s="13">
        <v>21</v>
      </c>
      <c r="B172" s="40" t="s">
        <v>184</v>
      </c>
      <c r="C172" s="18"/>
      <c r="D172" s="19"/>
      <c r="E172" s="19"/>
      <c r="F172" s="19"/>
      <c r="G172" s="192">
        <f>+SUM(F173)</f>
        <v>0</v>
      </c>
      <c r="H172" s="245">
        <f t="shared" si="19"/>
        <v>0</v>
      </c>
      <c r="I172" s="246"/>
      <c r="J172" s="247"/>
      <c r="K172" s="247"/>
      <c r="L172" s="178"/>
      <c r="M172" s="178"/>
      <c r="N172" s="179"/>
    </row>
    <row r="173" spans="1:14" ht="12.75" customHeight="1" x14ac:dyDescent="0.3">
      <c r="A173" s="149">
        <v>21.01</v>
      </c>
      <c r="B173" s="150" t="s">
        <v>185</v>
      </c>
      <c r="C173" s="151" t="s">
        <v>29</v>
      </c>
      <c r="D173" s="152">
        <v>1</v>
      </c>
      <c r="E173" s="184">
        <v>0</v>
      </c>
      <c r="F173" s="181">
        <f t="shared" si="14"/>
        <v>0</v>
      </c>
      <c r="G173" s="182"/>
      <c r="H173" s="245"/>
      <c r="I173" s="250">
        <v>0</v>
      </c>
      <c r="J173" s="250"/>
      <c r="K173" s="251">
        <f t="shared" si="15"/>
        <v>0</v>
      </c>
      <c r="L173" s="50">
        <f t="shared" si="16"/>
        <v>0</v>
      </c>
      <c r="M173" s="50">
        <f t="shared" si="17"/>
        <v>0</v>
      </c>
      <c r="N173" s="50">
        <f t="shared" si="18"/>
        <v>0</v>
      </c>
    </row>
    <row r="174" spans="1:14" ht="12.75" customHeight="1" x14ac:dyDescent="0.3">
      <c r="A174" s="13">
        <v>22</v>
      </c>
      <c r="B174" s="40" t="s">
        <v>186</v>
      </c>
      <c r="C174" s="18"/>
      <c r="D174" s="19"/>
      <c r="E174" s="19"/>
      <c r="F174" s="19"/>
      <c r="G174" s="192">
        <f>+SUM(F175:F176)</f>
        <v>2934560</v>
      </c>
      <c r="H174" s="245">
        <f t="shared" si="19"/>
        <v>3.4734882002910904E-3</v>
      </c>
      <c r="I174" s="246"/>
      <c r="J174" s="247"/>
      <c r="K174" s="247"/>
      <c r="L174" s="178"/>
      <c r="M174" s="178"/>
      <c r="N174" s="179"/>
    </row>
    <row r="175" spans="1:14" ht="12.75" customHeight="1" x14ac:dyDescent="0.3">
      <c r="A175" s="115">
        <v>22.01</v>
      </c>
      <c r="B175" s="131" t="s">
        <v>187</v>
      </c>
      <c r="C175" s="132" t="s">
        <v>33</v>
      </c>
      <c r="D175" s="153">
        <v>8</v>
      </c>
      <c r="E175" s="184">
        <v>91705</v>
      </c>
      <c r="F175" s="183">
        <f t="shared" si="14"/>
        <v>733640</v>
      </c>
      <c r="H175" s="245"/>
      <c r="I175" s="250">
        <v>0</v>
      </c>
      <c r="J175" s="250"/>
      <c r="K175" s="251">
        <f t="shared" si="15"/>
        <v>0</v>
      </c>
      <c r="L175" s="50">
        <f t="shared" si="16"/>
        <v>0</v>
      </c>
      <c r="M175" s="50">
        <f t="shared" si="17"/>
        <v>0</v>
      </c>
      <c r="N175" s="50">
        <f t="shared" si="18"/>
        <v>0</v>
      </c>
    </row>
    <row r="176" spans="1:14" ht="12.75" customHeight="1" x14ac:dyDescent="0.3">
      <c r="A176" s="100">
        <v>22.02</v>
      </c>
      <c r="B176" s="98" t="s">
        <v>188</v>
      </c>
      <c r="C176" s="133" t="s">
        <v>33</v>
      </c>
      <c r="D176" s="153">
        <v>24</v>
      </c>
      <c r="E176" s="184">
        <v>91705</v>
      </c>
      <c r="F176" s="183">
        <f t="shared" si="14"/>
        <v>2200920</v>
      </c>
      <c r="H176" s="245"/>
      <c r="I176" s="250">
        <v>0</v>
      </c>
      <c r="J176" s="250"/>
      <c r="K176" s="251">
        <f t="shared" si="15"/>
        <v>0</v>
      </c>
      <c r="L176" s="50">
        <f t="shared" si="16"/>
        <v>0</v>
      </c>
      <c r="M176" s="50">
        <f t="shared" si="17"/>
        <v>0</v>
      </c>
      <c r="N176" s="50">
        <f t="shared" si="18"/>
        <v>0</v>
      </c>
    </row>
    <row r="177" spans="1:14" ht="12.75" customHeight="1" x14ac:dyDescent="0.3">
      <c r="A177" s="13">
        <v>23</v>
      </c>
      <c r="B177" s="40" t="s">
        <v>189</v>
      </c>
      <c r="C177" s="18"/>
      <c r="D177" s="19"/>
      <c r="E177" s="19"/>
      <c r="F177" s="19"/>
      <c r="G177" s="192">
        <f>+SUM(F178:F181)</f>
        <v>19050437</v>
      </c>
      <c r="H177" s="245">
        <f t="shared" si="19"/>
        <v>2.2549025451818604E-2</v>
      </c>
      <c r="I177" s="246"/>
      <c r="J177" s="247"/>
      <c r="K177" s="247"/>
      <c r="L177" s="178"/>
      <c r="M177" s="178"/>
      <c r="N177" s="179"/>
    </row>
    <row r="178" spans="1:14" ht="12.75" customHeight="1" x14ac:dyDescent="0.3">
      <c r="A178" s="115">
        <v>23.01</v>
      </c>
      <c r="B178" s="21" t="s">
        <v>190</v>
      </c>
      <c r="C178" s="93" t="s">
        <v>29</v>
      </c>
      <c r="D178" s="94">
        <v>6</v>
      </c>
      <c r="E178" s="180">
        <v>259063</v>
      </c>
      <c r="F178" s="180">
        <f t="shared" si="14"/>
        <v>1554378</v>
      </c>
      <c r="G178" s="182"/>
      <c r="H178" s="245"/>
      <c r="I178" s="250">
        <v>0</v>
      </c>
      <c r="J178" s="250"/>
      <c r="K178" s="251">
        <f t="shared" si="15"/>
        <v>0</v>
      </c>
      <c r="L178" s="50">
        <f t="shared" si="16"/>
        <v>0</v>
      </c>
      <c r="M178" s="50">
        <f t="shared" si="17"/>
        <v>0</v>
      </c>
      <c r="N178" s="50">
        <f t="shared" si="18"/>
        <v>0</v>
      </c>
    </row>
    <row r="179" spans="1:14" ht="12.75" customHeight="1" x14ac:dyDescent="0.3">
      <c r="A179" s="100">
        <v>23.02</v>
      </c>
      <c r="B179" s="25" t="s">
        <v>191</v>
      </c>
      <c r="C179" s="30" t="s">
        <v>29</v>
      </c>
      <c r="D179" s="31">
        <v>1</v>
      </c>
      <c r="E179" s="181">
        <v>793947</v>
      </c>
      <c r="F179" s="181">
        <f t="shared" si="14"/>
        <v>793947</v>
      </c>
      <c r="H179" s="245"/>
      <c r="I179" s="250">
        <v>0</v>
      </c>
      <c r="J179" s="250"/>
      <c r="K179" s="251">
        <f t="shared" si="15"/>
        <v>0</v>
      </c>
      <c r="L179" s="50">
        <f t="shared" si="16"/>
        <v>0</v>
      </c>
      <c r="M179" s="50">
        <f t="shared" si="17"/>
        <v>0</v>
      </c>
      <c r="N179" s="50">
        <f t="shared" si="18"/>
        <v>0</v>
      </c>
    </row>
    <row r="180" spans="1:14" ht="12.75" customHeight="1" x14ac:dyDescent="0.3">
      <c r="A180" s="100">
        <v>23.03</v>
      </c>
      <c r="B180" s="25" t="s">
        <v>192</v>
      </c>
      <c r="C180" s="30" t="s">
        <v>19</v>
      </c>
      <c r="D180" s="31">
        <v>26</v>
      </c>
      <c r="E180" s="181">
        <v>27076</v>
      </c>
      <c r="F180" s="181">
        <f t="shared" si="14"/>
        <v>703976</v>
      </c>
      <c r="H180" s="245"/>
      <c r="I180" s="250">
        <v>0</v>
      </c>
      <c r="J180" s="250"/>
      <c r="K180" s="251">
        <f t="shared" si="15"/>
        <v>0</v>
      </c>
      <c r="L180" s="50">
        <f t="shared" si="16"/>
        <v>0</v>
      </c>
      <c r="M180" s="50">
        <f t="shared" si="17"/>
        <v>0</v>
      </c>
      <c r="N180" s="50">
        <f t="shared" si="18"/>
        <v>0</v>
      </c>
    </row>
    <row r="181" spans="1:14" ht="12.75" customHeight="1" x14ac:dyDescent="0.3">
      <c r="A181" s="130">
        <v>23.04</v>
      </c>
      <c r="B181" s="154" t="s">
        <v>193</v>
      </c>
      <c r="C181" s="155" t="s">
        <v>19</v>
      </c>
      <c r="D181" s="102">
        <v>231</v>
      </c>
      <c r="E181" s="189">
        <v>69256</v>
      </c>
      <c r="F181" s="189">
        <f t="shared" si="14"/>
        <v>15998136</v>
      </c>
      <c r="H181" s="245"/>
      <c r="I181" s="250">
        <v>0</v>
      </c>
      <c r="J181" s="250"/>
      <c r="K181" s="251">
        <f t="shared" si="15"/>
        <v>0</v>
      </c>
      <c r="L181" s="50">
        <f t="shared" si="16"/>
        <v>0</v>
      </c>
      <c r="M181" s="50">
        <f t="shared" si="17"/>
        <v>0</v>
      </c>
      <c r="N181" s="50">
        <f t="shared" si="18"/>
        <v>0</v>
      </c>
    </row>
    <row r="182" spans="1:14" ht="12.75" customHeight="1" x14ac:dyDescent="0.3">
      <c r="A182" s="13">
        <v>24</v>
      </c>
      <c r="B182" s="40" t="s">
        <v>194</v>
      </c>
      <c r="C182" s="18"/>
      <c r="D182" s="19"/>
      <c r="E182" s="19"/>
      <c r="F182" s="19"/>
      <c r="G182" s="193">
        <f>+SUM(F183:F191)</f>
        <v>76903896</v>
      </c>
      <c r="H182" s="245">
        <f t="shared" si="19"/>
        <v>9.1027198391722505E-2</v>
      </c>
      <c r="I182" s="246"/>
      <c r="J182" s="247"/>
      <c r="K182" s="247"/>
      <c r="L182" s="178"/>
      <c r="M182" s="178"/>
      <c r="N182" s="179"/>
    </row>
    <row r="183" spans="1:14" ht="12.75" customHeight="1" x14ac:dyDescent="0.3">
      <c r="A183" s="20">
        <v>24.01</v>
      </c>
      <c r="B183" s="156" t="s">
        <v>195</v>
      </c>
      <c r="C183" s="22" t="s">
        <v>196</v>
      </c>
      <c r="D183" s="94">
        <v>17</v>
      </c>
      <c r="E183" s="181">
        <v>973327</v>
      </c>
      <c r="F183" s="181">
        <f t="shared" si="14"/>
        <v>16546559</v>
      </c>
      <c r="H183" s="245"/>
      <c r="I183" s="250">
        <v>0.2</v>
      </c>
      <c r="J183" s="288">
        <v>0.05</v>
      </c>
      <c r="K183" s="251">
        <f t="shared" si="15"/>
        <v>0.25</v>
      </c>
      <c r="L183" s="50">
        <f t="shared" si="16"/>
        <v>3309311.8000000003</v>
      </c>
      <c r="M183" s="50">
        <f t="shared" si="17"/>
        <v>827327.95000000007</v>
      </c>
      <c r="N183" s="50">
        <f t="shared" si="18"/>
        <v>4136639.75</v>
      </c>
    </row>
    <row r="184" spans="1:14" ht="12.75" customHeight="1" x14ac:dyDescent="0.3">
      <c r="A184" s="24">
        <v>24.02</v>
      </c>
      <c r="B184" s="157" t="s">
        <v>197</v>
      </c>
      <c r="C184" s="26" t="s">
        <v>196</v>
      </c>
      <c r="D184" s="31">
        <v>4</v>
      </c>
      <c r="E184" s="181">
        <v>2005316</v>
      </c>
      <c r="F184" s="181">
        <f t="shared" si="14"/>
        <v>8021264</v>
      </c>
      <c r="H184" s="245"/>
      <c r="I184" s="250">
        <v>0.9</v>
      </c>
      <c r="J184" s="288">
        <v>0.1</v>
      </c>
      <c r="K184" s="251">
        <f t="shared" si="15"/>
        <v>1</v>
      </c>
      <c r="L184" s="50">
        <f t="shared" si="16"/>
        <v>7219137.6000000006</v>
      </c>
      <c r="M184" s="50">
        <f t="shared" si="17"/>
        <v>802126.4</v>
      </c>
      <c r="N184" s="50">
        <f t="shared" si="18"/>
        <v>8021264</v>
      </c>
    </row>
    <row r="185" spans="1:14" ht="12.75" customHeight="1" x14ac:dyDescent="0.3">
      <c r="A185" s="24">
        <v>24.03</v>
      </c>
      <c r="B185" s="158" t="s">
        <v>198</v>
      </c>
      <c r="C185" s="26" t="s">
        <v>196</v>
      </c>
      <c r="D185" s="31">
        <v>17</v>
      </c>
      <c r="E185" s="181">
        <v>199910</v>
      </c>
      <c r="F185" s="181">
        <f t="shared" si="14"/>
        <v>3398470</v>
      </c>
      <c r="H185" s="245"/>
      <c r="I185" s="250">
        <v>0.2</v>
      </c>
      <c r="J185" s="288">
        <v>0.05</v>
      </c>
      <c r="K185" s="251">
        <f t="shared" si="15"/>
        <v>0.25</v>
      </c>
      <c r="L185" s="50">
        <f t="shared" si="16"/>
        <v>679694</v>
      </c>
      <c r="M185" s="50">
        <f t="shared" si="17"/>
        <v>169923.5</v>
      </c>
      <c r="N185" s="50">
        <f t="shared" si="18"/>
        <v>849617.5</v>
      </c>
    </row>
    <row r="186" spans="1:14" ht="12.75" customHeight="1" x14ac:dyDescent="0.3">
      <c r="A186" s="24">
        <v>24.04</v>
      </c>
      <c r="B186" s="158" t="s">
        <v>199</v>
      </c>
      <c r="C186" s="26" t="s">
        <v>29</v>
      </c>
      <c r="D186" s="27">
        <v>1</v>
      </c>
      <c r="E186" s="181">
        <v>6284456</v>
      </c>
      <c r="F186" s="181">
        <f t="shared" si="14"/>
        <v>6284456</v>
      </c>
      <c r="H186" s="245"/>
      <c r="I186" s="250">
        <v>0</v>
      </c>
      <c r="J186" s="288"/>
      <c r="K186" s="251">
        <f t="shared" si="15"/>
        <v>0</v>
      </c>
      <c r="L186" s="50">
        <f t="shared" si="16"/>
        <v>0</v>
      </c>
      <c r="M186" s="50">
        <f t="shared" si="17"/>
        <v>0</v>
      </c>
      <c r="N186" s="50">
        <f t="shared" si="18"/>
        <v>0</v>
      </c>
    </row>
    <row r="187" spans="1:14" ht="12.75" customHeight="1" x14ac:dyDescent="0.3">
      <c r="A187" s="24">
        <v>24.05</v>
      </c>
      <c r="B187" s="158" t="s">
        <v>200</v>
      </c>
      <c r="C187" s="159" t="s">
        <v>196</v>
      </c>
      <c r="D187" s="31">
        <v>17</v>
      </c>
      <c r="E187" s="181">
        <v>873895</v>
      </c>
      <c r="F187" s="181">
        <f t="shared" si="14"/>
        <v>14856215</v>
      </c>
      <c r="G187" s="194"/>
      <c r="H187" s="245"/>
      <c r="I187" s="250">
        <v>0.1</v>
      </c>
      <c r="J187" s="288">
        <v>0.05</v>
      </c>
      <c r="K187" s="251">
        <f t="shared" si="15"/>
        <v>0.15000000000000002</v>
      </c>
      <c r="L187" s="50">
        <f t="shared" si="16"/>
        <v>1485621.5</v>
      </c>
      <c r="M187" s="50">
        <f t="shared" si="17"/>
        <v>742810.75</v>
      </c>
      <c r="N187" s="50">
        <f t="shared" si="18"/>
        <v>2228432.2500000005</v>
      </c>
    </row>
    <row r="188" spans="1:14" ht="12.75" customHeight="1" x14ac:dyDescent="0.3">
      <c r="A188" s="24">
        <v>24.06</v>
      </c>
      <c r="B188" s="158" t="s">
        <v>201</v>
      </c>
      <c r="C188" s="159" t="s">
        <v>196</v>
      </c>
      <c r="D188" s="31">
        <v>17</v>
      </c>
      <c r="E188" s="181">
        <v>577178</v>
      </c>
      <c r="F188" s="181">
        <f t="shared" si="14"/>
        <v>9812026</v>
      </c>
      <c r="G188" s="194"/>
      <c r="H188" s="245"/>
      <c r="I188" s="250">
        <v>0.1</v>
      </c>
      <c r="J188" s="288">
        <v>0.05</v>
      </c>
      <c r="K188" s="251">
        <f t="shared" si="15"/>
        <v>0.15000000000000002</v>
      </c>
      <c r="L188" s="50">
        <f t="shared" si="16"/>
        <v>981202.60000000009</v>
      </c>
      <c r="M188" s="50">
        <f t="shared" si="17"/>
        <v>490601.30000000005</v>
      </c>
      <c r="N188" s="50">
        <f t="shared" si="18"/>
        <v>1471803.9000000001</v>
      </c>
    </row>
    <row r="189" spans="1:14" ht="12.75" customHeight="1" x14ac:dyDescent="0.3">
      <c r="A189" s="24">
        <v>24.07</v>
      </c>
      <c r="B189" s="158" t="s">
        <v>202</v>
      </c>
      <c r="C189" s="159" t="s">
        <v>29</v>
      </c>
      <c r="D189" s="27">
        <v>1</v>
      </c>
      <c r="E189" s="181">
        <v>5277814</v>
      </c>
      <c r="F189" s="181">
        <f t="shared" si="14"/>
        <v>5277814</v>
      </c>
      <c r="G189" s="194"/>
      <c r="H189" s="245"/>
      <c r="I189" s="250">
        <v>0</v>
      </c>
      <c r="J189" s="288"/>
      <c r="K189" s="251">
        <f t="shared" si="15"/>
        <v>0</v>
      </c>
      <c r="L189" s="50">
        <f t="shared" si="16"/>
        <v>0</v>
      </c>
      <c r="M189" s="50">
        <f t="shared" si="17"/>
        <v>0</v>
      </c>
      <c r="N189" s="50">
        <f t="shared" si="18"/>
        <v>0</v>
      </c>
    </row>
    <row r="190" spans="1:14" ht="12.75" customHeight="1" x14ac:dyDescent="0.3">
      <c r="A190" s="24">
        <v>24.08</v>
      </c>
      <c r="B190" s="158" t="s">
        <v>203</v>
      </c>
      <c r="C190" s="159" t="s">
        <v>196</v>
      </c>
      <c r="D190" s="31">
        <v>17</v>
      </c>
      <c r="E190" s="181">
        <v>399819</v>
      </c>
      <c r="F190" s="181">
        <f t="shared" si="14"/>
        <v>6796923</v>
      </c>
      <c r="G190" s="194"/>
      <c r="H190" s="245"/>
      <c r="I190" s="250">
        <v>0.12</v>
      </c>
      <c r="J190" s="288">
        <v>0.08</v>
      </c>
      <c r="K190" s="251">
        <f t="shared" si="15"/>
        <v>0.2</v>
      </c>
      <c r="L190" s="50">
        <f t="shared" si="16"/>
        <v>815630.76</v>
      </c>
      <c r="M190" s="50">
        <f t="shared" si="17"/>
        <v>543753.84</v>
      </c>
      <c r="N190" s="50">
        <f t="shared" si="18"/>
        <v>1359384.6</v>
      </c>
    </row>
    <row r="191" spans="1:14" ht="12.75" customHeight="1" x14ac:dyDescent="0.3">
      <c r="A191" s="24">
        <v>24.09</v>
      </c>
      <c r="B191" s="160" t="s">
        <v>204</v>
      </c>
      <c r="C191" s="161" t="s">
        <v>196</v>
      </c>
      <c r="D191" s="31">
        <v>17</v>
      </c>
      <c r="E191" s="189">
        <v>347657</v>
      </c>
      <c r="F191" s="189">
        <f t="shared" si="14"/>
        <v>5910169</v>
      </c>
      <c r="G191" s="194"/>
      <c r="H191" s="245"/>
      <c r="I191" s="288">
        <v>0.03</v>
      </c>
      <c r="J191" s="288">
        <v>0.1</v>
      </c>
      <c r="K191" s="251">
        <f t="shared" si="15"/>
        <v>0.13</v>
      </c>
      <c r="L191" s="50">
        <f t="shared" si="16"/>
        <v>177305.07</v>
      </c>
      <c r="M191" s="50">
        <f t="shared" si="17"/>
        <v>591016.9</v>
      </c>
      <c r="N191" s="50">
        <f t="shared" si="18"/>
        <v>768321.97</v>
      </c>
    </row>
    <row r="192" spans="1:14" ht="12.75" customHeight="1" x14ac:dyDescent="0.3">
      <c r="A192" s="13">
        <v>25</v>
      </c>
      <c r="B192" s="40" t="s">
        <v>205</v>
      </c>
      <c r="C192" s="18"/>
      <c r="D192" s="19"/>
      <c r="E192" s="19"/>
      <c r="F192" s="19"/>
      <c r="G192" s="193">
        <f>+SUM(F193:F194)</f>
        <v>110386593</v>
      </c>
      <c r="H192" s="245">
        <f t="shared" si="19"/>
        <v>0.13065894998086086</v>
      </c>
      <c r="I192" s="246"/>
      <c r="J192" s="247"/>
      <c r="K192" s="247"/>
      <c r="L192" s="178"/>
      <c r="M192" s="178"/>
      <c r="N192" s="179"/>
    </row>
    <row r="193" spans="1:14" ht="12.75" customHeight="1" x14ac:dyDescent="0.3">
      <c r="A193" s="20">
        <v>25.01</v>
      </c>
      <c r="B193" s="21" t="s">
        <v>206</v>
      </c>
      <c r="C193" s="93" t="s">
        <v>196</v>
      </c>
      <c r="D193" s="94">
        <v>17</v>
      </c>
      <c r="E193" s="184">
        <v>5826965</v>
      </c>
      <c r="F193" s="183">
        <f t="shared" si="14"/>
        <v>99058405</v>
      </c>
      <c r="G193" s="195"/>
      <c r="H193" s="245"/>
      <c r="I193" s="250">
        <v>0.2</v>
      </c>
      <c r="J193" s="288">
        <v>0.05</v>
      </c>
      <c r="K193" s="251">
        <f t="shared" si="15"/>
        <v>0.25</v>
      </c>
      <c r="L193" s="50">
        <f t="shared" si="16"/>
        <v>19811681</v>
      </c>
      <c r="M193" s="50">
        <f t="shared" si="17"/>
        <v>4952920.25</v>
      </c>
      <c r="N193" s="50">
        <f t="shared" si="18"/>
        <v>24764601.25</v>
      </c>
    </row>
    <row r="194" spans="1:14" ht="12.75" customHeight="1" x14ac:dyDescent="0.3">
      <c r="A194" s="33">
        <v>25.02</v>
      </c>
      <c r="B194" s="38" t="s">
        <v>207</v>
      </c>
      <c r="C194" s="34" t="s">
        <v>196</v>
      </c>
      <c r="D194" s="35">
        <v>17</v>
      </c>
      <c r="E194" s="184">
        <v>666364</v>
      </c>
      <c r="F194" s="181">
        <f t="shared" si="14"/>
        <v>11328188</v>
      </c>
      <c r="G194" s="196"/>
      <c r="H194" s="245"/>
      <c r="I194" s="255">
        <v>0.2</v>
      </c>
      <c r="J194" s="289">
        <v>0.05</v>
      </c>
      <c r="K194" s="256">
        <f t="shared" si="15"/>
        <v>0.25</v>
      </c>
      <c r="L194" s="257">
        <f t="shared" si="16"/>
        <v>2265637.6</v>
      </c>
      <c r="M194" s="257">
        <f t="shared" si="17"/>
        <v>566409.4</v>
      </c>
      <c r="N194" s="257">
        <f t="shared" si="18"/>
        <v>2832047</v>
      </c>
    </row>
    <row r="195" spans="1:14" ht="12.75" customHeight="1" x14ac:dyDescent="0.3">
      <c r="A195" s="13"/>
      <c r="B195" s="40" t="s">
        <v>208</v>
      </c>
      <c r="C195" s="18"/>
      <c r="D195" s="19"/>
      <c r="E195" s="19"/>
      <c r="F195" s="197">
        <f>SUM(F9:F194)</f>
        <v>844845248</v>
      </c>
      <c r="G195" s="192">
        <f>SUM(G9:G194)</f>
        <v>844845248</v>
      </c>
      <c r="H195" s="245">
        <f>+SUM(H9:H194)</f>
        <v>0.99999999999999978</v>
      </c>
      <c r="I195" s="258"/>
      <c r="J195" s="259"/>
      <c r="K195" s="259"/>
      <c r="L195" s="260">
        <f>+SUM(L10:L194)</f>
        <v>36745221.93</v>
      </c>
      <c r="M195" s="290">
        <f>+SUM(M10:M194)</f>
        <v>11908593.810000001</v>
      </c>
      <c r="N195" s="261">
        <f>+SUM(N10:N194)</f>
        <v>48653815.739999995</v>
      </c>
    </row>
    <row r="196" spans="1:14" s="41" customFormat="1" ht="13" x14ac:dyDescent="0.3">
      <c r="A196" s="43"/>
      <c r="B196" s="44"/>
      <c r="C196" s="45"/>
      <c r="D196" s="46"/>
      <c r="E196" s="198"/>
      <c r="F196" s="198"/>
      <c r="G196" s="199"/>
      <c r="H196" s="177"/>
      <c r="I196" s="200"/>
      <c r="J196" s="200"/>
      <c r="K196" s="200"/>
      <c r="L196" s="200"/>
      <c r="M196" s="287">
        <f>+M195/G195</f>
        <v>1.409559187104524E-2</v>
      </c>
      <c r="N196" s="254">
        <f>+N195/G195</f>
        <v>5.7589026931474191E-2</v>
      </c>
    </row>
    <row r="197" spans="1:14" s="41" customFormat="1" ht="13" x14ac:dyDescent="0.3">
      <c r="A197" s="42"/>
      <c r="B197" s="88"/>
      <c r="C197" s="89"/>
      <c r="D197" s="9"/>
      <c r="E197" s="201"/>
      <c r="F197" s="201"/>
      <c r="G197" s="166"/>
      <c r="H197" s="177"/>
      <c r="I197" s="200"/>
      <c r="J197" s="200"/>
      <c r="K197" s="200"/>
      <c r="L197" s="200"/>
      <c r="M197" s="291">
        <f>M195*0.7</f>
        <v>8336015.6669999994</v>
      </c>
      <c r="N197" s="51"/>
    </row>
    <row r="198" spans="1:14" ht="12.75" customHeight="1" x14ac:dyDescent="0.3">
      <c r="A198" s="39"/>
      <c r="B198" s="47"/>
      <c r="D198" s="48"/>
      <c r="E198" s="9"/>
      <c r="F198" s="9"/>
      <c r="G198" s="202"/>
      <c r="I198" s="200"/>
      <c r="J198" s="200"/>
      <c r="K198" s="200"/>
      <c r="L198" s="200"/>
      <c r="M198" s="51"/>
      <c r="N198" s="51"/>
    </row>
    <row r="199" spans="1:14" ht="12.75" customHeight="1" x14ac:dyDescent="0.3">
      <c r="A199" s="52"/>
      <c r="B199" s="53" t="s">
        <v>209</v>
      </c>
      <c r="C199" s="54"/>
      <c r="D199" s="55"/>
      <c r="E199" s="203"/>
      <c r="F199" s="204"/>
      <c r="G199" s="205"/>
      <c r="H199" s="205"/>
      <c r="I199" s="204"/>
      <c r="J199" s="206"/>
      <c r="K199" s="207" t="s">
        <v>210</v>
      </c>
      <c r="L199" s="208">
        <f>+J5</f>
        <v>5</v>
      </c>
      <c r="M199" s="209"/>
      <c r="N199" s="57">
        <f>+N5</f>
        <v>45869</v>
      </c>
    </row>
    <row r="200" spans="1:14" ht="12.75" customHeight="1" x14ac:dyDescent="0.3">
      <c r="A200" s="58"/>
      <c r="B200" s="53" t="s">
        <v>9</v>
      </c>
      <c r="C200" s="56"/>
      <c r="D200" s="59"/>
      <c r="E200" s="211"/>
      <c r="F200" s="205"/>
      <c r="G200" s="205"/>
      <c r="H200" s="205"/>
      <c r="I200" s="205"/>
      <c r="J200" s="209"/>
      <c r="K200" s="205"/>
      <c r="L200" s="205"/>
      <c r="M200" s="209" t="s">
        <v>211</v>
      </c>
      <c r="N200" s="210" t="s">
        <v>212</v>
      </c>
    </row>
    <row r="201" spans="1:14" ht="12.75" customHeight="1" x14ac:dyDescent="0.3">
      <c r="A201" s="60" t="s">
        <v>213</v>
      </c>
      <c r="B201" s="61" t="s">
        <v>214</v>
      </c>
      <c r="C201" s="60"/>
      <c r="D201" s="62"/>
      <c r="E201" s="212"/>
      <c r="F201" s="213"/>
      <c r="G201" s="214"/>
      <c r="H201" s="214"/>
      <c r="I201" s="213"/>
      <c r="J201" s="215"/>
      <c r="K201" s="213"/>
      <c r="L201" s="213"/>
      <c r="M201" s="213"/>
      <c r="N201" s="63">
        <f>+G195</f>
        <v>844845248</v>
      </c>
    </row>
    <row r="202" spans="1:14" ht="12.75" customHeight="1" x14ac:dyDescent="0.3">
      <c r="A202" s="64" t="s">
        <v>215</v>
      </c>
      <c r="B202" s="65" t="s">
        <v>216</v>
      </c>
      <c r="C202" s="66"/>
      <c r="D202" s="67"/>
      <c r="E202" s="216"/>
      <c r="F202" s="217"/>
      <c r="G202" s="218"/>
      <c r="H202" s="218"/>
      <c r="I202" s="217"/>
      <c r="J202" s="219"/>
      <c r="K202" s="217"/>
      <c r="L202" s="217"/>
      <c r="M202" s="236">
        <v>0.1</v>
      </c>
      <c r="N202" s="220">
        <f>+M202*N201</f>
        <v>84484524.800000012</v>
      </c>
    </row>
    <row r="203" spans="1:14" ht="12.75" customHeight="1" x14ac:dyDescent="0.3">
      <c r="A203" s="68" t="s">
        <v>217</v>
      </c>
      <c r="B203" s="69" t="s">
        <v>218</v>
      </c>
      <c r="C203" s="70"/>
      <c r="D203" s="71"/>
      <c r="E203" s="221"/>
      <c r="F203" s="222"/>
      <c r="G203" s="223"/>
      <c r="H203" s="223"/>
      <c r="I203" s="222"/>
      <c r="J203" s="224"/>
      <c r="K203" s="222"/>
      <c r="L203" s="222"/>
      <c r="M203" s="237"/>
      <c r="N203" s="225">
        <f>+M195</f>
        <v>11908593.810000001</v>
      </c>
    </row>
    <row r="204" spans="1:14" ht="12.75" customHeight="1" x14ac:dyDescent="0.3">
      <c r="A204" s="264" t="s">
        <v>219</v>
      </c>
      <c r="B204" s="265" t="s">
        <v>220</v>
      </c>
      <c r="C204" s="266"/>
      <c r="D204" s="267"/>
      <c r="E204" s="268"/>
      <c r="F204" s="269"/>
      <c r="G204" s="270"/>
      <c r="H204" s="270"/>
      <c r="I204" s="269"/>
      <c r="J204" s="271"/>
      <c r="K204" s="269"/>
      <c r="L204" s="269"/>
      <c r="M204" s="272">
        <f>-M202</f>
        <v>-0.1</v>
      </c>
      <c r="N204" s="273">
        <f>+M204*N203</f>
        <v>-1190859.3810000001</v>
      </c>
    </row>
    <row r="205" spans="1:14" ht="12.75" customHeight="1" x14ac:dyDescent="0.3">
      <c r="A205" s="72" t="s">
        <v>221</v>
      </c>
      <c r="B205" s="73" t="s">
        <v>222</v>
      </c>
      <c r="C205" s="74"/>
      <c r="D205" s="75"/>
      <c r="E205" s="226"/>
      <c r="F205" s="223"/>
      <c r="G205" s="223"/>
      <c r="H205" s="223"/>
      <c r="I205" s="223" t="s">
        <v>223</v>
      </c>
      <c r="J205" s="227" t="s">
        <v>232</v>
      </c>
      <c r="K205" s="223"/>
      <c r="L205" s="223"/>
      <c r="M205" s="239"/>
      <c r="N205" s="242">
        <f>+N203+N204</f>
        <v>10717734.429000001</v>
      </c>
    </row>
    <row r="206" spans="1:14" ht="12.75" customHeight="1" x14ac:dyDescent="0.3">
      <c r="A206" s="76" t="s">
        <v>225</v>
      </c>
      <c r="B206" s="77" t="s">
        <v>226</v>
      </c>
      <c r="C206" s="78"/>
      <c r="D206" s="79"/>
      <c r="E206" s="228"/>
      <c r="F206" s="229"/>
      <c r="G206" s="230"/>
      <c r="H206" s="229"/>
      <c r="I206" s="80">
        <v>15356.4</v>
      </c>
      <c r="J206" s="80">
        <v>16643.400000000001</v>
      </c>
      <c r="K206" s="230"/>
      <c r="L206" s="80">
        <f>J206/I206</f>
        <v>1.0838087051652732</v>
      </c>
      <c r="M206" s="240">
        <f>L206-1</f>
        <v>8.3808705165273167E-2</v>
      </c>
      <c r="N206" s="243">
        <f>N205*M206</f>
        <v>898239.44479975849</v>
      </c>
    </row>
    <row r="207" spans="1:14" ht="12.75" customHeight="1" x14ac:dyDescent="0.3">
      <c r="A207" s="81" t="s">
        <v>227</v>
      </c>
      <c r="B207" s="82" t="s">
        <v>228</v>
      </c>
      <c r="C207" s="83"/>
      <c r="D207" s="84"/>
      <c r="E207" s="232"/>
      <c r="F207" s="233"/>
      <c r="G207" s="233"/>
      <c r="H207" s="233"/>
      <c r="I207" s="233"/>
      <c r="J207" s="234"/>
      <c r="K207" s="233"/>
      <c r="L207" s="233"/>
      <c r="M207" s="233"/>
      <c r="N207" s="244">
        <f>N205+N206</f>
        <v>11615973.87379976</v>
      </c>
    </row>
  </sheetData>
  <mergeCells count="2">
    <mergeCell ref="I7:K7"/>
    <mergeCell ref="L7:N7"/>
  </mergeCells>
  <conditionalFormatting sqref="C3:C197">
    <cfRule type="cellIs" dxfId="47" priority="2" operator="equal">
      <formula>"x"</formula>
    </cfRule>
  </conditionalFormatting>
  <conditionalFormatting sqref="K10:K23 K25:K31 K33 K35:K40 K42:K49 K51:K53 K55:K58 K60:K70 K72:K74 K76:K79 K81:K87 K89:K100 K102 K104:K107 K109:K141 K144:K146 K148:K150 K152:K156 K158 K160:K161 K163 K165:K168 K170:K171 K173 K175:K176 K178:K181 K183:K191 K193:K194">
    <cfRule type="cellIs" dxfId="46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5CB867-FCC8-4D22-93AE-1C3D6230B7DE}">
  <dimension ref="A1:S205"/>
  <sheetViews>
    <sheetView topLeftCell="B187" zoomScaleNormal="100" workbookViewId="0">
      <selection activeCell="K183" sqref="K183"/>
    </sheetView>
  </sheetViews>
  <sheetFormatPr defaultColWidth="11.54296875" defaultRowHeight="12.75" customHeight="1" x14ac:dyDescent="0.3"/>
  <cols>
    <col min="1" max="1" width="7" style="1" bestFit="1" customWidth="1"/>
    <col min="2" max="2" width="56.36328125" style="2" customWidth="1"/>
    <col min="3" max="3" width="4.08984375" style="3" bestFit="1" customWidth="1"/>
    <col min="4" max="4" width="7" style="4" bestFit="1" customWidth="1"/>
    <col min="5" max="5" width="14.36328125" style="86" bestFit="1" customWidth="1"/>
    <col min="6" max="6" width="15.6328125" style="86" bestFit="1" customWidth="1"/>
    <col min="7" max="7" width="14.6328125" style="87" bestFit="1" customWidth="1"/>
    <col min="8" max="8" width="8.54296875" style="92" bestFit="1" customWidth="1"/>
    <col min="9" max="9" width="14" style="92" bestFit="1" customWidth="1"/>
    <col min="10" max="10" width="12.08984375" style="92" customWidth="1"/>
    <col min="11" max="13" width="11.36328125" style="92" bestFit="1" customWidth="1"/>
    <col min="14" max="14" width="13.6328125" style="92" bestFit="1" customWidth="1"/>
    <col min="15" max="15" width="12.08984375" style="5" customWidth="1"/>
    <col min="16" max="16384" width="11.54296875" style="5"/>
  </cols>
  <sheetData>
    <row r="1" spans="1:14" ht="12.75" customHeight="1" x14ac:dyDescent="0.3">
      <c r="F1" s="162" t="s">
        <v>0</v>
      </c>
      <c r="G1" s="162" t="s">
        <v>1</v>
      </c>
    </row>
    <row r="2" spans="1:14" ht="13" x14ac:dyDescent="0.3">
      <c r="F2" s="163">
        <v>1066.5</v>
      </c>
      <c r="G2" s="163">
        <v>1170</v>
      </c>
    </row>
    <row r="3" spans="1:14" s="10" customFormat="1" ht="13" x14ac:dyDescent="0.25">
      <c r="A3" s="6"/>
      <c r="B3" s="7"/>
      <c r="C3" s="8"/>
      <c r="D3" s="9"/>
      <c r="E3" s="9"/>
      <c r="F3" s="9"/>
      <c r="G3" s="164"/>
      <c r="H3" s="165"/>
      <c r="I3" s="165"/>
      <c r="J3" s="165"/>
      <c r="K3" s="165"/>
      <c r="L3" s="165"/>
      <c r="M3" s="165"/>
      <c r="N3" s="165"/>
    </row>
    <row r="4" spans="1:14" s="10" customFormat="1" ht="13" x14ac:dyDescent="0.25">
      <c r="A4" s="6"/>
      <c r="B4" s="7"/>
      <c r="C4" s="8"/>
      <c r="D4" s="9"/>
      <c r="E4" s="9"/>
      <c r="F4" s="166">
        <v>45667</v>
      </c>
      <c r="G4" s="164"/>
      <c r="H4" s="165"/>
      <c r="I4" s="165"/>
      <c r="J4" s="165"/>
      <c r="K4" s="165"/>
      <c r="L4" s="165"/>
      <c r="M4" s="165"/>
      <c r="N4" s="165"/>
    </row>
    <row r="5" spans="1:14" s="10" customFormat="1" ht="13" x14ac:dyDescent="0.3">
      <c r="A5" s="6"/>
      <c r="B5" s="90" t="s">
        <v>2</v>
      </c>
      <c r="C5" s="8"/>
      <c r="D5" s="9"/>
      <c r="E5" s="167"/>
      <c r="F5" s="167"/>
      <c r="G5" s="164"/>
      <c r="H5" s="165"/>
      <c r="I5" s="168" t="s">
        <v>3</v>
      </c>
      <c r="J5" s="169">
        <v>6</v>
      </c>
      <c r="K5" s="170"/>
      <c r="L5" s="170"/>
      <c r="M5" s="171"/>
      <c r="N5" s="49">
        <v>45900</v>
      </c>
    </row>
    <row r="6" spans="1:14" s="10" customFormat="1" ht="13" x14ac:dyDescent="0.25">
      <c r="A6" s="6"/>
      <c r="B6" s="90" t="s">
        <v>4</v>
      </c>
      <c r="C6" s="8"/>
      <c r="D6" s="9"/>
      <c r="E6" s="172"/>
      <c r="F6" s="172"/>
      <c r="G6" s="164"/>
      <c r="H6" s="165"/>
      <c r="I6" s="165"/>
      <c r="J6" s="165"/>
      <c r="K6" s="165"/>
      <c r="L6" s="165"/>
      <c r="M6" s="165"/>
      <c r="N6" s="165"/>
    </row>
    <row r="7" spans="1:14" s="10" customFormat="1" ht="13" x14ac:dyDescent="0.25">
      <c r="A7" s="6"/>
      <c r="B7" s="91" t="s">
        <v>5</v>
      </c>
      <c r="C7" s="11"/>
      <c r="D7" s="12"/>
      <c r="E7" s="173"/>
      <c r="F7" s="172"/>
      <c r="G7" s="164"/>
      <c r="H7" s="165"/>
      <c r="I7" s="330" t="s">
        <v>6</v>
      </c>
      <c r="J7" s="330"/>
      <c r="K7" s="330"/>
      <c r="L7" s="330" t="s">
        <v>7</v>
      </c>
      <c r="M7" s="330"/>
      <c r="N7" s="330"/>
    </row>
    <row r="8" spans="1:14" ht="13" x14ac:dyDescent="0.3">
      <c r="A8" s="13" t="s">
        <v>8</v>
      </c>
      <c r="B8" s="14" t="s">
        <v>9</v>
      </c>
      <c r="C8" s="15" t="s">
        <v>10</v>
      </c>
      <c r="D8" s="16" t="s">
        <v>11</v>
      </c>
      <c r="E8" s="175" t="s">
        <v>12</v>
      </c>
      <c r="F8" s="175" t="s">
        <v>13</v>
      </c>
      <c r="I8" s="174" t="s">
        <v>14</v>
      </c>
      <c r="J8" s="174" t="s">
        <v>15</v>
      </c>
      <c r="K8" s="174" t="s">
        <v>16</v>
      </c>
      <c r="L8" s="174" t="s">
        <v>14</v>
      </c>
      <c r="M8" s="174" t="s">
        <v>15</v>
      </c>
      <c r="N8" s="174" t="s">
        <v>16</v>
      </c>
    </row>
    <row r="9" spans="1:14" ht="12.75" customHeight="1" x14ac:dyDescent="0.3">
      <c r="A9" s="13">
        <v>4</v>
      </c>
      <c r="B9" s="17" t="s">
        <v>17</v>
      </c>
      <c r="C9" s="18"/>
      <c r="D9" s="19"/>
      <c r="E9" s="19"/>
      <c r="F9" s="19"/>
      <c r="G9" s="176">
        <f>+SUM(F10:F23)</f>
        <v>51045774</v>
      </c>
      <c r="H9" s="245">
        <f>+G9/$G$195</f>
        <v>6.0420265274428106E-2</v>
      </c>
      <c r="I9" s="246"/>
      <c r="J9" s="247"/>
      <c r="K9" s="247"/>
      <c r="L9" s="178"/>
      <c r="M9" s="178"/>
      <c r="N9" s="179"/>
    </row>
    <row r="10" spans="1:14" ht="12.75" customHeight="1" x14ac:dyDescent="0.3">
      <c r="A10" s="20">
        <v>4.01</v>
      </c>
      <c r="B10" s="21" t="s">
        <v>18</v>
      </c>
      <c r="C10" s="93" t="s">
        <v>19</v>
      </c>
      <c r="D10" s="94">
        <v>621</v>
      </c>
      <c r="E10" s="180">
        <v>22140</v>
      </c>
      <c r="F10" s="181">
        <f t="shared" ref="F10:F73" si="0">+E10*D10</f>
        <v>13748940</v>
      </c>
      <c r="G10" s="182"/>
      <c r="H10" s="245"/>
      <c r="I10" s="248">
        <v>0</v>
      </c>
      <c r="J10" s="248"/>
      <c r="K10" s="249">
        <f t="shared" ref="K10:K73" si="1">+I10+J10</f>
        <v>0</v>
      </c>
      <c r="L10" s="50">
        <f t="shared" ref="L10:L73" si="2">+F10*I10</f>
        <v>0</v>
      </c>
      <c r="M10" s="50">
        <f t="shared" ref="M10:M73" si="3">+F10*J10</f>
        <v>0</v>
      </c>
      <c r="N10" s="50">
        <f t="shared" ref="N10:N73" si="4">+F10*K10</f>
        <v>0</v>
      </c>
    </row>
    <row r="11" spans="1:14" ht="12.75" customHeight="1" x14ac:dyDescent="0.3">
      <c r="A11" s="24">
        <v>4.0199999999999996</v>
      </c>
      <c r="B11" s="95" t="s">
        <v>20</v>
      </c>
      <c r="C11" s="30" t="s">
        <v>19</v>
      </c>
      <c r="D11" s="31">
        <v>780</v>
      </c>
      <c r="E11" s="183">
        <v>24437</v>
      </c>
      <c r="F11" s="181">
        <f t="shared" si="0"/>
        <v>19060860</v>
      </c>
      <c r="G11" s="182"/>
      <c r="H11" s="245"/>
      <c r="I11" s="250">
        <v>0</v>
      </c>
      <c r="J11" s="250"/>
      <c r="K11" s="251">
        <f t="shared" si="1"/>
        <v>0</v>
      </c>
      <c r="L11" s="50">
        <f t="shared" si="2"/>
        <v>0</v>
      </c>
      <c r="M11" s="50">
        <f t="shared" si="3"/>
        <v>0</v>
      </c>
      <c r="N11" s="50">
        <f t="shared" si="4"/>
        <v>0</v>
      </c>
    </row>
    <row r="12" spans="1:14" ht="12.75" customHeight="1" x14ac:dyDescent="0.3">
      <c r="A12" s="24">
        <v>4.03</v>
      </c>
      <c r="B12" s="25" t="s">
        <v>21</v>
      </c>
      <c r="C12" s="30" t="s">
        <v>19</v>
      </c>
      <c r="D12" s="31">
        <v>56</v>
      </c>
      <c r="E12" s="183">
        <v>23248</v>
      </c>
      <c r="F12" s="181">
        <f t="shared" si="0"/>
        <v>1301888</v>
      </c>
      <c r="G12" s="182"/>
      <c r="H12" s="245"/>
      <c r="I12" s="250">
        <v>0</v>
      </c>
      <c r="J12" s="250"/>
      <c r="K12" s="251">
        <f t="shared" si="1"/>
        <v>0</v>
      </c>
      <c r="L12" s="50">
        <f t="shared" si="2"/>
        <v>0</v>
      </c>
      <c r="M12" s="50">
        <f t="shared" si="3"/>
        <v>0</v>
      </c>
      <c r="N12" s="50">
        <f t="shared" si="4"/>
        <v>0</v>
      </c>
    </row>
    <row r="13" spans="1:14" ht="12.75" customHeight="1" x14ac:dyDescent="0.3">
      <c r="A13" s="24">
        <v>4.04</v>
      </c>
      <c r="B13" s="25" t="s">
        <v>22</v>
      </c>
      <c r="C13" s="30" t="s">
        <v>19</v>
      </c>
      <c r="D13" s="31">
        <v>42</v>
      </c>
      <c r="E13" s="183">
        <v>28746</v>
      </c>
      <c r="F13" s="181">
        <f t="shared" si="0"/>
        <v>1207332</v>
      </c>
      <c r="G13" s="182"/>
      <c r="H13" s="245"/>
      <c r="I13" s="250">
        <v>0</v>
      </c>
      <c r="J13" s="250"/>
      <c r="K13" s="251">
        <f t="shared" si="1"/>
        <v>0</v>
      </c>
      <c r="L13" s="50">
        <f t="shared" si="2"/>
        <v>0</v>
      </c>
      <c r="M13" s="50">
        <f t="shared" si="3"/>
        <v>0</v>
      </c>
      <c r="N13" s="50">
        <f t="shared" si="4"/>
        <v>0</v>
      </c>
    </row>
    <row r="14" spans="1:14" ht="12.75" customHeight="1" x14ac:dyDescent="0.3">
      <c r="A14" s="24">
        <v>4.05</v>
      </c>
      <c r="B14" s="25" t="s">
        <v>23</v>
      </c>
      <c r="C14" s="30" t="s">
        <v>19</v>
      </c>
      <c r="D14" s="31">
        <v>70</v>
      </c>
      <c r="E14" s="183">
        <v>36933</v>
      </c>
      <c r="F14" s="181">
        <f t="shared" si="0"/>
        <v>2585310</v>
      </c>
      <c r="G14" s="182"/>
      <c r="H14" s="245"/>
      <c r="I14" s="250">
        <v>0</v>
      </c>
      <c r="J14" s="250"/>
      <c r="K14" s="251">
        <f t="shared" si="1"/>
        <v>0</v>
      </c>
      <c r="L14" s="50">
        <f t="shared" si="2"/>
        <v>0</v>
      </c>
      <c r="M14" s="50">
        <f t="shared" si="3"/>
        <v>0</v>
      </c>
      <c r="N14" s="50">
        <f t="shared" si="4"/>
        <v>0</v>
      </c>
    </row>
    <row r="15" spans="1:14" ht="12.75" customHeight="1" x14ac:dyDescent="0.3">
      <c r="A15" s="24">
        <v>4.0599999999999996</v>
      </c>
      <c r="B15" s="25" t="s">
        <v>24</v>
      </c>
      <c r="C15" s="30" t="s">
        <v>19</v>
      </c>
      <c r="D15" s="31">
        <v>5</v>
      </c>
      <c r="E15" s="183">
        <v>28672</v>
      </c>
      <c r="F15" s="181">
        <f t="shared" si="0"/>
        <v>143360</v>
      </c>
      <c r="G15" s="182"/>
      <c r="H15" s="245"/>
      <c r="I15" s="250">
        <v>0</v>
      </c>
      <c r="J15" s="250"/>
      <c r="K15" s="251">
        <f t="shared" si="1"/>
        <v>0</v>
      </c>
      <c r="L15" s="50">
        <f t="shared" si="2"/>
        <v>0</v>
      </c>
      <c r="M15" s="50">
        <f t="shared" si="3"/>
        <v>0</v>
      </c>
      <c r="N15" s="50">
        <f t="shared" si="4"/>
        <v>0</v>
      </c>
    </row>
    <row r="16" spans="1:14" ht="12.75" customHeight="1" x14ac:dyDescent="0.3">
      <c r="A16" s="24">
        <v>4.07</v>
      </c>
      <c r="B16" s="25" t="s">
        <v>25</v>
      </c>
      <c r="C16" s="30" t="s">
        <v>19</v>
      </c>
      <c r="D16" s="37">
        <v>193</v>
      </c>
      <c r="E16" s="183">
        <v>18611</v>
      </c>
      <c r="F16" s="181">
        <f t="shared" si="0"/>
        <v>3591923</v>
      </c>
      <c r="G16" s="182"/>
      <c r="H16" s="245"/>
      <c r="I16" s="250">
        <v>0</v>
      </c>
      <c r="J16" s="250"/>
      <c r="K16" s="251">
        <f t="shared" si="1"/>
        <v>0</v>
      </c>
      <c r="L16" s="50">
        <f t="shared" si="2"/>
        <v>0</v>
      </c>
      <c r="M16" s="50">
        <f t="shared" si="3"/>
        <v>0</v>
      </c>
      <c r="N16" s="50">
        <f t="shared" si="4"/>
        <v>0</v>
      </c>
    </row>
    <row r="17" spans="1:14" ht="12.75" customHeight="1" x14ac:dyDescent="0.3">
      <c r="A17" s="24">
        <v>4.08</v>
      </c>
      <c r="B17" s="25" t="s">
        <v>26</v>
      </c>
      <c r="C17" s="30" t="s">
        <v>27</v>
      </c>
      <c r="D17" s="37">
        <v>61</v>
      </c>
      <c r="E17" s="183">
        <v>28578</v>
      </c>
      <c r="F17" s="181">
        <f t="shared" si="0"/>
        <v>1743258</v>
      </c>
      <c r="G17" s="182"/>
      <c r="H17" s="245"/>
      <c r="I17" s="250">
        <v>0</v>
      </c>
      <c r="J17" s="250"/>
      <c r="K17" s="251">
        <f t="shared" si="1"/>
        <v>0</v>
      </c>
      <c r="L17" s="50">
        <f t="shared" si="2"/>
        <v>0</v>
      </c>
      <c r="M17" s="50">
        <f t="shared" si="3"/>
        <v>0</v>
      </c>
      <c r="N17" s="50">
        <f t="shared" si="4"/>
        <v>0</v>
      </c>
    </row>
    <row r="18" spans="1:14" ht="12.75" customHeight="1" x14ac:dyDescent="0.3">
      <c r="A18" s="24">
        <v>4.09</v>
      </c>
      <c r="B18" s="25" t="s">
        <v>28</v>
      </c>
      <c r="C18" s="30" t="s">
        <v>29</v>
      </c>
      <c r="D18" s="37">
        <v>1</v>
      </c>
      <c r="E18" s="183">
        <v>280823</v>
      </c>
      <c r="F18" s="181">
        <f t="shared" si="0"/>
        <v>280823</v>
      </c>
      <c r="G18" s="182"/>
      <c r="H18" s="245"/>
      <c r="I18" s="250">
        <v>0</v>
      </c>
      <c r="J18" s="250"/>
      <c r="K18" s="251">
        <f t="shared" si="1"/>
        <v>0</v>
      </c>
      <c r="L18" s="50">
        <f t="shared" si="2"/>
        <v>0</v>
      </c>
      <c r="M18" s="50">
        <f t="shared" si="3"/>
        <v>0</v>
      </c>
      <c r="N18" s="50">
        <f t="shared" si="4"/>
        <v>0</v>
      </c>
    </row>
    <row r="19" spans="1:14" ht="12.75" customHeight="1" x14ac:dyDescent="0.3">
      <c r="A19" s="24">
        <v>4.0999999999999996</v>
      </c>
      <c r="B19" s="25" t="s">
        <v>30</v>
      </c>
      <c r="C19" s="30" t="s">
        <v>29</v>
      </c>
      <c r="D19" s="37">
        <v>1</v>
      </c>
      <c r="E19" s="183">
        <v>801214</v>
      </c>
      <c r="F19" s="181">
        <f t="shared" si="0"/>
        <v>801214</v>
      </c>
      <c r="G19" s="182"/>
      <c r="H19" s="245"/>
      <c r="I19" s="250">
        <v>0</v>
      </c>
      <c r="J19" s="250"/>
      <c r="K19" s="251">
        <f t="shared" si="1"/>
        <v>0</v>
      </c>
      <c r="L19" s="50">
        <f t="shared" si="2"/>
        <v>0</v>
      </c>
      <c r="M19" s="50">
        <f t="shared" si="3"/>
        <v>0</v>
      </c>
      <c r="N19" s="50">
        <f t="shared" si="4"/>
        <v>0</v>
      </c>
    </row>
    <row r="20" spans="1:14" ht="12.75" customHeight="1" x14ac:dyDescent="0.3">
      <c r="A20" s="24">
        <v>4.1100000000000003</v>
      </c>
      <c r="B20" s="25" t="s">
        <v>31</v>
      </c>
      <c r="C20" s="30" t="s">
        <v>29</v>
      </c>
      <c r="D20" s="37">
        <v>1</v>
      </c>
      <c r="E20" s="183">
        <v>525234</v>
      </c>
      <c r="F20" s="181">
        <f t="shared" si="0"/>
        <v>525234</v>
      </c>
      <c r="G20" s="182"/>
      <c r="H20" s="245"/>
      <c r="I20" s="250">
        <v>0</v>
      </c>
      <c r="J20" s="250"/>
      <c r="K20" s="251">
        <f t="shared" si="1"/>
        <v>0</v>
      </c>
      <c r="L20" s="50">
        <f t="shared" si="2"/>
        <v>0</v>
      </c>
      <c r="M20" s="50">
        <f t="shared" si="3"/>
        <v>0</v>
      </c>
      <c r="N20" s="50">
        <f t="shared" si="4"/>
        <v>0</v>
      </c>
    </row>
    <row r="21" spans="1:14" ht="12.75" customHeight="1" x14ac:dyDescent="0.3">
      <c r="A21" s="24">
        <v>4.12</v>
      </c>
      <c r="B21" s="25" t="s">
        <v>32</v>
      </c>
      <c r="C21" s="30" t="s">
        <v>33</v>
      </c>
      <c r="D21" s="37">
        <v>3</v>
      </c>
      <c r="E21" s="183">
        <v>237784</v>
      </c>
      <c r="F21" s="181">
        <f t="shared" si="0"/>
        <v>713352</v>
      </c>
      <c r="G21" s="182"/>
      <c r="H21" s="245"/>
      <c r="I21" s="250">
        <v>0</v>
      </c>
      <c r="J21" s="250"/>
      <c r="K21" s="251">
        <f t="shared" si="1"/>
        <v>0</v>
      </c>
      <c r="L21" s="50">
        <f t="shared" si="2"/>
        <v>0</v>
      </c>
      <c r="M21" s="50">
        <f t="shared" si="3"/>
        <v>0</v>
      </c>
      <c r="N21" s="50">
        <f t="shared" si="4"/>
        <v>0</v>
      </c>
    </row>
    <row r="22" spans="1:14" ht="12.75" customHeight="1" x14ac:dyDescent="0.3">
      <c r="A22" s="24">
        <v>4.13</v>
      </c>
      <c r="B22" s="25" t="s">
        <v>34</v>
      </c>
      <c r="C22" s="30" t="s">
        <v>27</v>
      </c>
      <c r="D22" s="37">
        <v>40</v>
      </c>
      <c r="E22" s="183">
        <v>98026</v>
      </c>
      <c r="F22" s="181">
        <f t="shared" si="0"/>
        <v>3921040</v>
      </c>
      <c r="G22" s="182"/>
      <c r="H22" s="245"/>
      <c r="I22" s="250">
        <v>0</v>
      </c>
      <c r="J22" s="250"/>
      <c r="K22" s="251">
        <f t="shared" si="1"/>
        <v>0</v>
      </c>
      <c r="L22" s="50">
        <f t="shared" si="2"/>
        <v>0</v>
      </c>
      <c r="M22" s="50">
        <f t="shared" si="3"/>
        <v>0</v>
      </c>
      <c r="N22" s="50">
        <f t="shared" si="4"/>
        <v>0</v>
      </c>
    </row>
    <row r="23" spans="1:14" ht="12.75" customHeight="1" x14ac:dyDescent="0.3">
      <c r="A23" s="24">
        <v>4.1399999999999997</v>
      </c>
      <c r="B23" s="38" t="s">
        <v>35</v>
      </c>
      <c r="C23" s="34" t="s">
        <v>33</v>
      </c>
      <c r="D23" s="96">
        <v>8</v>
      </c>
      <c r="E23" s="183">
        <v>177655</v>
      </c>
      <c r="F23" s="181">
        <f t="shared" si="0"/>
        <v>1421240</v>
      </c>
      <c r="G23" s="182"/>
      <c r="H23" s="245"/>
      <c r="I23" s="250">
        <v>0</v>
      </c>
      <c r="J23" s="250"/>
      <c r="K23" s="251">
        <f t="shared" si="1"/>
        <v>0</v>
      </c>
      <c r="L23" s="50">
        <f t="shared" si="2"/>
        <v>0</v>
      </c>
      <c r="M23" s="50">
        <f t="shared" si="3"/>
        <v>0</v>
      </c>
      <c r="N23" s="50">
        <f t="shared" si="4"/>
        <v>0</v>
      </c>
    </row>
    <row r="24" spans="1:14" ht="12.75" customHeight="1" x14ac:dyDescent="0.3">
      <c r="A24" s="13">
        <v>5</v>
      </c>
      <c r="B24" s="40" t="s">
        <v>36</v>
      </c>
      <c r="C24" s="18"/>
      <c r="D24" s="19"/>
      <c r="E24" s="19"/>
      <c r="F24" s="19"/>
      <c r="G24" s="176">
        <f>+SUM(F25:F31)</f>
        <v>19239698</v>
      </c>
      <c r="H24" s="245">
        <f>+G24/$G$195</f>
        <v>2.2773043993022494E-2</v>
      </c>
      <c r="I24" s="246"/>
      <c r="J24" s="247"/>
      <c r="K24" s="247"/>
      <c r="L24" s="178"/>
      <c r="M24" s="178"/>
      <c r="N24" s="179"/>
    </row>
    <row r="25" spans="1:14" ht="12.75" customHeight="1" x14ac:dyDescent="0.3">
      <c r="A25" s="20">
        <v>5.01</v>
      </c>
      <c r="B25" s="21" t="s">
        <v>37</v>
      </c>
      <c r="C25" s="93" t="s">
        <v>27</v>
      </c>
      <c r="D25" s="97">
        <v>136</v>
      </c>
      <c r="E25" s="183">
        <v>6496</v>
      </c>
      <c r="F25" s="181">
        <f t="shared" si="0"/>
        <v>883456</v>
      </c>
      <c r="G25" s="182"/>
      <c r="H25" s="245"/>
      <c r="I25" s="250">
        <v>0</v>
      </c>
      <c r="J25" s="250"/>
      <c r="K25" s="251">
        <f t="shared" si="1"/>
        <v>0</v>
      </c>
      <c r="L25" s="50">
        <f t="shared" si="2"/>
        <v>0</v>
      </c>
      <c r="M25" s="50">
        <f t="shared" si="3"/>
        <v>0</v>
      </c>
      <c r="N25" s="50">
        <f t="shared" si="4"/>
        <v>0</v>
      </c>
    </row>
    <row r="26" spans="1:14" ht="12.75" customHeight="1" x14ac:dyDescent="0.3">
      <c r="A26" s="24">
        <v>5.0199999999999996</v>
      </c>
      <c r="B26" s="98" t="s">
        <v>38</v>
      </c>
      <c r="C26" s="30" t="s">
        <v>19</v>
      </c>
      <c r="D26" s="31">
        <v>77</v>
      </c>
      <c r="E26" s="184">
        <v>33270</v>
      </c>
      <c r="F26" s="183">
        <f t="shared" si="0"/>
        <v>2561790</v>
      </c>
      <c r="G26" s="182"/>
      <c r="H26" s="245"/>
      <c r="I26" s="250">
        <v>0</v>
      </c>
      <c r="J26" s="250"/>
      <c r="K26" s="251">
        <f t="shared" si="1"/>
        <v>0</v>
      </c>
      <c r="L26" s="50">
        <f t="shared" si="2"/>
        <v>0</v>
      </c>
      <c r="M26" s="50">
        <f t="shared" si="3"/>
        <v>0</v>
      </c>
      <c r="N26" s="50">
        <f t="shared" si="4"/>
        <v>0</v>
      </c>
    </row>
    <row r="27" spans="1:14" ht="12.75" customHeight="1" x14ac:dyDescent="0.3">
      <c r="A27" s="24">
        <v>5.03</v>
      </c>
      <c r="B27" s="25" t="s">
        <v>39</v>
      </c>
      <c r="C27" s="30" t="s">
        <v>19</v>
      </c>
      <c r="D27" s="31">
        <v>107</v>
      </c>
      <c r="E27" s="184">
        <v>6496</v>
      </c>
      <c r="F27" s="181">
        <f t="shared" si="0"/>
        <v>695072</v>
      </c>
      <c r="G27" s="182"/>
      <c r="H27" s="245"/>
      <c r="I27" s="250">
        <v>0</v>
      </c>
      <c r="J27" s="250"/>
      <c r="K27" s="251">
        <f t="shared" si="1"/>
        <v>0</v>
      </c>
      <c r="L27" s="50">
        <f t="shared" si="2"/>
        <v>0</v>
      </c>
      <c r="M27" s="50">
        <f t="shared" si="3"/>
        <v>0</v>
      </c>
      <c r="N27" s="50">
        <f t="shared" si="4"/>
        <v>0</v>
      </c>
    </row>
    <row r="28" spans="1:14" ht="12.75" customHeight="1" x14ac:dyDescent="0.3">
      <c r="A28" s="24">
        <v>5.04</v>
      </c>
      <c r="B28" s="25" t="s">
        <v>40</v>
      </c>
      <c r="C28" s="30" t="s">
        <v>19</v>
      </c>
      <c r="D28" s="31">
        <v>186</v>
      </c>
      <c r="E28" s="184">
        <v>4832</v>
      </c>
      <c r="F28" s="181">
        <f t="shared" si="0"/>
        <v>898752</v>
      </c>
      <c r="G28" s="182"/>
      <c r="H28" s="245"/>
      <c r="I28" s="250">
        <v>0</v>
      </c>
      <c r="J28" s="250"/>
      <c r="K28" s="251">
        <f t="shared" si="1"/>
        <v>0</v>
      </c>
      <c r="L28" s="50">
        <f t="shared" si="2"/>
        <v>0</v>
      </c>
      <c r="M28" s="50">
        <f t="shared" si="3"/>
        <v>0</v>
      </c>
      <c r="N28" s="50">
        <f t="shared" si="4"/>
        <v>0</v>
      </c>
    </row>
    <row r="29" spans="1:14" ht="12.75" customHeight="1" x14ac:dyDescent="0.3">
      <c r="A29" s="24">
        <v>5.05</v>
      </c>
      <c r="B29" s="25" t="s">
        <v>41</v>
      </c>
      <c r="C29" s="30" t="s">
        <v>19</v>
      </c>
      <c r="D29" s="31">
        <v>186</v>
      </c>
      <c r="E29" s="184">
        <v>4134</v>
      </c>
      <c r="F29" s="181">
        <f t="shared" si="0"/>
        <v>768924</v>
      </c>
      <c r="G29" s="182"/>
      <c r="H29" s="245"/>
      <c r="I29" s="250">
        <v>0</v>
      </c>
      <c r="J29" s="250"/>
      <c r="K29" s="251">
        <f t="shared" si="1"/>
        <v>0</v>
      </c>
      <c r="L29" s="50">
        <f t="shared" si="2"/>
        <v>0</v>
      </c>
      <c r="M29" s="50">
        <f t="shared" si="3"/>
        <v>0</v>
      </c>
      <c r="N29" s="50">
        <f t="shared" si="4"/>
        <v>0</v>
      </c>
    </row>
    <row r="30" spans="1:14" ht="12.75" customHeight="1" x14ac:dyDescent="0.3">
      <c r="A30" s="24">
        <v>5.0599999999999996</v>
      </c>
      <c r="B30" s="25" t="s">
        <v>42</v>
      </c>
      <c r="C30" s="99" t="s">
        <v>19</v>
      </c>
      <c r="D30" s="31">
        <v>390</v>
      </c>
      <c r="E30" s="184">
        <v>28187</v>
      </c>
      <c r="F30" s="181">
        <f t="shared" si="0"/>
        <v>10992930</v>
      </c>
      <c r="G30" s="185"/>
      <c r="H30" s="245"/>
      <c r="I30" s="250">
        <v>0</v>
      </c>
      <c r="J30" s="250"/>
      <c r="K30" s="251">
        <f t="shared" si="1"/>
        <v>0</v>
      </c>
      <c r="L30" s="50">
        <f t="shared" si="2"/>
        <v>0</v>
      </c>
      <c r="M30" s="50">
        <f t="shared" si="3"/>
        <v>0</v>
      </c>
      <c r="N30" s="50">
        <f t="shared" si="4"/>
        <v>0</v>
      </c>
    </row>
    <row r="31" spans="1:14" ht="12.75" customHeight="1" x14ac:dyDescent="0.3">
      <c r="A31" s="24">
        <v>5.07</v>
      </c>
      <c r="B31" s="25" t="s">
        <v>43</v>
      </c>
      <c r="C31" s="99" t="s">
        <v>29</v>
      </c>
      <c r="D31" s="31">
        <v>1</v>
      </c>
      <c r="E31" s="184">
        <v>2438774</v>
      </c>
      <c r="F31" s="181">
        <f t="shared" si="0"/>
        <v>2438774</v>
      </c>
      <c r="G31" s="186"/>
      <c r="H31" s="245"/>
      <c r="I31" s="250">
        <v>0</v>
      </c>
      <c r="J31" s="250"/>
      <c r="K31" s="251">
        <f t="shared" si="1"/>
        <v>0</v>
      </c>
      <c r="L31" s="50">
        <f t="shared" si="2"/>
        <v>0</v>
      </c>
      <c r="M31" s="50">
        <f t="shared" si="3"/>
        <v>0</v>
      </c>
      <c r="N31" s="50">
        <f t="shared" si="4"/>
        <v>0</v>
      </c>
    </row>
    <row r="32" spans="1:14" ht="12.75" customHeight="1" x14ac:dyDescent="0.3">
      <c r="A32" s="13">
        <v>6</v>
      </c>
      <c r="B32" s="17" t="s">
        <v>44</v>
      </c>
      <c r="C32" s="18"/>
      <c r="D32" s="19"/>
      <c r="E32" s="19"/>
      <c r="F32" s="19"/>
      <c r="G32" s="176">
        <f>+SUM(F33)</f>
        <v>1722875</v>
      </c>
      <c r="H32" s="245">
        <f>+G32/$G$195</f>
        <v>2.0392787958251023E-3</v>
      </c>
      <c r="I32" s="246"/>
      <c r="J32" s="247"/>
      <c r="K32" s="247"/>
      <c r="L32" s="178"/>
      <c r="M32" s="178"/>
      <c r="N32" s="179"/>
    </row>
    <row r="33" spans="1:14" ht="12.75" customHeight="1" x14ac:dyDescent="0.3">
      <c r="A33" s="100">
        <v>6.02</v>
      </c>
      <c r="B33" s="38" t="s">
        <v>45</v>
      </c>
      <c r="C33" s="101" t="s">
        <v>27</v>
      </c>
      <c r="D33" s="102">
        <v>55</v>
      </c>
      <c r="E33" s="181">
        <v>31325</v>
      </c>
      <c r="F33" s="181">
        <f t="shared" si="0"/>
        <v>1722875</v>
      </c>
      <c r="G33" s="185"/>
      <c r="H33" s="245"/>
      <c r="I33" s="250">
        <v>0</v>
      </c>
      <c r="J33" s="250"/>
      <c r="K33" s="251">
        <f t="shared" si="1"/>
        <v>0</v>
      </c>
      <c r="L33" s="50">
        <f t="shared" si="2"/>
        <v>0</v>
      </c>
      <c r="M33" s="50">
        <f t="shared" si="3"/>
        <v>0</v>
      </c>
      <c r="N33" s="50">
        <f t="shared" si="4"/>
        <v>0</v>
      </c>
    </row>
    <row r="34" spans="1:14" ht="12.75" customHeight="1" x14ac:dyDescent="0.3">
      <c r="A34" s="13">
        <v>7</v>
      </c>
      <c r="B34" s="40" t="s">
        <v>46</v>
      </c>
      <c r="C34" s="18"/>
      <c r="D34" s="19"/>
      <c r="E34" s="19"/>
      <c r="F34" s="19"/>
      <c r="G34" s="176">
        <f>+SUM(F35:F40)</f>
        <v>92324467</v>
      </c>
      <c r="H34" s="245">
        <f>+G34/$G$195</f>
        <v>0.10927973758337338</v>
      </c>
      <c r="I34" s="246"/>
      <c r="J34" s="247"/>
      <c r="K34" s="247"/>
      <c r="L34" s="178"/>
      <c r="M34" s="178"/>
      <c r="N34" s="179"/>
    </row>
    <row r="35" spans="1:14" ht="12.75" customHeight="1" x14ac:dyDescent="0.3">
      <c r="A35" s="20">
        <v>7.01</v>
      </c>
      <c r="B35" s="103" t="s">
        <v>47</v>
      </c>
      <c r="C35" s="93" t="s">
        <v>19</v>
      </c>
      <c r="D35" s="94">
        <v>879</v>
      </c>
      <c r="E35" s="180">
        <v>19943</v>
      </c>
      <c r="F35" s="180">
        <f t="shared" si="0"/>
        <v>17529897</v>
      </c>
      <c r="G35" s="187"/>
      <c r="H35" s="245"/>
      <c r="I35" s="250">
        <v>0</v>
      </c>
      <c r="J35" s="250"/>
      <c r="K35" s="251">
        <f t="shared" si="1"/>
        <v>0</v>
      </c>
      <c r="L35" s="50">
        <f t="shared" si="2"/>
        <v>0</v>
      </c>
      <c r="M35" s="50">
        <f t="shared" si="3"/>
        <v>0</v>
      </c>
      <c r="N35" s="50">
        <f t="shared" si="4"/>
        <v>0</v>
      </c>
    </row>
    <row r="36" spans="1:14" ht="12.75" customHeight="1" x14ac:dyDescent="0.3">
      <c r="A36" s="24">
        <v>7.02</v>
      </c>
      <c r="B36" s="104" t="s">
        <v>48</v>
      </c>
      <c r="C36" s="30" t="s">
        <v>19</v>
      </c>
      <c r="D36" s="31">
        <v>716</v>
      </c>
      <c r="E36" s="181">
        <v>26767</v>
      </c>
      <c r="F36" s="181">
        <f t="shared" si="0"/>
        <v>19165172</v>
      </c>
      <c r="G36" s="185"/>
      <c r="H36" s="245"/>
      <c r="I36" s="250">
        <v>0</v>
      </c>
      <c r="J36" s="250"/>
      <c r="K36" s="251">
        <f t="shared" si="1"/>
        <v>0</v>
      </c>
      <c r="L36" s="50">
        <f t="shared" si="2"/>
        <v>0</v>
      </c>
      <c r="M36" s="50">
        <f t="shared" si="3"/>
        <v>0</v>
      </c>
      <c r="N36" s="50">
        <f t="shared" si="4"/>
        <v>0</v>
      </c>
    </row>
    <row r="37" spans="1:14" ht="12.75" customHeight="1" x14ac:dyDescent="0.3">
      <c r="A37" s="24">
        <v>7.03</v>
      </c>
      <c r="B37" s="25" t="s">
        <v>49</v>
      </c>
      <c r="C37" s="30" t="s">
        <v>19</v>
      </c>
      <c r="D37" s="31">
        <v>1439</v>
      </c>
      <c r="E37" s="181">
        <v>22963</v>
      </c>
      <c r="F37" s="181">
        <f t="shared" si="0"/>
        <v>33043757</v>
      </c>
      <c r="G37" s="185"/>
      <c r="H37" s="245"/>
      <c r="I37" s="250">
        <v>0</v>
      </c>
      <c r="J37" s="250"/>
      <c r="K37" s="251">
        <f t="shared" si="1"/>
        <v>0</v>
      </c>
      <c r="L37" s="50">
        <f t="shared" si="2"/>
        <v>0</v>
      </c>
      <c r="M37" s="50">
        <f t="shared" si="3"/>
        <v>0</v>
      </c>
      <c r="N37" s="50">
        <f t="shared" si="4"/>
        <v>0</v>
      </c>
    </row>
    <row r="38" spans="1:14" ht="12.75" customHeight="1" x14ac:dyDescent="0.3">
      <c r="A38" s="100">
        <v>7.04</v>
      </c>
      <c r="B38" s="105" t="s">
        <v>50</v>
      </c>
      <c r="C38" s="30" t="s">
        <v>27</v>
      </c>
      <c r="D38" s="31">
        <v>347</v>
      </c>
      <c r="E38" s="181">
        <v>16909</v>
      </c>
      <c r="F38" s="181">
        <f t="shared" si="0"/>
        <v>5867423</v>
      </c>
      <c r="G38" s="185"/>
      <c r="H38" s="245"/>
      <c r="I38" s="250">
        <v>0</v>
      </c>
      <c r="J38" s="250"/>
      <c r="K38" s="251">
        <f t="shared" si="1"/>
        <v>0</v>
      </c>
      <c r="L38" s="50">
        <f t="shared" si="2"/>
        <v>0</v>
      </c>
      <c r="M38" s="50">
        <f t="shared" si="3"/>
        <v>0</v>
      </c>
      <c r="N38" s="50">
        <f t="shared" si="4"/>
        <v>0</v>
      </c>
    </row>
    <row r="39" spans="1:14" ht="12.75" customHeight="1" x14ac:dyDescent="0.3">
      <c r="A39" s="24">
        <v>7.05</v>
      </c>
      <c r="B39" s="105" t="s">
        <v>51</v>
      </c>
      <c r="C39" s="30" t="s">
        <v>52</v>
      </c>
      <c r="D39" s="31">
        <v>132</v>
      </c>
      <c r="E39" s="181">
        <v>19384</v>
      </c>
      <c r="F39" s="181">
        <f t="shared" si="0"/>
        <v>2558688</v>
      </c>
      <c r="G39" s="185"/>
      <c r="H39" s="245"/>
      <c r="I39" s="250">
        <v>0</v>
      </c>
      <c r="J39" s="250"/>
      <c r="K39" s="251">
        <f t="shared" si="1"/>
        <v>0</v>
      </c>
      <c r="L39" s="50">
        <f t="shared" si="2"/>
        <v>0</v>
      </c>
      <c r="M39" s="50">
        <f t="shared" si="3"/>
        <v>0</v>
      </c>
      <c r="N39" s="50">
        <f t="shared" si="4"/>
        <v>0</v>
      </c>
    </row>
    <row r="40" spans="1:14" ht="12.75" customHeight="1" x14ac:dyDescent="0.3">
      <c r="A40" s="100">
        <v>7.06</v>
      </c>
      <c r="B40" s="25" t="s">
        <v>53</v>
      </c>
      <c r="C40" s="30" t="s">
        <v>19</v>
      </c>
      <c r="D40" s="31">
        <v>710</v>
      </c>
      <c r="E40" s="181">
        <v>19943</v>
      </c>
      <c r="F40" s="181">
        <f t="shared" si="0"/>
        <v>14159530</v>
      </c>
      <c r="G40" s="185"/>
      <c r="H40" s="245"/>
      <c r="I40" s="250">
        <v>0</v>
      </c>
      <c r="J40" s="250"/>
      <c r="K40" s="251">
        <f t="shared" si="1"/>
        <v>0</v>
      </c>
      <c r="L40" s="50">
        <f t="shared" si="2"/>
        <v>0</v>
      </c>
      <c r="M40" s="50">
        <f t="shared" si="3"/>
        <v>0</v>
      </c>
      <c r="N40" s="50">
        <f t="shared" si="4"/>
        <v>0</v>
      </c>
    </row>
    <row r="41" spans="1:14" ht="12.75" customHeight="1" x14ac:dyDescent="0.3">
      <c r="A41" s="13">
        <v>8</v>
      </c>
      <c r="B41" s="17" t="s">
        <v>54</v>
      </c>
      <c r="C41" s="18"/>
      <c r="D41" s="19"/>
      <c r="E41" s="19"/>
      <c r="F41" s="19"/>
      <c r="G41" s="176">
        <f>+SUM(F42:F49)</f>
        <v>49520833</v>
      </c>
      <c r="H41" s="245">
        <f>+G41/$G$195</f>
        <v>5.8615270805192479E-2</v>
      </c>
      <c r="I41" s="246"/>
      <c r="J41" s="247"/>
      <c r="K41" s="247"/>
      <c r="L41" s="178"/>
      <c r="M41" s="178"/>
      <c r="N41" s="179"/>
    </row>
    <row r="42" spans="1:14" ht="12.75" customHeight="1" x14ac:dyDescent="0.3">
      <c r="A42" s="20">
        <v>8.01</v>
      </c>
      <c r="B42" s="21" t="s">
        <v>55</v>
      </c>
      <c r="C42" s="93" t="s">
        <v>19</v>
      </c>
      <c r="D42" s="94">
        <v>107</v>
      </c>
      <c r="E42" s="183">
        <v>58580</v>
      </c>
      <c r="F42" s="183">
        <f t="shared" si="0"/>
        <v>6268060</v>
      </c>
      <c r="G42" s="182"/>
      <c r="H42" s="245"/>
      <c r="I42" s="250">
        <v>0</v>
      </c>
      <c r="J42" s="250"/>
      <c r="K42" s="251">
        <f t="shared" si="1"/>
        <v>0</v>
      </c>
      <c r="L42" s="50">
        <f t="shared" si="2"/>
        <v>0</v>
      </c>
      <c r="M42" s="50">
        <f t="shared" si="3"/>
        <v>0</v>
      </c>
      <c r="N42" s="50">
        <f t="shared" si="4"/>
        <v>0</v>
      </c>
    </row>
    <row r="43" spans="1:14" ht="12.75" customHeight="1" x14ac:dyDescent="0.3">
      <c r="A43" s="106">
        <v>8.02</v>
      </c>
      <c r="B43" s="107" t="s">
        <v>56</v>
      </c>
      <c r="C43" s="108" t="s">
        <v>19</v>
      </c>
      <c r="D43" s="32">
        <v>258</v>
      </c>
      <c r="E43" s="183">
        <v>38729</v>
      </c>
      <c r="F43" s="183">
        <f t="shared" si="0"/>
        <v>9992082</v>
      </c>
      <c r="G43" s="182"/>
      <c r="H43" s="245"/>
      <c r="I43" s="250">
        <v>0</v>
      </c>
      <c r="J43" s="250"/>
      <c r="K43" s="251">
        <f t="shared" si="1"/>
        <v>0</v>
      </c>
      <c r="L43" s="50">
        <f t="shared" si="2"/>
        <v>0</v>
      </c>
      <c r="M43" s="50">
        <f t="shared" si="3"/>
        <v>0</v>
      </c>
      <c r="N43" s="50">
        <f t="shared" si="4"/>
        <v>0</v>
      </c>
    </row>
    <row r="44" spans="1:14" ht="12.75" customHeight="1" x14ac:dyDescent="0.3">
      <c r="A44" s="24">
        <v>8.0299999999999994</v>
      </c>
      <c r="B44" s="25" t="s">
        <v>57</v>
      </c>
      <c r="C44" s="30" t="s">
        <v>19</v>
      </c>
      <c r="D44" s="31">
        <v>425</v>
      </c>
      <c r="E44" s="183">
        <v>22943</v>
      </c>
      <c r="F44" s="183">
        <f t="shared" si="0"/>
        <v>9750775</v>
      </c>
      <c r="G44" s="182"/>
      <c r="H44" s="245"/>
      <c r="I44" s="250">
        <v>0</v>
      </c>
      <c r="J44" s="250"/>
      <c r="K44" s="251">
        <f t="shared" si="1"/>
        <v>0</v>
      </c>
      <c r="L44" s="50">
        <f t="shared" si="2"/>
        <v>0</v>
      </c>
      <c r="M44" s="50">
        <f t="shared" si="3"/>
        <v>0</v>
      </c>
      <c r="N44" s="50">
        <f t="shared" si="4"/>
        <v>0</v>
      </c>
    </row>
    <row r="45" spans="1:14" ht="12.75" customHeight="1" x14ac:dyDescent="0.3">
      <c r="A45" s="106">
        <v>8.0399999999999991</v>
      </c>
      <c r="B45" s="25" t="s">
        <v>58</v>
      </c>
      <c r="C45" s="30" t="s">
        <v>19</v>
      </c>
      <c r="D45" s="31">
        <v>200</v>
      </c>
      <c r="E45" s="183">
        <v>40355</v>
      </c>
      <c r="F45" s="183">
        <f t="shared" si="0"/>
        <v>8071000</v>
      </c>
      <c r="G45" s="182"/>
      <c r="H45" s="245"/>
      <c r="I45" s="250">
        <v>0</v>
      </c>
      <c r="J45" s="250"/>
      <c r="K45" s="251">
        <f t="shared" si="1"/>
        <v>0</v>
      </c>
      <c r="L45" s="50">
        <f t="shared" si="2"/>
        <v>0</v>
      </c>
      <c r="M45" s="50">
        <f t="shared" si="3"/>
        <v>0</v>
      </c>
      <c r="N45" s="50">
        <f t="shared" si="4"/>
        <v>0</v>
      </c>
    </row>
    <row r="46" spans="1:14" ht="12.75" customHeight="1" x14ac:dyDescent="0.3">
      <c r="A46" s="24">
        <v>8.0500000000000007</v>
      </c>
      <c r="B46" s="25" t="s">
        <v>59</v>
      </c>
      <c r="C46" s="30" t="s">
        <v>19</v>
      </c>
      <c r="D46" s="31">
        <v>77</v>
      </c>
      <c r="E46" s="183">
        <v>31515</v>
      </c>
      <c r="F46" s="183">
        <f t="shared" si="0"/>
        <v>2426655</v>
      </c>
      <c r="G46" s="182"/>
      <c r="H46" s="245"/>
      <c r="I46" s="250">
        <v>0</v>
      </c>
      <c r="J46" s="250"/>
      <c r="K46" s="251">
        <f t="shared" si="1"/>
        <v>0</v>
      </c>
      <c r="L46" s="50">
        <f t="shared" si="2"/>
        <v>0</v>
      </c>
      <c r="M46" s="50">
        <f t="shared" si="3"/>
        <v>0</v>
      </c>
      <c r="N46" s="50">
        <f t="shared" si="4"/>
        <v>0</v>
      </c>
    </row>
    <row r="47" spans="1:14" ht="12.75" customHeight="1" x14ac:dyDescent="0.3">
      <c r="A47" s="106">
        <v>8.06</v>
      </c>
      <c r="B47" s="25" t="s">
        <v>60</v>
      </c>
      <c r="C47" s="30" t="s">
        <v>19</v>
      </c>
      <c r="D47" s="31">
        <v>77</v>
      </c>
      <c r="E47" s="183">
        <v>19683</v>
      </c>
      <c r="F47" s="183">
        <f t="shared" si="0"/>
        <v>1515591</v>
      </c>
      <c r="G47" s="182"/>
      <c r="H47" s="245"/>
      <c r="I47" s="250">
        <v>0</v>
      </c>
      <c r="J47" s="250"/>
      <c r="K47" s="251">
        <f t="shared" si="1"/>
        <v>0</v>
      </c>
      <c r="L47" s="50">
        <f t="shared" si="2"/>
        <v>0</v>
      </c>
      <c r="M47" s="50">
        <f t="shared" si="3"/>
        <v>0</v>
      </c>
      <c r="N47" s="50">
        <f t="shared" si="4"/>
        <v>0</v>
      </c>
    </row>
    <row r="48" spans="1:14" ht="12.75" customHeight="1" x14ac:dyDescent="0.3">
      <c r="A48" s="24">
        <v>8.07</v>
      </c>
      <c r="B48" s="25" t="s">
        <v>61</v>
      </c>
      <c r="C48" s="30" t="s">
        <v>19</v>
      </c>
      <c r="D48" s="31">
        <v>442</v>
      </c>
      <c r="E48" s="183">
        <v>14335</v>
      </c>
      <c r="F48" s="183">
        <f t="shared" si="0"/>
        <v>6336070</v>
      </c>
      <c r="G48" s="182"/>
      <c r="H48" s="245"/>
      <c r="I48" s="250">
        <v>0</v>
      </c>
      <c r="J48" s="250"/>
      <c r="K48" s="251">
        <f t="shared" si="1"/>
        <v>0</v>
      </c>
      <c r="L48" s="50">
        <f t="shared" si="2"/>
        <v>0</v>
      </c>
      <c r="M48" s="50">
        <f t="shared" si="3"/>
        <v>0</v>
      </c>
      <c r="N48" s="50">
        <f t="shared" si="4"/>
        <v>0</v>
      </c>
    </row>
    <row r="49" spans="1:14" ht="12.75" customHeight="1" x14ac:dyDescent="0.3">
      <c r="A49" s="106">
        <v>8.08</v>
      </c>
      <c r="B49" s="25" t="s">
        <v>62</v>
      </c>
      <c r="C49" s="30" t="s">
        <v>19</v>
      </c>
      <c r="D49" s="31">
        <v>360</v>
      </c>
      <c r="E49" s="183">
        <v>14335</v>
      </c>
      <c r="F49" s="183">
        <f t="shared" si="0"/>
        <v>5160600</v>
      </c>
      <c r="G49" s="182"/>
      <c r="H49" s="245"/>
      <c r="I49" s="250">
        <v>0</v>
      </c>
      <c r="J49" s="250"/>
      <c r="K49" s="251">
        <f t="shared" si="1"/>
        <v>0</v>
      </c>
      <c r="L49" s="50">
        <f t="shared" si="2"/>
        <v>0</v>
      </c>
      <c r="M49" s="50">
        <f t="shared" si="3"/>
        <v>0</v>
      </c>
      <c r="N49" s="50">
        <f t="shared" si="4"/>
        <v>0</v>
      </c>
    </row>
    <row r="50" spans="1:14" ht="12.75" customHeight="1" x14ac:dyDescent="0.3">
      <c r="A50" s="13">
        <v>9</v>
      </c>
      <c r="B50" s="17" t="s">
        <v>63</v>
      </c>
      <c r="C50" s="18"/>
      <c r="D50" s="19"/>
      <c r="E50" s="19"/>
      <c r="F50" s="19"/>
      <c r="G50" s="176">
        <f>+SUM(F51:F53)</f>
        <v>4852846</v>
      </c>
      <c r="H50" s="245">
        <f>+G50/$G$195</f>
        <v>5.7440649769743392E-3</v>
      </c>
      <c r="I50" s="246"/>
      <c r="J50" s="247"/>
      <c r="K50" s="247"/>
      <c r="L50" s="178"/>
      <c r="M50" s="178"/>
      <c r="N50" s="179"/>
    </row>
    <row r="51" spans="1:14" ht="12.75" customHeight="1" x14ac:dyDescent="0.3">
      <c r="A51" s="20">
        <v>9.01</v>
      </c>
      <c r="B51" s="21" t="s">
        <v>64</v>
      </c>
      <c r="C51" s="109" t="s">
        <v>29</v>
      </c>
      <c r="D51" s="94">
        <v>1</v>
      </c>
      <c r="E51" s="181">
        <v>2109310</v>
      </c>
      <c r="F51" s="181">
        <f t="shared" si="0"/>
        <v>2109310</v>
      </c>
      <c r="G51" s="186"/>
      <c r="H51" s="245"/>
      <c r="I51" s="250">
        <v>0</v>
      </c>
      <c r="J51" s="250"/>
      <c r="K51" s="251">
        <f t="shared" si="1"/>
        <v>0</v>
      </c>
      <c r="L51" s="50">
        <f t="shared" si="2"/>
        <v>0</v>
      </c>
      <c r="M51" s="50">
        <f t="shared" si="3"/>
        <v>0</v>
      </c>
      <c r="N51" s="50">
        <f t="shared" si="4"/>
        <v>0</v>
      </c>
    </row>
    <row r="52" spans="1:14" ht="12.75" customHeight="1" x14ac:dyDescent="0.3">
      <c r="A52" s="24">
        <v>9.02</v>
      </c>
      <c r="B52" s="25" t="s">
        <v>65</v>
      </c>
      <c r="C52" s="110" t="s">
        <v>52</v>
      </c>
      <c r="D52" s="31">
        <v>81</v>
      </c>
      <c r="E52" s="181">
        <v>28022</v>
      </c>
      <c r="F52" s="181">
        <f t="shared" si="0"/>
        <v>2269782</v>
      </c>
      <c r="G52" s="186"/>
      <c r="H52" s="252"/>
      <c r="I52" s="250">
        <v>0</v>
      </c>
      <c r="J52" s="250"/>
      <c r="K52" s="251">
        <f t="shared" si="1"/>
        <v>0</v>
      </c>
      <c r="L52" s="50">
        <f t="shared" si="2"/>
        <v>0</v>
      </c>
      <c r="M52" s="50">
        <f t="shared" si="3"/>
        <v>0</v>
      </c>
      <c r="N52" s="50">
        <f t="shared" si="4"/>
        <v>0</v>
      </c>
    </row>
    <row r="53" spans="1:14" ht="12.75" customHeight="1" x14ac:dyDescent="0.3">
      <c r="A53" s="33">
        <v>9.0299999999999994</v>
      </c>
      <c r="B53" s="38" t="s">
        <v>66</v>
      </c>
      <c r="C53" s="111" t="s">
        <v>27</v>
      </c>
      <c r="D53" s="35">
        <v>46</v>
      </c>
      <c r="E53" s="181">
        <v>10299</v>
      </c>
      <c r="F53" s="181">
        <f t="shared" si="0"/>
        <v>473754</v>
      </c>
      <c r="G53" s="186"/>
      <c r="H53" s="252"/>
      <c r="I53" s="250">
        <v>0</v>
      </c>
      <c r="J53" s="250"/>
      <c r="K53" s="251">
        <f t="shared" si="1"/>
        <v>0</v>
      </c>
      <c r="L53" s="50">
        <f t="shared" si="2"/>
        <v>0</v>
      </c>
      <c r="M53" s="50">
        <f t="shared" si="3"/>
        <v>0</v>
      </c>
      <c r="N53" s="50">
        <f t="shared" si="4"/>
        <v>0</v>
      </c>
    </row>
    <row r="54" spans="1:14" ht="12.75" customHeight="1" x14ac:dyDescent="0.3">
      <c r="A54" s="13">
        <v>10</v>
      </c>
      <c r="B54" s="40" t="s">
        <v>67</v>
      </c>
      <c r="C54" s="18"/>
      <c r="D54" s="19"/>
      <c r="E54" s="19"/>
      <c r="F54" s="19"/>
      <c r="G54" s="176">
        <f>+SUM(F55:F58)</f>
        <v>4184652</v>
      </c>
      <c r="H54" s="245">
        <f>+G54/$G$195</f>
        <v>4.9531580013100814E-3</v>
      </c>
      <c r="I54" s="246"/>
      <c r="J54" s="247"/>
      <c r="K54" s="247"/>
      <c r="L54" s="178"/>
      <c r="M54" s="178"/>
      <c r="N54" s="179"/>
    </row>
    <row r="55" spans="1:14" ht="12.75" customHeight="1" x14ac:dyDescent="0.3">
      <c r="A55" s="24">
        <v>10.01</v>
      </c>
      <c r="B55" s="25" t="s">
        <v>68</v>
      </c>
      <c r="C55" s="112" t="s">
        <v>29</v>
      </c>
      <c r="D55" s="27">
        <v>1</v>
      </c>
      <c r="E55" s="181">
        <v>1844532</v>
      </c>
      <c r="F55" s="181">
        <f t="shared" si="0"/>
        <v>1844532</v>
      </c>
      <c r="G55" s="188"/>
      <c r="H55" s="245"/>
      <c r="I55" s="250">
        <v>0</v>
      </c>
      <c r="J55" s="250"/>
      <c r="K55" s="251">
        <f t="shared" si="1"/>
        <v>0</v>
      </c>
      <c r="L55" s="50">
        <f t="shared" si="2"/>
        <v>0</v>
      </c>
      <c r="M55" s="50">
        <f t="shared" si="3"/>
        <v>0</v>
      </c>
      <c r="N55" s="50">
        <f t="shared" si="4"/>
        <v>0</v>
      </c>
    </row>
    <row r="56" spans="1:14" ht="12.75" customHeight="1" x14ac:dyDescent="0.3">
      <c r="A56" s="24">
        <v>10.02</v>
      </c>
      <c r="B56" s="25" t="s">
        <v>69</v>
      </c>
      <c r="C56" s="112" t="s">
        <v>29</v>
      </c>
      <c r="D56" s="27">
        <v>1</v>
      </c>
      <c r="E56" s="181">
        <v>1214937</v>
      </c>
      <c r="F56" s="181">
        <f t="shared" si="0"/>
        <v>1214937</v>
      </c>
      <c r="H56" s="245"/>
      <c r="I56" s="250">
        <v>0</v>
      </c>
      <c r="J56" s="250"/>
      <c r="K56" s="251">
        <f t="shared" si="1"/>
        <v>0</v>
      </c>
      <c r="L56" s="50">
        <f t="shared" si="2"/>
        <v>0</v>
      </c>
      <c r="M56" s="50">
        <f t="shared" si="3"/>
        <v>0</v>
      </c>
      <c r="N56" s="50">
        <f t="shared" si="4"/>
        <v>0</v>
      </c>
    </row>
    <row r="57" spans="1:14" ht="12.75" customHeight="1" x14ac:dyDescent="0.3">
      <c r="A57" s="24">
        <v>10.029999999999999</v>
      </c>
      <c r="B57" s="25" t="s">
        <v>70</v>
      </c>
      <c r="C57" s="112" t="s">
        <v>29</v>
      </c>
      <c r="D57" s="27">
        <v>1</v>
      </c>
      <c r="E57" s="181">
        <v>539833</v>
      </c>
      <c r="F57" s="181">
        <f t="shared" si="0"/>
        <v>539833</v>
      </c>
      <c r="H57" s="245"/>
      <c r="I57" s="250">
        <v>0</v>
      </c>
      <c r="J57" s="250"/>
      <c r="K57" s="251">
        <f t="shared" si="1"/>
        <v>0</v>
      </c>
      <c r="L57" s="50">
        <f t="shared" si="2"/>
        <v>0</v>
      </c>
      <c r="M57" s="50">
        <f t="shared" si="3"/>
        <v>0</v>
      </c>
      <c r="N57" s="50">
        <f t="shared" si="4"/>
        <v>0</v>
      </c>
    </row>
    <row r="58" spans="1:14" ht="12.75" customHeight="1" x14ac:dyDescent="0.3">
      <c r="A58" s="24">
        <v>10.039999999999999</v>
      </c>
      <c r="B58" s="25" t="s">
        <v>71</v>
      </c>
      <c r="C58" s="30" t="s">
        <v>33</v>
      </c>
      <c r="D58" s="31">
        <v>10</v>
      </c>
      <c r="E58" s="181">
        <v>58535</v>
      </c>
      <c r="F58" s="181">
        <f t="shared" si="0"/>
        <v>585350</v>
      </c>
      <c r="G58" s="182"/>
      <c r="H58" s="245"/>
      <c r="I58" s="250">
        <v>0</v>
      </c>
      <c r="J58" s="250"/>
      <c r="K58" s="251">
        <f t="shared" si="1"/>
        <v>0</v>
      </c>
      <c r="L58" s="50">
        <f t="shared" si="2"/>
        <v>0</v>
      </c>
      <c r="M58" s="50">
        <f t="shared" si="3"/>
        <v>0</v>
      </c>
      <c r="N58" s="50">
        <f t="shared" si="4"/>
        <v>0</v>
      </c>
    </row>
    <row r="59" spans="1:14" ht="12.75" customHeight="1" x14ac:dyDescent="0.3">
      <c r="A59" s="13">
        <v>11</v>
      </c>
      <c r="B59" s="17" t="s">
        <v>72</v>
      </c>
      <c r="C59" s="18"/>
      <c r="D59" s="19"/>
      <c r="E59" s="19"/>
      <c r="F59" s="19"/>
      <c r="G59" s="176">
        <f>+SUM(F60:F70)</f>
        <v>31170783</v>
      </c>
      <c r="H59" s="245">
        <f>+G59/$G$195</f>
        <v>3.6895257532418527E-2</v>
      </c>
      <c r="I59" s="246"/>
      <c r="J59" s="247"/>
      <c r="K59" s="247"/>
      <c r="L59" s="178"/>
      <c r="M59" s="178"/>
      <c r="N59" s="179"/>
    </row>
    <row r="60" spans="1:14" ht="12.75" customHeight="1" x14ac:dyDescent="0.3">
      <c r="A60" s="20">
        <v>11.01</v>
      </c>
      <c r="B60" s="21" t="s">
        <v>73</v>
      </c>
      <c r="C60" s="109" t="s">
        <v>19</v>
      </c>
      <c r="D60" s="94">
        <v>0</v>
      </c>
      <c r="E60" s="181">
        <v>0</v>
      </c>
      <c r="F60" s="181">
        <f t="shared" si="0"/>
        <v>0</v>
      </c>
      <c r="G60" s="185"/>
      <c r="H60" s="252"/>
      <c r="I60" s="250">
        <v>0</v>
      </c>
      <c r="J60" s="250"/>
      <c r="K60" s="251">
        <f t="shared" si="1"/>
        <v>0</v>
      </c>
      <c r="L60" s="50">
        <f t="shared" si="2"/>
        <v>0</v>
      </c>
      <c r="M60" s="50">
        <f t="shared" si="3"/>
        <v>0</v>
      </c>
      <c r="N60" s="50">
        <f t="shared" si="4"/>
        <v>0</v>
      </c>
    </row>
    <row r="61" spans="1:14" ht="12.75" customHeight="1" x14ac:dyDescent="0.3">
      <c r="A61" s="24">
        <v>11.02</v>
      </c>
      <c r="B61" s="25" t="s">
        <v>74</v>
      </c>
      <c r="C61" s="110" t="s">
        <v>19</v>
      </c>
      <c r="D61" s="31">
        <v>39</v>
      </c>
      <c r="E61" s="181">
        <v>19280</v>
      </c>
      <c r="F61" s="181">
        <f t="shared" si="0"/>
        <v>751920</v>
      </c>
      <c r="G61" s="186"/>
      <c r="H61" s="252"/>
      <c r="I61" s="250">
        <v>0</v>
      </c>
      <c r="J61" s="250"/>
      <c r="K61" s="251">
        <f t="shared" si="1"/>
        <v>0</v>
      </c>
      <c r="L61" s="50">
        <f t="shared" si="2"/>
        <v>0</v>
      </c>
      <c r="M61" s="50">
        <f t="shared" si="3"/>
        <v>0</v>
      </c>
      <c r="N61" s="50">
        <f t="shared" si="4"/>
        <v>0</v>
      </c>
    </row>
    <row r="62" spans="1:14" ht="12.75" customHeight="1" x14ac:dyDescent="0.3">
      <c r="A62" s="24">
        <v>11.03</v>
      </c>
      <c r="B62" s="25" t="s">
        <v>75</v>
      </c>
      <c r="C62" s="110" t="s">
        <v>19</v>
      </c>
      <c r="D62" s="31">
        <v>48</v>
      </c>
      <c r="E62" s="181">
        <v>25362</v>
      </c>
      <c r="F62" s="181">
        <f t="shared" si="0"/>
        <v>1217376</v>
      </c>
      <c r="G62" s="186"/>
      <c r="H62" s="252"/>
      <c r="I62" s="250">
        <v>0</v>
      </c>
      <c r="J62" s="250"/>
      <c r="K62" s="251">
        <f t="shared" si="1"/>
        <v>0</v>
      </c>
      <c r="L62" s="50">
        <f t="shared" si="2"/>
        <v>0</v>
      </c>
      <c r="M62" s="50">
        <f t="shared" si="3"/>
        <v>0</v>
      </c>
      <c r="N62" s="50">
        <f t="shared" si="4"/>
        <v>0</v>
      </c>
    </row>
    <row r="63" spans="1:14" ht="12.75" customHeight="1" x14ac:dyDescent="0.3">
      <c r="A63" s="24">
        <v>11.04</v>
      </c>
      <c r="B63" s="25" t="s">
        <v>76</v>
      </c>
      <c r="C63" s="30" t="s">
        <v>19</v>
      </c>
      <c r="D63" s="31">
        <v>174</v>
      </c>
      <c r="E63" s="181">
        <v>19164</v>
      </c>
      <c r="F63" s="181">
        <f t="shared" si="0"/>
        <v>3334536</v>
      </c>
      <c r="G63" s="182"/>
      <c r="H63" s="245"/>
      <c r="I63" s="250">
        <v>0</v>
      </c>
      <c r="J63" s="250"/>
      <c r="K63" s="251">
        <f t="shared" si="1"/>
        <v>0</v>
      </c>
      <c r="L63" s="50">
        <f t="shared" si="2"/>
        <v>0</v>
      </c>
      <c r="M63" s="50">
        <f t="shared" si="3"/>
        <v>0</v>
      </c>
      <c r="N63" s="50">
        <f t="shared" si="4"/>
        <v>0</v>
      </c>
    </row>
    <row r="64" spans="1:14" ht="12.75" customHeight="1" x14ac:dyDescent="0.3">
      <c r="A64" s="24">
        <v>11.05</v>
      </c>
      <c r="B64" s="25" t="s">
        <v>77</v>
      </c>
      <c r="C64" s="110" t="s">
        <v>19</v>
      </c>
      <c r="D64" s="31">
        <v>92</v>
      </c>
      <c r="E64" s="181">
        <v>19164</v>
      </c>
      <c r="F64" s="181">
        <f t="shared" si="0"/>
        <v>1763088</v>
      </c>
      <c r="G64" s="185"/>
      <c r="H64" s="252"/>
      <c r="I64" s="250">
        <v>0</v>
      </c>
      <c r="J64" s="250"/>
      <c r="K64" s="251">
        <f t="shared" si="1"/>
        <v>0</v>
      </c>
      <c r="L64" s="50">
        <f t="shared" si="2"/>
        <v>0</v>
      </c>
      <c r="M64" s="50">
        <f t="shared" si="3"/>
        <v>0</v>
      </c>
      <c r="N64" s="50">
        <f t="shared" si="4"/>
        <v>0</v>
      </c>
    </row>
    <row r="65" spans="1:14" ht="12.75" customHeight="1" x14ac:dyDescent="0.3">
      <c r="A65" s="24">
        <v>11.06</v>
      </c>
      <c r="B65" s="25" t="s">
        <v>78</v>
      </c>
      <c r="C65" s="30" t="s">
        <v>19</v>
      </c>
      <c r="D65" s="31">
        <v>8</v>
      </c>
      <c r="E65" s="181">
        <v>14043</v>
      </c>
      <c r="F65" s="181">
        <f t="shared" si="0"/>
        <v>112344</v>
      </c>
      <c r="G65" s="182"/>
      <c r="H65" s="245"/>
      <c r="I65" s="250">
        <v>0</v>
      </c>
      <c r="J65" s="250"/>
      <c r="K65" s="251">
        <f t="shared" si="1"/>
        <v>0</v>
      </c>
      <c r="L65" s="50">
        <f t="shared" si="2"/>
        <v>0</v>
      </c>
      <c r="M65" s="50">
        <f t="shared" si="3"/>
        <v>0</v>
      </c>
      <c r="N65" s="50">
        <f t="shared" si="4"/>
        <v>0</v>
      </c>
    </row>
    <row r="66" spans="1:14" ht="12.75" customHeight="1" x14ac:dyDescent="0.3">
      <c r="A66" s="24">
        <v>11.07</v>
      </c>
      <c r="B66" s="25" t="s">
        <v>79</v>
      </c>
      <c r="C66" s="110" t="s">
        <v>19</v>
      </c>
      <c r="D66" s="31">
        <v>46</v>
      </c>
      <c r="E66" s="181">
        <v>26630</v>
      </c>
      <c r="F66" s="181">
        <f t="shared" si="0"/>
        <v>1224980</v>
      </c>
      <c r="G66" s="186"/>
      <c r="H66" s="252"/>
      <c r="I66" s="250">
        <v>0</v>
      </c>
      <c r="J66" s="250"/>
      <c r="K66" s="251">
        <f t="shared" si="1"/>
        <v>0</v>
      </c>
      <c r="L66" s="50">
        <f t="shared" si="2"/>
        <v>0</v>
      </c>
      <c r="M66" s="50">
        <f t="shared" si="3"/>
        <v>0</v>
      </c>
      <c r="N66" s="50">
        <f t="shared" si="4"/>
        <v>0</v>
      </c>
    </row>
    <row r="67" spans="1:14" ht="12.75" customHeight="1" x14ac:dyDescent="0.3">
      <c r="A67" s="24">
        <v>11.08</v>
      </c>
      <c r="B67" s="25" t="s">
        <v>80</v>
      </c>
      <c r="C67" s="110" t="s">
        <v>19</v>
      </c>
      <c r="D67" s="31">
        <v>562</v>
      </c>
      <c r="E67" s="181">
        <v>25362</v>
      </c>
      <c r="F67" s="181">
        <f t="shared" si="0"/>
        <v>14253444</v>
      </c>
      <c r="G67" s="186"/>
      <c r="H67" s="252"/>
      <c r="I67" s="250">
        <v>0</v>
      </c>
      <c r="J67" s="250"/>
      <c r="K67" s="251">
        <f t="shared" si="1"/>
        <v>0</v>
      </c>
      <c r="L67" s="50">
        <f t="shared" si="2"/>
        <v>0</v>
      </c>
      <c r="M67" s="50">
        <f t="shared" si="3"/>
        <v>0</v>
      </c>
      <c r="N67" s="50">
        <f t="shared" si="4"/>
        <v>0</v>
      </c>
    </row>
    <row r="68" spans="1:14" ht="12.75" customHeight="1" x14ac:dyDescent="0.3">
      <c r="A68" s="24">
        <v>11.09</v>
      </c>
      <c r="B68" s="25" t="s">
        <v>81</v>
      </c>
      <c r="C68" s="113" t="s">
        <v>19</v>
      </c>
      <c r="D68" s="32">
        <v>73</v>
      </c>
      <c r="E68" s="181">
        <v>30109</v>
      </c>
      <c r="F68" s="181">
        <f t="shared" si="0"/>
        <v>2197957</v>
      </c>
      <c r="G68" s="186"/>
      <c r="H68" s="252"/>
      <c r="I68" s="250">
        <v>0</v>
      </c>
      <c r="J68" s="250"/>
      <c r="K68" s="251">
        <f t="shared" si="1"/>
        <v>0</v>
      </c>
      <c r="L68" s="50">
        <f t="shared" si="2"/>
        <v>0</v>
      </c>
      <c r="M68" s="50">
        <f t="shared" si="3"/>
        <v>0</v>
      </c>
      <c r="N68" s="50">
        <f t="shared" si="4"/>
        <v>0</v>
      </c>
    </row>
    <row r="69" spans="1:14" ht="12.75" customHeight="1" x14ac:dyDescent="0.3">
      <c r="A69" s="24">
        <v>11.1</v>
      </c>
      <c r="B69" s="25" t="s">
        <v>82</v>
      </c>
      <c r="C69" s="113" t="s">
        <v>19</v>
      </c>
      <c r="D69" s="32">
        <v>143</v>
      </c>
      <c r="E69" s="181">
        <v>25362</v>
      </c>
      <c r="F69" s="181">
        <f t="shared" si="0"/>
        <v>3626766</v>
      </c>
      <c r="G69" s="186"/>
      <c r="H69" s="252"/>
      <c r="I69" s="250">
        <v>0</v>
      </c>
      <c r="J69" s="250"/>
      <c r="K69" s="251">
        <f t="shared" si="1"/>
        <v>0</v>
      </c>
      <c r="L69" s="50">
        <f t="shared" si="2"/>
        <v>0</v>
      </c>
      <c r="M69" s="50">
        <f t="shared" si="3"/>
        <v>0</v>
      </c>
      <c r="N69" s="50">
        <f t="shared" si="4"/>
        <v>0</v>
      </c>
    </row>
    <row r="70" spans="1:14" ht="12.75" customHeight="1" x14ac:dyDescent="0.3">
      <c r="A70" s="24">
        <v>11.11</v>
      </c>
      <c r="B70" s="25" t="s">
        <v>83</v>
      </c>
      <c r="C70" s="111" t="s">
        <v>19</v>
      </c>
      <c r="D70" s="35">
        <v>106</v>
      </c>
      <c r="E70" s="181">
        <v>25362</v>
      </c>
      <c r="F70" s="181">
        <f t="shared" si="0"/>
        <v>2688372</v>
      </c>
      <c r="G70" s="186"/>
      <c r="H70" s="252"/>
      <c r="I70" s="250">
        <v>0</v>
      </c>
      <c r="J70" s="250"/>
      <c r="K70" s="251">
        <f t="shared" si="1"/>
        <v>0</v>
      </c>
      <c r="L70" s="50">
        <f t="shared" si="2"/>
        <v>0</v>
      </c>
      <c r="M70" s="50">
        <f t="shared" si="3"/>
        <v>0</v>
      </c>
      <c r="N70" s="50">
        <f t="shared" si="4"/>
        <v>0</v>
      </c>
    </row>
    <row r="71" spans="1:14" ht="12.75" customHeight="1" x14ac:dyDescent="0.3">
      <c r="A71" s="13">
        <v>12</v>
      </c>
      <c r="B71" s="17" t="s">
        <v>84</v>
      </c>
      <c r="C71" s="18"/>
      <c r="D71" s="19"/>
      <c r="E71" s="19"/>
      <c r="F71" s="19"/>
      <c r="G71" s="176">
        <f>+SUM(F72:F74)</f>
        <v>8990052</v>
      </c>
      <c r="H71" s="245">
        <f>+G71/$G$195</f>
        <v>1.0641063580912749E-2</v>
      </c>
      <c r="I71" s="246"/>
      <c r="J71" s="247"/>
      <c r="K71" s="247"/>
      <c r="L71" s="178"/>
      <c r="M71" s="178"/>
      <c r="N71" s="179"/>
    </row>
    <row r="72" spans="1:14" ht="12.75" customHeight="1" x14ac:dyDescent="0.3">
      <c r="A72" s="20">
        <f>+A71+0.01</f>
        <v>12.01</v>
      </c>
      <c r="B72" s="21" t="s">
        <v>85</v>
      </c>
      <c r="C72" s="109" t="s">
        <v>27</v>
      </c>
      <c r="D72" s="94">
        <v>19</v>
      </c>
      <c r="E72" s="181">
        <v>6496</v>
      </c>
      <c r="F72" s="181">
        <f t="shared" si="0"/>
        <v>123424</v>
      </c>
      <c r="H72" s="245"/>
      <c r="I72" s="250">
        <v>0</v>
      </c>
      <c r="J72" s="250"/>
      <c r="K72" s="251">
        <f t="shared" si="1"/>
        <v>0</v>
      </c>
      <c r="L72" s="50">
        <f t="shared" si="2"/>
        <v>0</v>
      </c>
      <c r="M72" s="50">
        <f t="shared" si="3"/>
        <v>0</v>
      </c>
      <c r="N72" s="50">
        <f t="shared" si="4"/>
        <v>0</v>
      </c>
    </row>
    <row r="73" spans="1:14" ht="12.75" customHeight="1" x14ac:dyDescent="0.3">
      <c r="A73" s="106">
        <v>12.02</v>
      </c>
      <c r="B73" s="25" t="s">
        <v>86</v>
      </c>
      <c r="C73" s="114" t="s">
        <v>27</v>
      </c>
      <c r="D73" s="31">
        <v>626</v>
      </c>
      <c r="E73" s="181">
        <v>9059</v>
      </c>
      <c r="F73" s="181">
        <f t="shared" si="0"/>
        <v>5670934</v>
      </c>
      <c r="H73" s="245"/>
      <c r="I73" s="250">
        <v>0</v>
      </c>
      <c r="J73" s="250"/>
      <c r="K73" s="251">
        <f t="shared" si="1"/>
        <v>0</v>
      </c>
      <c r="L73" s="50">
        <f t="shared" si="2"/>
        <v>0</v>
      </c>
      <c r="M73" s="50">
        <f t="shared" si="3"/>
        <v>0</v>
      </c>
      <c r="N73" s="50">
        <f t="shared" si="4"/>
        <v>0</v>
      </c>
    </row>
    <row r="74" spans="1:14" ht="12.75" customHeight="1" x14ac:dyDescent="0.3">
      <c r="A74" s="106">
        <v>12.03</v>
      </c>
      <c r="B74" s="107" t="s">
        <v>87</v>
      </c>
      <c r="C74" s="114" t="s">
        <v>27</v>
      </c>
      <c r="D74" s="35">
        <v>386</v>
      </c>
      <c r="E74" s="181">
        <v>8279</v>
      </c>
      <c r="F74" s="181">
        <f t="shared" ref="F74:F137" si="5">+E74*D74</f>
        <v>3195694</v>
      </c>
      <c r="H74" s="245"/>
      <c r="I74" s="250">
        <v>0</v>
      </c>
      <c r="J74" s="250"/>
      <c r="K74" s="251">
        <f t="shared" ref="K74" si="6">+I74+J74</f>
        <v>0</v>
      </c>
      <c r="L74" s="50">
        <f t="shared" ref="L74" si="7">+F74*I74</f>
        <v>0</v>
      </c>
      <c r="M74" s="50">
        <f t="shared" ref="M74" si="8">+F74*J74</f>
        <v>0</v>
      </c>
      <c r="N74" s="50">
        <f t="shared" ref="N74" si="9">+F74*K74</f>
        <v>0</v>
      </c>
    </row>
    <row r="75" spans="1:14" ht="12.75" customHeight="1" x14ac:dyDescent="0.3">
      <c r="A75" s="13">
        <v>13</v>
      </c>
      <c r="B75" s="17" t="s">
        <v>88</v>
      </c>
      <c r="C75" s="18"/>
      <c r="D75" s="19"/>
      <c r="E75" s="19"/>
      <c r="F75" s="19"/>
      <c r="G75" s="176">
        <f>+SUM(F76:F79)</f>
        <v>14836279</v>
      </c>
      <c r="H75" s="245">
        <f>+G75/$G$195</f>
        <v>1.7560942711250239E-2</v>
      </c>
      <c r="I75" s="246"/>
      <c r="J75" s="247"/>
      <c r="K75" s="247"/>
      <c r="L75" s="178"/>
      <c r="M75" s="178"/>
      <c r="N75" s="179"/>
    </row>
    <row r="76" spans="1:14" ht="12.75" customHeight="1" x14ac:dyDescent="0.3">
      <c r="A76" s="115">
        <v>13.01</v>
      </c>
      <c r="B76" s="116" t="s">
        <v>89</v>
      </c>
      <c r="C76" s="117" t="s">
        <v>19</v>
      </c>
      <c r="D76" s="23">
        <v>413</v>
      </c>
      <c r="E76" s="181">
        <v>30109</v>
      </c>
      <c r="F76" s="181">
        <f t="shared" si="5"/>
        <v>12435017</v>
      </c>
      <c r="H76" s="245"/>
      <c r="I76" s="250">
        <v>0</v>
      </c>
      <c r="J76" s="250"/>
      <c r="K76" s="251">
        <f t="shared" ref="K76:K139" si="10">+I76+J76</f>
        <v>0</v>
      </c>
      <c r="L76" s="50">
        <f t="shared" ref="L76:L139" si="11">+F76*I76</f>
        <v>0</v>
      </c>
      <c r="M76" s="50">
        <f t="shared" ref="M76:M139" si="12">+F76*J76</f>
        <v>0</v>
      </c>
      <c r="N76" s="50">
        <f t="shared" ref="N76:N139" si="13">+F76*K76</f>
        <v>0</v>
      </c>
    </row>
    <row r="77" spans="1:14" ht="12.75" customHeight="1" x14ac:dyDescent="0.3">
      <c r="A77" s="118">
        <v>13.02</v>
      </c>
      <c r="B77" s="119" t="s">
        <v>90</v>
      </c>
      <c r="C77" s="120" t="s">
        <v>19</v>
      </c>
      <c r="D77" s="121">
        <v>18</v>
      </c>
      <c r="E77" s="181">
        <v>30109</v>
      </c>
      <c r="F77" s="181">
        <f t="shared" si="5"/>
        <v>541962</v>
      </c>
      <c r="H77" s="245"/>
      <c r="I77" s="250">
        <v>0</v>
      </c>
      <c r="J77" s="250"/>
      <c r="K77" s="251">
        <f t="shared" si="10"/>
        <v>0</v>
      </c>
      <c r="L77" s="50">
        <f t="shared" si="11"/>
        <v>0</v>
      </c>
      <c r="M77" s="50">
        <f t="shared" si="12"/>
        <v>0</v>
      </c>
      <c r="N77" s="50">
        <f t="shared" si="13"/>
        <v>0</v>
      </c>
    </row>
    <row r="78" spans="1:14" ht="12.75" customHeight="1" x14ac:dyDescent="0.3">
      <c r="A78" s="100">
        <v>13.03</v>
      </c>
      <c r="B78" s="119" t="s">
        <v>91</v>
      </c>
      <c r="C78" s="110" t="s">
        <v>19</v>
      </c>
      <c r="D78" s="31">
        <v>20</v>
      </c>
      <c r="E78" s="181">
        <v>92965</v>
      </c>
      <c r="F78" s="181">
        <f t="shared" si="5"/>
        <v>1859300</v>
      </c>
      <c r="G78" s="186"/>
      <c r="H78" s="252"/>
      <c r="I78" s="250">
        <v>0</v>
      </c>
      <c r="J78" s="250"/>
      <c r="K78" s="251">
        <f t="shared" si="10"/>
        <v>0</v>
      </c>
      <c r="L78" s="50">
        <f t="shared" si="11"/>
        <v>0</v>
      </c>
      <c r="M78" s="50">
        <f t="shared" si="12"/>
        <v>0</v>
      </c>
      <c r="N78" s="50">
        <f t="shared" si="13"/>
        <v>0</v>
      </c>
    </row>
    <row r="79" spans="1:14" ht="12.75" customHeight="1" x14ac:dyDescent="0.3">
      <c r="A79" s="100">
        <v>13.04</v>
      </c>
      <c r="B79" s="25" t="s">
        <v>92</v>
      </c>
      <c r="C79" s="110" t="s">
        <v>19</v>
      </c>
      <c r="D79" s="31">
        <v>0</v>
      </c>
      <c r="E79" s="181">
        <v>0</v>
      </c>
      <c r="F79" s="181">
        <f t="shared" si="5"/>
        <v>0</v>
      </c>
      <c r="G79" s="186"/>
      <c r="H79" s="252"/>
      <c r="I79" s="250">
        <v>0</v>
      </c>
      <c r="J79" s="250"/>
      <c r="K79" s="251">
        <f t="shared" si="10"/>
        <v>0</v>
      </c>
      <c r="L79" s="50">
        <f t="shared" si="11"/>
        <v>0</v>
      </c>
      <c r="M79" s="50">
        <f t="shared" si="12"/>
        <v>0</v>
      </c>
      <c r="N79" s="50">
        <f t="shared" si="13"/>
        <v>0</v>
      </c>
    </row>
    <row r="80" spans="1:14" ht="12.75" customHeight="1" x14ac:dyDescent="0.3">
      <c r="A80" s="13">
        <v>14</v>
      </c>
      <c r="B80" s="17" t="s">
        <v>93</v>
      </c>
      <c r="C80" s="18"/>
      <c r="D80" s="19"/>
      <c r="E80" s="19"/>
      <c r="F80" s="19"/>
      <c r="G80" s="176">
        <f>+SUM(F81:F87)</f>
        <v>33813897</v>
      </c>
      <c r="H80" s="245">
        <f>+G80/$G$195</f>
        <v>4.0023776046616291E-2</v>
      </c>
      <c r="I80" s="246"/>
      <c r="J80" s="247"/>
      <c r="K80" s="247"/>
      <c r="L80" s="178"/>
      <c r="M80" s="178"/>
      <c r="N80" s="179"/>
    </row>
    <row r="81" spans="1:14" ht="12.75" customHeight="1" x14ac:dyDescent="0.3">
      <c r="A81" s="20">
        <f>+A80+0.01</f>
        <v>14.01</v>
      </c>
      <c r="B81" s="21" t="s">
        <v>94</v>
      </c>
      <c r="C81" s="117" t="s">
        <v>19</v>
      </c>
      <c r="D81" s="23">
        <v>460</v>
      </c>
      <c r="E81" s="181">
        <v>23624</v>
      </c>
      <c r="F81" s="181">
        <f t="shared" si="5"/>
        <v>10867040</v>
      </c>
      <c r="H81" s="245"/>
      <c r="I81" s="250">
        <v>0</v>
      </c>
      <c r="J81" s="250"/>
      <c r="K81" s="251">
        <f t="shared" si="10"/>
        <v>0</v>
      </c>
      <c r="L81" s="50">
        <f t="shared" si="11"/>
        <v>0</v>
      </c>
      <c r="M81" s="50">
        <f t="shared" si="12"/>
        <v>0</v>
      </c>
      <c r="N81" s="50">
        <f t="shared" si="13"/>
        <v>0</v>
      </c>
    </row>
    <row r="82" spans="1:14" ht="12.75" customHeight="1" x14ac:dyDescent="0.3">
      <c r="A82" s="106">
        <v>14.02</v>
      </c>
      <c r="B82" s="107" t="s">
        <v>95</v>
      </c>
      <c r="C82" s="120" t="s">
        <v>27</v>
      </c>
      <c r="D82" s="121">
        <v>434</v>
      </c>
      <c r="E82" s="181">
        <v>16659</v>
      </c>
      <c r="F82" s="181">
        <f t="shared" si="5"/>
        <v>7230006</v>
      </c>
      <c r="H82" s="245"/>
      <c r="I82" s="250">
        <v>0</v>
      </c>
      <c r="J82" s="250"/>
      <c r="K82" s="251">
        <f t="shared" si="10"/>
        <v>0</v>
      </c>
      <c r="L82" s="50">
        <f t="shared" si="11"/>
        <v>0</v>
      </c>
      <c r="M82" s="50">
        <f t="shared" si="12"/>
        <v>0</v>
      </c>
      <c r="N82" s="50">
        <f t="shared" si="13"/>
        <v>0</v>
      </c>
    </row>
    <row r="83" spans="1:14" ht="12.75" customHeight="1" x14ac:dyDescent="0.3">
      <c r="A83" s="24">
        <v>14.03</v>
      </c>
      <c r="B83" s="25" t="s">
        <v>96</v>
      </c>
      <c r="C83" s="112" t="s">
        <v>19</v>
      </c>
      <c r="D83" s="27">
        <v>115</v>
      </c>
      <c r="E83" s="181">
        <v>35817</v>
      </c>
      <c r="F83" s="181">
        <f t="shared" si="5"/>
        <v>4118955</v>
      </c>
      <c r="H83" s="245"/>
      <c r="I83" s="250">
        <v>0</v>
      </c>
      <c r="J83" s="250"/>
      <c r="K83" s="251">
        <f t="shared" si="10"/>
        <v>0</v>
      </c>
      <c r="L83" s="50">
        <f t="shared" si="11"/>
        <v>0</v>
      </c>
      <c r="M83" s="50">
        <f t="shared" si="12"/>
        <v>0</v>
      </c>
      <c r="N83" s="50">
        <f t="shared" si="13"/>
        <v>0</v>
      </c>
    </row>
    <row r="84" spans="1:14" ht="12.75" customHeight="1" x14ac:dyDescent="0.3">
      <c r="A84" s="106">
        <v>14.04</v>
      </c>
      <c r="B84" s="25" t="s">
        <v>97</v>
      </c>
      <c r="C84" s="112" t="s">
        <v>19</v>
      </c>
      <c r="D84" s="27">
        <v>89</v>
      </c>
      <c r="E84" s="181">
        <v>41132</v>
      </c>
      <c r="F84" s="181">
        <f t="shared" si="5"/>
        <v>3660748</v>
      </c>
      <c r="H84" s="245"/>
      <c r="I84" s="250">
        <v>0</v>
      </c>
      <c r="J84" s="250"/>
      <c r="K84" s="251">
        <f t="shared" si="10"/>
        <v>0</v>
      </c>
      <c r="L84" s="50">
        <f t="shared" si="11"/>
        <v>0</v>
      </c>
      <c r="M84" s="50">
        <f t="shared" si="12"/>
        <v>0</v>
      </c>
      <c r="N84" s="50">
        <f t="shared" si="13"/>
        <v>0</v>
      </c>
    </row>
    <row r="85" spans="1:14" ht="12.75" customHeight="1" x14ac:dyDescent="0.3">
      <c r="A85" s="24">
        <v>14.05</v>
      </c>
      <c r="B85" s="25" t="s">
        <v>98</v>
      </c>
      <c r="C85" s="112" t="s">
        <v>27</v>
      </c>
      <c r="D85" s="27">
        <v>530</v>
      </c>
      <c r="E85" s="181">
        <v>9274</v>
      </c>
      <c r="F85" s="181">
        <f t="shared" si="5"/>
        <v>4915220</v>
      </c>
      <c r="H85" s="245"/>
      <c r="I85" s="250">
        <v>0</v>
      </c>
      <c r="J85" s="250"/>
      <c r="K85" s="251">
        <f t="shared" si="10"/>
        <v>0</v>
      </c>
      <c r="L85" s="50">
        <f t="shared" si="11"/>
        <v>0</v>
      </c>
      <c r="M85" s="50">
        <f t="shared" si="12"/>
        <v>0</v>
      </c>
      <c r="N85" s="50">
        <f t="shared" si="13"/>
        <v>0</v>
      </c>
    </row>
    <row r="86" spans="1:14" ht="12.75" customHeight="1" x14ac:dyDescent="0.3">
      <c r="A86" s="106">
        <v>14.06</v>
      </c>
      <c r="B86" s="25" t="s">
        <v>99</v>
      </c>
      <c r="C86" s="112" t="s">
        <v>27</v>
      </c>
      <c r="D86" s="27">
        <v>56</v>
      </c>
      <c r="E86" s="181">
        <v>9274</v>
      </c>
      <c r="F86" s="181">
        <f t="shared" si="5"/>
        <v>519344</v>
      </c>
      <c r="H86" s="245"/>
      <c r="I86" s="250">
        <v>0</v>
      </c>
      <c r="J86" s="250"/>
      <c r="K86" s="251">
        <f t="shared" si="10"/>
        <v>0</v>
      </c>
      <c r="L86" s="50">
        <f t="shared" si="11"/>
        <v>0</v>
      </c>
      <c r="M86" s="50">
        <f t="shared" si="12"/>
        <v>0</v>
      </c>
      <c r="N86" s="50">
        <f t="shared" si="13"/>
        <v>0</v>
      </c>
    </row>
    <row r="87" spans="1:14" ht="12.75" customHeight="1" x14ac:dyDescent="0.3">
      <c r="A87" s="24">
        <v>14.07</v>
      </c>
      <c r="B87" s="25" t="s">
        <v>100</v>
      </c>
      <c r="C87" s="112" t="s">
        <v>19</v>
      </c>
      <c r="D87" s="27">
        <v>469</v>
      </c>
      <c r="E87" s="181">
        <v>5336</v>
      </c>
      <c r="F87" s="181">
        <f t="shared" si="5"/>
        <v>2502584</v>
      </c>
      <c r="H87" s="245"/>
      <c r="I87" s="250">
        <v>0</v>
      </c>
      <c r="J87" s="250"/>
      <c r="K87" s="251">
        <f t="shared" si="10"/>
        <v>0</v>
      </c>
      <c r="L87" s="50">
        <f t="shared" si="11"/>
        <v>0</v>
      </c>
      <c r="M87" s="50">
        <f t="shared" si="12"/>
        <v>0</v>
      </c>
      <c r="N87" s="50">
        <f t="shared" si="13"/>
        <v>0</v>
      </c>
    </row>
    <row r="88" spans="1:14" ht="12.75" customHeight="1" x14ac:dyDescent="0.3">
      <c r="A88" s="13">
        <v>15</v>
      </c>
      <c r="B88" s="17" t="s">
        <v>101</v>
      </c>
      <c r="C88" s="18"/>
      <c r="D88" s="19"/>
      <c r="E88" s="19"/>
      <c r="F88" s="19"/>
      <c r="G88" s="176">
        <f>+SUM(F89:F100)</f>
        <v>81675029</v>
      </c>
      <c r="H88" s="245">
        <f>+G88/$G$195</f>
        <v>9.667454388049064E-2</v>
      </c>
      <c r="I88" s="246"/>
      <c r="J88" s="247"/>
      <c r="K88" s="247"/>
      <c r="L88" s="178"/>
      <c r="M88" s="178"/>
      <c r="N88" s="179"/>
    </row>
    <row r="89" spans="1:14" ht="12.75" customHeight="1" x14ac:dyDescent="0.3">
      <c r="A89" s="115">
        <v>15.01</v>
      </c>
      <c r="B89" s="116" t="s">
        <v>102</v>
      </c>
      <c r="C89" s="122" t="s">
        <v>19</v>
      </c>
      <c r="D89" s="123">
        <v>739</v>
      </c>
      <c r="E89" s="181">
        <v>22075</v>
      </c>
      <c r="F89" s="181">
        <f t="shared" si="5"/>
        <v>16313425</v>
      </c>
      <c r="G89" s="186"/>
      <c r="H89" s="253"/>
      <c r="I89" s="250">
        <v>0</v>
      </c>
      <c r="J89" s="250"/>
      <c r="K89" s="251">
        <f t="shared" si="10"/>
        <v>0</v>
      </c>
      <c r="L89" s="50">
        <f t="shared" si="11"/>
        <v>0</v>
      </c>
      <c r="M89" s="50">
        <f t="shared" si="12"/>
        <v>0</v>
      </c>
      <c r="N89" s="50">
        <f t="shared" si="13"/>
        <v>0</v>
      </c>
    </row>
    <row r="90" spans="1:14" ht="12.75" customHeight="1" x14ac:dyDescent="0.3">
      <c r="A90" s="100">
        <v>15.02</v>
      </c>
      <c r="B90" s="25" t="s">
        <v>103</v>
      </c>
      <c r="C90" s="110" t="s">
        <v>19</v>
      </c>
      <c r="D90" s="29">
        <v>1439</v>
      </c>
      <c r="E90" s="181">
        <v>8883</v>
      </c>
      <c r="F90" s="181">
        <f t="shared" si="5"/>
        <v>12782637</v>
      </c>
      <c r="G90" s="186"/>
      <c r="H90" s="253"/>
      <c r="I90" s="250">
        <v>0</v>
      </c>
      <c r="J90" s="250"/>
      <c r="K90" s="251">
        <f t="shared" si="10"/>
        <v>0</v>
      </c>
      <c r="L90" s="50">
        <f t="shared" si="11"/>
        <v>0</v>
      </c>
      <c r="M90" s="50">
        <f t="shared" si="12"/>
        <v>0</v>
      </c>
      <c r="N90" s="50">
        <f t="shared" si="13"/>
        <v>0</v>
      </c>
    </row>
    <row r="91" spans="1:14" ht="12.75" customHeight="1" x14ac:dyDescent="0.3">
      <c r="A91" s="100">
        <v>15.03</v>
      </c>
      <c r="B91" s="25" t="s">
        <v>104</v>
      </c>
      <c r="C91" s="110" t="s">
        <v>19</v>
      </c>
      <c r="D91" s="29">
        <v>462</v>
      </c>
      <c r="E91" s="181">
        <v>14295</v>
      </c>
      <c r="F91" s="181">
        <f t="shared" si="5"/>
        <v>6604290</v>
      </c>
      <c r="G91" s="186"/>
      <c r="H91" s="253"/>
      <c r="I91" s="250">
        <v>0</v>
      </c>
      <c r="J91" s="250"/>
      <c r="K91" s="251">
        <f t="shared" si="10"/>
        <v>0</v>
      </c>
      <c r="L91" s="50">
        <f t="shared" si="11"/>
        <v>0</v>
      </c>
      <c r="M91" s="50">
        <f t="shared" si="12"/>
        <v>0</v>
      </c>
      <c r="N91" s="50">
        <f t="shared" si="13"/>
        <v>0</v>
      </c>
    </row>
    <row r="92" spans="1:14" ht="12.75" customHeight="1" x14ac:dyDescent="0.3">
      <c r="A92" s="100">
        <v>15.04</v>
      </c>
      <c r="B92" s="25" t="s">
        <v>105</v>
      </c>
      <c r="C92" s="110" t="s">
        <v>19</v>
      </c>
      <c r="D92" s="29">
        <v>144</v>
      </c>
      <c r="E92" s="181">
        <v>7538</v>
      </c>
      <c r="F92" s="181">
        <f t="shared" si="5"/>
        <v>1085472</v>
      </c>
      <c r="G92" s="186"/>
      <c r="H92" s="253"/>
      <c r="I92" s="250">
        <v>0</v>
      </c>
      <c r="J92" s="250"/>
      <c r="K92" s="251">
        <f t="shared" si="10"/>
        <v>0</v>
      </c>
      <c r="L92" s="50">
        <f t="shared" si="11"/>
        <v>0</v>
      </c>
      <c r="M92" s="50">
        <f t="shared" si="12"/>
        <v>0</v>
      </c>
      <c r="N92" s="50">
        <f t="shared" si="13"/>
        <v>0</v>
      </c>
    </row>
    <row r="93" spans="1:14" ht="12.75" customHeight="1" x14ac:dyDescent="0.3">
      <c r="A93" s="100">
        <v>15.05</v>
      </c>
      <c r="B93" s="25" t="s">
        <v>106</v>
      </c>
      <c r="C93" s="110" t="s">
        <v>19</v>
      </c>
      <c r="D93" s="29">
        <v>460</v>
      </c>
      <c r="E93" s="181">
        <v>8883</v>
      </c>
      <c r="F93" s="181">
        <f t="shared" si="5"/>
        <v>4086180</v>
      </c>
      <c r="G93" s="186"/>
      <c r="H93" s="253"/>
      <c r="I93" s="250">
        <v>0</v>
      </c>
      <c r="J93" s="250"/>
      <c r="K93" s="251">
        <f t="shared" si="10"/>
        <v>0</v>
      </c>
      <c r="L93" s="50">
        <f t="shared" si="11"/>
        <v>0</v>
      </c>
      <c r="M93" s="50">
        <f t="shared" si="12"/>
        <v>0</v>
      </c>
      <c r="N93" s="50">
        <f t="shared" si="13"/>
        <v>0</v>
      </c>
    </row>
    <row r="94" spans="1:14" ht="12.75" customHeight="1" x14ac:dyDescent="0.3">
      <c r="A94" s="100">
        <v>15.06</v>
      </c>
      <c r="B94" s="25" t="s">
        <v>107</v>
      </c>
      <c r="C94" s="110" t="s">
        <v>19</v>
      </c>
      <c r="D94" s="29">
        <v>204</v>
      </c>
      <c r="E94" s="181">
        <v>15750</v>
      </c>
      <c r="F94" s="181">
        <f t="shared" si="5"/>
        <v>3213000</v>
      </c>
      <c r="G94" s="186"/>
      <c r="H94" s="253"/>
      <c r="I94" s="250">
        <v>0</v>
      </c>
      <c r="J94" s="250"/>
      <c r="K94" s="251">
        <f t="shared" si="10"/>
        <v>0</v>
      </c>
      <c r="L94" s="50">
        <f t="shared" si="11"/>
        <v>0</v>
      </c>
      <c r="M94" s="50">
        <f t="shared" si="12"/>
        <v>0</v>
      </c>
      <c r="N94" s="50">
        <f t="shared" si="13"/>
        <v>0</v>
      </c>
    </row>
    <row r="95" spans="1:14" ht="12.75" customHeight="1" x14ac:dyDescent="0.3">
      <c r="A95" s="100">
        <v>15.07</v>
      </c>
      <c r="B95" s="25" t="s">
        <v>108</v>
      </c>
      <c r="C95" s="28" t="s">
        <v>19</v>
      </c>
      <c r="D95" s="29">
        <v>262</v>
      </c>
      <c r="E95" s="181">
        <v>17154</v>
      </c>
      <c r="F95" s="181">
        <f t="shared" si="5"/>
        <v>4494348</v>
      </c>
      <c r="G95" s="186"/>
      <c r="H95" s="245"/>
      <c r="I95" s="250">
        <v>0</v>
      </c>
      <c r="J95" s="250"/>
      <c r="K95" s="251">
        <f t="shared" si="10"/>
        <v>0</v>
      </c>
      <c r="L95" s="50">
        <f t="shared" si="11"/>
        <v>0</v>
      </c>
      <c r="M95" s="50">
        <f t="shared" si="12"/>
        <v>0</v>
      </c>
      <c r="N95" s="50">
        <f t="shared" si="13"/>
        <v>0</v>
      </c>
    </row>
    <row r="96" spans="1:14" ht="12.75" customHeight="1" x14ac:dyDescent="0.3">
      <c r="A96" s="100">
        <v>15.08</v>
      </c>
      <c r="B96" s="25" t="s">
        <v>109</v>
      </c>
      <c r="C96" s="110" t="s">
        <v>19</v>
      </c>
      <c r="D96" s="31">
        <v>756</v>
      </c>
      <c r="E96" s="181">
        <v>26534</v>
      </c>
      <c r="F96" s="181">
        <f t="shared" si="5"/>
        <v>20059704</v>
      </c>
      <c r="G96" s="186"/>
      <c r="H96" s="252"/>
      <c r="I96" s="250">
        <v>0</v>
      </c>
      <c r="J96" s="250"/>
      <c r="K96" s="251">
        <f t="shared" si="10"/>
        <v>0</v>
      </c>
      <c r="L96" s="50">
        <f t="shared" si="11"/>
        <v>0</v>
      </c>
      <c r="M96" s="50">
        <f t="shared" si="12"/>
        <v>0</v>
      </c>
      <c r="N96" s="50">
        <f t="shared" si="13"/>
        <v>0</v>
      </c>
    </row>
    <row r="97" spans="1:19" ht="12.75" customHeight="1" x14ac:dyDescent="0.3">
      <c r="A97" s="100">
        <v>15.09</v>
      </c>
      <c r="B97" s="25" t="s">
        <v>110</v>
      </c>
      <c r="C97" s="110" t="s">
        <v>19</v>
      </c>
      <c r="D97" s="31">
        <v>56</v>
      </c>
      <c r="E97" s="181">
        <v>31737</v>
      </c>
      <c r="F97" s="181">
        <f t="shared" si="5"/>
        <v>1777272</v>
      </c>
      <c r="G97" s="186"/>
      <c r="H97" s="252"/>
      <c r="I97" s="250">
        <v>0</v>
      </c>
      <c r="J97" s="250"/>
      <c r="K97" s="251">
        <f t="shared" si="10"/>
        <v>0</v>
      </c>
      <c r="L97" s="50">
        <f t="shared" si="11"/>
        <v>0</v>
      </c>
      <c r="M97" s="50">
        <f t="shared" si="12"/>
        <v>0</v>
      </c>
      <c r="N97" s="50">
        <f t="shared" si="13"/>
        <v>0</v>
      </c>
    </row>
    <row r="98" spans="1:19" ht="12.75" customHeight="1" x14ac:dyDescent="0.3">
      <c r="A98" s="100">
        <v>15.1</v>
      </c>
      <c r="B98" s="25" t="s">
        <v>111</v>
      </c>
      <c r="C98" s="110" t="s">
        <v>29</v>
      </c>
      <c r="D98" s="31">
        <v>1</v>
      </c>
      <c r="E98" s="181">
        <v>885031</v>
      </c>
      <c r="F98" s="181">
        <f t="shared" si="5"/>
        <v>885031</v>
      </c>
      <c r="H98" s="245"/>
      <c r="I98" s="250">
        <v>0</v>
      </c>
      <c r="J98" s="250"/>
      <c r="K98" s="251">
        <f t="shared" si="10"/>
        <v>0</v>
      </c>
      <c r="L98" s="50">
        <f t="shared" si="11"/>
        <v>0</v>
      </c>
      <c r="M98" s="50">
        <f t="shared" si="12"/>
        <v>0</v>
      </c>
      <c r="N98" s="50">
        <f t="shared" si="13"/>
        <v>0</v>
      </c>
    </row>
    <row r="99" spans="1:19" ht="12.75" customHeight="1" x14ac:dyDescent="0.3">
      <c r="A99" s="100">
        <v>15.11</v>
      </c>
      <c r="B99" s="25" t="s">
        <v>112</v>
      </c>
      <c r="C99" s="110" t="s">
        <v>52</v>
      </c>
      <c r="D99" s="31">
        <v>73</v>
      </c>
      <c r="E99" s="181">
        <v>83386</v>
      </c>
      <c r="F99" s="181">
        <f t="shared" si="5"/>
        <v>6087178</v>
      </c>
      <c r="H99" s="245"/>
      <c r="I99" s="250">
        <v>0</v>
      </c>
      <c r="J99" s="250"/>
      <c r="K99" s="251">
        <f t="shared" si="10"/>
        <v>0</v>
      </c>
      <c r="L99" s="50">
        <f t="shared" si="11"/>
        <v>0</v>
      </c>
      <c r="M99" s="50">
        <f t="shared" si="12"/>
        <v>0</v>
      </c>
      <c r="N99" s="50">
        <f t="shared" si="13"/>
        <v>0</v>
      </c>
    </row>
    <row r="100" spans="1:19" ht="12.75" customHeight="1" x14ac:dyDescent="0.3">
      <c r="A100" s="100">
        <v>15.12</v>
      </c>
      <c r="B100" s="124" t="s">
        <v>113</v>
      </c>
      <c r="C100" s="111" t="s">
        <v>29</v>
      </c>
      <c r="D100" s="35">
        <v>1</v>
      </c>
      <c r="E100" s="181">
        <v>4286492</v>
      </c>
      <c r="F100" s="181">
        <f t="shared" si="5"/>
        <v>4286492</v>
      </c>
      <c r="H100" s="245"/>
      <c r="I100" s="250">
        <v>0</v>
      </c>
      <c r="J100" s="250"/>
      <c r="K100" s="251">
        <f t="shared" si="10"/>
        <v>0</v>
      </c>
      <c r="L100" s="50">
        <f t="shared" si="11"/>
        <v>0</v>
      </c>
      <c r="M100" s="50">
        <f t="shared" si="12"/>
        <v>0</v>
      </c>
      <c r="N100" s="50">
        <f t="shared" si="13"/>
        <v>0</v>
      </c>
    </row>
    <row r="101" spans="1:19" ht="12.75" customHeight="1" x14ac:dyDescent="0.3">
      <c r="A101" s="13">
        <v>16</v>
      </c>
      <c r="B101" s="125" t="s">
        <v>114</v>
      </c>
      <c r="C101" s="18"/>
      <c r="D101" s="19"/>
      <c r="E101" s="19"/>
      <c r="F101" s="19"/>
      <c r="G101" s="176">
        <f>+SUM(F102)</f>
        <v>0</v>
      </c>
      <c r="H101" s="245">
        <f>+G101/$G$195</f>
        <v>0</v>
      </c>
      <c r="I101" s="246"/>
      <c r="J101" s="247"/>
      <c r="K101" s="247"/>
      <c r="L101" s="178"/>
      <c r="M101" s="178"/>
      <c r="N101" s="179"/>
    </row>
    <row r="102" spans="1:19" ht="12.75" customHeight="1" x14ac:dyDescent="0.3">
      <c r="A102" s="20"/>
      <c r="B102" s="21"/>
      <c r="C102" s="93"/>
      <c r="D102" s="94"/>
      <c r="E102" s="184">
        <v>0</v>
      </c>
      <c r="F102" s="183">
        <f t="shared" si="5"/>
        <v>0</v>
      </c>
      <c r="G102" s="185"/>
      <c r="H102" s="252"/>
      <c r="I102" s="250">
        <v>0</v>
      </c>
      <c r="J102" s="250"/>
      <c r="K102" s="251">
        <f t="shared" si="10"/>
        <v>0</v>
      </c>
      <c r="L102" s="50">
        <f t="shared" si="11"/>
        <v>0</v>
      </c>
      <c r="M102" s="50">
        <f t="shared" si="12"/>
        <v>0</v>
      </c>
      <c r="N102" s="50">
        <f t="shared" si="13"/>
        <v>0</v>
      </c>
    </row>
    <row r="103" spans="1:19" ht="12.75" customHeight="1" x14ac:dyDescent="0.3">
      <c r="A103" s="13">
        <v>17</v>
      </c>
      <c r="B103" s="17" t="s">
        <v>115</v>
      </c>
      <c r="C103" s="18"/>
      <c r="D103" s="19"/>
      <c r="E103" s="19"/>
      <c r="F103" s="19"/>
      <c r="G103" s="176">
        <f>+SUM(F104:F107)</f>
        <v>9415299</v>
      </c>
      <c r="H103" s="245">
        <f>+G103/$G$195</f>
        <v>1.1144406649962005E-2</v>
      </c>
      <c r="I103" s="246"/>
      <c r="J103" s="247"/>
      <c r="K103" s="247"/>
      <c r="L103" s="178"/>
      <c r="M103" s="178"/>
      <c r="N103" s="179"/>
    </row>
    <row r="104" spans="1:19" ht="12.75" customHeight="1" x14ac:dyDescent="0.3">
      <c r="A104" s="20">
        <f>+A103+0.01</f>
        <v>17.010000000000002</v>
      </c>
      <c r="B104" s="126" t="s">
        <v>116</v>
      </c>
      <c r="C104" s="127" t="s">
        <v>33</v>
      </c>
      <c r="D104" s="94">
        <v>57</v>
      </c>
      <c r="E104" s="180">
        <v>79321</v>
      </c>
      <c r="F104" s="180">
        <f t="shared" si="5"/>
        <v>4521297</v>
      </c>
      <c r="G104" s="182"/>
      <c r="H104" s="245"/>
      <c r="I104" s="250">
        <v>0</v>
      </c>
      <c r="J104" s="250"/>
      <c r="K104" s="251">
        <f t="shared" si="10"/>
        <v>0</v>
      </c>
      <c r="L104" s="50">
        <f t="shared" si="11"/>
        <v>0</v>
      </c>
      <c r="M104" s="50">
        <f t="shared" si="12"/>
        <v>0</v>
      </c>
      <c r="N104" s="50">
        <f t="shared" si="13"/>
        <v>0</v>
      </c>
    </row>
    <row r="105" spans="1:19" ht="12.75" customHeight="1" x14ac:dyDescent="0.3">
      <c r="A105" s="24">
        <v>17.02</v>
      </c>
      <c r="B105" s="128" t="s">
        <v>117</v>
      </c>
      <c r="C105" s="129" t="s">
        <v>33</v>
      </c>
      <c r="D105" s="31">
        <v>11</v>
      </c>
      <c r="E105" s="181">
        <v>79321</v>
      </c>
      <c r="F105" s="181">
        <f t="shared" si="5"/>
        <v>872531</v>
      </c>
      <c r="G105" s="182"/>
      <c r="H105" s="245"/>
      <c r="I105" s="250">
        <v>0</v>
      </c>
      <c r="J105" s="250"/>
      <c r="K105" s="251">
        <f t="shared" si="10"/>
        <v>0</v>
      </c>
      <c r="L105" s="50">
        <f t="shared" si="11"/>
        <v>0</v>
      </c>
      <c r="M105" s="50">
        <f t="shared" si="12"/>
        <v>0</v>
      </c>
      <c r="N105" s="50">
        <f t="shared" si="13"/>
        <v>0</v>
      </c>
    </row>
    <row r="106" spans="1:19" ht="12.75" customHeight="1" x14ac:dyDescent="0.3">
      <c r="A106" s="24">
        <v>17.03</v>
      </c>
      <c r="B106" s="128" t="s">
        <v>118</v>
      </c>
      <c r="C106" s="129" t="s">
        <v>33</v>
      </c>
      <c r="D106" s="31">
        <v>65</v>
      </c>
      <c r="E106" s="181">
        <v>51161</v>
      </c>
      <c r="F106" s="181">
        <f t="shared" si="5"/>
        <v>3325465</v>
      </c>
      <c r="G106" s="182"/>
      <c r="H106" s="245"/>
      <c r="I106" s="250">
        <v>0</v>
      </c>
      <c r="J106" s="250"/>
      <c r="K106" s="251">
        <f t="shared" si="10"/>
        <v>0</v>
      </c>
      <c r="L106" s="50">
        <f t="shared" si="11"/>
        <v>0</v>
      </c>
      <c r="M106" s="50">
        <f t="shared" si="12"/>
        <v>0</v>
      </c>
      <c r="N106" s="50">
        <f t="shared" si="13"/>
        <v>0</v>
      </c>
    </row>
    <row r="107" spans="1:19" ht="12.75" customHeight="1" x14ac:dyDescent="0.3">
      <c r="A107" s="130">
        <v>17.04</v>
      </c>
      <c r="B107" s="38" t="s">
        <v>119</v>
      </c>
      <c r="C107" s="34" t="s">
        <v>33</v>
      </c>
      <c r="D107" s="35">
        <v>6</v>
      </c>
      <c r="E107" s="189">
        <v>116001</v>
      </c>
      <c r="F107" s="189">
        <f t="shared" si="5"/>
        <v>696006</v>
      </c>
      <c r="G107" s="182"/>
      <c r="H107" s="245"/>
      <c r="I107" s="250">
        <v>0</v>
      </c>
      <c r="J107" s="250"/>
      <c r="K107" s="251">
        <f t="shared" si="10"/>
        <v>0</v>
      </c>
      <c r="L107" s="50">
        <f t="shared" si="11"/>
        <v>0</v>
      </c>
      <c r="M107" s="50">
        <f t="shared" si="12"/>
        <v>0</v>
      </c>
      <c r="N107" s="50">
        <f t="shared" si="13"/>
        <v>0</v>
      </c>
    </row>
    <row r="108" spans="1:19" ht="12.75" customHeight="1" x14ac:dyDescent="0.3">
      <c r="A108" s="13">
        <v>18</v>
      </c>
      <c r="B108" s="40" t="s">
        <v>120</v>
      </c>
      <c r="C108" s="18"/>
      <c r="D108" s="19"/>
      <c r="E108" s="19"/>
      <c r="F108" s="19"/>
      <c r="G108" s="176">
        <f>+SUM(F109:F141)</f>
        <v>87609553</v>
      </c>
      <c r="H108" s="245">
        <f>+G108/$G$195</f>
        <v>0.10369893564223492</v>
      </c>
      <c r="I108" s="246"/>
      <c r="J108" s="247"/>
      <c r="K108" s="247"/>
      <c r="L108" s="178"/>
      <c r="M108" s="178"/>
      <c r="N108" s="179"/>
    </row>
    <row r="109" spans="1:19" ht="12.75" customHeight="1" x14ac:dyDescent="0.3">
      <c r="A109" s="115">
        <f>+A108+0.01</f>
        <v>18.010000000000002</v>
      </c>
      <c r="B109" s="131" t="s">
        <v>121</v>
      </c>
      <c r="C109" s="132" t="s">
        <v>33</v>
      </c>
      <c r="D109" s="94">
        <v>260</v>
      </c>
      <c r="E109" s="180">
        <v>76531</v>
      </c>
      <c r="F109" s="180">
        <f t="shared" si="5"/>
        <v>19898060</v>
      </c>
      <c r="H109" s="245"/>
      <c r="I109" s="250">
        <v>0.05</v>
      </c>
      <c r="J109" s="250">
        <v>0.05</v>
      </c>
      <c r="K109" s="251">
        <f t="shared" si="10"/>
        <v>0.1</v>
      </c>
      <c r="L109" s="50">
        <f t="shared" si="11"/>
        <v>994903</v>
      </c>
      <c r="M109" s="50">
        <f t="shared" si="12"/>
        <v>994903</v>
      </c>
      <c r="N109" s="50">
        <f t="shared" si="13"/>
        <v>1989806</v>
      </c>
      <c r="Q109" s="263"/>
      <c r="S109" s="262"/>
    </row>
    <row r="110" spans="1:19" ht="12.75" customHeight="1" x14ac:dyDescent="0.3">
      <c r="A110" s="100">
        <v>18.02</v>
      </c>
      <c r="B110" s="98" t="s">
        <v>122</v>
      </c>
      <c r="C110" s="133" t="s">
        <v>33</v>
      </c>
      <c r="D110" s="31">
        <v>62</v>
      </c>
      <c r="E110" s="181">
        <v>73235</v>
      </c>
      <c r="F110" s="181">
        <f t="shared" si="5"/>
        <v>4540570</v>
      </c>
      <c r="H110" s="245"/>
      <c r="I110" s="250">
        <v>0.06</v>
      </c>
      <c r="J110" s="250">
        <v>0.06</v>
      </c>
      <c r="K110" s="251">
        <f t="shared" si="10"/>
        <v>0.12</v>
      </c>
      <c r="L110" s="50">
        <f t="shared" si="11"/>
        <v>272434.2</v>
      </c>
      <c r="M110" s="50">
        <f t="shared" si="12"/>
        <v>272434.2</v>
      </c>
      <c r="N110" s="50">
        <f t="shared" si="13"/>
        <v>544868.4</v>
      </c>
      <c r="Q110" s="263"/>
      <c r="S110" s="262"/>
    </row>
    <row r="111" spans="1:19" ht="12.75" customHeight="1" x14ac:dyDescent="0.3">
      <c r="A111" s="100">
        <v>18.03</v>
      </c>
      <c r="B111" s="98" t="s">
        <v>123</v>
      </c>
      <c r="C111" s="133" t="s">
        <v>33</v>
      </c>
      <c r="D111" s="31">
        <v>12</v>
      </c>
      <c r="E111" s="181">
        <v>73235</v>
      </c>
      <c r="F111" s="181">
        <f t="shared" si="5"/>
        <v>878820</v>
      </c>
      <c r="H111" s="245"/>
      <c r="I111" s="250">
        <v>0.25</v>
      </c>
      <c r="J111" s="250">
        <v>0.1</v>
      </c>
      <c r="K111" s="251">
        <f t="shared" si="10"/>
        <v>0.35</v>
      </c>
      <c r="L111" s="50">
        <f t="shared" si="11"/>
        <v>219705</v>
      </c>
      <c r="M111" s="50">
        <f t="shared" si="12"/>
        <v>87882</v>
      </c>
      <c r="N111" s="50">
        <f t="shared" si="13"/>
        <v>307587</v>
      </c>
      <c r="Q111" s="263"/>
      <c r="S111" s="262"/>
    </row>
    <row r="112" spans="1:19" ht="12.75" customHeight="1" x14ac:dyDescent="0.3">
      <c r="A112" s="100">
        <v>18.04</v>
      </c>
      <c r="B112" s="98" t="s">
        <v>124</v>
      </c>
      <c r="C112" s="133" t="s">
        <v>33</v>
      </c>
      <c r="D112" s="31">
        <v>16</v>
      </c>
      <c r="E112" s="181">
        <v>73235</v>
      </c>
      <c r="F112" s="181">
        <f t="shared" si="5"/>
        <v>1171760</v>
      </c>
      <c r="H112" s="245"/>
      <c r="I112" s="250">
        <v>0.15</v>
      </c>
      <c r="J112" s="250">
        <v>0.1</v>
      </c>
      <c r="K112" s="251">
        <f t="shared" si="10"/>
        <v>0.25</v>
      </c>
      <c r="L112" s="50">
        <f t="shared" si="11"/>
        <v>175764</v>
      </c>
      <c r="M112" s="50">
        <f t="shared" si="12"/>
        <v>117176</v>
      </c>
      <c r="N112" s="50">
        <f t="shared" si="13"/>
        <v>292940</v>
      </c>
      <c r="Q112" s="263"/>
      <c r="S112" s="262"/>
    </row>
    <row r="113" spans="1:19" ht="12.75" customHeight="1" x14ac:dyDescent="0.3">
      <c r="A113" s="100">
        <v>18.05</v>
      </c>
      <c r="B113" s="98" t="s">
        <v>125</v>
      </c>
      <c r="C113" s="133" t="s">
        <v>33</v>
      </c>
      <c r="D113" s="31">
        <v>1</v>
      </c>
      <c r="E113" s="181">
        <v>73235</v>
      </c>
      <c r="F113" s="181">
        <f t="shared" si="5"/>
        <v>73235</v>
      </c>
      <c r="H113" s="245"/>
      <c r="I113" s="250">
        <v>0.4</v>
      </c>
      <c r="J113" s="250"/>
      <c r="K113" s="251">
        <f t="shared" si="10"/>
        <v>0.4</v>
      </c>
      <c r="L113" s="50">
        <f t="shared" si="11"/>
        <v>29294</v>
      </c>
      <c r="M113" s="50">
        <f t="shared" si="12"/>
        <v>0</v>
      </c>
      <c r="N113" s="50">
        <f t="shared" si="13"/>
        <v>29294</v>
      </c>
    </row>
    <row r="114" spans="1:19" ht="12.75" customHeight="1" x14ac:dyDescent="0.3">
      <c r="A114" s="100">
        <v>18.059999999999999</v>
      </c>
      <c r="B114" s="98" t="s">
        <v>126</v>
      </c>
      <c r="C114" s="133" t="s">
        <v>33</v>
      </c>
      <c r="D114" s="31">
        <v>24</v>
      </c>
      <c r="E114" s="181">
        <v>73235</v>
      </c>
      <c r="F114" s="181">
        <f t="shared" si="5"/>
        <v>1757640</v>
      </c>
      <c r="H114" s="245"/>
      <c r="I114" s="250">
        <v>0</v>
      </c>
      <c r="J114" s="250">
        <v>0.1</v>
      </c>
      <c r="K114" s="251">
        <f t="shared" si="10"/>
        <v>0.1</v>
      </c>
      <c r="L114" s="50">
        <f t="shared" si="11"/>
        <v>0</v>
      </c>
      <c r="M114" s="50">
        <f t="shared" si="12"/>
        <v>175764</v>
      </c>
      <c r="N114" s="50">
        <f t="shared" si="13"/>
        <v>175764</v>
      </c>
      <c r="P114" s="262"/>
    </row>
    <row r="115" spans="1:19" ht="12.75" customHeight="1" x14ac:dyDescent="0.3">
      <c r="A115" s="100">
        <v>18.07</v>
      </c>
      <c r="B115" s="98" t="s">
        <v>127</v>
      </c>
      <c r="C115" s="133" t="s">
        <v>33</v>
      </c>
      <c r="D115" s="31">
        <v>226</v>
      </c>
      <c r="E115" s="181">
        <v>69154</v>
      </c>
      <c r="F115" s="181">
        <f t="shared" si="5"/>
        <v>15628804</v>
      </c>
      <c r="H115" s="245"/>
      <c r="I115" s="250">
        <v>0.03</v>
      </c>
      <c r="J115" s="250">
        <v>0.05</v>
      </c>
      <c r="K115" s="251">
        <f t="shared" si="10"/>
        <v>0.08</v>
      </c>
      <c r="L115" s="50">
        <f t="shared" si="11"/>
        <v>468864.12</v>
      </c>
      <c r="M115" s="50">
        <f t="shared" si="12"/>
        <v>781440.20000000007</v>
      </c>
      <c r="N115" s="50">
        <f t="shared" si="13"/>
        <v>1250304.32</v>
      </c>
      <c r="Q115" s="263"/>
    </row>
    <row r="116" spans="1:19" ht="12.75" customHeight="1" x14ac:dyDescent="0.3">
      <c r="A116" s="100">
        <v>18.079999999999998</v>
      </c>
      <c r="B116" s="98" t="s">
        <v>128</v>
      </c>
      <c r="C116" s="133" t="s">
        <v>33</v>
      </c>
      <c r="D116" s="31">
        <v>32</v>
      </c>
      <c r="E116" s="181">
        <v>95308</v>
      </c>
      <c r="F116" s="181">
        <f t="shared" si="5"/>
        <v>3049856</v>
      </c>
      <c r="H116" s="245"/>
      <c r="I116" s="250">
        <v>0</v>
      </c>
      <c r="J116" s="250">
        <v>0.05</v>
      </c>
      <c r="K116" s="251">
        <f t="shared" si="10"/>
        <v>0.05</v>
      </c>
      <c r="L116" s="50">
        <f t="shared" si="11"/>
        <v>0</v>
      </c>
      <c r="M116" s="50">
        <f t="shared" si="12"/>
        <v>152492.80000000002</v>
      </c>
      <c r="N116" s="50">
        <f t="shared" si="13"/>
        <v>152492.80000000002</v>
      </c>
    </row>
    <row r="117" spans="1:19" ht="12.75" customHeight="1" x14ac:dyDescent="0.3">
      <c r="A117" s="100">
        <v>18.09</v>
      </c>
      <c r="B117" s="98" t="s">
        <v>129</v>
      </c>
      <c r="C117" s="133" t="s">
        <v>33</v>
      </c>
      <c r="D117" s="31">
        <v>8</v>
      </c>
      <c r="E117" s="181">
        <v>69154</v>
      </c>
      <c r="F117" s="181">
        <f t="shared" si="5"/>
        <v>553232</v>
      </c>
      <c r="H117" s="245"/>
      <c r="I117" s="250">
        <v>0</v>
      </c>
      <c r="J117" s="250"/>
      <c r="K117" s="251">
        <f t="shared" si="10"/>
        <v>0</v>
      </c>
      <c r="L117" s="50">
        <f t="shared" si="11"/>
        <v>0</v>
      </c>
      <c r="M117" s="50">
        <f t="shared" si="12"/>
        <v>0</v>
      </c>
      <c r="N117" s="50">
        <f t="shared" si="13"/>
        <v>0</v>
      </c>
    </row>
    <row r="118" spans="1:19" ht="12.75" customHeight="1" x14ac:dyDescent="0.3">
      <c r="A118" s="100">
        <v>18.100000000000001</v>
      </c>
      <c r="B118" s="98" t="s">
        <v>130</v>
      </c>
      <c r="C118" s="133" t="s">
        <v>33</v>
      </c>
      <c r="D118" s="31">
        <v>8</v>
      </c>
      <c r="E118" s="181">
        <v>69154</v>
      </c>
      <c r="F118" s="181">
        <f t="shared" si="5"/>
        <v>553232</v>
      </c>
      <c r="H118" s="245"/>
      <c r="I118" s="250">
        <v>0</v>
      </c>
      <c r="J118" s="250">
        <v>0.1</v>
      </c>
      <c r="K118" s="251">
        <f t="shared" si="10"/>
        <v>0.1</v>
      </c>
      <c r="L118" s="50">
        <f t="shared" si="11"/>
        <v>0</v>
      </c>
      <c r="M118" s="50">
        <f t="shared" si="12"/>
        <v>55323.200000000004</v>
      </c>
      <c r="N118" s="50">
        <f t="shared" si="13"/>
        <v>55323.200000000004</v>
      </c>
    </row>
    <row r="119" spans="1:19" ht="12.75" customHeight="1" x14ac:dyDescent="0.3">
      <c r="A119" s="100">
        <v>18.11</v>
      </c>
      <c r="B119" s="98" t="s">
        <v>131</v>
      </c>
      <c r="C119" s="133" t="s">
        <v>33</v>
      </c>
      <c r="D119" s="31">
        <v>26</v>
      </c>
      <c r="E119" s="181">
        <v>50616</v>
      </c>
      <c r="F119" s="181">
        <f t="shared" si="5"/>
        <v>1316016</v>
      </c>
      <c r="H119" s="245"/>
      <c r="I119" s="250">
        <v>0</v>
      </c>
      <c r="J119" s="250"/>
      <c r="K119" s="251">
        <f t="shared" si="10"/>
        <v>0</v>
      </c>
      <c r="L119" s="50">
        <f t="shared" si="11"/>
        <v>0</v>
      </c>
      <c r="M119" s="50">
        <f t="shared" si="12"/>
        <v>0</v>
      </c>
      <c r="N119" s="50">
        <f t="shared" si="13"/>
        <v>0</v>
      </c>
    </row>
    <row r="120" spans="1:19" ht="12.75" customHeight="1" x14ac:dyDescent="0.3">
      <c r="A120" s="100">
        <v>18.12</v>
      </c>
      <c r="B120" s="98" t="s">
        <v>132</v>
      </c>
      <c r="C120" s="133" t="s">
        <v>33</v>
      </c>
      <c r="D120" s="31">
        <v>27</v>
      </c>
      <c r="E120" s="181">
        <v>50616</v>
      </c>
      <c r="F120" s="181">
        <f t="shared" si="5"/>
        <v>1366632</v>
      </c>
      <c r="H120" s="245"/>
      <c r="I120" s="250">
        <v>0</v>
      </c>
      <c r="J120" s="250">
        <v>0.1</v>
      </c>
      <c r="K120" s="251">
        <f t="shared" si="10"/>
        <v>0.1</v>
      </c>
      <c r="L120" s="50">
        <f t="shared" si="11"/>
        <v>0</v>
      </c>
      <c r="M120" s="50">
        <f t="shared" si="12"/>
        <v>136663.20000000001</v>
      </c>
      <c r="N120" s="50">
        <f t="shared" si="13"/>
        <v>136663.20000000001</v>
      </c>
    </row>
    <row r="121" spans="1:19" ht="12.75" customHeight="1" x14ac:dyDescent="0.3">
      <c r="A121" s="100">
        <v>18.13</v>
      </c>
      <c r="B121" s="98" t="s">
        <v>133</v>
      </c>
      <c r="C121" s="133" t="s">
        <v>33</v>
      </c>
      <c r="D121" s="31">
        <v>9</v>
      </c>
      <c r="E121" s="181">
        <v>50616</v>
      </c>
      <c r="F121" s="181">
        <f t="shared" si="5"/>
        <v>455544</v>
      </c>
      <c r="H121" s="245"/>
      <c r="I121" s="250">
        <v>0</v>
      </c>
      <c r="J121" s="250"/>
      <c r="K121" s="251">
        <f t="shared" si="10"/>
        <v>0</v>
      </c>
      <c r="L121" s="50">
        <f t="shared" si="11"/>
        <v>0</v>
      </c>
      <c r="M121" s="50">
        <f t="shared" si="12"/>
        <v>0</v>
      </c>
      <c r="N121" s="50">
        <f t="shared" si="13"/>
        <v>0</v>
      </c>
    </row>
    <row r="122" spans="1:19" ht="12.75" customHeight="1" x14ac:dyDescent="0.3">
      <c r="A122" s="100">
        <v>18.14</v>
      </c>
      <c r="B122" s="98" t="s">
        <v>134</v>
      </c>
      <c r="C122" s="133" t="s">
        <v>33</v>
      </c>
      <c r="D122" s="31">
        <v>29</v>
      </c>
      <c r="E122" s="181">
        <v>50616</v>
      </c>
      <c r="F122" s="181">
        <f t="shared" si="5"/>
        <v>1467864</v>
      </c>
      <c r="H122" s="245"/>
      <c r="I122" s="250">
        <v>0</v>
      </c>
      <c r="J122" s="250">
        <v>0.1</v>
      </c>
      <c r="K122" s="251">
        <f t="shared" si="10"/>
        <v>0.1</v>
      </c>
      <c r="L122" s="50">
        <f t="shared" si="11"/>
        <v>0</v>
      </c>
      <c r="M122" s="50">
        <f t="shared" si="12"/>
        <v>146786.4</v>
      </c>
      <c r="N122" s="50">
        <f t="shared" si="13"/>
        <v>146786.4</v>
      </c>
    </row>
    <row r="123" spans="1:19" ht="12.75" customHeight="1" x14ac:dyDescent="0.3">
      <c r="A123" s="100">
        <v>18.149999999999999</v>
      </c>
      <c r="B123" s="98" t="s">
        <v>135</v>
      </c>
      <c r="C123" s="133" t="s">
        <v>33</v>
      </c>
      <c r="D123" s="31">
        <v>3</v>
      </c>
      <c r="E123" s="181">
        <v>50616</v>
      </c>
      <c r="F123" s="181">
        <f t="shared" si="5"/>
        <v>151848</v>
      </c>
      <c r="H123" s="245"/>
      <c r="I123" s="250">
        <v>0.4</v>
      </c>
      <c r="J123" s="250"/>
      <c r="K123" s="251">
        <f t="shared" si="10"/>
        <v>0.4</v>
      </c>
      <c r="L123" s="50">
        <f t="shared" si="11"/>
        <v>60739.200000000004</v>
      </c>
      <c r="M123" s="50">
        <f t="shared" si="12"/>
        <v>0</v>
      </c>
      <c r="N123" s="50">
        <f t="shared" si="13"/>
        <v>60739.200000000004</v>
      </c>
      <c r="Q123" s="263"/>
      <c r="S123" s="262"/>
    </row>
    <row r="124" spans="1:19" ht="12.75" customHeight="1" x14ac:dyDescent="0.3">
      <c r="A124" s="100">
        <v>18.16</v>
      </c>
      <c r="B124" s="98" t="s">
        <v>136</v>
      </c>
      <c r="C124" s="133" t="s">
        <v>33</v>
      </c>
      <c r="D124" s="31">
        <v>1</v>
      </c>
      <c r="E124" s="181">
        <v>2245770</v>
      </c>
      <c r="F124" s="181">
        <f t="shared" si="5"/>
        <v>2245770</v>
      </c>
      <c r="H124" s="245"/>
      <c r="I124" s="250">
        <v>0</v>
      </c>
      <c r="J124" s="250"/>
      <c r="K124" s="251">
        <f t="shared" si="10"/>
        <v>0</v>
      </c>
      <c r="L124" s="50">
        <f t="shared" si="11"/>
        <v>0</v>
      </c>
      <c r="M124" s="50">
        <f t="shared" si="12"/>
        <v>0</v>
      </c>
      <c r="N124" s="50">
        <f t="shared" si="13"/>
        <v>0</v>
      </c>
    </row>
    <row r="125" spans="1:19" ht="12.75" customHeight="1" x14ac:dyDescent="0.3">
      <c r="A125" s="100">
        <v>18.170000000000002</v>
      </c>
      <c r="B125" s="98" t="s">
        <v>137</v>
      </c>
      <c r="C125" s="133" t="s">
        <v>33</v>
      </c>
      <c r="D125" s="31">
        <v>1</v>
      </c>
      <c r="E125" s="181">
        <v>1116033</v>
      </c>
      <c r="F125" s="181">
        <f t="shared" si="5"/>
        <v>1116033</v>
      </c>
      <c r="H125" s="245"/>
      <c r="I125" s="250">
        <v>0</v>
      </c>
      <c r="J125" s="250"/>
      <c r="K125" s="251">
        <f t="shared" si="10"/>
        <v>0</v>
      </c>
      <c r="L125" s="50">
        <f t="shared" si="11"/>
        <v>0</v>
      </c>
      <c r="M125" s="50">
        <f t="shared" si="12"/>
        <v>0</v>
      </c>
      <c r="N125" s="50">
        <f t="shared" si="13"/>
        <v>0</v>
      </c>
    </row>
    <row r="126" spans="1:19" ht="12.75" customHeight="1" x14ac:dyDescent="0.3">
      <c r="A126" s="100">
        <v>18.18</v>
      </c>
      <c r="B126" s="98" t="s">
        <v>138</v>
      </c>
      <c r="C126" s="133" t="s">
        <v>33</v>
      </c>
      <c r="D126" s="31">
        <v>2</v>
      </c>
      <c r="E126" s="181">
        <v>530996</v>
      </c>
      <c r="F126" s="181">
        <f t="shared" si="5"/>
        <v>1061992</v>
      </c>
      <c r="H126" s="245"/>
      <c r="I126" s="250">
        <v>0</v>
      </c>
      <c r="J126" s="250"/>
      <c r="K126" s="251">
        <f t="shared" si="10"/>
        <v>0</v>
      </c>
      <c r="L126" s="50">
        <f t="shared" si="11"/>
        <v>0</v>
      </c>
      <c r="M126" s="50">
        <f t="shared" si="12"/>
        <v>0</v>
      </c>
      <c r="N126" s="50">
        <f t="shared" si="13"/>
        <v>0</v>
      </c>
    </row>
    <row r="127" spans="1:19" ht="12.75" customHeight="1" x14ac:dyDescent="0.3">
      <c r="A127" s="100">
        <v>18.190000000000001</v>
      </c>
      <c r="B127" s="98" t="s">
        <v>139</v>
      </c>
      <c r="C127" s="133" t="s">
        <v>33</v>
      </c>
      <c r="D127" s="31">
        <v>9</v>
      </c>
      <c r="E127" s="181">
        <v>595409</v>
      </c>
      <c r="F127" s="181">
        <f t="shared" si="5"/>
        <v>5358681</v>
      </c>
      <c r="H127" s="245"/>
      <c r="I127" s="250">
        <v>0</v>
      </c>
      <c r="J127" s="250"/>
      <c r="K127" s="251">
        <f t="shared" si="10"/>
        <v>0</v>
      </c>
      <c r="L127" s="50">
        <f t="shared" si="11"/>
        <v>0</v>
      </c>
      <c r="M127" s="50">
        <f t="shared" si="12"/>
        <v>0</v>
      </c>
      <c r="N127" s="50">
        <f t="shared" si="13"/>
        <v>0</v>
      </c>
    </row>
    <row r="128" spans="1:19" ht="12.75" customHeight="1" x14ac:dyDescent="0.3">
      <c r="A128" s="100">
        <v>18.2</v>
      </c>
      <c r="B128" s="98" t="s">
        <v>140</v>
      </c>
      <c r="C128" s="133" t="s">
        <v>29</v>
      </c>
      <c r="D128" s="31">
        <v>1</v>
      </c>
      <c r="E128" s="181">
        <v>6378278</v>
      </c>
      <c r="F128" s="181">
        <f t="shared" si="5"/>
        <v>6378278</v>
      </c>
      <c r="H128" s="245"/>
      <c r="I128" s="250">
        <v>0</v>
      </c>
      <c r="J128" s="250"/>
      <c r="K128" s="251">
        <f t="shared" si="10"/>
        <v>0</v>
      </c>
      <c r="L128" s="50">
        <f t="shared" si="11"/>
        <v>0</v>
      </c>
      <c r="M128" s="50">
        <f t="shared" si="12"/>
        <v>0</v>
      </c>
      <c r="N128" s="50">
        <f t="shared" si="13"/>
        <v>0</v>
      </c>
    </row>
    <row r="129" spans="1:14" ht="12.75" customHeight="1" x14ac:dyDescent="0.3">
      <c r="A129" s="100">
        <v>18.21</v>
      </c>
      <c r="B129" s="98" t="s">
        <v>141</v>
      </c>
      <c r="C129" s="133" t="s">
        <v>29</v>
      </c>
      <c r="D129" s="31">
        <v>1</v>
      </c>
      <c r="E129" s="181">
        <v>1695726</v>
      </c>
      <c r="F129" s="181">
        <f t="shared" si="5"/>
        <v>1695726</v>
      </c>
      <c r="H129" s="245"/>
      <c r="I129" s="250">
        <v>0</v>
      </c>
      <c r="J129" s="250"/>
      <c r="K129" s="251">
        <f t="shared" si="10"/>
        <v>0</v>
      </c>
      <c r="L129" s="50">
        <f t="shared" si="11"/>
        <v>0</v>
      </c>
      <c r="M129" s="50">
        <f t="shared" si="12"/>
        <v>0</v>
      </c>
      <c r="N129" s="50">
        <f t="shared" si="13"/>
        <v>0</v>
      </c>
    </row>
    <row r="130" spans="1:14" ht="12.75" customHeight="1" x14ac:dyDescent="0.3">
      <c r="A130" s="100">
        <v>18.22</v>
      </c>
      <c r="B130" s="98" t="s">
        <v>142</v>
      </c>
      <c r="C130" s="133" t="s">
        <v>29</v>
      </c>
      <c r="D130" s="31">
        <v>1</v>
      </c>
      <c r="E130" s="181">
        <v>1695726</v>
      </c>
      <c r="F130" s="181">
        <f t="shared" si="5"/>
        <v>1695726</v>
      </c>
      <c r="H130" s="245"/>
      <c r="I130" s="250">
        <v>0</v>
      </c>
      <c r="J130" s="250"/>
      <c r="K130" s="251">
        <f t="shared" si="10"/>
        <v>0</v>
      </c>
      <c r="L130" s="50">
        <f t="shared" si="11"/>
        <v>0</v>
      </c>
      <c r="M130" s="50">
        <f t="shared" si="12"/>
        <v>0</v>
      </c>
      <c r="N130" s="50">
        <f t="shared" si="13"/>
        <v>0</v>
      </c>
    </row>
    <row r="131" spans="1:14" ht="12.75" customHeight="1" x14ac:dyDescent="0.3">
      <c r="A131" s="100">
        <v>18.23</v>
      </c>
      <c r="B131" s="98" t="s">
        <v>143</v>
      </c>
      <c r="C131" s="133" t="s">
        <v>33</v>
      </c>
      <c r="D131" s="31">
        <v>16</v>
      </c>
      <c r="E131" s="181">
        <v>15984</v>
      </c>
      <c r="F131" s="181">
        <f t="shared" si="5"/>
        <v>255744</v>
      </c>
      <c r="H131" s="245"/>
      <c r="I131" s="250">
        <v>0</v>
      </c>
      <c r="J131" s="250"/>
      <c r="K131" s="251">
        <f t="shared" si="10"/>
        <v>0</v>
      </c>
      <c r="L131" s="50">
        <f t="shared" si="11"/>
        <v>0</v>
      </c>
      <c r="M131" s="50">
        <f t="shared" si="12"/>
        <v>0</v>
      </c>
      <c r="N131" s="50">
        <f t="shared" si="13"/>
        <v>0</v>
      </c>
    </row>
    <row r="132" spans="1:14" ht="12.75" customHeight="1" x14ac:dyDescent="0.3">
      <c r="A132" s="100">
        <v>18.239999999999998</v>
      </c>
      <c r="B132" s="98" t="s">
        <v>144</v>
      </c>
      <c r="C132" s="133" t="s">
        <v>33</v>
      </c>
      <c r="D132" s="31">
        <v>140</v>
      </c>
      <c r="E132" s="181">
        <v>10416</v>
      </c>
      <c r="F132" s="181">
        <f t="shared" si="5"/>
        <v>1458240</v>
      </c>
      <c r="H132" s="245"/>
      <c r="I132" s="250">
        <v>0</v>
      </c>
      <c r="J132" s="250"/>
      <c r="K132" s="251">
        <f t="shared" si="10"/>
        <v>0</v>
      </c>
      <c r="L132" s="50">
        <f t="shared" si="11"/>
        <v>0</v>
      </c>
      <c r="M132" s="50">
        <f t="shared" si="12"/>
        <v>0</v>
      </c>
      <c r="N132" s="50">
        <f t="shared" si="13"/>
        <v>0</v>
      </c>
    </row>
    <row r="133" spans="1:14" ht="12.75" customHeight="1" x14ac:dyDescent="0.3">
      <c r="A133" s="100">
        <v>18.25</v>
      </c>
      <c r="B133" s="98" t="s">
        <v>145</v>
      </c>
      <c r="C133" s="133" t="s">
        <v>33</v>
      </c>
      <c r="D133" s="31">
        <v>226</v>
      </c>
      <c r="E133" s="181">
        <v>10416</v>
      </c>
      <c r="F133" s="181">
        <f t="shared" si="5"/>
        <v>2354016</v>
      </c>
      <c r="H133" s="245"/>
      <c r="I133" s="250">
        <v>0</v>
      </c>
      <c r="J133" s="250"/>
      <c r="K133" s="251">
        <f t="shared" si="10"/>
        <v>0</v>
      </c>
      <c r="L133" s="50">
        <f t="shared" si="11"/>
        <v>0</v>
      </c>
      <c r="M133" s="50">
        <f t="shared" si="12"/>
        <v>0</v>
      </c>
      <c r="N133" s="50">
        <f t="shared" si="13"/>
        <v>0</v>
      </c>
    </row>
    <row r="134" spans="1:14" ht="12.75" customHeight="1" x14ac:dyDescent="0.3">
      <c r="A134" s="100">
        <v>18.260000000000002</v>
      </c>
      <c r="B134" s="98" t="s">
        <v>146</v>
      </c>
      <c r="C134" s="133" t="s">
        <v>33</v>
      </c>
      <c r="D134" s="31">
        <v>8</v>
      </c>
      <c r="E134" s="181">
        <v>25377</v>
      </c>
      <c r="F134" s="181">
        <f t="shared" si="5"/>
        <v>203016</v>
      </c>
      <c r="H134" s="245"/>
      <c r="I134" s="250">
        <v>0</v>
      </c>
      <c r="J134" s="250"/>
      <c r="K134" s="251">
        <f t="shared" si="10"/>
        <v>0</v>
      </c>
      <c r="L134" s="50">
        <f t="shared" si="11"/>
        <v>0</v>
      </c>
      <c r="M134" s="50">
        <f t="shared" si="12"/>
        <v>0</v>
      </c>
      <c r="N134" s="50">
        <f t="shared" si="13"/>
        <v>0</v>
      </c>
    </row>
    <row r="135" spans="1:14" ht="12.75" customHeight="1" x14ac:dyDescent="0.3">
      <c r="A135" s="100">
        <v>18.27</v>
      </c>
      <c r="B135" s="98" t="s">
        <v>147</v>
      </c>
      <c r="C135" s="133" t="s">
        <v>33</v>
      </c>
      <c r="D135" s="31">
        <v>24</v>
      </c>
      <c r="E135" s="181">
        <v>93081</v>
      </c>
      <c r="F135" s="181">
        <f t="shared" si="5"/>
        <v>2233944</v>
      </c>
      <c r="H135" s="245"/>
      <c r="I135" s="250">
        <v>0</v>
      </c>
      <c r="J135" s="250"/>
      <c r="K135" s="251">
        <f t="shared" si="10"/>
        <v>0</v>
      </c>
      <c r="L135" s="50">
        <f t="shared" si="11"/>
        <v>0</v>
      </c>
      <c r="M135" s="50">
        <f t="shared" si="12"/>
        <v>0</v>
      </c>
      <c r="N135" s="50">
        <f t="shared" si="13"/>
        <v>0</v>
      </c>
    </row>
    <row r="136" spans="1:14" ht="12.75" customHeight="1" x14ac:dyDescent="0.3">
      <c r="A136" s="100">
        <v>18.28</v>
      </c>
      <c r="B136" s="98" t="s">
        <v>148</v>
      </c>
      <c r="C136" s="133" t="s">
        <v>33</v>
      </c>
      <c r="D136" s="31">
        <v>12</v>
      </c>
      <c r="E136" s="181">
        <v>25377</v>
      </c>
      <c r="F136" s="181">
        <f t="shared" si="5"/>
        <v>304524</v>
      </c>
      <c r="H136" s="245"/>
      <c r="I136" s="250">
        <v>0</v>
      </c>
      <c r="J136" s="250"/>
      <c r="K136" s="251">
        <f t="shared" si="10"/>
        <v>0</v>
      </c>
      <c r="L136" s="50">
        <f t="shared" si="11"/>
        <v>0</v>
      </c>
      <c r="M136" s="50">
        <f t="shared" si="12"/>
        <v>0</v>
      </c>
      <c r="N136" s="50">
        <f t="shared" si="13"/>
        <v>0</v>
      </c>
    </row>
    <row r="137" spans="1:14" ht="12.75" customHeight="1" x14ac:dyDescent="0.3">
      <c r="A137" s="100">
        <v>18.2899999999999</v>
      </c>
      <c r="B137" s="98" t="s">
        <v>149</v>
      </c>
      <c r="C137" s="133" t="s">
        <v>33</v>
      </c>
      <c r="D137" s="31">
        <v>1</v>
      </c>
      <c r="E137" s="181">
        <v>25377</v>
      </c>
      <c r="F137" s="181">
        <f t="shared" si="5"/>
        <v>25377</v>
      </c>
      <c r="H137" s="245"/>
      <c r="I137" s="250">
        <v>0</v>
      </c>
      <c r="J137" s="250"/>
      <c r="K137" s="251">
        <f t="shared" si="10"/>
        <v>0</v>
      </c>
      <c r="L137" s="50">
        <f t="shared" si="11"/>
        <v>0</v>
      </c>
      <c r="M137" s="50">
        <f t="shared" si="12"/>
        <v>0</v>
      </c>
      <c r="N137" s="50">
        <f t="shared" si="13"/>
        <v>0</v>
      </c>
    </row>
    <row r="138" spans="1:14" ht="12.75" customHeight="1" x14ac:dyDescent="0.3">
      <c r="A138" s="100">
        <v>18.299999999999901</v>
      </c>
      <c r="B138" s="98" t="s">
        <v>150</v>
      </c>
      <c r="C138" s="133" t="s">
        <v>33</v>
      </c>
      <c r="D138" s="31">
        <v>109</v>
      </c>
      <c r="E138" s="181">
        <v>15984</v>
      </c>
      <c r="F138" s="181">
        <f t="shared" ref="F138:F194" si="14">+E138*D138</f>
        <v>1742256</v>
      </c>
      <c r="H138" s="245"/>
      <c r="I138" s="250">
        <v>0</v>
      </c>
      <c r="J138" s="250"/>
      <c r="K138" s="251">
        <f t="shared" si="10"/>
        <v>0</v>
      </c>
      <c r="L138" s="50">
        <f t="shared" si="11"/>
        <v>0</v>
      </c>
      <c r="M138" s="50">
        <f t="shared" si="12"/>
        <v>0</v>
      </c>
      <c r="N138" s="50">
        <f t="shared" si="13"/>
        <v>0</v>
      </c>
    </row>
    <row r="139" spans="1:14" ht="12.75" customHeight="1" x14ac:dyDescent="0.3">
      <c r="A139" s="100">
        <v>18.309999999999899</v>
      </c>
      <c r="B139" s="98" t="s">
        <v>151</v>
      </c>
      <c r="C139" s="133" t="s">
        <v>29</v>
      </c>
      <c r="D139" s="31">
        <v>1</v>
      </c>
      <c r="E139" s="181">
        <v>5516929</v>
      </c>
      <c r="F139" s="181">
        <f t="shared" si="14"/>
        <v>5516929</v>
      </c>
      <c r="H139" s="245"/>
      <c r="I139" s="250">
        <v>0</v>
      </c>
      <c r="J139" s="250"/>
      <c r="K139" s="251">
        <f t="shared" si="10"/>
        <v>0</v>
      </c>
      <c r="L139" s="50">
        <f t="shared" si="11"/>
        <v>0</v>
      </c>
      <c r="M139" s="50">
        <f t="shared" si="12"/>
        <v>0</v>
      </c>
      <c r="N139" s="50">
        <f t="shared" si="13"/>
        <v>0</v>
      </c>
    </row>
    <row r="140" spans="1:14" ht="12.75" customHeight="1" x14ac:dyDescent="0.3">
      <c r="A140" s="100">
        <v>18.319999999999901</v>
      </c>
      <c r="B140" s="98" t="s">
        <v>152</v>
      </c>
      <c r="C140" s="133" t="s">
        <v>29</v>
      </c>
      <c r="D140" s="31">
        <v>1</v>
      </c>
      <c r="E140" s="181">
        <v>957554</v>
      </c>
      <c r="F140" s="181">
        <f t="shared" si="14"/>
        <v>957554</v>
      </c>
      <c r="H140" s="245"/>
      <c r="I140" s="250">
        <v>0</v>
      </c>
      <c r="J140" s="250"/>
      <c r="K140" s="251">
        <f t="shared" ref="K140:K194" si="15">+I140+J140</f>
        <v>0</v>
      </c>
      <c r="L140" s="50">
        <f t="shared" ref="L140:L194" si="16">+F140*I140</f>
        <v>0</v>
      </c>
      <c r="M140" s="50">
        <f t="shared" ref="M140:M194" si="17">+F140*J140</f>
        <v>0</v>
      </c>
      <c r="N140" s="50">
        <f t="shared" ref="N140:N194" si="18">+F140*K140</f>
        <v>0</v>
      </c>
    </row>
    <row r="141" spans="1:14" ht="12.75" customHeight="1" x14ac:dyDescent="0.3">
      <c r="A141" s="100">
        <v>18.329999999999899</v>
      </c>
      <c r="B141" s="134" t="s">
        <v>153</v>
      </c>
      <c r="C141" s="135" t="s">
        <v>29</v>
      </c>
      <c r="D141" s="35">
        <v>1</v>
      </c>
      <c r="E141" s="181">
        <v>142634</v>
      </c>
      <c r="F141" s="181">
        <f t="shared" si="14"/>
        <v>142634</v>
      </c>
      <c r="H141" s="245"/>
      <c r="I141" s="250">
        <v>0</v>
      </c>
      <c r="J141" s="250"/>
      <c r="K141" s="251">
        <f t="shared" si="15"/>
        <v>0</v>
      </c>
      <c r="L141" s="50">
        <f t="shared" si="16"/>
        <v>0</v>
      </c>
      <c r="M141" s="50">
        <f t="shared" si="17"/>
        <v>0</v>
      </c>
      <c r="N141" s="50">
        <f t="shared" si="18"/>
        <v>0</v>
      </c>
    </row>
    <row r="142" spans="1:14" ht="12.75" customHeight="1" x14ac:dyDescent="0.3">
      <c r="A142" s="13">
        <v>19</v>
      </c>
      <c r="B142" s="40" t="s">
        <v>154</v>
      </c>
      <c r="C142" s="18"/>
      <c r="D142" s="19"/>
      <c r="E142" s="190"/>
      <c r="F142" s="190"/>
      <c r="G142" s="191"/>
      <c r="H142" s="245"/>
      <c r="I142" s="246"/>
      <c r="J142" s="247"/>
      <c r="K142" s="247"/>
      <c r="L142" s="178"/>
      <c r="M142" s="178"/>
      <c r="N142" s="179"/>
    </row>
    <row r="143" spans="1:14" ht="12.75" customHeight="1" x14ac:dyDescent="0.3">
      <c r="A143" s="13"/>
      <c r="B143" s="40" t="s">
        <v>155</v>
      </c>
      <c r="C143" s="18"/>
      <c r="D143" s="19"/>
      <c r="E143" s="19"/>
      <c r="F143" s="19"/>
      <c r="G143" s="192">
        <f>+SUM(F144:F146)</f>
        <v>21227962</v>
      </c>
      <c r="H143" s="245">
        <f>+G143/$G$195</f>
        <v>2.5126450140132647E-2</v>
      </c>
      <c r="I143" s="246"/>
      <c r="J143" s="247"/>
      <c r="K143" s="247"/>
      <c r="L143" s="178"/>
      <c r="M143" s="178"/>
      <c r="N143" s="179"/>
    </row>
    <row r="144" spans="1:14" ht="12.75" customHeight="1" x14ac:dyDescent="0.3">
      <c r="A144" s="20">
        <v>19.010000000000002</v>
      </c>
      <c r="B144" s="136" t="s">
        <v>156</v>
      </c>
      <c r="C144" s="122" t="s">
        <v>29</v>
      </c>
      <c r="D144" s="123">
        <v>1</v>
      </c>
      <c r="E144" s="183">
        <v>6793844</v>
      </c>
      <c r="F144" s="183">
        <f t="shared" si="14"/>
        <v>6793844</v>
      </c>
      <c r="H144" s="245"/>
      <c r="I144" s="250">
        <v>0</v>
      </c>
      <c r="J144" s="250"/>
      <c r="K144" s="251">
        <f t="shared" si="15"/>
        <v>0</v>
      </c>
      <c r="L144" s="50">
        <f t="shared" si="16"/>
        <v>0</v>
      </c>
      <c r="M144" s="50">
        <f t="shared" si="17"/>
        <v>0</v>
      </c>
      <c r="N144" s="50">
        <f t="shared" si="18"/>
        <v>0</v>
      </c>
    </row>
    <row r="145" spans="1:14" ht="12.75" customHeight="1" x14ac:dyDescent="0.3">
      <c r="A145" s="24">
        <v>19.02</v>
      </c>
      <c r="B145" s="36" t="s">
        <v>157</v>
      </c>
      <c r="C145" s="28" t="s">
        <v>29</v>
      </c>
      <c r="D145" s="29">
        <v>1</v>
      </c>
      <c r="E145" s="181">
        <v>9552583</v>
      </c>
      <c r="F145" s="181">
        <f t="shared" si="14"/>
        <v>9552583</v>
      </c>
      <c r="H145" s="245"/>
      <c r="I145" s="250">
        <v>0</v>
      </c>
      <c r="J145" s="250"/>
      <c r="K145" s="251">
        <f t="shared" si="15"/>
        <v>0</v>
      </c>
      <c r="L145" s="50">
        <f t="shared" si="16"/>
        <v>0</v>
      </c>
      <c r="M145" s="50">
        <f t="shared" si="17"/>
        <v>0</v>
      </c>
      <c r="N145" s="50">
        <f t="shared" si="18"/>
        <v>0</v>
      </c>
    </row>
    <row r="146" spans="1:14" ht="12.75" customHeight="1" x14ac:dyDescent="0.3">
      <c r="A146" s="33">
        <v>19.03</v>
      </c>
      <c r="B146" s="137" t="s">
        <v>158</v>
      </c>
      <c r="C146" s="138" t="s">
        <v>29</v>
      </c>
      <c r="D146" s="139">
        <v>1</v>
      </c>
      <c r="E146" s="181">
        <v>4881535</v>
      </c>
      <c r="F146" s="181">
        <f t="shared" si="14"/>
        <v>4881535</v>
      </c>
      <c r="H146" s="245"/>
      <c r="I146" s="250">
        <v>0</v>
      </c>
      <c r="J146" s="250"/>
      <c r="K146" s="251">
        <f t="shared" si="15"/>
        <v>0</v>
      </c>
      <c r="L146" s="50">
        <f t="shared" si="16"/>
        <v>0</v>
      </c>
      <c r="M146" s="50">
        <f t="shared" si="17"/>
        <v>0</v>
      </c>
      <c r="N146" s="50">
        <f t="shared" si="18"/>
        <v>0</v>
      </c>
    </row>
    <row r="147" spans="1:14" ht="12.75" customHeight="1" x14ac:dyDescent="0.3">
      <c r="A147" s="140"/>
      <c r="B147" s="141" t="s">
        <v>159</v>
      </c>
      <c r="C147" s="11"/>
      <c r="D147" s="12"/>
      <c r="E147" s="19"/>
      <c r="F147" s="19"/>
      <c r="G147" s="192">
        <f>+SUM(F148:F150)</f>
        <v>7075989</v>
      </c>
      <c r="H147" s="245">
        <f>+G147/$G$195</f>
        <v>8.3754853527920892E-3</v>
      </c>
      <c r="I147" s="246"/>
      <c r="J147" s="247"/>
      <c r="K147" s="247"/>
      <c r="L147" s="178"/>
      <c r="M147" s="178"/>
      <c r="N147" s="179"/>
    </row>
    <row r="148" spans="1:14" ht="12.75" customHeight="1" x14ac:dyDescent="0.3">
      <c r="A148" s="20">
        <v>19.04</v>
      </c>
      <c r="B148" s="136" t="s">
        <v>160</v>
      </c>
      <c r="C148" s="122" t="s">
        <v>29</v>
      </c>
      <c r="D148" s="123">
        <v>1</v>
      </c>
      <c r="E148" s="181">
        <v>2476596</v>
      </c>
      <c r="F148" s="181">
        <f t="shared" si="14"/>
        <v>2476596</v>
      </c>
      <c r="H148" s="245"/>
      <c r="I148" s="250">
        <v>0</v>
      </c>
      <c r="J148" s="250"/>
      <c r="K148" s="251">
        <f t="shared" si="15"/>
        <v>0</v>
      </c>
      <c r="L148" s="50">
        <f t="shared" si="16"/>
        <v>0</v>
      </c>
      <c r="M148" s="50">
        <f t="shared" si="17"/>
        <v>0</v>
      </c>
      <c r="N148" s="50">
        <f t="shared" si="18"/>
        <v>0</v>
      </c>
    </row>
    <row r="149" spans="1:14" ht="12.75" customHeight="1" x14ac:dyDescent="0.3">
      <c r="A149" s="24">
        <v>19.05</v>
      </c>
      <c r="B149" s="36" t="s">
        <v>161</v>
      </c>
      <c r="C149" s="28" t="s">
        <v>29</v>
      </c>
      <c r="D149" s="29">
        <v>1</v>
      </c>
      <c r="E149" s="181">
        <v>3537994</v>
      </c>
      <c r="F149" s="181">
        <f t="shared" si="14"/>
        <v>3537994</v>
      </c>
      <c r="H149" s="245"/>
      <c r="I149" s="250">
        <v>0</v>
      </c>
      <c r="J149" s="250"/>
      <c r="K149" s="251">
        <f t="shared" si="15"/>
        <v>0</v>
      </c>
      <c r="L149" s="50">
        <f t="shared" si="16"/>
        <v>0</v>
      </c>
      <c r="M149" s="50">
        <f t="shared" si="17"/>
        <v>0</v>
      </c>
      <c r="N149" s="50">
        <f t="shared" si="18"/>
        <v>0</v>
      </c>
    </row>
    <row r="150" spans="1:14" ht="12.75" customHeight="1" x14ac:dyDescent="0.3">
      <c r="A150" s="33">
        <v>19.059999999999999</v>
      </c>
      <c r="B150" s="137" t="s">
        <v>162</v>
      </c>
      <c r="C150" s="138" t="s">
        <v>29</v>
      </c>
      <c r="D150" s="139">
        <v>1</v>
      </c>
      <c r="E150" s="181">
        <v>1061399</v>
      </c>
      <c r="F150" s="181">
        <f t="shared" si="14"/>
        <v>1061399</v>
      </c>
      <c r="H150" s="245"/>
      <c r="I150" s="250">
        <v>0</v>
      </c>
      <c r="J150" s="250"/>
      <c r="K150" s="251">
        <f t="shared" si="15"/>
        <v>0</v>
      </c>
      <c r="L150" s="50">
        <f t="shared" si="16"/>
        <v>0</v>
      </c>
      <c r="M150" s="50">
        <f t="shared" si="17"/>
        <v>0</v>
      </c>
      <c r="N150" s="50">
        <f t="shared" si="18"/>
        <v>0</v>
      </c>
    </row>
    <row r="151" spans="1:14" ht="12.75" customHeight="1" x14ac:dyDescent="0.3">
      <c r="A151" s="13"/>
      <c r="B151" s="40" t="s">
        <v>163</v>
      </c>
      <c r="C151" s="18"/>
      <c r="D151" s="19"/>
      <c r="E151" s="19"/>
      <c r="F151" s="19"/>
      <c r="G151" s="192">
        <f>+SUM(F152:F156)</f>
        <v>34829620</v>
      </c>
      <c r="H151" s="245">
        <f>+G151/$G$195</f>
        <v>4.1226035279777064E-2</v>
      </c>
      <c r="I151" s="246"/>
      <c r="J151" s="247"/>
      <c r="K151" s="247"/>
      <c r="L151" s="178"/>
      <c r="M151" s="178"/>
      <c r="N151" s="179"/>
    </row>
    <row r="152" spans="1:14" ht="12.75" customHeight="1" x14ac:dyDescent="0.3">
      <c r="A152" s="115">
        <v>19.07</v>
      </c>
      <c r="B152" s="142" t="s">
        <v>164</v>
      </c>
      <c r="C152" s="122" t="s">
        <v>29</v>
      </c>
      <c r="D152" s="123">
        <v>1</v>
      </c>
      <c r="E152" s="180">
        <v>3263223</v>
      </c>
      <c r="F152" s="180">
        <f t="shared" si="14"/>
        <v>3263223</v>
      </c>
      <c r="H152" s="245"/>
      <c r="I152" s="250">
        <v>0</v>
      </c>
      <c r="J152" s="250"/>
      <c r="K152" s="251">
        <f t="shared" si="15"/>
        <v>0</v>
      </c>
      <c r="L152" s="50">
        <f t="shared" si="16"/>
        <v>0</v>
      </c>
      <c r="M152" s="50">
        <f t="shared" si="17"/>
        <v>0</v>
      </c>
      <c r="N152" s="50">
        <f t="shared" si="18"/>
        <v>0</v>
      </c>
    </row>
    <row r="153" spans="1:14" ht="12.75" customHeight="1" x14ac:dyDescent="0.3">
      <c r="A153" s="100">
        <v>19.079999999999998</v>
      </c>
      <c r="B153" s="143" t="s">
        <v>165</v>
      </c>
      <c r="C153" s="28" t="s">
        <v>29</v>
      </c>
      <c r="D153" s="29">
        <v>1</v>
      </c>
      <c r="E153" s="181">
        <v>3665831</v>
      </c>
      <c r="F153" s="181">
        <f t="shared" si="14"/>
        <v>3665831</v>
      </c>
      <c r="H153" s="245"/>
      <c r="I153" s="250">
        <v>0</v>
      </c>
      <c r="J153" s="250"/>
      <c r="K153" s="251">
        <f t="shared" si="15"/>
        <v>0</v>
      </c>
      <c r="L153" s="50">
        <f t="shared" si="16"/>
        <v>0</v>
      </c>
      <c r="M153" s="50">
        <f t="shared" si="17"/>
        <v>0</v>
      </c>
      <c r="N153" s="50">
        <f t="shared" si="18"/>
        <v>0</v>
      </c>
    </row>
    <row r="154" spans="1:14" ht="12.75" customHeight="1" x14ac:dyDescent="0.3">
      <c r="A154" s="100">
        <v>19.09</v>
      </c>
      <c r="B154" s="144" t="s">
        <v>166</v>
      </c>
      <c r="C154" s="28" t="s">
        <v>29</v>
      </c>
      <c r="D154" s="29">
        <v>1</v>
      </c>
      <c r="E154" s="181">
        <v>3263223</v>
      </c>
      <c r="F154" s="181">
        <f t="shared" si="14"/>
        <v>3263223</v>
      </c>
      <c r="H154" s="245"/>
      <c r="I154" s="250">
        <v>0</v>
      </c>
      <c r="J154" s="250"/>
      <c r="K154" s="251">
        <f t="shared" si="15"/>
        <v>0</v>
      </c>
      <c r="L154" s="50">
        <f t="shared" si="16"/>
        <v>0</v>
      </c>
      <c r="M154" s="50">
        <f t="shared" si="17"/>
        <v>0</v>
      </c>
      <c r="N154" s="50">
        <f t="shared" si="18"/>
        <v>0</v>
      </c>
    </row>
    <row r="155" spans="1:14" ht="12.75" customHeight="1" x14ac:dyDescent="0.3">
      <c r="A155" s="100">
        <v>19.100000000000001</v>
      </c>
      <c r="B155" s="143" t="s">
        <v>167</v>
      </c>
      <c r="C155" s="28" t="s">
        <v>29</v>
      </c>
      <c r="D155" s="29">
        <v>1</v>
      </c>
      <c r="E155" s="181">
        <v>18413869</v>
      </c>
      <c r="F155" s="181">
        <f t="shared" si="14"/>
        <v>18413869</v>
      </c>
      <c r="H155" s="245"/>
      <c r="I155" s="250">
        <v>0</v>
      </c>
      <c r="J155" s="250"/>
      <c r="K155" s="251">
        <f t="shared" si="15"/>
        <v>0</v>
      </c>
      <c r="L155" s="50">
        <f t="shared" si="16"/>
        <v>0</v>
      </c>
      <c r="M155" s="50">
        <f t="shared" si="17"/>
        <v>0</v>
      </c>
      <c r="N155" s="50">
        <f t="shared" si="18"/>
        <v>0</v>
      </c>
    </row>
    <row r="156" spans="1:14" ht="12.75" customHeight="1" x14ac:dyDescent="0.3">
      <c r="A156" s="100">
        <v>19.11</v>
      </c>
      <c r="B156" s="145" t="s">
        <v>168</v>
      </c>
      <c r="C156" s="138" t="s">
        <v>29</v>
      </c>
      <c r="D156" s="139">
        <v>1</v>
      </c>
      <c r="E156" s="189">
        <v>6223474</v>
      </c>
      <c r="F156" s="189">
        <f t="shared" si="14"/>
        <v>6223474</v>
      </c>
      <c r="H156" s="245"/>
      <c r="I156" s="250">
        <v>0</v>
      </c>
      <c r="J156" s="250"/>
      <c r="K156" s="251">
        <f t="shared" si="15"/>
        <v>0</v>
      </c>
      <c r="L156" s="50">
        <f t="shared" si="16"/>
        <v>0</v>
      </c>
      <c r="M156" s="50">
        <f t="shared" si="17"/>
        <v>0</v>
      </c>
      <c r="N156" s="50">
        <f t="shared" si="18"/>
        <v>0</v>
      </c>
    </row>
    <row r="157" spans="1:14" ht="12.75" customHeight="1" x14ac:dyDescent="0.3">
      <c r="A157" s="13"/>
      <c r="B157" s="40" t="s">
        <v>169</v>
      </c>
      <c r="C157" s="18"/>
      <c r="D157" s="19"/>
      <c r="E157" s="19"/>
      <c r="F157" s="19"/>
      <c r="G157" s="192">
        <f>+SUM(F158)</f>
        <v>2637801</v>
      </c>
      <c r="H157" s="245">
        <f>+G157/$G$195</f>
        <v>3.1222297885257206E-3</v>
      </c>
      <c r="I157" s="246"/>
      <c r="J157" s="247"/>
      <c r="K157" s="247"/>
      <c r="L157" s="178"/>
      <c r="M157" s="178"/>
      <c r="N157" s="179"/>
    </row>
    <row r="158" spans="1:14" ht="12.75" customHeight="1" x14ac:dyDescent="0.3">
      <c r="A158" s="24">
        <v>19.12</v>
      </c>
      <c r="B158" s="36" t="s">
        <v>170</v>
      </c>
      <c r="C158" s="28" t="s">
        <v>29</v>
      </c>
      <c r="D158" s="29">
        <v>1</v>
      </c>
      <c r="E158" s="181">
        <v>2637801</v>
      </c>
      <c r="F158" s="181">
        <f t="shared" si="14"/>
        <v>2637801</v>
      </c>
      <c r="H158" s="245"/>
      <c r="I158" s="250">
        <v>0</v>
      </c>
      <c r="J158" s="250"/>
      <c r="K158" s="251">
        <f t="shared" si="15"/>
        <v>0</v>
      </c>
      <c r="L158" s="50">
        <f t="shared" si="16"/>
        <v>0</v>
      </c>
      <c r="M158" s="50">
        <f t="shared" si="17"/>
        <v>0</v>
      </c>
      <c r="N158" s="50">
        <f t="shared" si="18"/>
        <v>0</v>
      </c>
    </row>
    <row r="159" spans="1:14" ht="12.75" customHeight="1" x14ac:dyDescent="0.3">
      <c r="A159" s="13"/>
      <c r="B159" s="40" t="s">
        <v>171</v>
      </c>
      <c r="C159" s="18"/>
      <c r="D159" s="19"/>
      <c r="E159" s="19"/>
      <c r="F159" s="19"/>
      <c r="G159" s="192">
        <f>+SUM(F160:F161)</f>
        <v>39784561</v>
      </c>
      <c r="H159" s="245">
        <f>+G159/$G$195</f>
        <v>4.7090944873255651E-2</v>
      </c>
      <c r="I159" s="246"/>
      <c r="J159" s="247"/>
      <c r="K159" s="247"/>
      <c r="L159" s="178"/>
      <c r="M159" s="178"/>
      <c r="N159" s="179"/>
    </row>
    <row r="160" spans="1:14" ht="12.75" customHeight="1" x14ac:dyDescent="0.3">
      <c r="A160" s="20">
        <v>19.13</v>
      </c>
      <c r="B160" s="136" t="s">
        <v>172</v>
      </c>
      <c r="C160" s="122" t="s">
        <v>29</v>
      </c>
      <c r="D160" s="123">
        <v>1</v>
      </c>
      <c r="E160" s="181">
        <v>36002858</v>
      </c>
      <c r="F160" s="181">
        <f t="shared" si="14"/>
        <v>36002858</v>
      </c>
      <c r="H160" s="245"/>
      <c r="I160" s="250">
        <v>0</v>
      </c>
      <c r="J160" s="250"/>
      <c r="K160" s="251">
        <f t="shared" si="15"/>
        <v>0</v>
      </c>
      <c r="L160" s="50">
        <f t="shared" si="16"/>
        <v>0</v>
      </c>
      <c r="M160" s="50">
        <f t="shared" si="17"/>
        <v>0</v>
      </c>
      <c r="N160" s="50">
        <f t="shared" si="18"/>
        <v>0</v>
      </c>
    </row>
    <row r="161" spans="1:14" ht="12.75" customHeight="1" x14ac:dyDescent="0.3">
      <c r="A161" s="33">
        <v>19.14</v>
      </c>
      <c r="B161" s="137" t="s">
        <v>173</v>
      </c>
      <c r="C161" s="138" t="s">
        <v>29</v>
      </c>
      <c r="D161" s="139">
        <v>1</v>
      </c>
      <c r="E161" s="181">
        <v>3781703</v>
      </c>
      <c r="F161" s="181">
        <f t="shared" si="14"/>
        <v>3781703</v>
      </c>
      <c r="H161" s="245"/>
      <c r="I161" s="250">
        <v>0</v>
      </c>
      <c r="J161" s="250"/>
      <c r="K161" s="251">
        <f t="shared" si="15"/>
        <v>0</v>
      </c>
      <c r="L161" s="50">
        <f t="shared" si="16"/>
        <v>0</v>
      </c>
      <c r="M161" s="50">
        <f t="shared" si="17"/>
        <v>0</v>
      </c>
      <c r="N161" s="50">
        <f t="shared" si="18"/>
        <v>0</v>
      </c>
    </row>
    <row r="162" spans="1:14" ht="12.75" customHeight="1" x14ac:dyDescent="0.3">
      <c r="A162" s="13"/>
      <c r="B162" s="40" t="s">
        <v>174</v>
      </c>
      <c r="C162" s="18"/>
      <c r="D162" s="19"/>
      <c r="E162" s="19"/>
      <c r="F162" s="19"/>
      <c r="G162" s="192">
        <f>+SUM(F163)</f>
        <v>6439007</v>
      </c>
      <c r="H162" s="245">
        <f>+G162/$G$195</f>
        <v>7.6215224211097178E-3</v>
      </c>
      <c r="I162" s="246"/>
      <c r="J162" s="247"/>
      <c r="K162" s="247"/>
      <c r="L162" s="178"/>
      <c r="M162" s="178"/>
      <c r="N162" s="179"/>
    </row>
    <row r="163" spans="1:14" ht="12.75" customHeight="1" x14ac:dyDescent="0.3">
      <c r="A163" s="24">
        <v>19.149999999999999</v>
      </c>
      <c r="B163" s="98" t="s">
        <v>175</v>
      </c>
      <c r="C163" s="28" t="s">
        <v>29</v>
      </c>
      <c r="D163" s="29">
        <v>1</v>
      </c>
      <c r="E163" s="181">
        <v>6439007</v>
      </c>
      <c r="F163" s="181">
        <f t="shared" si="14"/>
        <v>6439007</v>
      </c>
      <c r="H163" s="245"/>
      <c r="I163" s="250">
        <v>0</v>
      </c>
      <c r="J163" s="250"/>
      <c r="K163" s="251">
        <f t="shared" si="15"/>
        <v>0</v>
      </c>
      <c r="L163" s="50">
        <f t="shared" si="16"/>
        <v>0</v>
      </c>
      <c r="M163" s="50">
        <f t="shared" si="17"/>
        <v>0</v>
      </c>
      <c r="N163" s="50">
        <f t="shared" si="18"/>
        <v>0</v>
      </c>
    </row>
    <row r="164" spans="1:14" ht="12.75" customHeight="1" x14ac:dyDescent="0.3">
      <c r="A164" s="13"/>
      <c r="B164" s="40" t="s">
        <v>176</v>
      </c>
      <c r="C164" s="18"/>
      <c r="D164" s="19"/>
      <c r="E164" s="19"/>
      <c r="F164" s="19"/>
      <c r="G164" s="192">
        <f>+SUM(F165:F168)</f>
        <v>33172785</v>
      </c>
      <c r="H164" s="245">
        <f t="shared" ref="H164:H192" si="19">+G164/$G$195</f>
        <v>3.9264924645702685E-2</v>
      </c>
      <c r="I164" s="246"/>
      <c r="J164" s="247"/>
      <c r="K164" s="247"/>
      <c r="L164" s="178"/>
      <c r="M164" s="178"/>
      <c r="N164" s="179"/>
    </row>
    <row r="165" spans="1:14" ht="12.75" customHeight="1" x14ac:dyDescent="0.3">
      <c r="A165" s="24">
        <v>19.16</v>
      </c>
      <c r="B165" s="143" t="s">
        <v>177</v>
      </c>
      <c r="C165" s="28" t="s">
        <v>29</v>
      </c>
      <c r="D165" s="29">
        <v>1</v>
      </c>
      <c r="E165" s="181">
        <v>27794007</v>
      </c>
      <c r="F165" s="181">
        <f t="shared" si="14"/>
        <v>27794007</v>
      </c>
      <c r="H165" s="245"/>
      <c r="I165" s="250">
        <v>0</v>
      </c>
      <c r="J165" s="250"/>
      <c r="K165" s="251">
        <f t="shared" si="15"/>
        <v>0</v>
      </c>
      <c r="L165" s="50">
        <f t="shared" si="16"/>
        <v>0</v>
      </c>
      <c r="M165" s="50">
        <f t="shared" si="17"/>
        <v>0</v>
      </c>
      <c r="N165" s="50">
        <f t="shared" si="18"/>
        <v>0</v>
      </c>
    </row>
    <row r="166" spans="1:14" ht="12.75" customHeight="1" x14ac:dyDescent="0.3">
      <c r="A166" s="24">
        <v>19.170000000000002</v>
      </c>
      <c r="B166" s="146" t="s">
        <v>178</v>
      </c>
      <c r="C166" s="147" t="s">
        <v>33</v>
      </c>
      <c r="D166" s="148">
        <v>8</v>
      </c>
      <c r="E166" s="181">
        <v>59973</v>
      </c>
      <c r="F166" s="181">
        <f t="shared" si="14"/>
        <v>479784</v>
      </c>
      <c r="H166" s="245"/>
      <c r="I166" s="250">
        <v>0</v>
      </c>
      <c r="J166" s="250"/>
      <c r="K166" s="251">
        <f t="shared" si="15"/>
        <v>0</v>
      </c>
      <c r="L166" s="50">
        <f t="shared" si="16"/>
        <v>0</v>
      </c>
      <c r="M166" s="50">
        <f t="shared" si="17"/>
        <v>0</v>
      </c>
      <c r="N166" s="50">
        <f t="shared" si="18"/>
        <v>0</v>
      </c>
    </row>
    <row r="167" spans="1:14" ht="12.75" customHeight="1" x14ac:dyDescent="0.3">
      <c r="A167" s="24">
        <v>19.18</v>
      </c>
      <c r="B167" s="146" t="s">
        <v>179</v>
      </c>
      <c r="C167" s="147" t="s">
        <v>29</v>
      </c>
      <c r="D167" s="148">
        <v>8</v>
      </c>
      <c r="E167" s="181">
        <v>27640</v>
      </c>
      <c r="F167" s="181">
        <f t="shared" si="14"/>
        <v>221120</v>
      </c>
      <c r="H167" s="245"/>
      <c r="I167" s="250">
        <v>0</v>
      </c>
      <c r="J167" s="250"/>
      <c r="K167" s="251">
        <f t="shared" si="15"/>
        <v>0</v>
      </c>
      <c r="L167" s="50">
        <f t="shared" si="16"/>
        <v>0</v>
      </c>
      <c r="M167" s="50">
        <f t="shared" si="17"/>
        <v>0</v>
      </c>
      <c r="N167" s="50">
        <f t="shared" si="18"/>
        <v>0</v>
      </c>
    </row>
    <row r="168" spans="1:14" ht="12.75" customHeight="1" x14ac:dyDescent="0.3">
      <c r="A168" s="100">
        <v>19.190000000000001</v>
      </c>
      <c r="B168" s="145" t="s">
        <v>180</v>
      </c>
      <c r="C168" s="138" t="s">
        <v>29</v>
      </c>
      <c r="D168" s="139">
        <v>1</v>
      </c>
      <c r="E168" s="181">
        <v>4677874</v>
      </c>
      <c r="F168" s="181">
        <f t="shared" si="14"/>
        <v>4677874</v>
      </c>
      <c r="H168" s="245"/>
      <c r="I168" s="250">
        <v>0</v>
      </c>
      <c r="J168" s="250"/>
      <c r="K168" s="251">
        <f t="shared" si="15"/>
        <v>0</v>
      </c>
      <c r="L168" s="50">
        <f t="shared" si="16"/>
        <v>0</v>
      </c>
      <c r="M168" s="50">
        <f t="shared" si="17"/>
        <v>0</v>
      </c>
      <c r="N168" s="50">
        <f t="shared" si="18"/>
        <v>0</v>
      </c>
    </row>
    <row r="169" spans="1:14" ht="12.75" customHeight="1" x14ac:dyDescent="0.3">
      <c r="A169" s="13">
        <v>20</v>
      </c>
      <c r="B169" s="40" t="s">
        <v>181</v>
      </c>
      <c r="C169" s="18"/>
      <c r="D169" s="19"/>
      <c r="E169" s="19"/>
      <c r="F169" s="19"/>
      <c r="G169" s="192">
        <f>+SUM(F170:F171)</f>
        <v>0</v>
      </c>
      <c r="H169" s="245">
        <f t="shared" si="19"/>
        <v>0</v>
      </c>
      <c r="I169" s="246"/>
      <c r="J169" s="247"/>
      <c r="K169" s="247"/>
      <c r="L169" s="178"/>
      <c r="M169" s="178"/>
      <c r="N169" s="179"/>
    </row>
    <row r="170" spans="1:14" ht="12.75" customHeight="1" x14ac:dyDescent="0.3">
      <c r="A170" s="106">
        <v>20.010000000000002</v>
      </c>
      <c r="B170" s="107" t="s">
        <v>182</v>
      </c>
      <c r="C170" s="120" t="s">
        <v>33</v>
      </c>
      <c r="D170" s="121">
        <v>0</v>
      </c>
      <c r="E170" s="183">
        <v>0</v>
      </c>
      <c r="F170" s="183">
        <f t="shared" si="14"/>
        <v>0</v>
      </c>
      <c r="H170" s="245"/>
      <c r="I170" s="250">
        <v>0</v>
      </c>
      <c r="J170" s="250"/>
      <c r="K170" s="251">
        <f t="shared" si="15"/>
        <v>0</v>
      </c>
      <c r="L170" s="50">
        <f t="shared" si="16"/>
        <v>0</v>
      </c>
      <c r="M170" s="50">
        <f t="shared" si="17"/>
        <v>0</v>
      </c>
      <c r="N170" s="50">
        <f t="shared" si="18"/>
        <v>0</v>
      </c>
    </row>
    <row r="171" spans="1:14" ht="12.75" customHeight="1" x14ac:dyDescent="0.3">
      <c r="A171" s="24">
        <v>20.02</v>
      </c>
      <c r="B171" s="25" t="s">
        <v>183</v>
      </c>
      <c r="C171" s="112" t="s">
        <v>33</v>
      </c>
      <c r="D171" s="27">
        <v>0</v>
      </c>
      <c r="E171" s="181">
        <v>0</v>
      </c>
      <c r="F171" s="181">
        <f t="shared" si="14"/>
        <v>0</v>
      </c>
      <c r="H171" s="245"/>
      <c r="I171" s="250">
        <v>0</v>
      </c>
      <c r="J171" s="250"/>
      <c r="K171" s="251">
        <f t="shared" si="15"/>
        <v>0</v>
      </c>
      <c r="L171" s="50">
        <f t="shared" si="16"/>
        <v>0</v>
      </c>
      <c r="M171" s="50">
        <f t="shared" si="17"/>
        <v>0</v>
      </c>
      <c r="N171" s="50">
        <f t="shared" si="18"/>
        <v>0</v>
      </c>
    </row>
    <row r="172" spans="1:14" ht="12.75" customHeight="1" x14ac:dyDescent="0.3">
      <c r="A172" s="13">
        <v>21</v>
      </c>
      <c r="B172" s="40" t="s">
        <v>184</v>
      </c>
      <c r="C172" s="18"/>
      <c r="D172" s="19"/>
      <c r="E172" s="19"/>
      <c r="F172" s="19"/>
      <c r="G172" s="192">
        <f>+SUM(F173)</f>
        <v>0</v>
      </c>
      <c r="H172" s="245">
        <f t="shared" si="19"/>
        <v>0</v>
      </c>
      <c r="I172" s="246"/>
      <c r="J172" s="247"/>
      <c r="K172" s="247"/>
      <c r="L172" s="178"/>
      <c r="M172" s="178"/>
      <c r="N172" s="179"/>
    </row>
    <row r="173" spans="1:14" ht="12.75" customHeight="1" x14ac:dyDescent="0.3">
      <c r="A173" s="149">
        <v>21.01</v>
      </c>
      <c r="B173" s="150" t="s">
        <v>185</v>
      </c>
      <c r="C173" s="151" t="s">
        <v>29</v>
      </c>
      <c r="D173" s="152">
        <v>1</v>
      </c>
      <c r="E173" s="184">
        <v>0</v>
      </c>
      <c r="F173" s="181">
        <f t="shared" si="14"/>
        <v>0</v>
      </c>
      <c r="G173" s="182"/>
      <c r="H173" s="245"/>
      <c r="I173" s="250">
        <v>0</v>
      </c>
      <c r="J173" s="250"/>
      <c r="K173" s="251">
        <f t="shared" si="15"/>
        <v>0</v>
      </c>
      <c r="L173" s="50">
        <f t="shared" si="16"/>
        <v>0</v>
      </c>
      <c r="M173" s="50">
        <f t="shared" si="17"/>
        <v>0</v>
      </c>
      <c r="N173" s="50">
        <f t="shared" si="18"/>
        <v>0</v>
      </c>
    </row>
    <row r="174" spans="1:14" ht="12.75" customHeight="1" x14ac:dyDescent="0.3">
      <c r="A174" s="13">
        <v>22</v>
      </c>
      <c r="B174" s="40" t="s">
        <v>186</v>
      </c>
      <c r="C174" s="18"/>
      <c r="D174" s="19"/>
      <c r="E174" s="19"/>
      <c r="F174" s="19"/>
      <c r="G174" s="192">
        <f>+SUM(F175:F176)</f>
        <v>2934560</v>
      </c>
      <c r="H174" s="245">
        <f t="shared" si="19"/>
        <v>3.4734882002910904E-3</v>
      </c>
      <c r="I174" s="246"/>
      <c r="J174" s="247"/>
      <c r="K174" s="247"/>
      <c r="L174" s="178"/>
      <c r="M174" s="178"/>
      <c r="N174" s="179"/>
    </row>
    <row r="175" spans="1:14" ht="12.75" customHeight="1" x14ac:dyDescent="0.3">
      <c r="A175" s="115">
        <v>22.01</v>
      </c>
      <c r="B175" s="131" t="s">
        <v>187</v>
      </c>
      <c r="C175" s="132" t="s">
        <v>33</v>
      </c>
      <c r="D175" s="153">
        <v>8</v>
      </c>
      <c r="E175" s="184">
        <v>91705</v>
      </c>
      <c r="F175" s="183">
        <f t="shared" si="14"/>
        <v>733640</v>
      </c>
      <c r="H175" s="245"/>
      <c r="I175" s="250">
        <v>0</v>
      </c>
      <c r="J175" s="250"/>
      <c r="K175" s="251">
        <f t="shared" si="15"/>
        <v>0</v>
      </c>
      <c r="L175" s="50">
        <f t="shared" si="16"/>
        <v>0</v>
      </c>
      <c r="M175" s="50">
        <f t="shared" si="17"/>
        <v>0</v>
      </c>
      <c r="N175" s="50">
        <f t="shared" si="18"/>
        <v>0</v>
      </c>
    </row>
    <row r="176" spans="1:14" ht="12.75" customHeight="1" x14ac:dyDescent="0.3">
      <c r="A176" s="100">
        <v>22.02</v>
      </c>
      <c r="B176" s="98" t="s">
        <v>188</v>
      </c>
      <c r="C176" s="133" t="s">
        <v>33</v>
      </c>
      <c r="D176" s="153">
        <v>24</v>
      </c>
      <c r="E176" s="184">
        <v>91705</v>
      </c>
      <c r="F176" s="183">
        <f t="shared" si="14"/>
        <v>2200920</v>
      </c>
      <c r="H176" s="245"/>
      <c r="I176" s="250">
        <v>0</v>
      </c>
      <c r="J176" s="250"/>
      <c r="K176" s="251">
        <f t="shared" si="15"/>
        <v>0</v>
      </c>
      <c r="L176" s="50">
        <f t="shared" si="16"/>
        <v>0</v>
      </c>
      <c r="M176" s="50">
        <f t="shared" si="17"/>
        <v>0</v>
      </c>
      <c r="N176" s="50">
        <f t="shared" si="18"/>
        <v>0</v>
      </c>
    </row>
    <row r="177" spans="1:14" ht="12.75" customHeight="1" x14ac:dyDescent="0.3">
      <c r="A177" s="13">
        <v>23</v>
      </c>
      <c r="B177" s="40" t="s">
        <v>189</v>
      </c>
      <c r="C177" s="18"/>
      <c r="D177" s="19"/>
      <c r="E177" s="19"/>
      <c r="F177" s="19"/>
      <c r="G177" s="192">
        <f>+SUM(F178:F181)</f>
        <v>19050437</v>
      </c>
      <c r="H177" s="245">
        <f t="shared" si="19"/>
        <v>2.2549025451818604E-2</v>
      </c>
      <c r="I177" s="246"/>
      <c r="J177" s="247"/>
      <c r="K177" s="247"/>
      <c r="L177" s="178"/>
      <c r="M177" s="178"/>
      <c r="N177" s="179"/>
    </row>
    <row r="178" spans="1:14" ht="12.75" customHeight="1" x14ac:dyDescent="0.3">
      <c r="A178" s="115">
        <v>23.01</v>
      </c>
      <c r="B178" s="21" t="s">
        <v>190</v>
      </c>
      <c r="C178" s="93" t="s">
        <v>29</v>
      </c>
      <c r="D178" s="94">
        <v>6</v>
      </c>
      <c r="E178" s="180">
        <v>259063</v>
      </c>
      <c r="F178" s="180">
        <f t="shared" si="14"/>
        <v>1554378</v>
      </c>
      <c r="G178" s="182"/>
      <c r="H178" s="245"/>
      <c r="I178" s="250">
        <v>0</v>
      </c>
      <c r="J178" s="250"/>
      <c r="K178" s="251">
        <f t="shared" si="15"/>
        <v>0</v>
      </c>
      <c r="L178" s="50">
        <f t="shared" si="16"/>
        <v>0</v>
      </c>
      <c r="M178" s="50">
        <f t="shared" si="17"/>
        <v>0</v>
      </c>
      <c r="N178" s="50">
        <f t="shared" si="18"/>
        <v>0</v>
      </c>
    </row>
    <row r="179" spans="1:14" ht="12.75" customHeight="1" x14ac:dyDescent="0.3">
      <c r="A179" s="100">
        <v>23.02</v>
      </c>
      <c r="B179" s="25" t="s">
        <v>191</v>
      </c>
      <c r="C179" s="30" t="s">
        <v>29</v>
      </c>
      <c r="D179" s="31">
        <v>1</v>
      </c>
      <c r="E179" s="181">
        <v>793947</v>
      </c>
      <c r="F179" s="181">
        <f t="shared" si="14"/>
        <v>793947</v>
      </c>
      <c r="H179" s="245"/>
      <c r="I179" s="250">
        <v>0</v>
      </c>
      <c r="J179" s="250"/>
      <c r="K179" s="251">
        <f t="shared" si="15"/>
        <v>0</v>
      </c>
      <c r="L179" s="50">
        <f t="shared" si="16"/>
        <v>0</v>
      </c>
      <c r="M179" s="50">
        <f t="shared" si="17"/>
        <v>0</v>
      </c>
      <c r="N179" s="50">
        <f t="shared" si="18"/>
        <v>0</v>
      </c>
    </row>
    <row r="180" spans="1:14" ht="12.75" customHeight="1" x14ac:dyDescent="0.3">
      <c r="A180" s="100">
        <v>23.03</v>
      </c>
      <c r="B180" s="25" t="s">
        <v>192</v>
      </c>
      <c r="C180" s="30" t="s">
        <v>19</v>
      </c>
      <c r="D180" s="31">
        <v>26</v>
      </c>
      <c r="E180" s="181">
        <v>27076</v>
      </c>
      <c r="F180" s="181">
        <f t="shared" si="14"/>
        <v>703976</v>
      </c>
      <c r="H180" s="245"/>
      <c r="I180" s="250">
        <v>0</v>
      </c>
      <c r="J180" s="250"/>
      <c r="K180" s="251">
        <f t="shared" si="15"/>
        <v>0</v>
      </c>
      <c r="L180" s="50">
        <f t="shared" si="16"/>
        <v>0</v>
      </c>
      <c r="M180" s="50">
        <f t="shared" si="17"/>
        <v>0</v>
      </c>
      <c r="N180" s="50">
        <f t="shared" si="18"/>
        <v>0</v>
      </c>
    </row>
    <row r="181" spans="1:14" ht="12.75" customHeight="1" x14ac:dyDescent="0.3">
      <c r="A181" s="130">
        <v>23.04</v>
      </c>
      <c r="B181" s="154" t="s">
        <v>193</v>
      </c>
      <c r="C181" s="155" t="s">
        <v>19</v>
      </c>
      <c r="D181" s="102">
        <v>231</v>
      </c>
      <c r="E181" s="189">
        <v>69256</v>
      </c>
      <c r="F181" s="189">
        <f t="shared" si="14"/>
        <v>15998136</v>
      </c>
      <c r="H181" s="245"/>
      <c r="I181" s="250">
        <v>0</v>
      </c>
      <c r="J181" s="250"/>
      <c r="K181" s="251">
        <f t="shared" si="15"/>
        <v>0</v>
      </c>
      <c r="L181" s="50">
        <f t="shared" si="16"/>
        <v>0</v>
      </c>
      <c r="M181" s="50">
        <f t="shared" si="17"/>
        <v>0</v>
      </c>
      <c r="N181" s="50">
        <f t="shared" si="18"/>
        <v>0</v>
      </c>
    </row>
    <row r="182" spans="1:14" ht="12.75" customHeight="1" x14ac:dyDescent="0.3">
      <c r="A182" s="13">
        <v>24</v>
      </c>
      <c r="B182" s="40" t="s">
        <v>194</v>
      </c>
      <c r="C182" s="18"/>
      <c r="D182" s="19"/>
      <c r="E182" s="19"/>
      <c r="F182" s="19"/>
      <c r="G182" s="193">
        <f>+SUM(F183:F191)</f>
        <v>76903896</v>
      </c>
      <c r="H182" s="245">
        <f t="shared" si="19"/>
        <v>9.1027198391722505E-2</v>
      </c>
      <c r="I182" s="246"/>
      <c r="J182" s="247"/>
      <c r="K182" s="247"/>
      <c r="L182" s="178"/>
      <c r="M182" s="178"/>
      <c r="N182" s="179"/>
    </row>
    <row r="183" spans="1:14" ht="12.75" customHeight="1" x14ac:dyDescent="0.3">
      <c r="A183" s="20">
        <v>24.01</v>
      </c>
      <c r="B183" s="156" t="s">
        <v>195</v>
      </c>
      <c r="C183" s="22" t="s">
        <v>196</v>
      </c>
      <c r="D183" s="94">
        <v>17</v>
      </c>
      <c r="E183" s="181">
        <v>973327</v>
      </c>
      <c r="F183" s="181">
        <f t="shared" si="14"/>
        <v>16546559</v>
      </c>
      <c r="H183" s="245"/>
      <c r="I183" s="250">
        <v>0.25</v>
      </c>
      <c r="J183" s="250">
        <v>0.05</v>
      </c>
      <c r="K183" s="251">
        <f t="shared" si="15"/>
        <v>0.3</v>
      </c>
      <c r="L183" s="50">
        <f t="shared" si="16"/>
        <v>4136639.75</v>
      </c>
      <c r="M183" s="50">
        <f t="shared" si="17"/>
        <v>827327.95000000007</v>
      </c>
      <c r="N183" s="50">
        <f t="shared" si="18"/>
        <v>4963967.7</v>
      </c>
    </row>
    <row r="184" spans="1:14" ht="12.75" customHeight="1" x14ac:dyDescent="0.3">
      <c r="A184" s="24">
        <v>24.02</v>
      </c>
      <c r="B184" s="157" t="s">
        <v>197</v>
      </c>
      <c r="C184" s="26" t="s">
        <v>196</v>
      </c>
      <c r="D184" s="31">
        <v>4</v>
      </c>
      <c r="E184" s="181">
        <v>2005316</v>
      </c>
      <c r="F184" s="181">
        <f t="shared" si="14"/>
        <v>8021264</v>
      </c>
      <c r="H184" s="245"/>
      <c r="I184" s="250">
        <v>1</v>
      </c>
      <c r="J184" s="250"/>
      <c r="K184" s="251">
        <f t="shared" si="15"/>
        <v>1</v>
      </c>
      <c r="L184" s="50">
        <f t="shared" si="16"/>
        <v>8021264</v>
      </c>
      <c r="M184" s="50">
        <f t="shared" si="17"/>
        <v>0</v>
      </c>
      <c r="N184" s="50">
        <f t="shared" si="18"/>
        <v>8021264</v>
      </c>
    </row>
    <row r="185" spans="1:14" ht="12.75" customHeight="1" x14ac:dyDescent="0.3">
      <c r="A185" s="24">
        <v>24.03</v>
      </c>
      <c r="B185" s="158" t="s">
        <v>198</v>
      </c>
      <c r="C185" s="26" t="s">
        <v>196</v>
      </c>
      <c r="D185" s="31">
        <v>17</v>
      </c>
      <c r="E185" s="181">
        <v>199910</v>
      </c>
      <c r="F185" s="181">
        <f t="shared" si="14"/>
        <v>3398470</v>
      </c>
      <c r="H185" s="245"/>
      <c r="I185" s="250">
        <v>0.25</v>
      </c>
      <c r="J185" s="250">
        <v>0.05</v>
      </c>
      <c r="K185" s="251">
        <f t="shared" si="15"/>
        <v>0.3</v>
      </c>
      <c r="L185" s="50">
        <f t="shared" si="16"/>
        <v>849617.5</v>
      </c>
      <c r="M185" s="50">
        <f t="shared" si="17"/>
        <v>169923.5</v>
      </c>
      <c r="N185" s="50">
        <f t="shared" si="18"/>
        <v>1019541</v>
      </c>
    </row>
    <row r="186" spans="1:14" ht="12.75" customHeight="1" x14ac:dyDescent="0.3">
      <c r="A186" s="24">
        <v>24.04</v>
      </c>
      <c r="B186" s="158" t="s">
        <v>199</v>
      </c>
      <c r="C186" s="26" t="s">
        <v>29</v>
      </c>
      <c r="D186" s="27">
        <v>1</v>
      </c>
      <c r="E186" s="181">
        <v>6284456</v>
      </c>
      <c r="F186" s="181">
        <f t="shared" si="14"/>
        <v>6284456</v>
      </c>
      <c r="H186" s="245"/>
      <c r="I186" s="250">
        <v>0</v>
      </c>
      <c r="J186" s="250"/>
      <c r="K186" s="251">
        <f t="shared" si="15"/>
        <v>0</v>
      </c>
      <c r="L186" s="50">
        <f t="shared" si="16"/>
        <v>0</v>
      </c>
      <c r="M186" s="50">
        <f t="shared" si="17"/>
        <v>0</v>
      </c>
      <c r="N186" s="50">
        <f t="shared" si="18"/>
        <v>0</v>
      </c>
    </row>
    <row r="187" spans="1:14" ht="12.75" customHeight="1" x14ac:dyDescent="0.3">
      <c r="A187" s="24">
        <v>24.05</v>
      </c>
      <c r="B187" s="158" t="s">
        <v>200</v>
      </c>
      <c r="C187" s="159" t="s">
        <v>196</v>
      </c>
      <c r="D187" s="31">
        <v>17</v>
      </c>
      <c r="E187" s="181">
        <v>873895</v>
      </c>
      <c r="F187" s="181">
        <f t="shared" si="14"/>
        <v>14856215</v>
      </c>
      <c r="G187" s="194"/>
      <c r="H187" s="245"/>
      <c r="I187" s="250">
        <v>0.15000000000000002</v>
      </c>
      <c r="J187" s="250">
        <v>0.05</v>
      </c>
      <c r="K187" s="251">
        <f t="shared" si="15"/>
        <v>0.2</v>
      </c>
      <c r="L187" s="50">
        <f t="shared" si="16"/>
        <v>2228432.2500000005</v>
      </c>
      <c r="M187" s="50">
        <f t="shared" si="17"/>
        <v>742810.75</v>
      </c>
      <c r="N187" s="50">
        <f t="shared" si="18"/>
        <v>2971243</v>
      </c>
    </row>
    <row r="188" spans="1:14" ht="12.75" customHeight="1" x14ac:dyDescent="0.3">
      <c r="A188" s="24">
        <v>24.06</v>
      </c>
      <c r="B188" s="158" t="s">
        <v>201</v>
      </c>
      <c r="C188" s="159" t="s">
        <v>196</v>
      </c>
      <c r="D188" s="31">
        <v>17</v>
      </c>
      <c r="E188" s="181">
        <v>577178</v>
      </c>
      <c r="F188" s="181">
        <f t="shared" si="14"/>
        <v>9812026</v>
      </c>
      <c r="G188" s="194"/>
      <c r="H188" s="245"/>
      <c r="I188" s="250">
        <v>0.15000000000000002</v>
      </c>
      <c r="J188" s="250">
        <v>0.05</v>
      </c>
      <c r="K188" s="251">
        <f t="shared" si="15"/>
        <v>0.2</v>
      </c>
      <c r="L188" s="50">
        <f t="shared" si="16"/>
        <v>1471803.9000000001</v>
      </c>
      <c r="M188" s="50">
        <f t="shared" si="17"/>
        <v>490601.30000000005</v>
      </c>
      <c r="N188" s="50">
        <f t="shared" si="18"/>
        <v>1962405.2000000002</v>
      </c>
    </row>
    <row r="189" spans="1:14" ht="12.75" customHeight="1" x14ac:dyDescent="0.3">
      <c r="A189" s="24">
        <v>24.07</v>
      </c>
      <c r="B189" s="158" t="s">
        <v>202</v>
      </c>
      <c r="C189" s="159" t="s">
        <v>29</v>
      </c>
      <c r="D189" s="27">
        <v>1</v>
      </c>
      <c r="E189" s="181">
        <v>5277814</v>
      </c>
      <c r="F189" s="181">
        <f t="shared" si="14"/>
        <v>5277814</v>
      </c>
      <c r="G189" s="194"/>
      <c r="H189" s="245"/>
      <c r="I189" s="250">
        <v>0</v>
      </c>
      <c r="J189" s="250"/>
      <c r="K189" s="251">
        <f t="shared" si="15"/>
        <v>0</v>
      </c>
      <c r="L189" s="50">
        <f t="shared" si="16"/>
        <v>0</v>
      </c>
      <c r="M189" s="50">
        <f t="shared" si="17"/>
        <v>0</v>
      </c>
      <c r="N189" s="50">
        <f t="shared" si="18"/>
        <v>0</v>
      </c>
    </row>
    <row r="190" spans="1:14" ht="12.75" customHeight="1" x14ac:dyDescent="0.3">
      <c r="A190" s="24">
        <v>24.08</v>
      </c>
      <c r="B190" s="158" t="s">
        <v>203</v>
      </c>
      <c r="C190" s="159" t="s">
        <v>196</v>
      </c>
      <c r="D190" s="31">
        <v>17</v>
      </c>
      <c r="E190" s="181">
        <v>399819</v>
      </c>
      <c r="F190" s="181">
        <f t="shared" si="14"/>
        <v>6796923</v>
      </c>
      <c r="G190" s="194"/>
      <c r="H190" s="245"/>
      <c r="I190" s="250">
        <v>0.2</v>
      </c>
      <c r="J190" s="250">
        <v>0.05</v>
      </c>
      <c r="K190" s="251">
        <f t="shared" si="15"/>
        <v>0.25</v>
      </c>
      <c r="L190" s="50">
        <f t="shared" si="16"/>
        <v>1359384.6</v>
      </c>
      <c r="M190" s="50">
        <f t="shared" si="17"/>
        <v>339846.15</v>
      </c>
      <c r="N190" s="50">
        <f t="shared" si="18"/>
        <v>1699230.75</v>
      </c>
    </row>
    <row r="191" spans="1:14" ht="12.75" customHeight="1" x14ac:dyDescent="0.3">
      <c r="A191" s="24">
        <v>24.09</v>
      </c>
      <c r="B191" s="160" t="s">
        <v>204</v>
      </c>
      <c r="C191" s="161" t="s">
        <v>196</v>
      </c>
      <c r="D191" s="31">
        <v>17</v>
      </c>
      <c r="E191" s="189">
        <v>347657</v>
      </c>
      <c r="F191" s="189">
        <f t="shared" si="14"/>
        <v>5910169</v>
      </c>
      <c r="G191" s="194"/>
      <c r="H191" s="245"/>
      <c r="I191" s="250">
        <v>0.13</v>
      </c>
      <c r="J191" s="250">
        <v>0.05</v>
      </c>
      <c r="K191" s="251">
        <f t="shared" si="15"/>
        <v>0.18</v>
      </c>
      <c r="L191" s="50">
        <f t="shared" si="16"/>
        <v>768321.97</v>
      </c>
      <c r="M191" s="50">
        <f t="shared" si="17"/>
        <v>295508.45</v>
      </c>
      <c r="N191" s="50">
        <f t="shared" si="18"/>
        <v>1063830.42</v>
      </c>
    </row>
    <row r="192" spans="1:14" ht="12.75" customHeight="1" x14ac:dyDescent="0.3">
      <c r="A192" s="13">
        <v>25</v>
      </c>
      <c r="B192" s="40" t="s">
        <v>205</v>
      </c>
      <c r="C192" s="18"/>
      <c r="D192" s="19"/>
      <c r="E192" s="19"/>
      <c r="F192" s="19"/>
      <c r="G192" s="193">
        <f>+SUM(F193:F194)</f>
        <v>110386593</v>
      </c>
      <c r="H192" s="245">
        <f t="shared" si="19"/>
        <v>0.13065894998086086</v>
      </c>
      <c r="I192" s="246"/>
      <c r="J192" s="247"/>
      <c r="K192" s="247"/>
      <c r="L192" s="178"/>
      <c r="M192" s="178"/>
      <c r="N192" s="179"/>
    </row>
    <row r="193" spans="1:14" ht="12.75" customHeight="1" x14ac:dyDescent="0.3">
      <c r="A193" s="20">
        <v>25.01</v>
      </c>
      <c r="B193" s="21" t="s">
        <v>206</v>
      </c>
      <c r="C193" s="93" t="s">
        <v>196</v>
      </c>
      <c r="D193" s="94">
        <v>17</v>
      </c>
      <c r="E193" s="184">
        <v>5826965</v>
      </c>
      <c r="F193" s="183">
        <f t="shared" si="14"/>
        <v>99058405</v>
      </c>
      <c r="G193" s="195"/>
      <c r="H193" s="245"/>
      <c r="I193" s="250">
        <v>0.25</v>
      </c>
      <c r="J193" s="250">
        <v>0.05</v>
      </c>
      <c r="K193" s="251">
        <f t="shared" si="15"/>
        <v>0.3</v>
      </c>
      <c r="L193" s="50">
        <f t="shared" si="16"/>
        <v>24764601.25</v>
      </c>
      <c r="M193" s="50">
        <f t="shared" si="17"/>
        <v>4952920.25</v>
      </c>
      <c r="N193" s="50">
        <f t="shared" si="18"/>
        <v>29717521.5</v>
      </c>
    </row>
    <row r="194" spans="1:14" ht="12.75" customHeight="1" x14ac:dyDescent="0.3">
      <c r="A194" s="33">
        <v>25.02</v>
      </c>
      <c r="B194" s="38" t="s">
        <v>207</v>
      </c>
      <c r="C194" s="34" t="s">
        <v>196</v>
      </c>
      <c r="D194" s="35">
        <v>17</v>
      </c>
      <c r="E194" s="184">
        <v>666364</v>
      </c>
      <c r="F194" s="181">
        <f t="shared" si="14"/>
        <v>11328188</v>
      </c>
      <c r="G194" s="196"/>
      <c r="H194" s="245"/>
      <c r="I194" s="255">
        <v>0.25</v>
      </c>
      <c r="J194" s="255">
        <v>0.05</v>
      </c>
      <c r="K194" s="256">
        <f t="shared" si="15"/>
        <v>0.3</v>
      </c>
      <c r="L194" s="257">
        <f t="shared" si="16"/>
        <v>2832047</v>
      </c>
      <c r="M194" s="257">
        <f t="shared" si="17"/>
        <v>566409.4</v>
      </c>
      <c r="N194" s="257">
        <f t="shared" si="18"/>
        <v>3398456.4</v>
      </c>
    </row>
    <row r="195" spans="1:14" ht="12.75" customHeight="1" x14ac:dyDescent="0.3">
      <c r="A195" s="13"/>
      <c r="B195" s="40" t="s">
        <v>208</v>
      </c>
      <c r="C195" s="18"/>
      <c r="D195" s="19"/>
      <c r="E195" s="19"/>
      <c r="F195" s="197">
        <f>SUM(F9:F194)</f>
        <v>844845248</v>
      </c>
      <c r="G195" s="192">
        <f>SUM(G9:G194)</f>
        <v>844845248</v>
      </c>
      <c r="H195" s="245">
        <f>+SUM(H9:H194)</f>
        <v>0.99999999999999978</v>
      </c>
      <c r="I195" s="258"/>
      <c r="J195" s="259"/>
      <c r="K195" s="259"/>
      <c r="L195" s="260">
        <f>+SUM(L10:L194)</f>
        <v>48653815.739999995</v>
      </c>
      <c r="M195" s="260">
        <f>+SUM(M10:M194)</f>
        <v>11306212.750000002</v>
      </c>
      <c r="N195" s="261">
        <f>+SUM(N10:N194)</f>
        <v>59960028.489999995</v>
      </c>
    </row>
    <row r="196" spans="1:14" s="41" customFormat="1" ht="13" x14ac:dyDescent="0.3">
      <c r="A196" s="43"/>
      <c r="B196" s="44"/>
      <c r="C196" s="45"/>
      <c r="D196" s="46"/>
      <c r="E196" s="198"/>
      <c r="F196" s="198"/>
      <c r="G196" s="199"/>
      <c r="H196" s="177"/>
      <c r="I196" s="200"/>
      <c r="J196" s="200"/>
      <c r="K196" s="200"/>
      <c r="L196" s="200"/>
      <c r="M196" s="254">
        <f>+M195/G195</f>
        <v>1.3382584297852383E-2</v>
      </c>
      <c r="N196" s="254">
        <f>+N195/G195</f>
        <v>7.0971611229326576E-2</v>
      </c>
    </row>
    <row r="197" spans="1:14" s="41" customFormat="1" ht="13" x14ac:dyDescent="0.3">
      <c r="A197" s="42"/>
      <c r="B197" s="88"/>
      <c r="C197" s="89"/>
      <c r="D197" s="9"/>
      <c r="E197" s="201"/>
      <c r="F197" s="201"/>
      <c r="G197" s="166"/>
      <c r="H197" s="177"/>
      <c r="I197" s="200"/>
      <c r="J197" s="200"/>
      <c r="K197" s="200"/>
      <c r="L197" s="200"/>
      <c r="M197" s="51"/>
      <c r="N197" s="51"/>
    </row>
    <row r="198" spans="1:14" ht="12.75" customHeight="1" x14ac:dyDescent="0.3">
      <c r="A198" s="39"/>
      <c r="B198" s="47"/>
      <c r="D198" s="48"/>
      <c r="E198" s="9"/>
      <c r="F198" s="9"/>
      <c r="G198" s="202"/>
      <c r="I198" s="200"/>
      <c r="J198" s="200"/>
      <c r="K198" s="200"/>
      <c r="L198" s="200"/>
      <c r="M198" s="51"/>
      <c r="N198" s="51"/>
    </row>
    <row r="199" spans="1:14" ht="12.75" customHeight="1" x14ac:dyDescent="0.3">
      <c r="A199" s="52"/>
      <c r="B199" s="53" t="s">
        <v>209</v>
      </c>
      <c r="C199" s="54"/>
      <c r="D199" s="55"/>
      <c r="E199" s="203"/>
      <c r="F199" s="204"/>
      <c r="G199" s="205"/>
      <c r="H199" s="205"/>
      <c r="I199" s="204"/>
      <c r="J199" s="206"/>
      <c r="K199" s="207" t="s">
        <v>210</v>
      </c>
      <c r="L199" s="208">
        <f>+J5</f>
        <v>6</v>
      </c>
      <c r="M199" s="209"/>
      <c r="N199" s="57">
        <f>+N5</f>
        <v>45900</v>
      </c>
    </row>
    <row r="200" spans="1:14" ht="12.75" customHeight="1" x14ac:dyDescent="0.3">
      <c r="A200" s="58"/>
      <c r="B200" s="53" t="s">
        <v>9</v>
      </c>
      <c r="C200" s="56"/>
      <c r="D200" s="59"/>
      <c r="E200" s="211"/>
      <c r="F200" s="205"/>
      <c r="G200" s="205"/>
      <c r="H200" s="205"/>
      <c r="I200" s="205"/>
      <c r="J200" s="209"/>
      <c r="K200" s="205"/>
      <c r="L200" s="205"/>
      <c r="M200" s="209" t="s">
        <v>211</v>
      </c>
      <c r="N200" s="210" t="s">
        <v>212</v>
      </c>
    </row>
    <row r="201" spans="1:14" ht="12.75" customHeight="1" x14ac:dyDescent="0.3">
      <c r="A201" s="60" t="s">
        <v>213</v>
      </c>
      <c r="B201" s="61" t="s">
        <v>214</v>
      </c>
      <c r="C201" s="60"/>
      <c r="D201" s="62"/>
      <c r="E201" s="212"/>
      <c r="F201" s="213"/>
      <c r="G201" s="214"/>
      <c r="H201" s="214"/>
      <c r="I201" s="213"/>
      <c r="J201" s="215"/>
      <c r="K201" s="213"/>
      <c r="L201" s="213"/>
      <c r="M201" s="213"/>
      <c r="N201" s="63">
        <f>+G195</f>
        <v>844845248</v>
      </c>
    </row>
    <row r="202" spans="1:14" ht="12.75" customHeight="1" x14ac:dyDescent="0.3">
      <c r="A202" s="64" t="s">
        <v>215</v>
      </c>
      <c r="B202" s="65" t="s">
        <v>216</v>
      </c>
      <c r="C202" s="66"/>
      <c r="D202" s="67"/>
      <c r="E202" s="216"/>
      <c r="F202" s="217"/>
      <c r="G202" s="218"/>
      <c r="H202" s="218"/>
      <c r="I202" s="217"/>
      <c r="J202" s="219"/>
      <c r="K202" s="217"/>
      <c r="L202" s="217"/>
      <c r="M202" s="236">
        <v>0.1</v>
      </c>
      <c r="N202" s="220">
        <f>+M202*N201</f>
        <v>84484524.800000012</v>
      </c>
    </row>
    <row r="203" spans="1:14" ht="12.75" customHeight="1" x14ac:dyDescent="0.3">
      <c r="A203" s="68" t="s">
        <v>217</v>
      </c>
      <c r="B203" s="69" t="s">
        <v>218</v>
      </c>
      <c r="C203" s="70"/>
      <c r="D203" s="71"/>
      <c r="E203" s="221"/>
      <c r="F203" s="222"/>
      <c r="G203" s="223"/>
      <c r="H203" s="223"/>
      <c r="I203" s="222"/>
      <c r="J203" s="224"/>
      <c r="K203" s="222"/>
      <c r="L203" s="222"/>
      <c r="M203" s="237"/>
      <c r="N203" s="225">
        <f>+M195</f>
        <v>11306212.750000002</v>
      </c>
    </row>
    <row r="204" spans="1:14" ht="12.75" customHeight="1" x14ac:dyDescent="0.3">
      <c r="A204" s="264" t="s">
        <v>219</v>
      </c>
      <c r="B204" s="265" t="s">
        <v>220</v>
      </c>
      <c r="C204" s="266"/>
      <c r="D204" s="267"/>
      <c r="E204" s="268"/>
      <c r="F204" s="269"/>
      <c r="G204" s="270"/>
      <c r="H204" s="270"/>
      <c r="I204" s="269"/>
      <c r="J204" s="271"/>
      <c r="K204" s="269"/>
      <c r="L204" s="269"/>
      <c r="M204" s="272">
        <f>-M202</f>
        <v>-0.1</v>
      </c>
      <c r="N204" s="273">
        <f>+M204*N203</f>
        <v>-1130621.2750000001</v>
      </c>
    </row>
    <row r="205" spans="1:14" ht="12.75" customHeight="1" x14ac:dyDescent="0.3">
      <c r="A205" s="72" t="s">
        <v>221</v>
      </c>
      <c r="B205" s="73" t="s">
        <v>222</v>
      </c>
      <c r="C205" s="74"/>
      <c r="D205" s="75"/>
      <c r="E205" s="226"/>
      <c r="F205" s="223"/>
      <c r="G205" s="223"/>
      <c r="H205" s="223"/>
      <c r="I205" s="223"/>
      <c r="J205" s="227"/>
      <c r="K205" s="223"/>
      <c r="L205" s="223"/>
      <c r="M205" s="239"/>
      <c r="N205" s="242">
        <f>+N203+N204</f>
        <v>10175591.475000001</v>
      </c>
    </row>
  </sheetData>
  <mergeCells count="2">
    <mergeCell ref="I7:K7"/>
    <mergeCell ref="L7:N7"/>
  </mergeCells>
  <conditionalFormatting sqref="C3:C197">
    <cfRule type="cellIs" dxfId="45" priority="2" operator="equal">
      <formula>"x"</formula>
    </cfRule>
  </conditionalFormatting>
  <conditionalFormatting sqref="K10:K23 K25:K31 K33 K35:K40 K42:K49 K51:K53 K55:K58 K60:K70 K72:K74 K76:K79 K81:K87 K89:K100 K102 K104:K107 K109:K141 K144:K146 K148:K150 K152:K156 K158 K160:K161 K163 K165:K168 K170:K171 K173 K175:K176 K178:K181 K183:K191 K193:K194">
    <cfRule type="cellIs" dxfId="44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99301-27C1-4FC1-B3F4-E54AD4F78C24}">
  <dimension ref="A1:S205"/>
  <sheetViews>
    <sheetView topLeftCell="A193" zoomScaleNormal="100" workbookViewId="0">
      <selection activeCell="J109" sqref="J109:J194"/>
    </sheetView>
  </sheetViews>
  <sheetFormatPr defaultColWidth="11.54296875" defaultRowHeight="12.75" customHeight="1" x14ac:dyDescent="0.3"/>
  <cols>
    <col min="1" max="1" width="7" style="1" bestFit="1" customWidth="1"/>
    <col min="2" max="2" width="56.36328125" style="2" customWidth="1"/>
    <col min="3" max="3" width="4.08984375" style="3" bestFit="1" customWidth="1"/>
    <col min="4" max="4" width="7" style="4" bestFit="1" customWidth="1"/>
    <col min="5" max="5" width="14.36328125" style="86" bestFit="1" customWidth="1"/>
    <col min="6" max="6" width="15.6328125" style="86" bestFit="1" customWidth="1"/>
    <col min="7" max="7" width="14.6328125" style="87" bestFit="1" customWidth="1"/>
    <col min="8" max="8" width="8.54296875" style="92" bestFit="1" customWidth="1"/>
    <col min="9" max="9" width="14" style="92" bestFit="1" customWidth="1"/>
    <col min="10" max="10" width="12.08984375" style="92" customWidth="1"/>
    <col min="11" max="13" width="11.36328125" style="92" bestFit="1" customWidth="1"/>
    <col min="14" max="14" width="13.6328125" style="92" bestFit="1" customWidth="1"/>
    <col min="15" max="15" width="12.08984375" style="5" customWidth="1"/>
    <col min="16" max="16384" width="11.54296875" style="5"/>
  </cols>
  <sheetData>
    <row r="1" spans="1:14" ht="12.75" customHeight="1" x14ac:dyDescent="0.3">
      <c r="F1" s="162" t="s">
        <v>0</v>
      </c>
      <c r="G1" s="162" t="s">
        <v>1</v>
      </c>
    </row>
    <row r="2" spans="1:14" ht="13" x14ac:dyDescent="0.3">
      <c r="F2" s="163">
        <v>1066.5</v>
      </c>
      <c r="G2" s="163">
        <v>1170</v>
      </c>
    </row>
    <row r="3" spans="1:14" s="10" customFormat="1" ht="13" x14ac:dyDescent="0.25">
      <c r="A3" s="6"/>
      <c r="B3" s="7"/>
      <c r="C3" s="8"/>
      <c r="D3" s="9"/>
      <c r="E3" s="9"/>
      <c r="F3" s="9"/>
      <c r="G3" s="164"/>
      <c r="H3" s="165"/>
      <c r="I3" s="165"/>
      <c r="J3" s="165"/>
      <c r="K3" s="165"/>
      <c r="L3" s="165"/>
      <c r="M3" s="165"/>
      <c r="N3" s="165"/>
    </row>
    <row r="4" spans="1:14" s="10" customFormat="1" ht="13" x14ac:dyDescent="0.25">
      <c r="A4" s="6"/>
      <c r="B4" s="7"/>
      <c r="C4" s="8"/>
      <c r="D4" s="9"/>
      <c r="E4" s="9"/>
      <c r="F4" s="286">
        <v>45667</v>
      </c>
      <c r="G4" s="164"/>
      <c r="H4" s="165"/>
      <c r="I4" s="165"/>
      <c r="J4" s="165"/>
      <c r="K4" s="165"/>
      <c r="L4" s="165"/>
      <c r="M4" s="165"/>
      <c r="N4" s="165"/>
    </row>
    <row r="5" spans="1:14" s="10" customFormat="1" ht="13" x14ac:dyDescent="0.3">
      <c r="A5" s="6"/>
      <c r="B5" s="90" t="s">
        <v>2</v>
      </c>
      <c r="C5" s="8"/>
      <c r="D5" s="9"/>
      <c r="E5" s="167"/>
      <c r="F5" s="167"/>
      <c r="G5" s="164"/>
      <c r="H5" s="165"/>
      <c r="I5" s="168" t="s">
        <v>3</v>
      </c>
      <c r="J5" s="169">
        <v>7</v>
      </c>
      <c r="K5" s="170"/>
      <c r="L5" s="170"/>
      <c r="M5" s="171"/>
      <c r="N5" s="49">
        <v>45930</v>
      </c>
    </row>
    <row r="6" spans="1:14" s="10" customFormat="1" ht="13" x14ac:dyDescent="0.25">
      <c r="A6" s="6"/>
      <c r="B6" s="90" t="s">
        <v>4</v>
      </c>
      <c r="C6" s="8"/>
      <c r="D6" s="9"/>
      <c r="E6" s="172"/>
      <c r="F6" s="172"/>
      <c r="G6" s="164"/>
      <c r="H6" s="165"/>
      <c r="I6" s="165"/>
      <c r="J6" s="165"/>
      <c r="K6" s="165"/>
      <c r="L6" s="165"/>
      <c r="M6" s="165"/>
      <c r="N6" s="165"/>
    </row>
    <row r="7" spans="1:14" s="10" customFormat="1" ht="13" x14ac:dyDescent="0.25">
      <c r="A7" s="6"/>
      <c r="B7" s="91" t="s">
        <v>5</v>
      </c>
      <c r="C7" s="11"/>
      <c r="D7" s="12"/>
      <c r="E7" s="173"/>
      <c r="F7" s="172"/>
      <c r="G7" s="164"/>
      <c r="H7" s="165"/>
      <c r="I7" s="330" t="s">
        <v>6</v>
      </c>
      <c r="J7" s="330"/>
      <c r="K7" s="330"/>
      <c r="L7" s="330" t="s">
        <v>7</v>
      </c>
      <c r="M7" s="330"/>
      <c r="N7" s="330"/>
    </row>
    <row r="8" spans="1:14" ht="13" x14ac:dyDescent="0.3">
      <c r="A8" s="13" t="s">
        <v>8</v>
      </c>
      <c r="B8" s="14" t="s">
        <v>9</v>
      </c>
      <c r="C8" s="15" t="s">
        <v>10</v>
      </c>
      <c r="D8" s="16" t="s">
        <v>11</v>
      </c>
      <c r="E8" s="175" t="s">
        <v>12</v>
      </c>
      <c r="F8" s="175" t="s">
        <v>13</v>
      </c>
      <c r="I8" s="174" t="s">
        <v>14</v>
      </c>
      <c r="J8" s="174" t="s">
        <v>15</v>
      </c>
      <c r="K8" s="174" t="s">
        <v>16</v>
      </c>
      <c r="L8" s="174" t="s">
        <v>14</v>
      </c>
      <c r="M8" s="174" t="s">
        <v>15</v>
      </c>
      <c r="N8" s="174" t="s">
        <v>16</v>
      </c>
    </row>
    <row r="9" spans="1:14" ht="12.75" customHeight="1" x14ac:dyDescent="0.3">
      <c r="A9" s="13">
        <v>4</v>
      </c>
      <c r="B9" s="17" t="s">
        <v>17</v>
      </c>
      <c r="C9" s="18"/>
      <c r="D9" s="19"/>
      <c r="E9" s="19"/>
      <c r="F9" s="19"/>
      <c r="G9" s="176">
        <f>+SUM(F10:F23)</f>
        <v>51045774</v>
      </c>
      <c r="H9" s="245">
        <f>+G9/$G$195</f>
        <v>6.0420265274428106E-2</v>
      </c>
      <c r="I9" s="246"/>
      <c r="J9" s="247"/>
      <c r="K9" s="247"/>
      <c r="L9" s="178"/>
      <c r="M9" s="178"/>
      <c r="N9" s="179"/>
    </row>
    <row r="10" spans="1:14" ht="12.75" customHeight="1" x14ac:dyDescent="0.3">
      <c r="A10" s="20">
        <v>4.01</v>
      </c>
      <c r="B10" s="21" t="s">
        <v>18</v>
      </c>
      <c r="C10" s="93" t="s">
        <v>19</v>
      </c>
      <c r="D10" s="94">
        <v>621</v>
      </c>
      <c r="E10" s="180">
        <v>22140</v>
      </c>
      <c r="F10" s="181">
        <f t="shared" ref="F10:F73" si="0">+E10*D10</f>
        <v>13748940</v>
      </c>
      <c r="G10" s="182"/>
      <c r="H10" s="245"/>
      <c r="I10" s="248">
        <v>0</v>
      </c>
      <c r="J10" s="248"/>
      <c r="K10" s="249">
        <f t="shared" ref="K10:K73" si="1">+I10+J10</f>
        <v>0</v>
      </c>
      <c r="L10" s="50">
        <f t="shared" ref="L10:L73" si="2">+F10*I10</f>
        <v>0</v>
      </c>
      <c r="M10" s="50">
        <f t="shared" ref="M10:M73" si="3">+F10*J10</f>
        <v>0</v>
      </c>
      <c r="N10" s="50">
        <f t="shared" ref="N10:N73" si="4">+F10*K10</f>
        <v>0</v>
      </c>
    </row>
    <row r="11" spans="1:14" ht="12.75" customHeight="1" x14ac:dyDescent="0.3">
      <c r="A11" s="24">
        <v>4.0199999999999996</v>
      </c>
      <c r="B11" s="95" t="s">
        <v>20</v>
      </c>
      <c r="C11" s="30" t="s">
        <v>19</v>
      </c>
      <c r="D11" s="31">
        <v>780</v>
      </c>
      <c r="E11" s="183">
        <v>24437</v>
      </c>
      <c r="F11" s="181">
        <f t="shared" si="0"/>
        <v>19060860</v>
      </c>
      <c r="G11" s="182"/>
      <c r="H11" s="245"/>
      <c r="I11" s="250">
        <v>0</v>
      </c>
      <c r="J11" s="250"/>
      <c r="K11" s="251">
        <f t="shared" si="1"/>
        <v>0</v>
      </c>
      <c r="L11" s="50">
        <f t="shared" si="2"/>
        <v>0</v>
      </c>
      <c r="M11" s="50">
        <f t="shared" si="3"/>
        <v>0</v>
      </c>
      <c r="N11" s="50">
        <f t="shared" si="4"/>
        <v>0</v>
      </c>
    </row>
    <row r="12" spans="1:14" ht="12.75" customHeight="1" x14ac:dyDescent="0.3">
      <c r="A12" s="24">
        <v>4.03</v>
      </c>
      <c r="B12" s="25" t="s">
        <v>21</v>
      </c>
      <c r="C12" s="30" t="s">
        <v>19</v>
      </c>
      <c r="D12" s="31">
        <v>56</v>
      </c>
      <c r="E12" s="183">
        <v>23248</v>
      </c>
      <c r="F12" s="181">
        <f t="shared" si="0"/>
        <v>1301888</v>
      </c>
      <c r="G12" s="182"/>
      <c r="H12" s="245"/>
      <c r="I12" s="250">
        <v>0</v>
      </c>
      <c r="J12" s="250"/>
      <c r="K12" s="251">
        <f t="shared" si="1"/>
        <v>0</v>
      </c>
      <c r="L12" s="50">
        <f t="shared" si="2"/>
        <v>0</v>
      </c>
      <c r="M12" s="50">
        <f t="shared" si="3"/>
        <v>0</v>
      </c>
      <c r="N12" s="50">
        <f t="shared" si="4"/>
        <v>0</v>
      </c>
    </row>
    <row r="13" spans="1:14" ht="12.75" customHeight="1" x14ac:dyDescent="0.3">
      <c r="A13" s="24">
        <v>4.04</v>
      </c>
      <c r="B13" s="25" t="s">
        <v>22</v>
      </c>
      <c r="C13" s="30" t="s">
        <v>19</v>
      </c>
      <c r="D13" s="31">
        <v>42</v>
      </c>
      <c r="E13" s="183">
        <v>28746</v>
      </c>
      <c r="F13" s="181">
        <f t="shared" si="0"/>
        <v>1207332</v>
      </c>
      <c r="G13" s="182"/>
      <c r="H13" s="245"/>
      <c r="I13" s="250">
        <v>0</v>
      </c>
      <c r="J13" s="250"/>
      <c r="K13" s="251">
        <f t="shared" si="1"/>
        <v>0</v>
      </c>
      <c r="L13" s="50">
        <f t="shared" si="2"/>
        <v>0</v>
      </c>
      <c r="M13" s="50">
        <f t="shared" si="3"/>
        <v>0</v>
      </c>
      <c r="N13" s="50">
        <f t="shared" si="4"/>
        <v>0</v>
      </c>
    </row>
    <row r="14" spans="1:14" ht="12.75" customHeight="1" x14ac:dyDescent="0.3">
      <c r="A14" s="24">
        <v>4.05</v>
      </c>
      <c r="B14" s="25" t="s">
        <v>23</v>
      </c>
      <c r="C14" s="30" t="s">
        <v>19</v>
      </c>
      <c r="D14" s="31">
        <v>70</v>
      </c>
      <c r="E14" s="183">
        <v>36933</v>
      </c>
      <c r="F14" s="181">
        <f t="shared" si="0"/>
        <v>2585310</v>
      </c>
      <c r="G14" s="182"/>
      <c r="H14" s="245"/>
      <c r="I14" s="250">
        <v>0</v>
      </c>
      <c r="J14" s="250"/>
      <c r="K14" s="251">
        <f t="shared" si="1"/>
        <v>0</v>
      </c>
      <c r="L14" s="50">
        <f t="shared" si="2"/>
        <v>0</v>
      </c>
      <c r="M14" s="50">
        <f t="shared" si="3"/>
        <v>0</v>
      </c>
      <c r="N14" s="50">
        <f t="shared" si="4"/>
        <v>0</v>
      </c>
    </row>
    <row r="15" spans="1:14" ht="12.75" customHeight="1" x14ac:dyDescent="0.3">
      <c r="A15" s="24">
        <v>4.0599999999999996</v>
      </c>
      <c r="B15" s="25" t="s">
        <v>24</v>
      </c>
      <c r="C15" s="30" t="s">
        <v>19</v>
      </c>
      <c r="D15" s="31">
        <v>5</v>
      </c>
      <c r="E15" s="183">
        <v>28672</v>
      </c>
      <c r="F15" s="181">
        <f t="shared" si="0"/>
        <v>143360</v>
      </c>
      <c r="G15" s="182"/>
      <c r="H15" s="245"/>
      <c r="I15" s="250">
        <v>0</v>
      </c>
      <c r="J15" s="250"/>
      <c r="K15" s="251">
        <f t="shared" si="1"/>
        <v>0</v>
      </c>
      <c r="L15" s="50">
        <f t="shared" si="2"/>
        <v>0</v>
      </c>
      <c r="M15" s="50">
        <f t="shared" si="3"/>
        <v>0</v>
      </c>
      <c r="N15" s="50">
        <f t="shared" si="4"/>
        <v>0</v>
      </c>
    </row>
    <row r="16" spans="1:14" ht="12.75" customHeight="1" x14ac:dyDescent="0.3">
      <c r="A16" s="24">
        <v>4.07</v>
      </c>
      <c r="B16" s="25" t="s">
        <v>25</v>
      </c>
      <c r="C16" s="30" t="s">
        <v>19</v>
      </c>
      <c r="D16" s="37">
        <v>193</v>
      </c>
      <c r="E16" s="183">
        <v>18611</v>
      </c>
      <c r="F16" s="181">
        <f t="shared" si="0"/>
        <v>3591923</v>
      </c>
      <c r="G16" s="182"/>
      <c r="H16" s="245"/>
      <c r="I16" s="250">
        <v>0</v>
      </c>
      <c r="J16" s="250"/>
      <c r="K16" s="251">
        <f t="shared" si="1"/>
        <v>0</v>
      </c>
      <c r="L16" s="50">
        <f t="shared" si="2"/>
        <v>0</v>
      </c>
      <c r="M16" s="50">
        <f t="shared" si="3"/>
        <v>0</v>
      </c>
      <c r="N16" s="50">
        <f t="shared" si="4"/>
        <v>0</v>
      </c>
    </row>
    <row r="17" spans="1:14" ht="12.75" customHeight="1" x14ac:dyDescent="0.3">
      <c r="A17" s="24">
        <v>4.08</v>
      </c>
      <c r="B17" s="25" t="s">
        <v>26</v>
      </c>
      <c r="C17" s="30" t="s">
        <v>27</v>
      </c>
      <c r="D17" s="37">
        <v>61</v>
      </c>
      <c r="E17" s="183">
        <v>28578</v>
      </c>
      <c r="F17" s="181">
        <f t="shared" si="0"/>
        <v>1743258</v>
      </c>
      <c r="G17" s="182"/>
      <c r="H17" s="245"/>
      <c r="I17" s="250">
        <v>0</v>
      </c>
      <c r="J17" s="250"/>
      <c r="K17" s="251">
        <f t="shared" si="1"/>
        <v>0</v>
      </c>
      <c r="L17" s="50">
        <f t="shared" si="2"/>
        <v>0</v>
      </c>
      <c r="M17" s="50">
        <f t="shared" si="3"/>
        <v>0</v>
      </c>
      <c r="N17" s="50">
        <f t="shared" si="4"/>
        <v>0</v>
      </c>
    </row>
    <row r="18" spans="1:14" ht="12.75" customHeight="1" x14ac:dyDescent="0.3">
      <c r="A18" s="24">
        <v>4.09</v>
      </c>
      <c r="B18" s="25" t="s">
        <v>28</v>
      </c>
      <c r="C18" s="30" t="s">
        <v>29</v>
      </c>
      <c r="D18" s="37">
        <v>1</v>
      </c>
      <c r="E18" s="183">
        <v>280823</v>
      </c>
      <c r="F18" s="181">
        <f t="shared" si="0"/>
        <v>280823</v>
      </c>
      <c r="G18" s="182"/>
      <c r="H18" s="245"/>
      <c r="I18" s="250">
        <v>0</v>
      </c>
      <c r="J18" s="250"/>
      <c r="K18" s="251">
        <f t="shared" si="1"/>
        <v>0</v>
      </c>
      <c r="L18" s="50">
        <f t="shared" si="2"/>
        <v>0</v>
      </c>
      <c r="M18" s="50">
        <f t="shared" si="3"/>
        <v>0</v>
      </c>
      <c r="N18" s="50">
        <f t="shared" si="4"/>
        <v>0</v>
      </c>
    </row>
    <row r="19" spans="1:14" ht="12.75" customHeight="1" x14ac:dyDescent="0.3">
      <c r="A19" s="24">
        <v>4.0999999999999996</v>
      </c>
      <c r="B19" s="25" t="s">
        <v>30</v>
      </c>
      <c r="C19" s="30" t="s">
        <v>29</v>
      </c>
      <c r="D19" s="37">
        <v>1</v>
      </c>
      <c r="E19" s="183">
        <v>801214</v>
      </c>
      <c r="F19" s="181">
        <f t="shared" si="0"/>
        <v>801214</v>
      </c>
      <c r="G19" s="182"/>
      <c r="H19" s="245"/>
      <c r="I19" s="250">
        <v>0</v>
      </c>
      <c r="J19" s="250"/>
      <c r="K19" s="251">
        <f t="shared" si="1"/>
        <v>0</v>
      </c>
      <c r="L19" s="50">
        <f t="shared" si="2"/>
        <v>0</v>
      </c>
      <c r="M19" s="50">
        <f t="shared" si="3"/>
        <v>0</v>
      </c>
      <c r="N19" s="50">
        <f t="shared" si="4"/>
        <v>0</v>
      </c>
    </row>
    <row r="20" spans="1:14" ht="12.75" customHeight="1" x14ac:dyDescent="0.3">
      <c r="A20" s="24">
        <v>4.1100000000000003</v>
      </c>
      <c r="B20" s="25" t="s">
        <v>31</v>
      </c>
      <c r="C20" s="30" t="s">
        <v>29</v>
      </c>
      <c r="D20" s="37">
        <v>1</v>
      </c>
      <c r="E20" s="183">
        <v>525234</v>
      </c>
      <c r="F20" s="181">
        <f t="shared" si="0"/>
        <v>525234</v>
      </c>
      <c r="G20" s="182"/>
      <c r="H20" s="245"/>
      <c r="I20" s="250">
        <v>0</v>
      </c>
      <c r="J20" s="250"/>
      <c r="K20" s="251">
        <f t="shared" si="1"/>
        <v>0</v>
      </c>
      <c r="L20" s="50">
        <f t="shared" si="2"/>
        <v>0</v>
      </c>
      <c r="M20" s="50">
        <f t="shared" si="3"/>
        <v>0</v>
      </c>
      <c r="N20" s="50">
        <f t="shared" si="4"/>
        <v>0</v>
      </c>
    </row>
    <row r="21" spans="1:14" ht="12.75" customHeight="1" x14ac:dyDescent="0.3">
      <c r="A21" s="24">
        <v>4.12</v>
      </c>
      <c r="B21" s="25" t="s">
        <v>32</v>
      </c>
      <c r="C21" s="30" t="s">
        <v>33</v>
      </c>
      <c r="D21" s="37">
        <v>3</v>
      </c>
      <c r="E21" s="183">
        <v>237784</v>
      </c>
      <c r="F21" s="181">
        <f t="shared" si="0"/>
        <v>713352</v>
      </c>
      <c r="G21" s="182"/>
      <c r="H21" s="245"/>
      <c r="I21" s="250">
        <v>0</v>
      </c>
      <c r="J21" s="250"/>
      <c r="K21" s="251">
        <f t="shared" si="1"/>
        <v>0</v>
      </c>
      <c r="L21" s="50">
        <f t="shared" si="2"/>
        <v>0</v>
      </c>
      <c r="M21" s="50">
        <f t="shared" si="3"/>
        <v>0</v>
      </c>
      <c r="N21" s="50">
        <f t="shared" si="4"/>
        <v>0</v>
      </c>
    </row>
    <row r="22" spans="1:14" ht="12.75" customHeight="1" x14ac:dyDescent="0.3">
      <c r="A22" s="24">
        <v>4.13</v>
      </c>
      <c r="B22" s="25" t="s">
        <v>34</v>
      </c>
      <c r="C22" s="30" t="s">
        <v>27</v>
      </c>
      <c r="D22" s="37">
        <v>40</v>
      </c>
      <c r="E22" s="183">
        <v>98026</v>
      </c>
      <c r="F22" s="181">
        <f t="shared" si="0"/>
        <v>3921040</v>
      </c>
      <c r="G22" s="182"/>
      <c r="H22" s="245"/>
      <c r="I22" s="250">
        <v>0</v>
      </c>
      <c r="J22" s="250"/>
      <c r="K22" s="251">
        <f t="shared" si="1"/>
        <v>0</v>
      </c>
      <c r="L22" s="50">
        <f t="shared" si="2"/>
        <v>0</v>
      </c>
      <c r="M22" s="50">
        <f t="shared" si="3"/>
        <v>0</v>
      </c>
      <c r="N22" s="50">
        <f t="shared" si="4"/>
        <v>0</v>
      </c>
    </row>
    <row r="23" spans="1:14" ht="12.75" customHeight="1" x14ac:dyDescent="0.3">
      <c r="A23" s="24">
        <v>4.1399999999999997</v>
      </c>
      <c r="B23" s="38" t="s">
        <v>35</v>
      </c>
      <c r="C23" s="34" t="s">
        <v>33</v>
      </c>
      <c r="D23" s="96">
        <v>8</v>
      </c>
      <c r="E23" s="183">
        <v>177655</v>
      </c>
      <c r="F23" s="181">
        <f t="shared" si="0"/>
        <v>1421240</v>
      </c>
      <c r="G23" s="182"/>
      <c r="H23" s="245"/>
      <c r="I23" s="250">
        <v>0</v>
      </c>
      <c r="J23" s="250"/>
      <c r="K23" s="251">
        <f t="shared" si="1"/>
        <v>0</v>
      </c>
      <c r="L23" s="50">
        <f t="shared" si="2"/>
        <v>0</v>
      </c>
      <c r="M23" s="50">
        <f t="shared" si="3"/>
        <v>0</v>
      </c>
      <c r="N23" s="50">
        <f t="shared" si="4"/>
        <v>0</v>
      </c>
    </row>
    <row r="24" spans="1:14" ht="12.75" customHeight="1" x14ac:dyDescent="0.3">
      <c r="A24" s="13">
        <v>5</v>
      </c>
      <c r="B24" s="40" t="s">
        <v>36</v>
      </c>
      <c r="C24" s="18"/>
      <c r="D24" s="19"/>
      <c r="E24" s="19"/>
      <c r="F24" s="19"/>
      <c r="G24" s="176">
        <f>+SUM(F25:F31)</f>
        <v>19239698</v>
      </c>
      <c r="H24" s="245">
        <f>+G24/$G$195</f>
        <v>2.2773043993022494E-2</v>
      </c>
      <c r="I24" s="246"/>
      <c r="J24" s="247"/>
      <c r="K24" s="247"/>
      <c r="L24" s="178"/>
      <c r="M24" s="178"/>
      <c r="N24" s="179"/>
    </row>
    <row r="25" spans="1:14" ht="12.75" customHeight="1" x14ac:dyDescent="0.3">
      <c r="A25" s="20">
        <v>5.01</v>
      </c>
      <c r="B25" s="21" t="s">
        <v>37</v>
      </c>
      <c r="C25" s="93" t="s">
        <v>27</v>
      </c>
      <c r="D25" s="97">
        <v>136</v>
      </c>
      <c r="E25" s="183">
        <v>6496</v>
      </c>
      <c r="F25" s="181">
        <f t="shared" si="0"/>
        <v>883456</v>
      </c>
      <c r="G25" s="182"/>
      <c r="H25" s="245"/>
      <c r="I25" s="250">
        <v>0</v>
      </c>
      <c r="J25" s="250"/>
      <c r="K25" s="251">
        <f t="shared" si="1"/>
        <v>0</v>
      </c>
      <c r="L25" s="50">
        <f t="shared" si="2"/>
        <v>0</v>
      </c>
      <c r="M25" s="50">
        <f t="shared" si="3"/>
        <v>0</v>
      </c>
      <c r="N25" s="50">
        <f t="shared" si="4"/>
        <v>0</v>
      </c>
    </row>
    <row r="26" spans="1:14" ht="12.75" customHeight="1" x14ac:dyDescent="0.3">
      <c r="A26" s="24">
        <v>5.0199999999999996</v>
      </c>
      <c r="B26" s="98" t="s">
        <v>38</v>
      </c>
      <c r="C26" s="30" t="s">
        <v>19</v>
      </c>
      <c r="D26" s="31">
        <v>77</v>
      </c>
      <c r="E26" s="184">
        <v>33270</v>
      </c>
      <c r="F26" s="183">
        <f t="shared" si="0"/>
        <v>2561790</v>
      </c>
      <c r="G26" s="182"/>
      <c r="H26" s="245"/>
      <c r="I26" s="250">
        <v>0</v>
      </c>
      <c r="J26" s="250"/>
      <c r="K26" s="251">
        <f t="shared" si="1"/>
        <v>0</v>
      </c>
      <c r="L26" s="50">
        <f t="shared" si="2"/>
        <v>0</v>
      </c>
      <c r="M26" s="50">
        <f t="shared" si="3"/>
        <v>0</v>
      </c>
      <c r="N26" s="50">
        <f t="shared" si="4"/>
        <v>0</v>
      </c>
    </row>
    <row r="27" spans="1:14" ht="12.75" customHeight="1" x14ac:dyDescent="0.3">
      <c r="A27" s="24">
        <v>5.03</v>
      </c>
      <c r="B27" s="25" t="s">
        <v>39</v>
      </c>
      <c r="C27" s="30" t="s">
        <v>19</v>
      </c>
      <c r="D27" s="31">
        <v>107</v>
      </c>
      <c r="E27" s="184">
        <v>6496</v>
      </c>
      <c r="F27" s="181">
        <f t="shared" si="0"/>
        <v>695072</v>
      </c>
      <c r="G27" s="182"/>
      <c r="H27" s="245"/>
      <c r="I27" s="250">
        <v>0</v>
      </c>
      <c r="J27" s="250"/>
      <c r="K27" s="251">
        <f t="shared" si="1"/>
        <v>0</v>
      </c>
      <c r="L27" s="50">
        <f t="shared" si="2"/>
        <v>0</v>
      </c>
      <c r="M27" s="50">
        <f t="shared" si="3"/>
        <v>0</v>
      </c>
      <c r="N27" s="50">
        <f t="shared" si="4"/>
        <v>0</v>
      </c>
    </row>
    <row r="28" spans="1:14" ht="12.75" customHeight="1" x14ac:dyDescent="0.3">
      <c r="A28" s="24">
        <v>5.04</v>
      </c>
      <c r="B28" s="25" t="s">
        <v>40</v>
      </c>
      <c r="C28" s="30" t="s">
        <v>19</v>
      </c>
      <c r="D28" s="31">
        <v>186</v>
      </c>
      <c r="E28" s="184">
        <v>4832</v>
      </c>
      <c r="F28" s="181">
        <f t="shared" si="0"/>
        <v>898752</v>
      </c>
      <c r="G28" s="182"/>
      <c r="H28" s="245"/>
      <c r="I28" s="250">
        <v>0</v>
      </c>
      <c r="J28" s="250"/>
      <c r="K28" s="251">
        <f t="shared" si="1"/>
        <v>0</v>
      </c>
      <c r="L28" s="50">
        <f t="shared" si="2"/>
        <v>0</v>
      </c>
      <c r="M28" s="50">
        <f t="shared" si="3"/>
        <v>0</v>
      </c>
      <c r="N28" s="50">
        <f t="shared" si="4"/>
        <v>0</v>
      </c>
    </row>
    <row r="29" spans="1:14" ht="12.75" customHeight="1" x14ac:dyDescent="0.3">
      <c r="A29" s="24">
        <v>5.05</v>
      </c>
      <c r="B29" s="25" t="s">
        <v>41</v>
      </c>
      <c r="C29" s="30" t="s">
        <v>19</v>
      </c>
      <c r="D29" s="31">
        <v>186</v>
      </c>
      <c r="E29" s="184">
        <v>4134</v>
      </c>
      <c r="F29" s="181">
        <f t="shared" si="0"/>
        <v>768924</v>
      </c>
      <c r="G29" s="182"/>
      <c r="H29" s="245"/>
      <c r="I29" s="250">
        <v>0</v>
      </c>
      <c r="J29" s="250"/>
      <c r="K29" s="251">
        <f t="shared" si="1"/>
        <v>0</v>
      </c>
      <c r="L29" s="50">
        <f t="shared" si="2"/>
        <v>0</v>
      </c>
      <c r="M29" s="50">
        <f t="shared" si="3"/>
        <v>0</v>
      </c>
      <c r="N29" s="50">
        <f t="shared" si="4"/>
        <v>0</v>
      </c>
    </row>
    <row r="30" spans="1:14" ht="12.75" customHeight="1" x14ac:dyDescent="0.3">
      <c r="A30" s="24">
        <v>5.0599999999999996</v>
      </c>
      <c r="B30" s="25" t="s">
        <v>42</v>
      </c>
      <c r="C30" s="99" t="s">
        <v>19</v>
      </c>
      <c r="D30" s="31">
        <v>390</v>
      </c>
      <c r="E30" s="184">
        <v>28187</v>
      </c>
      <c r="F30" s="181">
        <f t="shared" si="0"/>
        <v>10992930</v>
      </c>
      <c r="G30" s="185"/>
      <c r="H30" s="245"/>
      <c r="I30" s="250">
        <v>0</v>
      </c>
      <c r="J30" s="250"/>
      <c r="K30" s="251">
        <f t="shared" si="1"/>
        <v>0</v>
      </c>
      <c r="L30" s="50">
        <f t="shared" si="2"/>
        <v>0</v>
      </c>
      <c r="M30" s="50">
        <f t="shared" si="3"/>
        <v>0</v>
      </c>
      <c r="N30" s="50">
        <f t="shared" si="4"/>
        <v>0</v>
      </c>
    </row>
    <row r="31" spans="1:14" ht="12.75" customHeight="1" x14ac:dyDescent="0.3">
      <c r="A31" s="24">
        <v>5.07</v>
      </c>
      <c r="B31" s="25" t="s">
        <v>43</v>
      </c>
      <c r="C31" s="99" t="s">
        <v>29</v>
      </c>
      <c r="D31" s="31">
        <v>1</v>
      </c>
      <c r="E31" s="184">
        <v>2438774</v>
      </c>
      <c r="F31" s="181">
        <f t="shared" si="0"/>
        <v>2438774</v>
      </c>
      <c r="G31" s="186"/>
      <c r="H31" s="245"/>
      <c r="I31" s="250">
        <v>0</v>
      </c>
      <c r="J31" s="250"/>
      <c r="K31" s="251">
        <f t="shared" si="1"/>
        <v>0</v>
      </c>
      <c r="L31" s="50">
        <f t="shared" si="2"/>
        <v>0</v>
      </c>
      <c r="M31" s="50">
        <f t="shared" si="3"/>
        <v>0</v>
      </c>
      <c r="N31" s="50">
        <f t="shared" si="4"/>
        <v>0</v>
      </c>
    </row>
    <row r="32" spans="1:14" ht="12.75" customHeight="1" x14ac:dyDescent="0.3">
      <c r="A32" s="13">
        <v>6</v>
      </c>
      <c r="B32" s="17" t="s">
        <v>44</v>
      </c>
      <c r="C32" s="18"/>
      <c r="D32" s="19"/>
      <c r="E32" s="19"/>
      <c r="F32" s="19"/>
      <c r="G32" s="176">
        <f>+SUM(F33)</f>
        <v>1722875</v>
      </c>
      <c r="H32" s="245">
        <f>+G32/$G$195</f>
        <v>2.0392787958251023E-3</v>
      </c>
      <c r="I32" s="246"/>
      <c r="J32" s="247"/>
      <c r="K32" s="247"/>
      <c r="L32" s="178"/>
      <c r="M32" s="178"/>
      <c r="N32" s="179"/>
    </row>
    <row r="33" spans="1:14" ht="12.75" customHeight="1" x14ac:dyDescent="0.3">
      <c r="A33" s="100">
        <v>6.02</v>
      </c>
      <c r="B33" s="38" t="s">
        <v>45</v>
      </c>
      <c r="C33" s="101" t="s">
        <v>27</v>
      </c>
      <c r="D33" s="102">
        <v>55</v>
      </c>
      <c r="E33" s="181">
        <v>31325</v>
      </c>
      <c r="F33" s="181">
        <f t="shared" si="0"/>
        <v>1722875</v>
      </c>
      <c r="G33" s="185"/>
      <c r="H33" s="245"/>
      <c r="I33" s="250">
        <v>0</v>
      </c>
      <c r="J33" s="250"/>
      <c r="K33" s="251">
        <f t="shared" si="1"/>
        <v>0</v>
      </c>
      <c r="L33" s="50">
        <f t="shared" si="2"/>
        <v>0</v>
      </c>
      <c r="M33" s="50">
        <f t="shared" si="3"/>
        <v>0</v>
      </c>
      <c r="N33" s="50">
        <f t="shared" si="4"/>
        <v>0</v>
      </c>
    </row>
    <row r="34" spans="1:14" ht="12.75" customHeight="1" x14ac:dyDescent="0.3">
      <c r="A34" s="13">
        <v>7</v>
      </c>
      <c r="B34" s="40" t="s">
        <v>46</v>
      </c>
      <c r="C34" s="18"/>
      <c r="D34" s="19"/>
      <c r="E34" s="19"/>
      <c r="F34" s="19"/>
      <c r="G34" s="176">
        <f>+SUM(F35:F40)</f>
        <v>92324467</v>
      </c>
      <c r="H34" s="245">
        <f>+G34/$G$195</f>
        <v>0.10927973758337338</v>
      </c>
      <c r="I34" s="246"/>
      <c r="J34" s="247"/>
      <c r="K34" s="247"/>
      <c r="L34" s="178"/>
      <c r="M34" s="178"/>
      <c r="N34" s="179"/>
    </row>
    <row r="35" spans="1:14" ht="12.75" customHeight="1" x14ac:dyDescent="0.3">
      <c r="A35" s="20">
        <v>7.01</v>
      </c>
      <c r="B35" s="103" t="s">
        <v>47</v>
      </c>
      <c r="C35" s="93" t="s">
        <v>19</v>
      </c>
      <c r="D35" s="94">
        <v>879</v>
      </c>
      <c r="E35" s="180">
        <v>19943</v>
      </c>
      <c r="F35" s="180">
        <f t="shared" si="0"/>
        <v>17529897</v>
      </c>
      <c r="G35" s="187"/>
      <c r="H35" s="245"/>
      <c r="I35" s="250">
        <v>0</v>
      </c>
      <c r="J35" s="250"/>
      <c r="K35" s="251">
        <f t="shared" si="1"/>
        <v>0</v>
      </c>
      <c r="L35" s="50">
        <f t="shared" si="2"/>
        <v>0</v>
      </c>
      <c r="M35" s="50">
        <f t="shared" si="3"/>
        <v>0</v>
      </c>
      <c r="N35" s="50">
        <f t="shared" si="4"/>
        <v>0</v>
      </c>
    </row>
    <row r="36" spans="1:14" ht="12.75" customHeight="1" x14ac:dyDescent="0.3">
      <c r="A36" s="24">
        <v>7.02</v>
      </c>
      <c r="B36" s="104" t="s">
        <v>48</v>
      </c>
      <c r="C36" s="30" t="s">
        <v>19</v>
      </c>
      <c r="D36" s="31">
        <v>716</v>
      </c>
      <c r="E36" s="181">
        <v>26767</v>
      </c>
      <c r="F36" s="181">
        <f t="shared" si="0"/>
        <v>19165172</v>
      </c>
      <c r="G36" s="185"/>
      <c r="H36" s="245"/>
      <c r="I36" s="250">
        <v>0</v>
      </c>
      <c r="J36" s="250"/>
      <c r="K36" s="251">
        <f t="shared" si="1"/>
        <v>0</v>
      </c>
      <c r="L36" s="50">
        <f t="shared" si="2"/>
        <v>0</v>
      </c>
      <c r="M36" s="50">
        <f t="shared" si="3"/>
        <v>0</v>
      </c>
      <c r="N36" s="50">
        <f t="shared" si="4"/>
        <v>0</v>
      </c>
    </row>
    <row r="37" spans="1:14" ht="12.75" customHeight="1" x14ac:dyDescent="0.3">
      <c r="A37" s="24">
        <v>7.03</v>
      </c>
      <c r="B37" s="25" t="s">
        <v>49</v>
      </c>
      <c r="C37" s="30" t="s">
        <v>19</v>
      </c>
      <c r="D37" s="31">
        <v>1439</v>
      </c>
      <c r="E37" s="181">
        <v>22963</v>
      </c>
      <c r="F37" s="181">
        <f t="shared" si="0"/>
        <v>33043757</v>
      </c>
      <c r="G37" s="185"/>
      <c r="H37" s="245"/>
      <c r="I37" s="250">
        <v>0</v>
      </c>
      <c r="J37" s="250"/>
      <c r="K37" s="251">
        <f t="shared" si="1"/>
        <v>0</v>
      </c>
      <c r="L37" s="50">
        <f t="shared" si="2"/>
        <v>0</v>
      </c>
      <c r="M37" s="50">
        <f t="shared" si="3"/>
        <v>0</v>
      </c>
      <c r="N37" s="50">
        <f t="shared" si="4"/>
        <v>0</v>
      </c>
    </row>
    <row r="38" spans="1:14" ht="12.75" customHeight="1" x14ac:dyDescent="0.3">
      <c r="A38" s="100">
        <v>7.04</v>
      </c>
      <c r="B38" s="105" t="s">
        <v>50</v>
      </c>
      <c r="C38" s="30" t="s">
        <v>27</v>
      </c>
      <c r="D38" s="31">
        <v>347</v>
      </c>
      <c r="E38" s="181">
        <v>16909</v>
      </c>
      <c r="F38" s="181">
        <f t="shared" si="0"/>
        <v>5867423</v>
      </c>
      <c r="G38" s="185"/>
      <c r="H38" s="245"/>
      <c r="I38" s="250">
        <v>0</v>
      </c>
      <c r="J38" s="250"/>
      <c r="K38" s="251">
        <f t="shared" si="1"/>
        <v>0</v>
      </c>
      <c r="L38" s="50">
        <f t="shared" si="2"/>
        <v>0</v>
      </c>
      <c r="M38" s="50">
        <f t="shared" si="3"/>
        <v>0</v>
      </c>
      <c r="N38" s="50">
        <f t="shared" si="4"/>
        <v>0</v>
      </c>
    </row>
    <row r="39" spans="1:14" ht="12.75" customHeight="1" x14ac:dyDescent="0.3">
      <c r="A39" s="24">
        <v>7.05</v>
      </c>
      <c r="B39" s="105" t="s">
        <v>51</v>
      </c>
      <c r="C39" s="30" t="s">
        <v>52</v>
      </c>
      <c r="D39" s="31">
        <v>132</v>
      </c>
      <c r="E39" s="181">
        <v>19384</v>
      </c>
      <c r="F39" s="181">
        <f t="shared" si="0"/>
        <v>2558688</v>
      </c>
      <c r="G39" s="185"/>
      <c r="H39" s="245"/>
      <c r="I39" s="250">
        <v>0</v>
      </c>
      <c r="J39" s="250"/>
      <c r="K39" s="251">
        <f t="shared" si="1"/>
        <v>0</v>
      </c>
      <c r="L39" s="50">
        <f t="shared" si="2"/>
        <v>0</v>
      </c>
      <c r="M39" s="50">
        <f t="shared" si="3"/>
        <v>0</v>
      </c>
      <c r="N39" s="50">
        <f t="shared" si="4"/>
        <v>0</v>
      </c>
    </row>
    <row r="40" spans="1:14" ht="12.75" customHeight="1" x14ac:dyDescent="0.3">
      <c r="A40" s="100">
        <v>7.06</v>
      </c>
      <c r="B40" s="25" t="s">
        <v>53</v>
      </c>
      <c r="C40" s="30" t="s">
        <v>19</v>
      </c>
      <c r="D40" s="31">
        <v>710</v>
      </c>
      <c r="E40" s="181">
        <v>19943</v>
      </c>
      <c r="F40" s="181">
        <f t="shared" si="0"/>
        <v>14159530</v>
      </c>
      <c r="G40" s="185"/>
      <c r="H40" s="245"/>
      <c r="I40" s="250">
        <v>0</v>
      </c>
      <c r="J40" s="250"/>
      <c r="K40" s="251">
        <f t="shared" si="1"/>
        <v>0</v>
      </c>
      <c r="L40" s="50">
        <f t="shared" si="2"/>
        <v>0</v>
      </c>
      <c r="M40" s="50">
        <f t="shared" si="3"/>
        <v>0</v>
      </c>
      <c r="N40" s="50">
        <f t="shared" si="4"/>
        <v>0</v>
      </c>
    </row>
    <row r="41" spans="1:14" ht="12.75" customHeight="1" x14ac:dyDescent="0.3">
      <c r="A41" s="13">
        <v>8</v>
      </c>
      <c r="B41" s="17" t="s">
        <v>54</v>
      </c>
      <c r="C41" s="18"/>
      <c r="D41" s="19"/>
      <c r="E41" s="19"/>
      <c r="F41" s="19"/>
      <c r="G41" s="176">
        <f>+SUM(F42:F49)</f>
        <v>49520833</v>
      </c>
      <c r="H41" s="245">
        <f>+G41/$G$195</f>
        <v>5.8615270805192479E-2</v>
      </c>
      <c r="I41" s="246"/>
      <c r="J41" s="247"/>
      <c r="K41" s="247"/>
      <c r="L41" s="178"/>
      <c r="M41" s="178"/>
      <c r="N41" s="179"/>
    </row>
    <row r="42" spans="1:14" ht="12.75" customHeight="1" x14ac:dyDescent="0.3">
      <c r="A42" s="20">
        <v>8.01</v>
      </c>
      <c r="B42" s="21" t="s">
        <v>55</v>
      </c>
      <c r="C42" s="93" t="s">
        <v>19</v>
      </c>
      <c r="D42" s="94">
        <v>107</v>
      </c>
      <c r="E42" s="183">
        <v>58580</v>
      </c>
      <c r="F42" s="183">
        <f t="shared" si="0"/>
        <v>6268060</v>
      </c>
      <c r="G42" s="182"/>
      <c r="H42" s="245"/>
      <c r="I42" s="250">
        <v>0</v>
      </c>
      <c r="J42" s="250"/>
      <c r="K42" s="251">
        <f t="shared" si="1"/>
        <v>0</v>
      </c>
      <c r="L42" s="50">
        <f t="shared" si="2"/>
        <v>0</v>
      </c>
      <c r="M42" s="50">
        <f t="shared" si="3"/>
        <v>0</v>
      </c>
      <c r="N42" s="50">
        <f t="shared" si="4"/>
        <v>0</v>
      </c>
    </row>
    <row r="43" spans="1:14" ht="12.75" customHeight="1" x14ac:dyDescent="0.3">
      <c r="A43" s="106">
        <v>8.02</v>
      </c>
      <c r="B43" s="107" t="s">
        <v>56</v>
      </c>
      <c r="C43" s="108" t="s">
        <v>19</v>
      </c>
      <c r="D43" s="32">
        <v>258</v>
      </c>
      <c r="E43" s="183">
        <v>38729</v>
      </c>
      <c r="F43" s="183">
        <f t="shared" si="0"/>
        <v>9992082</v>
      </c>
      <c r="G43" s="182"/>
      <c r="H43" s="245"/>
      <c r="I43" s="250">
        <v>0</v>
      </c>
      <c r="J43" s="250"/>
      <c r="K43" s="251">
        <f t="shared" si="1"/>
        <v>0</v>
      </c>
      <c r="L43" s="50">
        <f t="shared" si="2"/>
        <v>0</v>
      </c>
      <c r="M43" s="50">
        <f t="shared" si="3"/>
        <v>0</v>
      </c>
      <c r="N43" s="50">
        <f t="shared" si="4"/>
        <v>0</v>
      </c>
    </row>
    <row r="44" spans="1:14" ht="12.75" customHeight="1" x14ac:dyDescent="0.3">
      <c r="A44" s="24">
        <v>8.0299999999999994</v>
      </c>
      <c r="B44" s="25" t="s">
        <v>57</v>
      </c>
      <c r="C44" s="30" t="s">
        <v>19</v>
      </c>
      <c r="D44" s="31">
        <v>425</v>
      </c>
      <c r="E44" s="183">
        <v>22943</v>
      </c>
      <c r="F44" s="183">
        <f t="shared" si="0"/>
        <v>9750775</v>
      </c>
      <c r="G44" s="182"/>
      <c r="H44" s="245"/>
      <c r="I44" s="250">
        <v>0</v>
      </c>
      <c r="J44" s="250"/>
      <c r="K44" s="251">
        <f t="shared" si="1"/>
        <v>0</v>
      </c>
      <c r="L44" s="50">
        <f t="shared" si="2"/>
        <v>0</v>
      </c>
      <c r="M44" s="50">
        <f t="shared" si="3"/>
        <v>0</v>
      </c>
      <c r="N44" s="50">
        <f t="shared" si="4"/>
        <v>0</v>
      </c>
    </row>
    <row r="45" spans="1:14" ht="12.75" customHeight="1" x14ac:dyDescent="0.3">
      <c r="A45" s="106">
        <v>8.0399999999999991</v>
      </c>
      <c r="B45" s="25" t="s">
        <v>58</v>
      </c>
      <c r="C45" s="30" t="s">
        <v>19</v>
      </c>
      <c r="D45" s="31">
        <v>200</v>
      </c>
      <c r="E45" s="183">
        <v>40355</v>
      </c>
      <c r="F45" s="183">
        <f t="shared" si="0"/>
        <v>8071000</v>
      </c>
      <c r="G45" s="182"/>
      <c r="H45" s="245"/>
      <c r="I45" s="250">
        <v>0</v>
      </c>
      <c r="J45" s="250"/>
      <c r="K45" s="251">
        <f t="shared" si="1"/>
        <v>0</v>
      </c>
      <c r="L45" s="50">
        <f t="shared" si="2"/>
        <v>0</v>
      </c>
      <c r="M45" s="50">
        <f t="shared" si="3"/>
        <v>0</v>
      </c>
      <c r="N45" s="50">
        <f t="shared" si="4"/>
        <v>0</v>
      </c>
    </row>
    <row r="46" spans="1:14" ht="12.75" customHeight="1" x14ac:dyDescent="0.3">
      <c r="A46" s="24">
        <v>8.0500000000000007</v>
      </c>
      <c r="B46" s="25" t="s">
        <v>59</v>
      </c>
      <c r="C46" s="30" t="s">
        <v>19</v>
      </c>
      <c r="D46" s="31">
        <v>77</v>
      </c>
      <c r="E46" s="183">
        <v>31515</v>
      </c>
      <c r="F46" s="183">
        <f t="shared" si="0"/>
        <v>2426655</v>
      </c>
      <c r="G46" s="182"/>
      <c r="H46" s="245"/>
      <c r="I46" s="250">
        <v>0</v>
      </c>
      <c r="J46" s="250"/>
      <c r="K46" s="251">
        <f t="shared" si="1"/>
        <v>0</v>
      </c>
      <c r="L46" s="50">
        <f t="shared" si="2"/>
        <v>0</v>
      </c>
      <c r="M46" s="50">
        <f t="shared" si="3"/>
        <v>0</v>
      </c>
      <c r="N46" s="50">
        <f t="shared" si="4"/>
        <v>0</v>
      </c>
    </row>
    <row r="47" spans="1:14" ht="12.75" customHeight="1" x14ac:dyDescent="0.3">
      <c r="A47" s="106">
        <v>8.06</v>
      </c>
      <c r="B47" s="25" t="s">
        <v>60</v>
      </c>
      <c r="C47" s="30" t="s">
        <v>19</v>
      </c>
      <c r="D47" s="31">
        <v>77</v>
      </c>
      <c r="E47" s="183">
        <v>19683</v>
      </c>
      <c r="F47" s="183">
        <f t="shared" si="0"/>
        <v>1515591</v>
      </c>
      <c r="G47" s="182"/>
      <c r="H47" s="245"/>
      <c r="I47" s="250">
        <v>0</v>
      </c>
      <c r="J47" s="250"/>
      <c r="K47" s="251">
        <f t="shared" si="1"/>
        <v>0</v>
      </c>
      <c r="L47" s="50">
        <f t="shared" si="2"/>
        <v>0</v>
      </c>
      <c r="M47" s="50">
        <f t="shared" si="3"/>
        <v>0</v>
      </c>
      <c r="N47" s="50">
        <f t="shared" si="4"/>
        <v>0</v>
      </c>
    </row>
    <row r="48" spans="1:14" ht="12.75" customHeight="1" x14ac:dyDescent="0.3">
      <c r="A48" s="24">
        <v>8.07</v>
      </c>
      <c r="B48" s="25" t="s">
        <v>61</v>
      </c>
      <c r="C48" s="30" t="s">
        <v>19</v>
      </c>
      <c r="D48" s="31">
        <v>442</v>
      </c>
      <c r="E48" s="183">
        <v>14335</v>
      </c>
      <c r="F48" s="183">
        <f t="shared" si="0"/>
        <v>6336070</v>
      </c>
      <c r="G48" s="182"/>
      <c r="H48" s="245"/>
      <c r="I48" s="250">
        <v>0</v>
      </c>
      <c r="J48" s="250"/>
      <c r="K48" s="251">
        <f t="shared" si="1"/>
        <v>0</v>
      </c>
      <c r="L48" s="50">
        <f t="shared" si="2"/>
        <v>0</v>
      </c>
      <c r="M48" s="50">
        <f t="shared" si="3"/>
        <v>0</v>
      </c>
      <c r="N48" s="50">
        <f t="shared" si="4"/>
        <v>0</v>
      </c>
    </row>
    <row r="49" spans="1:14" ht="12.75" customHeight="1" x14ac:dyDescent="0.3">
      <c r="A49" s="106">
        <v>8.08</v>
      </c>
      <c r="B49" s="25" t="s">
        <v>62</v>
      </c>
      <c r="C49" s="30" t="s">
        <v>19</v>
      </c>
      <c r="D49" s="31">
        <v>360</v>
      </c>
      <c r="E49" s="183">
        <v>14335</v>
      </c>
      <c r="F49" s="183">
        <f t="shared" si="0"/>
        <v>5160600</v>
      </c>
      <c r="G49" s="182"/>
      <c r="H49" s="245"/>
      <c r="I49" s="250">
        <v>0</v>
      </c>
      <c r="J49" s="250"/>
      <c r="K49" s="251">
        <f t="shared" si="1"/>
        <v>0</v>
      </c>
      <c r="L49" s="50">
        <f t="shared" si="2"/>
        <v>0</v>
      </c>
      <c r="M49" s="50">
        <f t="shared" si="3"/>
        <v>0</v>
      </c>
      <c r="N49" s="50">
        <f t="shared" si="4"/>
        <v>0</v>
      </c>
    </row>
    <row r="50" spans="1:14" ht="12.75" customHeight="1" x14ac:dyDescent="0.3">
      <c r="A50" s="13">
        <v>9</v>
      </c>
      <c r="B50" s="17" t="s">
        <v>63</v>
      </c>
      <c r="C50" s="18"/>
      <c r="D50" s="19"/>
      <c r="E50" s="19"/>
      <c r="F50" s="19"/>
      <c r="G50" s="176">
        <f>+SUM(F51:F53)</f>
        <v>4852846</v>
      </c>
      <c r="H50" s="245">
        <f>+G50/$G$195</f>
        <v>5.7440649769743392E-3</v>
      </c>
      <c r="I50" s="246"/>
      <c r="J50" s="247"/>
      <c r="K50" s="247"/>
      <c r="L50" s="178"/>
      <c r="M50" s="178"/>
      <c r="N50" s="179"/>
    </row>
    <row r="51" spans="1:14" ht="12.75" customHeight="1" x14ac:dyDescent="0.3">
      <c r="A51" s="20">
        <v>9.01</v>
      </c>
      <c r="B51" s="21" t="s">
        <v>64</v>
      </c>
      <c r="C51" s="109" t="s">
        <v>29</v>
      </c>
      <c r="D51" s="94">
        <v>1</v>
      </c>
      <c r="E51" s="181">
        <v>2109310</v>
      </c>
      <c r="F51" s="181">
        <f t="shared" si="0"/>
        <v>2109310</v>
      </c>
      <c r="G51" s="186"/>
      <c r="H51" s="245"/>
      <c r="I51" s="250">
        <v>0</v>
      </c>
      <c r="J51" s="250"/>
      <c r="K51" s="251">
        <f t="shared" si="1"/>
        <v>0</v>
      </c>
      <c r="L51" s="50">
        <f t="shared" si="2"/>
        <v>0</v>
      </c>
      <c r="M51" s="50">
        <f t="shared" si="3"/>
        <v>0</v>
      </c>
      <c r="N51" s="50">
        <f t="shared" si="4"/>
        <v>0</v>
      </c>
    </row>
    <row r="52" spans="1:14" ht="12.75" customHeight="1" x14ac:dyDescent="0.3">
      <c r="A52" s="24">
        <v>9.02</v>
      </c>
      <c r="B52" s="25" t="s">
        <v>65</v>
      </c>
      <c r="C52" s="110" t="s">
        <v>52</v>
      </c>
      <c r="D52" s="31">
        <v>81</v>
      </c>
      <c r="E52" s="181">
        <v>28022</v>
      </c>
      <c r="F52" s="181">
        <f t="shared" si="0"/>
        <v>2269782</v>
      </c>
      <c r="G52" s="186"/>
      <c r="H52" s="252"/>
      <c r="I52" s="250">
        <v>0</v>
      </c>
      <c r="J52" s="250"/>
      <c r="K52" s="251">
        <f t="shared" si="1"/>
        <v>0</v>
      </c>
      <c r="L52" s="50">
        <f t="shared" si="2"/>
        <v>0</v>
      </c>
      <c r="M52" s="50">
        <f t="shared" si="3"/>
        <v>0</v>
      </c>
      <c r="N52" s="50">
        <f t="shared" si="4"/>
        <v>0</v>
      </c>
    </row>
    <row r="53" spans="1:14" ht="12.75" customHeight="1" x14ac:dyDescent="0.3">
      <c r="A53" s="33">
        <v>9.0299999999999994</v>
      </c>
      <c r="B53" s="38" t="s">
        <v>66</v>
      </c>
      <c r="C53" s="111" t="s">
        <v>27</v>
      </c>
      <c r="D53" s="35">
        <v>46</v>
      </c>
      <c r="E53" s="181">
        <v>10299</v>
      </c>
      <c r="F53" s="181">
        <f t="shared" si="0"/>
        <v>473754</v>
      </c>
      <c r="G53" s="186"/>
      <c r="H53" s="252"/>
      <c r="I53" s="250">
        <v>0</v>
      </c>
      <c r="J53" s="250"/>
      <c r="K53" s="251">
        <f t="shared" si="1"/>
        <v>0</v>
      </c>
      <c r="L53" s="50">
        <f t="shared" si="2"/>
        <v>0</v>
      </c>
      <c r="M53" s="50">
        <f t="shared" si="3"/>
        <v>0</v>
      </c>
      <c r="N53" s="50">
        <f t="shared" si="4"/>
        <v>0</v>
      </c>
    </row>
    <row r="54" spans="1:14" ht="12.75" customHeight="1" x14ac:dyDescent="0.3">
      <c r="A54" s="13">
        <v>10</v>
      </c>
      <c r="B54" s="40" t="s">
        <v>67</v>
      </c>
      <c r="C54" s="18"/>
      <c r="D54" s="19"/>
      <c r="E54" s="19"/>
      <c r="F54" s="19"/>
      <c r="G54" s="176">
        <f>+SUM(F55:F58)</f>
        <v>4184652</v>
      </c>
      <c r="H54" s="245">
        <f>+G54/$G$195</f>
        <v>4.9531580013100814E-3</v>
      </c>
      <c r="I54" s="246"/>
      <c r="J54" s="247"/>
      <c r="K54" s="247"/>
      <c r="L54" s="178"/>
      <c r="M54" s="178"/>
      <c r="N54" s="179"/>
    </row>
    <row r="55" spans="1:14" ht="12.75" customHeight="1" x14ac:dyDescent="0.3">
      <c r="A55" s="24">
        <v>10.01</v>
      </c>
      <c r="B55" s="25" t="s">
        <v>68</v>
      </c>
      <c r="C55" s="112" t="s">
        <v>29</v>
      </c>
      <c r="D55" s="27">
        <v>1</v>
      </c>
      <c r="E55" s="181">
        <v>1844532</v>
      </c>
      <c r="F55" s="181">
        <f t="shared" si="0"/>
        <v>1844532</v>
      </c>
      <c r="G55" s="188"/>
      <c r="H55" s="245"/>
      <c r="I55" s="250">
        <v>0</v>
      </c>
      <c r="J55" s="250"/>
      <c r="K55" s="251">
        <f t="shared" si="1"/>
        <v>0</v>
      </c>
      <c r="L55" s="50">
        <f t="shared" si="2"/>
        <v>0</v>
      </c>
      <c r="M55" s="50">
        <f t="shared" si="3"/>
        <v>0</v>
      </c>
      <c r="N55" s="50">
        <f t="shared" si="4"/>
        <v>0</v>
      </c>
    </row>
    <row r="56" spans="1:14" ht="12.75" customHeight="1" x14ac:dyDescent="0.3">
      <c r="A56" s="24">
        <v>10.02</v>
      </c>
      <c r="B56" s="25" t="s">
        <v>69</v>
      </c>
      <c r="C56" s="112" t="s">
        <v>29</v>
      </c>
      <c r="D56" s="27">
        <v>1</v>
      </c>
      <c r="E56" s="181">
        <v>1214937</v>
      </c>
      <c r="F56" s="181">
        <f t="shared" si="0"/>
        <v>1214937</v>
      </c>
      <c r="H56" s="245"/>
      <c r="I56" s="250">
        <v>0</v>
      </c>
      <c r="J56" s="250"/>
      <c r="K56" s="251">
        <f t="shared" si="1"/>
        <v>0</v>
      </c>
      <c r="L56" s="50">
        <f t="shared" si="2"/>
        <v>0</v>
      </c>
      <c r="M56" s="50">
        <f t="shared" si="3"/>
        <v>0</v>
      </c>
      <c r="N56" s="50">
        <f t="shared" si="4"/>
        <v>0</v>
      </c>
    </row>
    <row r="57" spans="1:14" ht="12.75" customHeight="1" x14ac:dyDescent="0.3">
      <c r="A57" s="24">
        <v>10.029999999999999</v>
      </c>
      <c r="B57" s="25" t="s">
        <v>70</v>
      </c>
      <c r="C57" s="112" t="s">
        <v>29</v>
      </c>
      <c r="D57" s="27">
        <v>1</v>
      </c>
      <c r="E57" s="181">
        <v>539833</v>
      </c>
      <c r="F57" s="181">
        <f t="shared" si="0"/>
        <v>539833</v>
      </c>
      <c r="H57" s="245"/>
      <c r="I57" s="250">
        <v>0</v>
      </c>
      <c r="J57" s="250"/>
      <c r="K57" s="251">
        <f t="shared" si="1"/>
        <v>0</v>
      </c>
      <c r="L57" s="50">
        <f t="shared" si="2"/>
        <v>0</v>
      </c>
      <c r="M57" s="50">
        <f t="shared" si="3"/>
        <v>0</v>
      </c>
      <c r="N57" s="50">
        <f t="shared" si="4"/>
        <v>0</v>
      </c>
    </row>
    <row r="58" spans="1:14" ht="12.75" customHeight="1" x14ac:dyDescent="0.3">
      <c r="A58" s="24">
        <v>10.039999999999999</v>
      </c>
      <c r="B58" s="25" t="s">
        <v>71</v>
      </c>
      <c r="C58" s="30" t="s">
        <v>33</v>
      </c>
      <c r="D58" s="31">
        <v>10</v>
      </c>
      <c r="E58" s="181">
        <v>58535</v>
      </c>
      <c r="F58" s="181">
        <f t="shared" si="0"/>
        <v>585350</v>
      </c>
      <c r="G58" s="182"/>
      <c r="H58" s="245"/>
      <c r="I58" s="250">
        <v>0</v>
      </c>
      <c r="J58" s="250"/>
      <c r="K58" s="251">
        <f t="shared" si="1"/>
        <v>0</v>
      </c>
      <c r="L58" s="50">
        <f t="shared" si="2"/>
        <v>0</v>
      </c>
      <c r="M58" s="50">
        <f t="shared" si="3"/>
        <v>0</v>
      </c>
      <c r="N58" s="50">
        <f t="shared" si="4"/>
        <v>0</v>
      </c>
    </row>
    <row r="59" spans="1:14" ht="12.75" customHeight="1" x14ac:dyDescent="0.3">
      <c r="A59" s="13">
        <v>11</v>
      </c>
      <c r="B59" s="17" t="s">
        <v>72</v>
      </c>
      <c r="C59" s="18"/>
      <c r="D59" s="19"/>
      <c r="E59" s="19"/>
      <c r="F59" s="19"/>
      <c r="G59" s="176">
        <f>+SUM(F60:F70)</f>
        <v>31170783</v>
      </c>
      <c r="H59" s="245">
        <f>+G59/$G$195</f>
        <v>3.6895257532418527E-2</v>
      </c>
      <c r="I59" s="246"/>
      <c r="J59" s="247"/>
      <c r="K59" s="247"/>
      <c r="L59" s="178"/>
      <c r="M59" s="178"/>
      <c r="N59" s="179"/>
    </row>
    <row r="60" spans="1:14" ht="12.75" customHeight="1" x14ac:dyDescent="0.3">
      <c r="A60" s="20">
        <v>11.01</v>
      </c>
      <c r="B60" s="21" t="s">
        <v>73</v>
      </c>
      <c r="C60" s="109" t="s">
        <v>19</v>
      </c>
      <c r="D60" s="94">
        <v>0</v>
      </c>
      <c r="E60" s="181">
        <v>0</v>
      </c>
      <c r="F60" s="181">
        <f t="shared" si="0"/>
        <v>0</v>
      </c>
      <c r="G60" s="185"/>
      <c r="H60" s="252"/>
      <c r="I60" s="250">
        <v>0</v>
      </c>
      <c r="J60" s="250"/>
      <c r="K60" s="251">
        <f t="shared" si="1"/>
        <v>0</v>
      </c>
      <c r="L60" s="50">
        <f t="shared" si="2"/>
        <v>0</v>
      </c>
      <c r="M60" s="50">
        <f t="shared" si="3"/>
        <v>0</v>
      </c>
      <c r="N60" s="50">
        <f t="shared" si="4"/>
        <v>0</v>
      </c>
    </row>
    <row r="61" spans="1:14" ht="12.75" customHeight="1" x14ac:dyDescent="0.3">
      <c r="A61" s="24">
        <v>11.02</v>
      </c>
      <c r="B61" s="25" t="s">
        <v>74</v>
      </c>
      <c r="C61" s="110" t="s">
        <v>19</v>
      </c>
      <c r="D61" s="31">
        <v>39</v>
      </c>
      <c r="E61" s="181">
        <v>19280</v>
      </c>
      <c r="F61" s="181">
        <f t="shared" si="0"/>
        <v>751920</v>
      </c>
      <c r="G61" s="186"/>
      <c r="H61" s="252"/>
      <c r="I61" s="250">
        <v>0</v>
      </c>
      <c r="J61" s="250"/>
      <c r="K61" s="251">
        <f t="shared" si="1"/>
        <v>0</v>
      </c>
      <c r="L61" s="50">
        <f t="shared" si="2"/>
        <v>0</v>
      </c>
      <c r="M61" s="50">
        <f t="shared" si="3"/>
        <v>0</v>
      </c>
      <c r="N61" s="50">
        <f t="shared" si="4"/>
        <v>0</v>
      </c>
    </row>
    <row r="62" spans="1:14" ht="12.75" customHeight="1" x14ac:dyDescent="0.3">
      <c r="A62" s="24">
        <v>11.03</v>
      </c>
      <c r="B62" s="25" t="s">
        <v>75</v>
      </c>
      <c r="C62" s="110" t="s">
        <v>19</v>
      </c>
      <c r="D62" s="31">
        <v>48</v>
      </c>
      <c r="E62" s="181">
        <v>25362</v>
      </c>
      <c r="F62" s="181">
        <f t="shared" si="0"/>
        <v>1217376</v>
      </c>
      <c r="G62" s="186"/>
      <c r="H62" s="252"/>
      <c r="I62" s="250">
        <v>0</v>
      </c>
      <c r="J62" s="250"/>
      <c r="K62" s="251">
        <f t="shared" si="1"/>
        <v>0</v>
      </c>
      <c r="L62" s="50">
        <f t="shared" si="2"/>
        <v>0</v>
      </c>
      <c r="M62" s="50">
        <f t="shared" si="3"/>
        <v>0</v>
      </c>
      <c r="N62" s="50">
        <f t="shared" si="4"/>
        <v>0</v>
      </c>
    </row>
    <row r="63" spans="1:14" ht="12.75" customHeight="1" x14ac:dyDescent="0.3">
      <c r="A63" s="24">
        <v>11.04</v>
      </c>
      <c r="B63" s="25" t="s">
        <v>76</v>
      </c>
      <c r="C63" s="30" t="s">
        <v>19</v>
      </c>
      <c r="D63" s="31">
        <v>174</v>
      </c>
      <c r="E63" s="181">
        <v>19164</v>
      </c>
      <c r="F63" s="181">
        <f t="shared" si="0"/>
        <v>3334536</v>
      </c>
      <c r="G63" s="182"/>
      <c r="H63" s="245"/>
      <c r="I63" s="250">
        <v>0</v>
      </c>
      <c r="J63" s="250"/>
      <c r="K63" s="251">
        <f t="shared" si="1"/>
        <v>0</v>
      </c>
      <c r="L63" s="50">
        <f t="shared" si="2"/>
        <v>0</v>
      </c>
      <c r="M63" s="50">
        <f t="shared" si="3"/>
        <v>0</v>
      </c>
      <c r="N63" s="50">
        <f t="shared" si="4"/>
        <v>0</v>
      </c>
    </row>
    <row r="64" spans="1:14" ht="12.75" customHeight="1" x14ac:dyDescent="0.3">
      <c r="A64" s="24">
        <v>11.05</v>
      </c>
      <c r="B64" s="25" t="s">
        <v>77</v>
      </c>
      <c r="C64" s="110" t="s">
        <v>19</v>
      </c>
      <c r="D64" s="31">
        <v>92</v>
      </c>
      <c r="E64" s="181">
        <v>19164</v>
      </c>
      <c r="F64" s="181">
        <f t="shared" si="0"/>
        <v>1763088</v>
      </c>
      <c r="G64" s="185"/>
      <c r="H64" s="252"/>
      <c r="I64" s="250">
        <v>0</v>
      </c>
      <c r="J64" s="250"/>
      <c r="K64" s="251">
        <f t="shared" si="1"/>
        <v>0</v>
      </c>
      <c r="L64" s="50">
        <f t="shared" si="2"/>
        <v>0</v>
      </c>
      <c r="M64" s="50">
        <f t="shared" si="3"/>
        <v>0</v>
      </c>
      <c r="N64" s="50">
        <f t="shared" si="4"/>
        <v>0</v>
      </c>
    </row>
    <row r="65" spans="1:14" ht="12.75" customHeight="1" x14ac:dyDescent="0.3">
      <c r="A65" s="24">
        <v>11.06</v>
      </c>
      <c r="B65" s="25" t="s">
        <v>78</v>
      </c>
      <c r="C65" s="30" t="s">
        <v>19</v>
      </c>
      <c r="D65" s="31">
        <v>8</v>
      </c>
      <c r="E65" s="181">
        <v>14043</v>
      </c>
      <c r="F65" s="181">
        <f t="shared" si="0"/>
        <v>112344</v>
      </c>
      <c r="G65" s="182"/>
      <c r="H65" s="245"/>
      <c r="I65" s="250">
        <v>0</v>
      </c>
      <c r="J65" s="250"/>
      <c r="K65" s="251">
        <f t="shared" si="1"/>
        <v>0</v>
      </c>
      <c r="L65" s="50">
        <f t="shared" si="2"/>
        <v>0</v>
      </c>
      <c r="M65" s="50">
        <f t="shared" si="3"/>
        <v>0</v>
      </c>
      <c r="N65" s="50">
        <f t="shared" si="4"/>
        <v>0</v>
      </c>
    </row>
    <row r="66" spans="1:14" ht="12.75" customHeight="1" x14ac:dyDescent="0.3">
      <c r="A66" s="24">
        <v>11.07</v>
      </c>
      <c r="B66" s="25" t="s">
        <v>79</v>
      </c>
      <c r="C66" s="110" t="s">
        <v>19</v>
      </c>
      <c r="D66" s="31">
        <v>46</v>
      </c>
      <c r="E66" s="181">
        <v>26630</v>
      </c>
      <c r="F66" s="181">
        <f t="shared" si="0"/>
        <v>1224980</v>
      </c>
      <c r="G66" s="186"/>
      <c r="H66" s="252"/>
      <c r="I66" s="250">
        <v>0</v>
      </c>
      <c r="J66" s="250"/>
      <c r="K66" s="251">
        <f t="shared" si="1"/>
        <v>0</v>
      </c>
      <c r="L66" s="50">
        <f t="shared" si="2"/>
        <v>0</v>
      </c>
      <c r="M66" s="50">
        <f t="shared" si="3"/>
        <v>0</v>
      </c>
      <c r="N66" s="50">
        <f t="shared" si="4"/>
        <v>0</v>
      </c>
    </row>
    <row r="67" spans="1:14" ht="12.75" customHeight="1" x14ac:dyDescent="0.3">
      <c r="A67" s="24">
        <v>11.08</v>
      </c>
      <c r="B67" s="25" t="s">
        <v>80</v>
      </c>
      <c r="C67" s="110" t="s">
        <v>19</v>
      </c>
      <c r="D67" s="31">
        <v>562</v>
      </c>
      <c r="E67" s="181">
        <v>25362</v>
      </c>
      <c r="F67" s="181">
        <f t="shared" si="0"/>
        <v>14253444</v>
      </c>
      <c r="G67" s="186"/>
      <c r="H67" s="252"/>
      <c r="I67" s="250">
        <v>0</v>
      </c>
      <c r="J67" s="250"/>
      <c r="K67" s="251">
        <f t="shared" si="1"/>
        <v>0</v>
      </c>
      <c r="L67" s="50">
        <f t="shared" si="2"/>
        <v>0</v>
      </c>
      <c r="M67" s="50">
        <f t="shared" si="3"/>
        <v>0</v>
      </c>
      <c r="N67" s="50">
        <f t="shared" si="4"/>
        <v>0</v>
      </c>
    </row>
    <row r="68" spans="1:14" ht="12.75" customHeight="1" x14ac:dyDescent="0.3">
      <c r="A68" s="24">
        <v>11.09</v>
      </c>
      <c r="B68" s="25" t="s">
        <v>81</v>
      </c>
      <c r="C68" s="113" t="s">
        <v>19</v>
      </c>
      <c r="D68" s="32">
        <v>73</v>
      </c>
      <c r="E68" s="181">
        <v>30109</v>
      </c>
      <c r="F68" s="181">
        <f t="shared" si="0"/>
        <v>2197957</v>
      </c>
      <c r="G68" s="186"/>
      <c r="H68" s="252"/>
      <c r="I68" s="250">
        <v>0</v>
      </c>
      <c r="J68" s="250"/>
      <c r="K68" s="251">
        <f t="shared" si="1"/>
        <v>0</v>
      </c>
      <c r="L68" s="50">
        <f t="shared" si="2"/>
        <v>0</v>
      </c>
      <c r="M68" s="50">
        <f t="shared" si="3"/>
        <v>0</v>
      </c>
      <c r="N68" s="50">
        <f t="shared" si="4"/>
        <v>0</v>
      </c>
    </row>
    <row r="69" spans="1:14" ht="12.75" customHeight="1" x14ac:dyDescent="0.3">
      <c r="A69" s="24">
        <v>11.1</v>
      </c>
      <c r="B69" s="25" t="s">
        <v>82</v>
      </c>
      <c r="C69" s="113" t="s">
        <v>19</v>
      </c>
      <c r="D69" s="32">
        <v>143</v>
      </c>
      <c r="E69" s="181">
        <v>25362</v>
      </c>
      <c r="F69" s="181">
        <f t="shared" si="0"/>
        <v>3626766</v>
      </c>
      <c r="G69" s="186"/>
      <c r="H69" s="252"/>
      <c r="I69" s="250">
        <v>0</v>
      </c>
      <c r="J69" s="250"/>
      <c r="K69" s="251">
        <f t="shared" si="1"/>
        <v>0</v>
      </c>
      <c r="L69" s="50">
        <f t="shared" si="2"/>
        <v>0</v>
      </c>
      <c r="M69" s="50">
        <f t="shared" si="3"/>
        <v>0</v>
      </c>
      <c r="N69" s="50">
        <f t="shared" si="4"/>
        <v>0</v>
      </c>
    </row>
    <row r="70" spans="1:14" ht="12.75" customHeight="1" x14ac:dyDescent="0.3">
      <c r="A70" s="24">
        <v>11.11</v>
      </c>
      <c r="B70" s="25" t="s">
        <v>83</v>
      </c>
      <c r="C70" s="111" t="s">
        <v>19</v>
      </c>
      <c r="D70" s="35">
        <v>106</v>
      </c>
      <c r="E70" s="181">
        <v>25362</v>
      </c>
      <c r="F70" s="181">
        <f t="shared" si="0"/>
        <v>2688372</v>
      </c>
      <c r="G70" s="186"/>
      <c r="H70" s="252"/>
      <c r="I70" s="250">
        <v>0</v>
      </c>
      <c r="J70" s="250"/>
      <c r="K70" s="251">
        <f t="shared" si="1"/>
        <v>0</v>
      </c>
      <c r="L70" s="50">
        <f t="shared" si="2"/>
        <v>0</v>
      </c>
      <c r="M70" s="50">
        <f t="shared" si="3"/>
        <v>0</v>
      </c>
      <c r="N70" s="50">
        <f t="shared" si="4"/>
        <v>0</v>
      </c>
    </row>
    <row r="71" spans="1:14" ht="12.75" customHeight="1" x14ac:dyDescent="0.3">
      <c r="A71" s="13">
        <v>12</v>
      </c>
      <c r="B71" s="17" t="s">
        <v>84</v>
      </c>
      <c r="C71" s="18"/>
      <c r="D71" s="19"/>
      <c r="E71" s="19"/>
      <c r="F71" s="19"/>
      <c r="G71" s="176">
        <f>+SUM(F72:F74)</f>
        <v>8990052</v>
      </c>
      <c r="H71" s="245">
        <f>+G71/$G$195</f>
        <v>1.0641063580912749E-2</v>
      </c>
      <c r="I71" s="246"/>
      <c r="J71" s="247"/>
      <c r="K71" s="247"/>
      <c r="L71" s="178"/>
      <c r="M71" s="178"/>
      <c r="N71" s="179"/>
    </row>
    <row r="72" spans="1:14" ht="12.75" customHeight="1" x14ac:dyDescent="0.3">
      <c r="A72" s="20">
        <f>+A71+0.01</f>
        <v>12.01</v>
      </c>
      <c r="B72" s="21" t="s">
        <v>85</v>
      </c>
      <c r="C72" s="109" t="s">
        <v>27</v>
      </c>
      <c r="D72" s="94">
        <v>19</v>
      </c>
      <c r="E72" s="181">
        <v>6496</v>
      </c>
      <c r="F72" s="181">
        <f t="shared" si="0"/>
        <v>123424</v>
      </c>
      <c r="H72" s="245"/>
      <c r="I72" s="250">
        <v>0</v>
      </c>
      <c r="J72" s="250"/>
      <c r="K72" s="251">
        <f t="shared" si="1"/>
        <v>0</v>
      </c>
      <c r="L72" s="50">
        <f t="shared" si="2"/>
        <v>0</v>
      </c>
      <c r="M72" s="50">
        <f t="shared" si="3"/>
        <v>0</v>
      </c>
      <c r="N72" s="50">
        <f t="shared" si="4"/>
        <v>0</v>
      </c>
    </row>
    <row r="73" spans="1:14" ht="12.75" customHeight="1" x14ac:dyDescent="0.3">
      <c r="A73" s="106">
        <v>12.02</v>
      </c>
      <c r="B73" s="25" t="s">
        <v>86</v>
      </c>
      <c r="C73" s="114" t="s">
        <v>27</v>
      </c>
      <c r="D73" s="31">
        <v>626</v>
      </c>
      <c r="E73" s="181">
        <v>9059</v>
      </c>
      <c r="F73" s="181">
        <f t="shared" si="0"/>
        <v>5670934</v>
      </c>
      <c r="H73" s="245"/>
      <c r="I73" s="250">
        <v>0</v>
      </c>
      <c r="J73" s="250"/>
      <c r="K73" s="251">
        <f t="shared" si="1"/>
        <v>0</v>
      </c>
      <c r="L73" s="50">
        <f t="shared" si="2"/>
        <v>0</v>
      </c>
      <c r="M73" s="50">
        <f t="shared" si="3"/>
        <v>0</v>
      </c>
      <c r="N73" s="50">
        <f t="shared" si="4"/>
        <v>0</v>
      </c>
    </row>
    <row r="74" spans="1:14" ht="12.75" customHeight="1" x14ac:dyDescent="0.3">
      <c r="A74" s="106">
        <v>12.03</v>
      </c>
      <c r="B74" s="107" t="s">
        <v>87</v>
      </c>
      <c r="C74" s="114" t="s">
        <v>27</v>
      </c>
      <c r="D74" s="35">
        <v>386</v>
      </c>
      <c r="E74" s="181">
        <v>8279</v>
      </c>
      <c r="F74" s="181">
        <f t="shared" ref="F74:F137" si="5">+E74*D74</f>
        <v>3195694</v>
      </c>
      <c r="H74" s="245"/>
      <c r="I74" s="250">
        <v>0</v>
      </c>
      <c r="J74" s="250"/>
      <c r="K74" s="251">
        <f t="shared" ref="K74" si="6">+I74+J74</f>
        <v>0</v>
      </c>
      <c r="L74" s="50">
        <f t="shared" ref="L74" si="7">+F74*I74</f>
        <v>0</v>
      </c>
      <c r="M74" s="50">
        <f t="shared" ref="M74" si="8">+F74*J74</f>
        <v>0</v>
      </c>
      <c r="N74" s="50">
        <f t="shared" ref="N74" si="9">+F74*K74</f>
        <v>0</v>
      </c>
    </row>
    <row r="75" spans="1:14" ht="12.75" customHeight="1" x14ac:dyDescent="0.3">
      <c r="A75" s="13">
        <v>13</v>
      </c>
      <c r="B75" s="17" t="s">
        <v>88</v>
      </c>
      <c r="C75" s="18"/>
      <c r="D75" s="19"/>
      <c r="E75" s="19"/>
      <c r="F75" s="19"/>
      <c r="G75" s="176">
        <f>+SUM(F76:F79)</f>
        <v>14836279</v>
      </c>
      <c r="H75" s="245">
        <f>+G75/$G$195</f>
        <v>1.7560942711250239E-2</v>
      </c>
      <c r="I75" s="246"/>
      <c r="J75" s="247"/>
      <c r="K75" s="247"/>
      <c r="L75" s="178"/>
      <c r="M75" s="178"/>
      <c r="N75" s="179"/>
    </row>
    <row r="76" spans="1:14" ht="12.75" customHeight="1" x14ac:dyDescent="0.3">
      <c r="A76" s="115">
        <v>13.01</v>
      </c>
      <c r="B76" s="116" t="s">
        <v>89</v>
      </c>
      <c r="C76" s="117" t="s">
        <v>19</v>
      </c>
      <c r="D76" s="23">
        <v>413</v>
      </c>
      <c r="E76" s="181">
        <v>30109</v>
      </c>
      <c r="F76" s="181">
        <f t="shared" si="5"/>
        <v>12435017</v>
      </c>
      <c r="H76" s="245"/>
      <c r="I76" s="250">
        <v>0</v>
      </c>
      <c r="J76" s="250"/>
      <c r="K76" s="251">
        <f t="shared" ref="K76:K139" si="10">+I76+J76</f>
        <v>0</v>
      </c>
      <c r="L76" s="50">
        <f t="shared" ref="L76:L139" si="11">+F76*I76</f>
        <v>0</v>
      </c>
      <c r="M76" s="50">
        <f t="shared" ref="M76:M139" si="12">+F76*J76</f>
        <v>0</v>
      </c>
      <c r="N76" s="50">
        <f t="shared" ref="N76:N139" si="13">+F76*K76</f>
        <v>0</v>
      </c>
    </row>
    <row r="77" spans="1:14" ht="12.75" customHeight="1" x14ac:dyDescent="0.3">
      <c r="A77" s="118">
        <v>13.02</v>
      </c>
      <c r="B77" s="119" t="s">
        <v>90</v>
      </c>
      <c r="C77" s="120" t="s">
        <v>19</v>
      </c>
      <c r="D77" s="121">
        <v>18</v>
      </c>
      <c r="E77" s="181">
        <v>30109</v>
      </c>
      <c r="F77" s="181">
        <f t="shared" si="5"/>
        <v>541962</v>
      </c>
      <c r="H77" s="245"/>
      <c r="I77" s="250">
        <v>0</v>
      </c>
      <c r="J77" s="250"/>
      <c r="K77" s="251">
        <f t="shared" si="10"/>
        <v>0</v>
      </c>
      <c r="L77" s="50">
        <f t="shared" si="11"/>
        <v>0</v>
      </c>
      <c r="M77" s="50">
        <f t="shared" si="12"/>
        <v>0</v>
      </c>
      <c r="N77" s="50">
        <f t="shared" si="13"/>
        <v>0</v>
      </c>
    </row>
    <row r="78" spans="1:14" ht="12.75" customHeight="1" x14ac:dyDescent="0.3">
      <c r="A78" s="100">
        <v>13.03</v>
      </c>
      <c r="B78" s="119" t="s">
        <v>91</v>
      </c>
      <c r="C78" s="110" t="s">
        <v>19</v>
      </c>
      <c r="D78" s="31">
        <v>20</v>
      </c>
      <c r="E78" s="181">
        <v>92965</v>
      </c>
      <c r="F78" s="181">
        <f t="shared" si="5"/>
        <v>1859300</v>
      </c>
      <c r="G78" s="186"/>
      <c r="H78" s="252"/>
      <c r="I78" s="250">
        <v>0</v>
      </c>
      <c r="J78" s="250"/>
      <c r="K78" s="251">
        <f t="shared" si="10"/>
        <v>0</v>
      </c>
      <c r="L78" s="50">
        <f t="shared" si="11"/>
        <v>0</v>
      </c>
      <c r="M78" s="50">
        <f t="shared" si="12"/>
        <v>0</v>
      </c>
      <c r="N78" s="50">
        <f t="shared" si="13"/>
        <v>0</v>
      </c>
    </row>
    <row r="79" spans="1:14" ht="12.75" customHeight="1" x14ac:dyDescent="0.3">
      <c r="A79" s="100">
        <v>13.04</v>
      </c>
      <c r="B79" s="25" t="s">
        <v>92</v>
      </c>
      <c r="C79" s="110" t="s">
        <v>19</v>
      </c>
      <c r="D79" s="31">
        <v>0</v>
      </c>
      <c r="E79" s="181">
        <v>0</v>
      </c>
      <c r="F79" s="181">
        <f t="shared" si="5"/>
        <v>0</v>
      </c>
      <c r="G79" s="186"/>
      <c r="H79" s="252"/>
      <c r="I79" s="250">
        <v>0</v>
      </c>
      <c r="J79" s="250"/>
      <c r="K79" s="251">
        <f t="shared" si="10"/>
        <v>0</v>
      </c>
      <c r="L79" s="50">
        <f t="shared" si="11"/>
        <v>0</v>
      </c>
      <c r="M79" s="50">
        <f t="shared" si="12"/>
        <v>0</v>
      </c>
      <c r="N79" s="50">
        <f t="shared" si="13"/>
        <v>0</v>
      </c>
    </row>
    <row r="80" spans="1:14" ht="12.75" customHeight="1" x14ac:dyDescent="0.3">
      <c r="A80" s="13">
        <v>14</v>
      </c>
      <c r="B80" s="17" t="s">
        <v>93</v>
      </c>
      <c r="C80" s="18"/>
      <c r="D80" s="19"/>
      <c r="E80" s="19"/>
      <c r="F80" s="19"/>
      <c r="G80" s="176">
        <f>+SUM(F81:F87)</f>
        <v>33813897</v>
      </c>
      <c r="H80" s="245">
        <f>+G80/$G$195</f>
        <v>4.0023776046616291E-2</v>
      </c>
      <c r="I80" s="246"/>
      <c r="J80" s="247"/>
      <c r="K80" s="247"/>
      <c r="L80" s="178"/>
      <c r="M80" s="178"/>
      <c r="N80" s="179"/>
    </row>
    <row r="81" spans="1:14" ht="12.75" customHeight="1" x14ac:dyDescent="0.3">
      <c r="A81" s="20">
        <f>+A80+0.01</f>
        <v>14.01</v>
      </c>
      <c r="B81" s="21" t="s">
        <v>94</v>
      </c>
      <c r="C81" s="117" t="s">
        <v>19</v>
      </c>
      <c r="D81" s="23">
        <v>460</v>
      </c>
      <c r="E81" s="181">
        <v>23624</v>
      </c>
      <c r="F81" s="181">
        <f t="shared" si="5"/>
        <v>10867040</v>
      </c>
      <c r="H81" s="245"/>
      <c r="I81" s="250">
        <v>0</v>
      </c>
      <c r="J81" s="250"/>
      <c r="K81" s="251">
        <f t="shared" si="10"/>
        <v>0</v>
      </c>
      <c r="L81" s="50">
        <f t="shared" si="11"/>
        <v>0</v>
      </c>
      <c r="M81" s="50">
        <f t="shared" si="12"/>
        <v>0</v>
      </c>
      <c r="N81" s="50">
        <f t="shared" si="13"/>
        <v>0</v>
      </c>
    </row>
    <row r="82" spans="1:14" ht="12.75" customHeight="1" x14ac:dyDescent="0.3">
      <c r="A82" s="106">
        <v>14.02</v>
      </c>
      <c r="B82" s="107" t="s">
        <v>95</v>
      </c>
      <c r="C82" s="120" t="s">
        <v>27</v>
      </c>
      <c r="D82" s="121">
        <v>434</v>
      </c>
      <c r="E82" s="181">
        <v>16659</v>
      </c>
      <c r="F82" s="181">
        <f t="shared" si="5"/>
        <v>7230006</v>
      </c>
      <c r="H82" s="245"/>
      <c r="I82" s="250">
        <v>0</v>
      </c>
      <c r="J82" s="250"/>
      <c r="K82" s="251">
        <f t="shared" si="10"/>
        <v>0</v>
      </c>
      <c r="L82" s="50">
        <f t="shared" si="11"/>
        <v>0</v>
      </c>
      <c r="M82" s="50">
        <f t="shared" si="12"/>
        <v>0</v>
      </c>
      <c r="N82" s="50">
        <f t="shared" si="13"/>
        <v>0</v>
      </c>
    </row>
    <row r="83" spans="1:14" ht="12.75" customHeight="1" x14ac:dyDescent="0.3">
      <c r="A83" s="24">
        <v>14.03</v>
      </c>
      <c r="B83" s="25" t="s">
        <v>96</v>
      </c>
      <c r="C83" s="112" t="s">
        <v>19</v>
      </c>
      <c r="D83" s="27">
        <v>115</v>
      </c>
      <c r="E83" s="181">
        <v>35817</v>
      </c>
      <c r="F83" s="181">
        <f t="shared" si="5"/>
        <v>4118955</v>
      </c>
      <c r="H83" s="245"/>
      <c r="I83" s="250">
        <v>0</v>
      </c>
      <c r="J83" s="250"/>
      <c r="K83" s="251">
        <f t="shared" si="10"/>
        <v>0</v>
      </c>
      <c r="L83" s="50">
        <f t="shared" si="11"/>
        <v>0</v>
      </c>
      <c r="M83" s="50">
        <f t="shared" si="12"/>
        <v>0</v>
      </c>
      <c r="N83" s="50">
        <f t="shared" si="13"/>
        <v>0</v>
      </c>
    </row>
    <row r="84" spans="1:14" ht="12.75" customHeight="1" x14ac:dyDescent="0.3">
      <c r="A84" s="106">
        <v>14.04</v>
      </c>
      <c r="B84" s="25" t="s">
        <v>97</v>
      </c>
      <c r="C84" s="112" t="s">
        <v>19</v>
      </c>
      <c r="D84" s="27">
        <v>89</v>
      </c>
      <c r="E84" s="181">
        <v>41132</v>
      </c>
      <c r="F84" s="181">
        <f t="shared" si="5"/>
        <v>3660748</v>
      </c>
      <c r="H84" s="245"/>
      <c r="I84" s="250">
        <v>0</v>
      </c>
      <c r="J84" s="250"/>
      <c r="K84" s="251">
        <f t="shared" si="10"/>
        <v>0</v>
      </c>
      <c r="L84" s="50">
        <f t="shared" si="11"/>
        <v>0</v>
      </c>
      <c r="M84" s="50">
        <f t="shared" si="12"/>
        <v>0</v>
      </c>
      <c r="N84" s="50">
        <f t="shared" si="13"/>
        <v>0</v>
      </c>
    </row>
    <row r="85" spans="1:14" ht="12.75" customHeight="1" x14ac:dyDescent="0.3">
      <c r="A85" s="24">
        <v>14.05</v>
      </c>
      <c r="B85" s="25" t="s">
        <v>98</v>
      </c>
      <c r="C85" s="112" t="s">
        <v>27</v>
      </c>
      <c r="D85" s="27">
        <v>530</v>
      </c>
      <c r="E85" s="181">
        <v>9274</v>
      </c>
      <c r="F85" s="181">
        <f t="shared" si="5"/>
        <v>4915220</v>
      </c>
      <c r="H85" s="245"/>
      <c r="I85" s="250">
        <v>0</v>
      </c>
      <c r="J85" s="250"/>
      <c r="K85" s="251">
        <f t="shared" si="10"/>
        <v>0</v>
      </c>
      <c r="L85" s="50">
        <f t="shared" si="11"/>
        <v>0</v>
      </c>
      <c r="M85" s="50">
        <f t="shared" si="12"/>
        <v>0</v>
      </c>
      <c r="N85" s="50">
        <f t="shared" si="13"/>
        <v>0</v>
      </c>
    </row>
    <row r="86" spans="1:14" ht="12.75" customHeight="1" x14ac:dyDescent="0.3">
      <c r="A86" s="106">
        <v>14.06</v>
      </c>
      <c r="B86" s="25" t="s">
        <v>99</v>
      </c>
      <c r="C86" s="112" t="s">
        <v>27</v>
      </c>
      <c r="D86" s="27">
        <v>56</v>
      </c>
      <c r="E86" s="181">
        <v>9274</v>
      </c>
      <c r="F86" s="181">
        <f t="shared" si="5"/>
        <v>519344</v>
      </c>
      <c r="H86" s="245"/>
      <c r="I86" s="250">
        <v>0</v>
      </c>
      <c r="J86" s="250"/>
      <c r="K86" s="251">
        <f t="shared" si="10"/>
        <v>0</v>
      </c>
      <c r="L86" s="50">
        <f t="shared" si="11"/>
        <v>0</v>
      </c>
      <c r="M86" s="50">
        <f t="shared" si="12"/>
        <v>0</v>
      </c>
      <c r="N86" s="50">
        <f t="shared" si="13"/>
        <v>0</v>
      </c>
    </row>
    <row r="87" spans="1:14" ht="12.75" customHeight="1" x14ac:dyDescent="0.3">
      <c r="A87" s="24">
        <v>14.07</v>
      </c>
      <c r="B87" s="25" t="s">
        <v>100</v>
      </c>
      <c r="C87" s="112" t="s">
        <v>19</v>
      </c>
      <c r="D87" s="27">
        <v>469</v>
      </c>
      <c r="E87" s="181">
        <v>5336</v>
      </c>
      <c r="F87" s="181">
        <f t="shared" si="5"/>
        <v>2502584</v>
      </c>
      <c r="H87" s="245"/>
      <c r="I87" s="250">
        <v>0</v>
      </c>
      <c r="J87" s="250"/>
      <c r="K87" s="251">
        <f t="shared" si="10"/>
        <v>0</v>
      </c>
      <c r="L87" s="50">
        <f t="shared" si="11"/>
        <v>0</v>
      </c>
      <c r="M87" s="50">
        <f t="shared" si="12"/>
        <v>0</v>
      </c>
      <c r="N87" s="50">
        <f t="shared" si="13"/>
        <v>0</v>
      </c>
    </row>
    <row r="88" spans="1:14" ht="12.75" customHeight="1" x14ac:dyDescent="0.3">
      <c r="A88" s="13">
        <v>15</v>
      </c>
      <c r="B88" s="17" t="s">
        <v>101</v>
      </c>
      <c r="C88" s="18"/>
      <c r="D88" s="19"/>
      <c r="E88" s="19"/>
      <c r="F88" s="19"/>
      <c r="G88" s="176">
        <f>+SUM(F89:F100)</f>
        <v>81675029</v>
      </c>
      <c r="H88" s="245">
        <f>+G88/$G$195</f>
        <v>9.667454388049064E-2</v>
      </c>
      <c r="I88" s="246"/>
      <c r="J88" s="247"/>
      <c r="K88" s="247"/>
      <c r="L88" s="178"/>
      <c r="M88" s="178"/>
      <c r="N88" s="179"/>
    </row>
    <row r="89" spans="1:14" ht="12.75" customHeight="1" x14ac:dyDescent="0.3">
      <c r="A89" s="115">
        <v>15.01</v>
      </c>
      <c r="B89" s="116" t="s">
        <v>102</v>
      </c>
      <c r="C89" s="122" t="s">
        <v>19</v>
      </c>
      <c r="D89" s="123">
        <v>739</v>
      </c>
      <c r="E89" s="181">
        <v>22075</v>
      </c>
      <c r="F89" s="181">
        <f t="shared" si="5"/>
        <v>16313425</v>
      </c>
      <c r="G89" s="186"/>
      <c r="H89" s="253"/>
      <c r="I89" s="250">
        <v>0</v>
      </c>
      <c r="J89" s="250"/>
      <c r="K89" s="251">
        <f t="shared" si="10"/>
        <v>0</v>
      </c>
      <c r="L89" s="50">
        <f t="shared" si="11"/>
        <v>0</v>
      </c>
      <c r="M89" s="50">
        <f t="shared" si="12"/>
        <v>0</v>
      </c>
      <c r="N89" s="50">
        <f t="shared" si="13"/>
        <v>0</v>
      </c>
    </row>
    <row r="90" spans="1:14" ht="12.75" customHeight="1" x14ac:dyDescent="0.3">
      <c r="A90" s="100">
        <v>15.02</v>
      </c>
      <c r="B90" s="25" t="s">
        <v>103</v>
      </c>
      <c r="C90" s="110" t="s">
        <v>19</v>
      </c>
      <c r="D90" s="29">
        <v>1439</v>
      </c>
      <c r="E90" s="181">
        <v>8883</v>
      </c>
      <c r="F90" s="181">
        <f t="shared" si="5"/>
        <v>12782637</v>
      </c>
      <c r="G90" s="186"/>
      <c r="H90" s="253"/>
      <c r="I90" s="250">
        <v>0</v>
      </c>
      <c r="J90" s="250"/>
      <c r="K90" s="251">
        <f t="shared" si="10"/>
        <v>0</v>
      </c>
      <c r="L90" s="50">
        <f t="shared" si="11"/>
        <v>0</v>
      </c>
      <c r="M90" s="50">
        <f t="shared" si="12"/>
        <v>0</v>
      </c>
      <c r="N90" s="50">
        <f t="shared" si="13"/>
        <v>0</v>
      </c>
    </row>
    <row r="91" spans="1:14" ht="12.75" customHeight="1" x14ac:dyDescent="0.3">
      <c r="A91" s="100">
        <v>15.03</v>
      </c>
      <c r="B91" s="25" t="s">
        <v>104</v>
      </c>
      <c r="C91" s="110" t="s">
        <v>19</v>
      </c>
      <c r="D91" s="29">
        <v>462</v>
      </c>
      <c r="E91" s="181">
        <v>14295</v>
      </c>
      <c r="F91" s="181">
        <f t="shared" si="5"/>
        <v>6604290</v>
      </c>
      <c r="G91" s="186"/>
      <c r="H91" s="253"/>
      <c r="I91" s="250">
        <v>0</v>
      </c>
      <c r="J91" s="250"/>
      <c r="K91" s="251">
        <f t="shared" si="10"/>
        <v>0</v>
      </c>
      <c r="L91" s="50">
        <f t="shared" si="11"/>
        <v>0</v>
      </c>
      <c r="M91" s="50">
        <f t="shared" si="12"/>
        <v>0</v>
      </c>
      <c r="N91" s="50">
        <f t="shared" si="13"/>
        <v>0</v>
      </c>
    </row>
    <row r="92" spans="1:14" ht="12.75" customHeight="1" x14ac:dyDescent="0.3">
      <c r="A92" s="100">
        <v>15.04</v>
      </c>
      <c r="B92" s="25" t="s">
        <v>105</v>
      </c>
      <c r="C92" s="110" t="s">
        <v>19</v>
      </c>
      <c r="D92" s="29">
        <v>144</v>
      </c>
      <c r="E92" s="181">
        <v>7538</v>
      </c>
      <c r="F92" s="181">
        <f t="shared" si="5"/>
        <v>1085472</v>
      </c>
      <c r="G92" s="186"/>
      <c r="H92" s="253"/>
      <c r="I92" s="250">
        <v>0</v>
      </c>
      <c r="J92" s="250"/>
      <c r="K92" s="251">
        <f t="shared" si="10"/>
        <v>0</v>
      </c>
      <c r="L92" s="50">
        <f t="shared" si="11"/>
        <v>0</v>
      </c>
      <c r="M92" s="50">
        <f t="shared" si="12"/>
        <v>0</v>
      </c>
      <c r="N92" s="50">
        <f t="shared" si="13"/>
        <v>0</v>
      </c>
    </row>
    <row r="93" spans="1:14" ht="12.75" customHeight="1" x14ac:dyDescent="0.3">
      <c r="A93" s="100">
        <v>15.05</v>
      </c>
      <c r="B93" s="25" t="s">
        <v>106</v>
      </c>
      <c r="C93" s="110" t="s">
        <v>19</v>
      </c>
      <c r="D93" s="29">
        <v>460</v>
      </c>
      <c r="E93" s="181">
        <v>8883</v>
      </c>
      <c r="F93" s="181">
        <f t="shared" si="5"/>
        <v>4086180</v>
      </c>
      <c r="G93" s="186"/>
      <c r="H93" s="253"/>
      <c r="I93" s="250">
        <v>0</v>
      </c>
      <c r="J93" s="250"/>
      <c r="K93" s="251">
        <f t="shared" si="10"/>
        <v>0</v>
      </c>
      <c r="L93" s="50">
        <f t="shared" si="11"/>
        <v>0</v>
      </c>
      <c r="M93" s="50">
        <f t="shared" si="12"/>
        <v>0</v>
      </c>
      <c r="N93" s="50">
        <f t="shared" si="13"/>
        <v>0</v>
      </c>
    </row>
    <row r="94" spans="1:14" ht="12.75" customHeight="1" x14ac:dyDescent="0.3">
      <c r="A94" s="100">
        <v>15.06</v>
      </c>
      <c r="B94" s="25" t="s">
        <v>107</v>
      </c>
      <c r="C94" s="110" t="s">
        <v>19</v>
      </c>
      <c r="D94" s="29">
        <v>204</v>
      </c>
      <c r="E94" s="181">
        <v>15750</v>
      </c>
      <c r="F94" s="181">
        <f t="shared" si="5"/>
        <v>3213000</v>
      </c>
      <c r="G94" s="186"/>
      <c r="H94" s="253"/>
      <c r="I94" s="250">
        <v>0</v>
      </c>
      <c r="J94" s="250"/>
      <c r="K94" s="251">
        <f t="shared" si="10"/>
        <v>0</v>
      </c>
      <c r="L94" s="50">
        <f t="shared" si="11"/>
        <v>0</v>
      </c>
      <c r="M94" s="50">
        <f t="shared" si="12"/>
        <v>0</v>
      </c>
      <c r="N94" s="50">
        <f t="shared" si="13"/>
        <v>0</v>
      </c>
    </row>
    <row r="95" spans="1:14" ht="12.75" customHeight="1" x14ac:dyDescent="0.3">
      <c r="A95" s="100">
        <v>15.07</v>
      </c>
      <c r="B95" s="25" t="s">
        <v>108</v>
      </c>
      <c r="C95" s="28" t="s">
        <v>19</v>
      </c>
      <c r="D95" s="29">
        <v>262</v>
      </c>
      <c r="E95" s="181">
        <v>17154</v>
      </c>
      <c r="F95" s="181">
        <f t="shared" si="5"/>
        <v>4494348</v>
      </c>
      <c r="G95" s="186"/>
      <c r="H95" s="245"/>
      <c r="I95" s="250">
        <v>0</v>
      </c>
      <c r="J95" s="250"/>
      <c r="K95" s="251">
        <f t="shared" si="10"/>
        <v>0</v>
      </c>
      <c r="L95" s="50">
        <f t="shared" si="11"/>
        <v>0</v>
      </c>
      <c r="M95" s="50">
        <f t="shared" si="12"/>
        <v>0</v>
      </c>
      <c r="N95" s="50">
        <f t="shared" si="13"/>
        <v>0</v>
      </c>
    </row>
    <row r="96" spans="1:14" ht="12.75" customHeight="1" x14ac:dyDescent="0.3">
      <c r="A96" s="100">
        <v>15.08</v>
      </c>
      <c r="B96" s="25" t="s">
        <v>109</v>
      </c>
      <c r="C96" s="110" t="s">
        <v>19</v>
      </c>
      <c r="D96" s="31">
        <v>756</v>
      </c>
      <c r="E96" s="181">
        <v>26534</v>
      </c>
      <c r="F96" s="181">
        <f t="shared" si="5"/>
        <v>20059704</v>
      </c>
      <c r="G96" s="186"/>
      <c r="H96" s="252"/>
      <c r="I96" s="250">
        <v>0</v>
      </c>
      <c r="J96" s="250"/>
      <c r="K96" s="251">
        <f t="shared" si="10"/>
        <v>0</v>
      </c>
      <c r="L96" s="50">
        <f t="shared" si="11"/>
        <v>0</v>
      </c>
      <c r="M96" s="50">
        <f t="shared" si="12"/>
        <v>0</v>
      </c>
      <c r="N96" s="50">
        <f t="shared" si="13"/>
        <v>0</v>
      </c>
    </row>
    <row r="97" spans="1:19" ht="12.75" customHeight="1" x14ac:dyDescent="0.3">
      <c r="A97" s="100">
        <v>15.09</v>
      </c>
      <c r="B97" s="25" t="s">
        <v>110</v>
      </c>
      <c r="C97" s="110" t="s">
        <v>19</v>
      </c>
      <c r="D97" s="31">
        <v>56</v>
      </c>
      <c r="E97" s="181">
        <v>31737</v>
      </c>
      <c r="F97" s="181">
        <f t="shared" si="5"/>
        <v>1777272</v>
      </c>
      <c r="G97" s="186"/>
      <c r="H97" s="252"/>
      <c r="I97" s="250">
        <v>0</v>
      </c>
      <c r="J97" s="250"/>
      <c r="K97" s="251">
        <f t="shared" si="10"/>
        <v>0</v>
      </c>
      <c r="L97" s="50">
        <f t="shared" si="11"/>
        <v>0</v>
      </c>
      <c r="M97" s="50">
        <f t="shared" si="12"/>
        <v>0</v>
      </c>
      <c r="N97" s="50">
        <f t="shared" si="13"/>
        <v>0</v>
      </c>
    </row>
    <row r="98" spans="1:19" ht="12.75" customHeight="1" x14ac:dyDescent="0.3">
      <c r="A98" s="100">
        <v>15.1</v>
      </c>
      <c r="B98" s="25" t="s">
        <v>111</v>
      </c>
      <c r="C98" s="110" t="s">
        <v>29</v>
      </c>
      <c r="D98" s="31">
        <v>1</v>
      </c>
      <c r="E98" s="181">
        <v>885031</v>
      </c>
      <c r="F98" s="181">
        <f t="shared" si="5"/>
        <v>885031</v>
      </c>
      <c r="H98" s="245"/>
      <c r="I98" s="250">
        <v>0</v>
      </c>
      <c r="J98" s="250"/>
      <c r="K98" s="251">
        <f t="shared" si="10"/>
        <v>0</v>
      </c>
      <c r="L98" s="50">
        <f t="shared" si="11"/>
        <v>0</v>
      </c>
      <c r="M98" s="50">
        <f t="shared" si="12"/>
        <v>0</v>
      </c>
      <c r="N98" s="50">
        <f t="shared" si="13"/>
        <v>0</v>
      </c>
    </row>
    <row r="99" spans="1:19" ht="12.75" customHeight="1" x14ac:dyDescent="0.3">
      <c r="A99" s="100">
        <v>15.11</v>
      </c>
      <c r="B99" s="25" t="s">
        <v>112</v>
      </c>
      <c r="C99" s="110" t="s">
        <v>52</v>
      </c>
      <c r="D99" s="31">
        <v>73</v>
      </c>
      <c r="E99" s="181">
        <v>83386</v>
      </c>
      <c r="F99" s="181">
        <f t="shared" si="5"/>
        <v>6087178</v>
      </c>
      <c r="H99" s="245"/>
      <c r="I99" s="250">
        <v>0</v>
      </c>
      <c r="J99" s="250"/>
      <c r="K99" s="251">
        <f t="shared" si="10"/>
        <v>0</v>
      </c>
      <c r="L99" s="50">
        <f t="shared" si="11"/>
        <v>0</v>
      </c>
      <c r="M99" s="50">
        <f t="shared" si="12"/>
        <v>0</v>
      </c>
      <c r="N99" s="50">
        <f t="shared" si="13"/>
        <v>0</v>
      </c>
    </row>
    <row r="100" spans="1:19" ht="12.75" customHeight="1" x14ac:dyDescent="0.3">
      <c r="A100" s="100">
        <v>15.12</v>
      </c>
      <c r="B100" s="124" t="s">
        <v>113</v>
      </c>
      <c r="C100" s="111" t="s">
        <v>29</v>
      </c>
      <c r="D100" s="35">
        <v>1</v>
      </c>
      <c r="E100" s="181">
        <v>4286492</v>
      </c>
      <c r="F100" s="181">
        <f t="shared" si="5"/>
        <v>4286492</v>
      </c>
      <c r="H100" s="245"/>
      <c r="I100" s="250">
        <v>0</v>
      </c>
      <c r="J100" s="250"/>
      <c r="K100" s="251">
        <f t="shared" si="10"/>
        <v>0</v>
      </c>
      <c r="L100" s="50">
        <f t="shared" si="11"/>
        <v>0</v>
      </c>
      <c r="M100" s="50">
        <f t="shared" si="12"/>
        <v>0</v>
      </c>
      <c r="N100" s="50">
        <f t="shared" si="13"/>
        <v>0</v>
      </c>
    </row>
    <row r="101" spans="1:19" ht="12.75" customHeight="1" x14ac:dyDescent="0.3">
      <c r="A101" s="13">
        <v>16</v>
      </c>
      <c r="B101" s="125" t="s">
        <v>114</v>
      </c>
      <c r="C101" s="18"/>
      <c r="D101" s="19"/>
      <c r="E101" s="19"/>
      <c r="F101" s="19"/>
      <c r="G101" s="176">
        <f>+SUM(F102)</f>
        <v>0</v>
      </c>
      <c r="H101" s="245">
        <f>+G101/$G$195</f>
        <v>0</v>
      </c>
      <c r="I101" s="246"/>
      <c r="J101" s="247"/>
      <c r="K101" s="247"/>
      <c r="L101" s="178"/>
      <c r="M101" s="178"/>
      <c r="N101" s="179"/>
    </row>
    <row r="102" spans="1:19" ht="12.75" customHeight="1" x14ac:dyDescent="0.3">
      <c r="A102" s="20"/>
      <c r="B102" s="21"/>
      <c r="C102" s="93"/>
      <c r="D102" s="94"/>
      <c r="E102" s="184">
        <v>0</v>
      </c>
      <c r="F102" s="183">
        <f t="shared" si="5"/>
        <v>0</v>
      </c>
      <c r="G102" s="185"/>
      <c r="H102" s="252"/>
      <c r="I102" s="250">
        <v>0</v>
      </c>
      <c r="J102" s="250"/>
      <c r="K102" s="251">
        <f t="shared" si="10"/>
        <v>0</v>
      </c>
      <c r="L102" s="50">
        <f t="shared" si="11"/>
        <v>0</v>
      </c>
      <c r="M102" s="50">
        <f t="shared" si="12"/>
        <v>0</v>
      </c>
      <c r="N102" s="50">
        <f t="shared" si="13"/>
        <v>0</v>
      </c>
    </row>
    <row r="103" spans="1:19" ht="12.75" customHeight="1" x14ac:dyDescent="0.3">
      <c r="A103" s="13">
        <v>17</v>
      </c>
      <c r="B103" s="17" t="s">
        <v>115</v>
      </c>
      <c r="C103" s="18"/>
      <c r="D103" s="19"/>
      <c r="E103" s="19"/>
      <c r="F103" s="19"/>
      <c r="G103" s="176">
        <f>+SUM(F104:F107)</f>
        <v>9415299</v>
      </c>
      <c r="H103" s="245">
        <f>+G103/$G$195</f>
        <v>1.1144406649962005E-2</v>
      </c>
      <c r="I103" s="246"/>
      <c r="J103" s="247"/>
      <c r="K103" s="247"/>
      <c r="L103" s="178"/>
      <c r="M103" s="178"/>
      <c r="N103" s="179"/>
    </row>
    <row r="104" spans="1:19" ht="12.75" customHeight="1" x14ac:dyDescent="0.3">
      <c r="A104" s="20">
        <f>+A103+0.01</f>
        <v>17.010000000000002</v>
      </c>
      <c r="B104" s="126" t="s">
        <v>116</v>
      </c>
      <c r="C104" s="127" t="s">
        <v>33</v>
      </c>
      <c r="D104" s="94">
        <v>57</v>
      </c>
      <c r="E104" s="180">
        <v>79321</v>
      </c>
      <c r="F104" s="180">
        <f t="shared" si="5"/>
        <v>4521297</v>
      </c>
      <c r="G104" s="182"/>
      <c r="H104" s="245"/>
      <c r="I104" s="250">
        <v>0</v>
      </c>
      <c r="J104" s="250"/>
      <c r="K104" s="251">
        <f t="shared" si="10"/>
        <v>0</v>
      </c>
      <c r="L104" s="50">
        <f t="shared" si="11"/>
        <v>0</v>
      </c>
      <c r="M104" s="50">
        <f t="shared" si="12"/>
        <v>0</v>
      </c>
      <c r="N104" s="50">
        <f t="shared" si="13"/>
        <v>0</v>
      </c>
    </row>
    <row r="105" spans="1:19" ht="12.75" customHeight="1" x14ac:dyDescent="0.3">
      <c r="A105" s="24">
        <v>17.02</v>
      </c>
      <c r="B105" s="128" t="s">
        <v>117</v>
      </c>
      <c r="C105" s="129" t="s">
        <v>33</v>
      </c>
      <c r="D105" s="31">
        <v>11</v>
      </c>
      <c r="E105" s="181">
        <v>79321</v>
      </c>
      <c r="F105" s="181">
        <f t="shared" si="5"/>
        <v>872531</v>
      </c>
      <c r="G105" s="182"/>
      <c r="H105" s="245"/>
      <c r="I105" s="250">
        <v>0</v>
      </c>
      <c r="J105" s="250"/>
      <c r="K105" s="251">
        <f t="shared" si="10"/>
        <v>0</v>
      </c>
      <c r="L105" s="50">
        <f t="shared" si="11"/>
        <v>0</v>
      </c>
      <c r="M105" s="50">
        <f t="shared" si="12"/>
        <v>0</v>
      </c>
      <c r="N105" s="50">
        <f t="shared" si="13"/>
        <v>0</v>
      </c>
    </row>
    <row r="106" spans="1:19" ht="12.75" customHeight="1" x14ac:dyDescent="0.3">
      <c r="A106" s="24">
        <v>17.03</v>
      </c>
      <c r="B106" s="128" t="s">
        <v>118</v>
      </c>
      <c r="C106" s="129" t="s">
        <v>33</v>
      </c>
      <c r="D106" s="31">
        <v>65</v>
      </c>
      <c r="E106" s="181">
        <v>51161</v>
      </c>
      <c r="F106" s="181">
        <f t="shared" si="5"/>
        <v>3325465</v>
      </c>
      <c r="G106" s="182"/>
      <c r="H106" s="245"/>
      <c r="I106" s="250">
        <v>0</v>
      </c>
      <c r="J106" s="250"/>
      <c r="K106" s="251">
        <f t="shared" si="10"/>
        <v>0</v>
      </c>
      <c r="L106" s="50">
        <f t="shared" si="11"/>
        <v>0</v>
      </c>
      <c r="M106" s="50">
        <f t="shared" si="12"/>
        <v>0</v>
      </c>
      <c r="N106" s="50">
        <f t="shared" si="13"/>
        <v>0</v>
      </c>
    </row>
    <row r="107" spans="1:19" ht="12.75" customHeight="1" x14ac:dyDescent="0.3">
      <c r="A107" s="130">
        <v>17.04</v>
      </c>
      <c r="B107" s="38" t="s">
        <v>119</v>
      </c>
      <c r="C107" s="34" t="s">
        <v>33</v>
      </c>
      <c r="D107" s="35">
        <v>6</v>
      </c>
      <c r="E107" s="189">
        <v>116001</v>
      </c>
      <c r="F107" s="189">
        <f t="shared" si="5"/>
        <v>696006</v>
      </c>
      <c r="G107" s="182"/>
      <c r="H107" s="245"/>
      <c r="I107" s="250">
        <v>0</v>
      </c>
      <c r="J107" s="250"/>
      <c r="K107" s="251">
        <f t="shared" si="10"/>
        <v>0</v>
      </c>
      <c r="L107" s="50">
        <f t="shared" si="11"/>
        <v>0</v>
      </c>
      <c r="M107" s="50">
        <f t="shared" si="12"/>
        <v>0</v>
      </c>
      <c r="N107" s="50">
        <f t="shared" si="13"/>
        <v>0</v>
      </c>
    </row>
    <row r="108" spans="1:19" ht="12.75" customHeight="1" x14ac:dyDescent="0.3">
      <c r="A108" s="13">
        <v>18</v>
      </c>
      <c r="B108" s="40" t="s">
        <v>120</v>
      </c>
      <c r="C108" s="18"/>
      <c r="D108" s="19"/>
      <c r="E108" s="19"/>
      <c r="F108" s="19"/>
      <c r="G108" s="176">
        <f>+SUM(F109:F141)</f>
        <v>87609553</v>
      </c>
      <c r="H108" s="245">
        <f>+G108/$G$195</f>
        <v>0.10369893564223492</v>
      </c>
      <c r="I108" s="246"/>
      <c r="J108" s="247"/>
      <c r="K108" s="247"/>
      <c r="L108" s="178"/>
      <c r="M108" s="178"/>
      <c r="N108" s="179"/>
    </row>
    <row r="109" spans="1:19" ht="12.75" customHeight="1" x14ac:dyDescent="0.3">
      <c r="A109" s="115">
        <f>+A108+0.01</f>
        <v>18.010000000000002</v>
      </c>
      <c r="B109" s="131" t="s">
        <v>121</v>
      </c>
      <c r="C109" s="132" t="s">
        <v>33</v>
      </c>
      <c r="D109" s="94">
        <v>260</v>
      </c>
      <c r="E109" s="180">
        <v>76531</v>
      </c>
      <c r="F109" s="180">
        <f t="shared" si="5"/>
        <v>19898060</v>
      </c>
      <c r="H109" s="245"/>
      <c r="I109" s="250">
        <v>0.1</v>
      </c>
      <c r="J109" s="250">
        <v>0.05</v>
      </c>
      <c r="K109" s="251">
        <f t="shared" si="10"/>
        <v>0.15000000000000002</v>
      </c>
      <c r="L109" s="50">
        <f t="shared" si="11"/>
        <v>1989806</v>
      </c>
      <c r="M109" s="50">
        <f t="shared" si="12"/>
        <v>994903</v>
      </c>
      <c r="N109" s="50">
        <f t="shared" si="13"/>
        <v>2984709.0000000005</v>
      </c>
      <c r="Q109" s="263"/>
      <c r="S109" s="262"/>
    </row>
    <row r="110" spans="1:19" ht="12.75" customHeight="1" x14ac:dyDescent="0.3">
      <c r="A110" s="100">
        <v>18.02</v>
      </c>
      <c r="B110" s="98" t="s">
        <v>122</v>
      </c>
      <c r="C110" s="133" t="s">
        <v>33</v>
      </c>
      <c r="D110" s="31">
        <v>62</v>
      </c>
      <c r="E110" s="181">
        <v>73235</v>
      </c>
      <c r="F110" s="181">
        <f t="shared" si="5"/>
        <v>4540570</v>
      </c>
      <c r="H110" s="245"/>
      <c r="I110" s="250">
        <v>0.12</v>
      </c>
      <c r="J110" s="250">
        <v>0.06</v>
      </c>
      <c r="K110" s="251">
        <f t="shared" si="10"/>
        <v>0.18</v>
      </c>
      <c r="L110" s="50">
        <f t="shared" si="11"/>
        <v>544868.4</v>
      </c>
      <c r="M110" s="50">
        <f t="shared" si="12"/>
        <v>272434.2</v>
      </c>
      <c r="N110" s="50">
        <f t="shared" si="13"/>
        <v>817302.6</v>
      </c>
      <c r="Q110" s="263"/>
      <c r="S110" s="262"/>
    </row>
    <row r="111" spans="1:19" ht="12.75" customHeight="1" x14ac:dyDescent="0.3">
      <c r="A111" s="100">
        <v>18.03</v>
      </c>
      <c r="B111" s="98" t="s">
        <v>123</v>
      </c>
      <c r="C111" s="133" t="s">
        <v>33</v>
      </c>
      <c r="D111" s="31">
        <v>12</v>
      </c>
      <c r="E111" s="181">
        <v>73235</v>
      </c>
      <c r="F111" s="181">
        <f t="shared" si="5"/>
        <v>878820</v>
      </c>
      <c r="H111" s="245"/>
      <c r="I111" s="250">
        <v>0.35</v>
      </c>
      <c r="J111" s="250">
        <v>0.1</v>
      </c>
      <c r="K111" s="251">
        <f t="shared" si="10"/>
        <v>0.44999999999999996</v>
      </c>
      <c r="L111" s="50">
        <f t="shared" si="11"/>
        <v>307587</v>
      </c>
      <c r="M111" s="50">
        <f t="shared" si="12"/>
        <v>87882</v>
      </c>
      <c r="N111" s="50">
        <f t="shared" si="13"/>
        <v>395468.99999999994</v>
      </c>
      <c r="Q111" s="263"/>
      <c r="S111" s="262"/>
    </row>
    <row r="112" spans="1:19" ht="12.75" customHeight="1" x14ac:dyDescent="0.3">
      <c r="A112" s="100">
        <v>18.04</v>
      </c>
      <c r="B112" s="98" t="s">
        <v>124</v>
      </c>
      <c r="C112" s="133" t="s">
        <v>33</v>
      </c>
      <c r="D112" s="31">
        <v>16</v>
      </c>
      <c r="E112" s="181">
        <v>73235</v>
      </c>
      <c r="F112" s="181">
        <f t="shared" si="5"/>
        <v>1171760</v>
      </c>
      <c r="H112" s="245"/>
      <c r="I112" s="250">
        <v>0.25</v>
      </c>
      <c r="J112" s="250">
        <v>0.1</v>
      </c>
      <c r="K112" s="251">
        <f t="shared" si="10"/>
        <v>0.35</v>
      </c>
      <c r="L112" s="50">
        <f t="shared" si="11"/>
        <v>292940</v>
      </c>
      <c r="M112" s="50">
        <f t="shared" si="12"/>
        <v>117176</v>
      </c>
      <c r="N112" s="50">
        <f t="shared" si="13"/>
        <v>410116</v>
      </c>
      <c r="Q112" s="263"/>
      <c r="S112" s="262"/>
    </row>
    <row r="113" spans="1:19" ht="12.75" customHeight="1" x14ac:dyDescent="0.3">
      <c r="A113" s="100">
        <v>18.05</v>
      </c>
      <c r="B113" s="98" t="s">
        <v>125</v>
      </c>
      <c r="C113" s="133" t="s">
        <v>33</v>
      </c>
      <c r="D113" s="31">
        <v>1</v>
      </c>
      <c r="E113" s="181">
        <v>73235</v>
      </c>
      <c r="F113" s="181">
        <f t="shared" si="5"/>
        <v>73235</v>
      </c>
      <c r="H113" s="245"/>
      <c r="I113" s="250">
        <v>0.4</v>
      </c>
      <c r="J113" s="250"/>
      <c r="K113" s="251">
        <f t="shared" si="10"/>
        <v>0.4</v>
      </c>
      <c r="L113" s="50">
        <f t="shared" si="11"/>
        <v>29294</v>
      </c>
      <c r="M113" s="50">
        <f t="shared" si="12"/>
        <v>0</v>
      </c>
      <c r="N113" s="50">
        <f t="shared" si="13"/>
        <v>29294</v>
      </c>
    </row>
    <row r="114" spans="1:19" ht="12.75" customHeight="1" x14ac:dyDescent="0.3">
      <c r="A114" s="100">
        <v>18.059999999999999</v>
      </c>
      <c r="B114" s="98" t="s">
        <v>126</v>
      </c>
      <c r="C114" s="133" t="s">
        <v>33</v>
      </c>
      <c r="D114" s="31">
        <v>24</v>
      </c>
      <c r="E114" s="181">
        <v>73235</v>
      </c>
      <c r="F114" s="181">
        <f t="shared" si="5"/>
        <v>1757640</v>
      </c>
      <c r="H114" s="245"/>
      <c r="I114" s="250">
        <v>0.1</v>
      </c>
      <c r="J114" s="250">
        <v>0.1</v>
      </c>
      <c r="K114" s="251">
        <f t="shared" si="10"/>
        <v>0.2</v>
      </c>
      <c r="L114" s="50">
        <f t="shared" si="11"/>
        <v>175764</v>
      </c>
      <c r="M114" s="50">
        <f t="shared" si="12"/>
        <v>175764</v>
      </c>
      <c r="N114" s="50">
        <f t="shared" si="13"/>
        <v>351528</v>
      </c>
      <c r="P114" s="262"/>
    </row>
    <row r="115" spans="1:19" ht="12.75" customHeight="1" x14ac:dyDescent="0.3">
      <c r="A115" s="100">
        <v>18.07</v>
      </c>
      <c r="B115" s="98" t="s">
        <v>127</v>
      </c>
      <c r="C115" s="133" t="s">
        <v>33</v>
      </c>
      <c r="D115" s="31">
        <v>226</v>
      </c>
      <c r="E115" s="181">
        <v>69154</v>
      </c>
      <c r="F115" s="181">
        <f t="shared" si="5"/>
        <v>15628804</v>
      </c>
      <c r="H115" s="245"/>
      <c r="I115" s="250">
        <v>0.08</v>
      </c>
      <c r="J115" s="250">
        <v>0.05</v>
      </c>
      <c r="K115" s="251">
        <f t="shared" si="10"/>
        <v>0.13</v>
      </c>
      <c r="L115" s="50">
        <f t="shared" si="11"/>
        <v>1250304.32</v>
      </c>
      <c r="M115" s="50">
        <f t="shared" si="12"/>
        <v>781440.20000000007</v>
      </c>
      <c r="N115" s="50">
        <f t="shared" si="13"/>
        <v>2031744.52</v>
      </c>
      <c r="Q115" s="263"/>
    </row>
    <row r="116" spans="1:19" ht="12.75" customHeight="1" x14ac:dyDescent="0.3">
      <c r="A116" s="100">
        <v>18.079999999999998</v>
      </c>
      <c r="B116" s="98" t="s">
        <v>128</v>
      </c>
      <c r="C116" s="133" t="s">
        <v>33</v>
      </c>
      <c r="D116" s="31">
        <v>32</v>
      </c>
      <c r="E116" s="181">
        <v>95308</v>
      </c>
      <c r="F116" s="181">
        <f t="shared" si="5"/>
        <v>3049856</v>
      </c>
      <c r="H116" s="245"/>
      <c r="I116" s="250">
        <v>0.05</v>
      </c>
      <c r="J116" s="250">
        <v>0.05</v>
      </c>
      <c r="K116" s="251">
        <f t="shared" si="10"/>
        <v>0.1</v>
      </c>
      <c r="L116" s="50">
        <f t="shared" si="11"/>
        <v>152492.80000000002</v>
      </c>
      <c r="M116" s="50">
        <f t="shared" si="12"/>
        <v>152492.80000000002</v>
      </c>
      <c r="N116" s="50">
        <f t="shared" si="13"/>
        <v>304985.60000000003</v>
      </c>
    </row>
    <row r="117" spans="1:19" ht="12.75" customHeight="1" x14ac:dyDescent="0.3">
      <c r="A117" s="100">
        <v>18.09</v>
      </c>
      <c r="B117" s="98" t="s">
        <v>129</v>
      </c>
      <c r="C117" s="133" t="s">
        <v>33</v>
      </c>
      <c r="D117" s="31">
        <v>8</v>
      </c>
      <c r="E117" s="181">
        <v>69154</v>
      </c>
      <c r="F117" s="181">
        <f t="shared" si="5"/>
        <v>553232</v>
      </c>
      <c r="H117" s="245"/>
      <c r="I117" s="250">
        <v>0</v>
      </c>
      <c r="J117" s="250"/>
      <c r="K117" s="251">
        <f t="shared" si="10"/>
        <v>0</v>
      </c>
      <c r="L117" s="50">
        <f t="shared" si="11"/>
        <v>0</v>
      </c>
      <c r="M117" s="50">
        <f t="shared" si="12"/>
        <v>0</v>
      </c>
      <c r="N117" s="50">
        <f t="shared" si="13"/>
        <v>0</v>
      </c>
    </row>
    <row r="118" spans="1:19" ht="12.75" customHeight="1" x14ac:dyDescent="0.3">
      <c r="A118" s="100">
        <v>18.100000000000001</v>
      </c>
      <c r="B118" s="98" t="s">
        <v>130</v>
      </c>
      <c r="C118" s="133" t="s">
        <v>33</v>
      </c>
      <c r="D118" s="31">
        <v>8</v>
      </c>
      <c r="E118" s="181">
        <v>69154</v>
      </c>
      <c r="F118" s="181">
        <f t="shared" si="5"/>
        <v>553232</v>
      </c>
      <c r="H118" s="245"/>
      <c r="I118" s="250">
        <v>0.1</v>
      </c>
      <c r="J118" s="250">
        <v>0.1</v>
      </c>
      <c r="K118" s="251">
        <f t="shared" si="10"/>
        <v>0.2</v>
      </c>
      <c r="L118" s="50">
        <f t="shared" si="11"/>
        <v>55323.200000000004</v>
      </c>
      <c r="M118" s="50">
        <f t="shared" si="12"/>
        <v>55323.200000000004</v>
      </c>
      <c r="N118" s="50">
        <f t="shared" si="13"/>
        <v>110646.40000000001</v>
      </c>
    </row>
    <row r="119" spans="1:19" ht="12.75" customHeight="1" x14ac:dyDescent="0.3">
      <c r="A119" s="100">
        <v>18.11</v>
      </c>
      <c r="B119" s="98" t="s">
        <v>131</v>
      </c>
      <c r="C119" s="133" t="s">
        <v>33</v>
      </c>
      <c r="D119" s="31">
        <v>26</v>
      </c>
      <c r="E119" s="181">
        <v>50616</v>
      </c>
      <c r="F119" s="181">
        <f t="shared" si="5"/>
        <v>1316016</v>
      </c>
      <c r="H119" s="245"/>
      <c r="I119" s="250">
        <v>0</v>
      </c>
      <c r="J119" s="250"/>
      <c r="K119" s="251">
        <f t="shared" si="10"/>
        <v>0</v>
      </c>
      <c r="L119" s="50">
        <f t="shared" si="11"/>
        <v>0</v>
      </c>
      <c r="M119" s="50">
        <f t="shared" si="12"/>
        <v>0</v>
      </c>
      <c r="N119" s="50">
        <f t="shared" si="13"/>
        <v>0</v>
      </c>
    </row>
    <row r="120" spans="1:19" ht="12.75" customHeight="1" x14ac:dyDescent="0.3">
      <c r="A120" s="100">
        <v>18.12</v>
      </c>
      <c r="B120" s="98" t="s">
        <v>132</v>
      </c>
      <c r="C120" s="133" t="s">
        <v>33</v>
      </c>
      <c r="D120" s="31">
        <v>27</v>
      </c>
      <c r="E120" s="181">
        <v>50616</v>
      </c>
      <c r="F120" s="181">
        <f t="shared" si="5"/>
        <v>1366632</v>
      </c>
      <c r="H120" s="245"/>
      <c r="I120" s="250">
        <v>0.1</v>
      </c>
      <c r="J120" s="250">
        <v>0.1</v>
      </c>
      <c r="K120" s="251">
        <f t="shared" si="10"/>
        <v>0.2</v>
      </c>
      <c r="L120" s="50">
        <f t="shared" si="11"/>
        <v>136663.20000000001</v>
      </c>
      <c r="M120" s="50">
        <f t="shared" si="12"/>
        <v>136663.20000000001</v>
      </c>
      <c r="N120" s="50">
        <f t="shared" si="13"/>
        <v>273326.40000000002</v>
      </c>
    </row>
    <row r="121" spans="1:19" ht="12.75" customHeight="1" x14ac:dyDescent="0.3">
      <c r="A121" s="100">
        <v>18.13</v>
      </c>
      <c r="B121" s="98" t="s">
        <v>133</v>
      </c>
      <c r="C121" s="133" t="s">
        <v>33</v>
      </c>
      <c r="D121" s="31">
        <v>9</v>
      </c>
      <c r="E121" s="181">
        <v>50616</v>
      </c>
      <c r="F121" s="181">
        <f t="shared" si="5"/>
        <v>455544</v>
      </c>
      <c r="H121" s="245"/>
      <c r="I121" s="250">
        <v>0</v>
      </c>
      <c r="J121" s="250"/>
      <c r="K121" s="251">
        <f t="shared" si="10"/>
        <v>0</v>
      </c>
      <c r="L121" s="50">
        <f t="shared" si="11"/>
        <v>0</v>
      </c>
      <c r="M121" s="50">
        <f t="shared" si="12"/>
        <v>0</v>
      </c>
      <c r="N121" s="50">
        <f t="shared" si="13"/>
        <v>0</v>
      </c>
    </row>
    <row r="122" spans="1:19" ht="12.75" customHeight="1" x14ac:dyDescent="0.3">
      <c r="A122" s="100">
        <v>18.14</v>
      </c>
      <c r="B122" s="98" t="s">
        <v>134</v>
      </c>
      <c r="C122" s="133" t="s">
        <v>33</v>
      </c>
      <c r="D122" s="31">
        <v>29</v>
      </c>
      <c r="E122" s="181">
        <v>50616</v>
      </c>
      <c r="F122" s="181">
        <f t="shared" si="5"/>
        <v>1467864</v>
      </c>
      <c r="H122" s="245"/>
      <c r="I122" s="250">
        <v>0.1</v>
      </c>
      <c r="J122" s="250">
        <v>0.1</v>
      </c>
      <c r="K122" s="251">
        <f t="shared" si="10"/>
        <v>0.2</v>
      </c>
      <c r="L122" s="50">
        <f t="shared" si="11"/>
        <v>146786.4</v>
      </c>
      <c r="M122" s="50">
        <f t="shared" si="12"/>
        <v>146786.4</v>
      </c>
      <c r="N122" s="50">
        <f t="shared" si="13"/>
        <v>293572.8</v>
      </c>
    </row>
    <row r="123" spans="1:19" ht="12.75" customHeight="1" x14ac:dyDescent="0.3">
      <c r="A123" s="100">
        <v>18.149999999999999</v>
      </c>
      <c r="B123" s="98" t="s">
        <v>135</v>
      </c>
      <c r="C123" s="133" t="s">
        <v>33</v>
      </c>
      <c r="D123" s="31">
        <v>3</v>
      </c>
      <c r="E123" s="181">
        <v>50616</v>
      </c>
      <c r="F123" s="181">
        <f t="shared" si="5"/>
        <v>151848</v>
      </c>
      <c r="H123" s="245"/>
      <c r="I123" s="250">
        <v>0.4</v>
      </c>
      <c r="J123" s="250"/>
      <c r="K123" s="251">
        <f t="shared" si="10"/>
        <v>0.4</v>
      </c>
      <c r="L123" s="50">
        <f t="shared" si="11"/>
        <v>60739.200000000004</v>
      </c>
      <c r="M123" s="50">
        <f t="shared" si="12"/>
        <v>0</v>
      </c>
      <c r="N123" s="50">
        <f t="shared" si="13"/>
        <v>60739.200000000004</v>
      </c>
      <c r="Q123" s="263"/>
      <c r="S123" s="262"/>
    </row>
    <row r="124" spans="1:19" ht="12.75" customHeight="1" x14ac:dyDescent="0.3">
      <c r="A124" s="100">
        <v>18.16</v>
      </c>
      <c r="B124" s="98" t="s">
        <v>136</v>
      </c>
      <c r="C124" s="133" t="s">
        <v>33</v>
      </c>
      <c r="D124" s="31">
        <v>1</v>
      </c>
      <c r="E124" s="181">
        <v>2245770</v>
      </c>
      <c r="F124" s="181">
        <f t="shared" si="5"/>
        <v>2245770</v>
      </c>
      <c r="H124" s="245"/>
      <c r="I124" s="250">
        <v>0</v>
      </c>
      <c r="J124" s="250"/>
      <c r="K124" s="251">
        <f t="shared" si="10"/>
        <v>0</v>
      </c>
      <c r="L124" s="50">
        <f t="shared" si="11"/>
        <v>0</v>
      </c>
      <c r="M124" s="50">
        <f t="shared" si="12"/>
        <v>0</v>
      </c>
      <c r="N124" s="50">
        <f t="shared" si="13"/>
        <v>0</v>
      </c>
    </row>
    <row r="125" spans="1:19" ht="12.75" customHeight="1" x14ac:dyDescent="0.3">
      <c r="A125" s="100">
        <v>18.170000000000002</v>
      </c>
      <c r="B125" s="98" t="s">
        <v>137</v>
      </c>
      <c r="C125" s="133" t="s">
        <v>33</v>
      </c>
      <c r="D125" s="31">
        <v>1</v>
      </c>
      <c r="E125" s="181">
        <v>1116033</v>
      </c>
      <c r="F125" s="181">
        <f t="shared" si="5"/>
        <v>1116033</v>
      </c>
      <c r="H125" s="245"/>
      <c r="I125" s="250">
        <v>0</v>
      </c>
      <c r="J125" s="250"/>
      <c r="K125" s="251">
        <f t="shared" si="10"/>
        <v>0</v>
      </c>
      <c r="L125" s="50">
        <f t="shared" si="11"/>
        <v>0</v>
      </c>
      <c r="M125" s="50">
        <f t="shared" si="12"/>
        <v>0</v>
      </c>
      <c r="N125" s="50">
        <f t="shared" si="13"/>
        <v>0</v>
      </c>
    </row>
    <row r="126" spans="1:19" ht="12.75" customHeight="1" x14ac:dyDescent="0.3">
      <c r="A126" s="100">
        <v>18.18</v>
      </c>
      <c r="B126" s="98" t="s">
        <v>138</v>
      </c>
      <c r="C126" s="133" t="s">
        <v>33</v>
      </c>
      <c r="D126" s="31">
        <v>2</v>
      </c>
      <c r="E126" s="181">
        <v>530996</v>
      </c>
      <c r="F126" s="181">
        <f t="shared" si="5"/>
        <v>1061992</v>
      </c>
      <c r="H126" s="245"/>
      <c r="I126" s="250">
        <v>0</v>
      </c>
      <c r="J126" s="250"/>
      <c r="K126" s="251">
        <f t="shared" si="10"/>
        <v>0</v>
      </c>
      <c r="L126" s="50">
        <f t="shared" si="11"/>
        <v>0</v>
      </c>
      <c r="M126" s="50">
        <f t="shared" si="12"/>
        <v>0</v>
      </c>
      <c r="N126" s="50">
        <f t="shared" si="13"/>
        <v>0</v>
      </c>
    </row>
    <row r="127" spans="1:19" ht="12.75" customHeight="1" x14ac:dyDescent="0.3">
      <c r="A127" s="100">
        <v>18.190000000000001</v>
      </c>
      <c r="B127" s="98" t="s">
        <v>139</v>
      </c>
      <c r="C127" s="133" t="s">
        <v>33</v>
      </c>
      <c r="D127" s="31">
        <v>9</v>
      </c>
      <c r="E127" s="181">
        <v>595409</v>
      </c>
      <c r="F127" s="181">
        <f t="shared" si="5"/>
        <v>5358681</v>
      </c>
      <c r="H127" s="245"/>
      <c r="I127" s="250">
        <v>0</v>
      </c>
      <c r="J127" s="250"/>
      <c r="K127" s="251">
        <f t="shared" si="10"/>
        <v>0</v>
      </c>
      <c r="L127" s="50">
        <f t="shared" si="11"/>
        <v>0</v>
      </c>
      <c r="M127" s="50">
        <f t="shared" si="12"/>
        <v>0</v>
      </c>
      <c r="N127" s="50">
        <f t="shared" si="13"/>
        <v>0</v>
      </c>
    </row>
    <row r="128" spans="1:19" ht="12.75" customHeight="1" x14ac:dyDescent="0.3">
      <c r="A128" s="100">
        <v>18.2</v>
      </c>
      <c r="B128" s="98" t="s">
        <v>140</v>
      </c>
      <c r="C128" s="133" t="s">
        <v>29</v>
      </c>
      <c r="D128" s="31">
        <v>1</v>
      </c>
      <c r="E128" s="181">
        <v>6378278</v>
      </c>
      <c r="F128" s="181">
        <f t="shared" si="5"/>
        <v>6378278</v>
      </c>
      <c r="H128" s="245"/>
      <c r="I128" s="250">
        <v>0</v>
      </c>
      <c r="J128" s="250"/>
      <c r="K128" s="251">
        <f t="shared" si="10"/>
        <v>0</v>
      </c>
      <c r="L128" s="50">
        <f t="shared" si="11"/>
        <v>0</v>
      </c>
      <c r="M128" s="50">
        <f t="shared" si="12"/>
        <v>0</v>
      </c>
      <c r="N128" s="50">
        <f t="shared" si="13"/>
        <v>0</v>
      </c>
    </row>
    <row r="129" spans="1:14" ht="12.75" customHeight="1" x14ac:dyDescent="0.3">
      <c r="A129" s="100">
        <v>18.21</v>
      </c>
      <c r="B129" s="98" t="s">
        <v>141</v>
      </c>
      <c r="C129" s="133" t="s">
        <v>29</v>
      </c>
      <c r="D129" s="31">
        <v>1</v>
      </c>
      <c r="E129" s="181">
        <v>1695726</v>
      </c>
      <c r="F129" s="181">
        <f t="shared" si="5"/>
        <v>1695726</v>
      </c>
      <c r="H129" s="245"/>
      <c r="I129" s="250">
        <v>0</v>
      </c>
      <c r="J129" s="250"/>
      <c r="K129" s="251">
        <f t="shared" si="10"/>
        <v>0</v>
      </c>
      <c r="L129" s="50">
        <f t="shared" si="11"/>
        <v>0</v>
      </c>
      <c r="M129" s="50">
        <f t="shared" si="12"/>
        <v>0</v>
      </c>
      <c r="N129" s="50">
        <f t="shared" si="13"/>
        <v>0</v>
      </c>
    </row>
    <row r="130" spans="1:14" ht="12.75" customHeight="1" x14ac:dyDescent="0.3">
      <c r="A130" s="100">
        <v>18.22</v>
      </c>
      <c r="B130" s="98" t="s">
        <v>142</v>
      </c>
      <c r="C130" s="133" t="s">
        <v>29</v>
      </c>
      <c r="D130" s="31">
        <v>1</v>
      </c>
      <c r="E130" s="181">
        <v>1695726</v>
      </c>
      <c r="F130" s="181">
        <f t="shared" si="5"/>
        <v>1695726</v>
      </c>
      <c r="H130" s="245"/>
      <c r="I130" s="250">
        <v>0</v>
      </c>
      <c r="J130" s="250"/>
      <c r="K130" s="251">
        <f t="shared" si="10"/>
        <v>0</v>
      </c>
      <c r="L130" s="50">
        <f t="shared" si="11"/>
        <v>0</v>
      </c>
      <c r="M130" s="50">
        <f t="shared" si="12"/>
        <v>0</v>
      </c>
      <c r="N130" s="50">
        <f t="shared" si="13"/>
        <v>0</v>
      </c>
    </row>
    <row r="131" spans="1:14" ht="12.75" customHeight="1" x14ac:dyDescent="0.3">
      <c r="A131" s="100">
        <v>18.23</v>
      </c>
      <c r="B131" s="98" t="s">
        <v>143</v>
      </c>
      <c r="C131" s="133" t="s">
        <v>33</v>
      </c>
      <c r="D131" s="31">
        <v>16</v>
      </c>
      <c r="E131" s="181">
        <v>15984</v>
      </c>
      <c r="F131" s="181">
        <f t="shared" si="5"/>
        <v>255744</v>
      </c>
      <c r="H131" s="245"/>
      <c r="I131" s="250">
        <v>0</v>
      </c>
      <c r="J131" s="250"/>
      <c r="K131" s="251">
        <f t="shared" si="10"/>
        <v>0</v>
      </c>
      <c r="L131" s="50">
        <f t="shared" si="11"/>
        <v>0</v>
      </c>
      <c r="M131" s="50">
        <f t="shared" si="12"/>
        <v>0</v>
      </c>
      <c r="N131" s="50">
        <f t="shared" si="13"/>
        <v>0</v>
      </c>
    </row>
    <row r="132" spans="1:14" ht="12.75" customHeight="1" x14ac:dyDescent="0.3">
      <c r="A132" s="100">
        <v>18.239999999999998</v>
      </c>
      <c r="B132" s="98" t="s">
        <v>144</v>
      </c>
      <c r="C132" s="133" t="s">
        <v>33</v>
      </c>
      <c r="D132" s="31">
        <v>140</v>
      </c>
      <c r="E132" s="181">
        <v>10416</v>
      </c>
      <c r="F132" s="181">
        <f t="shared" si="5"/>
        <v>1458240</v>
      </c>
      <c r="H132" s="245"/>
      <c r="I132" s="250">
        <v>0</v>
      </c>
      <c r="J132" s="250"/>
      <c r="K132" s="251">
        <f t="shared" si="10"/>
        <v>0</v>
      </c>
      <c r="L132" s="50">
        <f t="shared" si="11"/>
        <v>0</v>
      </c>
      <c r="M132" s="50">
        <f t="shared" si="12"/>
        <v>0</v>
      </c>
      <c r="N132" s="50">
        <f t="shared" si="13"/>
        <v>0</v>
      </c>
    </row>
    <row r="133" spans="1:14" ht="12.75" customHeight="1" x14ac:dyDescent="0.3">
      <c r="A133" s="100">
        <v>18.25</v>
      </c>
      <c r="B133" s="98" t="s">
        <v>145</v>
      </c>
      <c r="C133" s="133" t="s">
        <v>33</v>
      </c>
      <c r="D133" s="31">
        <v>226</v>
      </c>
      <c r="E133" s="181">
        <v>10416</v>
      </c>
      <c r="F133" s="181">
        <f t="shared" si="5"/>
        <v>2354016</v>
      </c>
      <c r="H133" s="245"/>
      <c r="I133" s="250">
        <v>0</v>
      </c>
      <c r="J133" s="250"/>
      <c r="K133" s="251">
        <f t="shared" si="10"/>
        <v>0</v>
      </c>
      <c r="L133" s="50">
        <f t="shared" si="11"/>
        <v>0</v>
      </c>
      <c r="M133" s="50">
        <f t="shared" si="12"/>
        <v>0</v>
      </c>
      <c r="N133" s="50">
        <f t="shared" si="13"/>
        <v>0</v>
      </c>
    </row>
    <row r="134" spans="1:14" ht="12.75" customHeight="1" x14ac:dyDescent="0.3">
      <c r="A134" s="100">
        <v>18.260000000000002</v>
      </c>
      <c r="B134" s="98" t="s">
        <v>146</v>
      </c>
      <c r="C134" s="133" t="s">
        <v>33</v>
      </c>
      <c r="D134" s="31">
        <v>8</v>
      </c>
      <c r="E134" s="181">
        <v>25377</v>
      </c>
      <c r="F134" s="181">
        <f t="shared" si="5"/>
        <v>203016</v>
      </c>
      <c r="H134" s="245"/>
      <c r="I134" s="250">
        <v>0</v>
      </c>
      <c r="J134" s="250"/>
      <c r="K134" s="251">
        <f t="shared" si="10"/>
        <v>0</v>
      </c>
      <c r="L134" s="50">
        <f t="shared" si="11"/>
        <v>0</v>
      </c>
      <c r="M134" s="50">
        <f t="shared" si="12"/>
        <v>0</v>
      </c>
      <c r="N134" s="50">
        <f t="shared" si="13"/>
        <v>0</v>
      </c>
    </row>
    <row r="135" spans="1:14" ht="12.75" customHeight="1" x14ac:dyDescent="0.3">
      <c r="A135" s="100">
        <v>18.27</v>
      </c>
      <c r="B135" s="98" t="s">
        <v>147</v>
      </c>
      <c r="C135" s="133" t="s">
        <v>33</v>
      </c>
      <c r="D135" s="31">
        <v>24</v>
      </c>
      <c r="E135" s="181">
        <v>93081</v>
      </c>
      <c r="F135" s="181">
        <f t="shared" si="5"/>
        <v>2233944</v>
      </c>
      <c r="H135" s="245"/>
      <c r="I135" s="250">
        <v>0</v>
      </c>
      <c r="J135" s="250"/>
      <c r="K135" s="251">
        <f t="shared" si="10"/>
        <v>0</v>
      </c>
      <c r="L135" s="50">
        <f t="shared" si="11"/>
        <v>0</v>
      </c>
      <c r="M135" s="50">
        <f t="shared" si="12"/>
        <v>0</v>
      </c>
      <c r="N135" s="50">
        <f t="shared" si="13"/>
        <v>0</v>
      </c>
    </row>
    <row r="136" spans="1:14" ht="12.75" customHeight="1" x14ac:dyDescent="0.3">
      <c r="A136" s="100">
        <v>18.28</v>
      </c>
      <c r="B136" s="98" t="s">
        <v>148</v>
      </c>
      <c r="C136" s="133" t="s">
        <v>33</v>
      </c>
      <c r="D136" s="31">
        <v>12</v>
      </c>
      <c r="E136" s="181">
        <v>25377</v>
      </c>
      <c r="F136" s="181">
        <f t="shared" si="5"/>
        <v>304524</v>
      </c>
      <c r="H136" s="245"/>
      <c r="I136" s="250">
        <v>0</v>
      </c>
      <c r="J136" s="250"/>
      <c r="K136" s="251">
        <f t="shared" si="10"/>
        <v>0</v>
      </c>
      <c r="L136" s="50">
        <f t="shared" si="11"/>
        <v>0</v>
      </c>
      <c r="M136" s="50">
        <f t="shared" si="12"/>
        <v>0</v>
      </c>
      <c r="N136" s="50">
        <f t="shared" si="13"/>
        <v>0</v>
      </c>
    </row>
    <row r="137" spans="1:14" ht="12.75" customHeight="1" x14ac:dyDescent="0.3">
      <c r="A137" s="100">
        <v>18.2899999999999</v>
      </c>
      <c r="B137" s="98" t="s">
        <v>149</v>
      </c>
      <c r="C137" s="133" t="s">
        <v>33</v>
      </c>
      <c r="D137" s="31">
        <v>1</v>
      </c>
      <c r="E137" s="181">
        <v>25377</v>
      </c>
      <c r="F137" s="181">
        <f t="shared" si="5"/>
        <v>25377</v>
      </c>
      <c r="H137" s="245"/>
      <c r="I137" s="250">
        <v>0</v>
      </c>
      <c r="J137" s="250"/>
      <c r="K137" s="251">
        <f t="shared" si="10"/>
        <v>0</v>
      </c>
      <c r="L137" s="50">
        <f t="shared" si="11"/>
        <v>0</v>
      </c>
      <c r="M137" s="50">
        <f t="shared" si="12"/>
        <v>0</v>
      </c>
      <c r="N137" s="50">
        <f t="shared" si="13"/>
        <v>0</v>
      </c>
    </row>
    <row r="138" spans="1:14" ht="12.75" customHeight="1" x14ac:dyDescent="0.3">
      <c r="A138" s="100">
        <v>18.299999999999901</v>
      </c>
      <c r="B138" s="98" t="s">
        <v>150</v>
      </c>
      <c r="C138" s="133" t="s">
        <v>33</v>
      </c>
      <c r="D138" s="31">
        <v>109</v>
      </c>
      <c r="E138" s="181">
        <v>15984</v>
      </c>
      <c r="F138" s="181">
        <f t="shared" ref="F138:F194" si="14">+E138*D138</f>
        <v>1742256</v>
      </c>
      <c r="H138" s="245"/>
      <c r="I138" s="250">
        <v>0</v>
      </c>
      <c r="J138" s="250"/>
      <c r="K138" s="251">
        <f t="shared" si="10"/>
        <v>0</v>
      </c>
      <c r="L138" s="50">
        <f t="shared" si="11"/>
        <v>0</v>
      </c>
      <c r="M138" s="50">
        <f t="shared" si="12"/>
        <v>0</v>
      </c>
      <c r="N138" s="50">
        <f t="shared" si="13"/>
        <v>0</v>
      </c>
    </row>
    <row r="139" spans="1:14" ht="12.75" customHeight="1" x14ac:dyDescent="0.3">
      <c r="A139" s="100">
        <v>18.309999999999899</v>
      </c>
      <c r="B139" s="98" t="s">
        <v>151</v>
      </c>
      <c r="C139" s="133" t="s">
        <v>29</v>
      </c>
      <c r="D139" s="31">
        <v>1</v>
      </c>
      <c r="E139" s="181">
        <v>5516929</v>
      </c>
      <c r="F139" s="181">
        <f t="shared" si="14"/>
        <v>5516929</v>
      </c>
      <c r="H139" s="245"/>
      <c r="I139" s="250">
        <v>0</v>
      </c>
      <c r="J139" s="250"/>
      <c r="K139" s="251">
        <f t="shared" si="10"/>
        <v>0</v>
      </c>
      <c r="L139" s="50">
        <f t="shared" si="11"/>
        <v>0</v>
      </c>
      <c r="M139" s="50">
        <f t="shared" si="12"/>
        <v>0</v>
      </c>
      <c r="N139" s="50">
        <f t="shared" si="13"/>
        <v>0</v>
      </c>
    </row>
    <row r="140" spans="1:14" ht="12.75" customHeight="1" x14ac:dyDescent="0.3">
      <c r="A140" s="100">
        <v>18.319999999999901</v>
      </c>
      <c r="B140" s="98" t="s">
        <v>152</v>
      </c>
      <c r="C140" s="133" t="s">
        <v>29</v>
      </c>
      <c r="D140" s="31">
        <v>1</v>
      </c>
      <c r="E140" s="181">
        <v>957554</v>
      </c>
      <c r="F140" s="181">
        <f t="shared" si="14"/>
        <v>957554</v>
      </c>
      <c r="H140" s="245"/>
      <c r="I140" s="250">
        <v>0</v>
      </c>
      <c r="J140" s="250"/>
      <c r="K140" s="251">
        <f t="shared" ref="K140:K194" si="15">+I140+J140</f>
        <v>0</v>
      </c>
      <c r="L140" s="50">
        <f t="shared" ref="L140:L194" si="16">+F140*I140</f>
        <v>0</v>
      </c>
      <c r="M140" s="50">
        <f t="shared" ref="M140:M194" si="17">+F140*J140</f>
        <v>0</v>
      </c>
      <c r="N140" s="50">
        <f t="shared" ref="N140:N194" si="18">+F140*K140</f>
        <v>0</v>
      </c>
    </row>
    <row r="141" spans="1:14" ht="12.75" customHeight="1" x14ac:dyDescent="0.3">
      <c r="A141" s="100">
        <v>18.329999999999899</v>
      </c>
      <c r="B141" s="134" t="s">
        <v>153</v>
      </c>
      <c r="C141" s="135" t="s">
        <v>29</v>
      </c>
      <c r="D141" s="35">
        <v>1</v>
      </c>
      <c r="E141" s="181">
        <v>142634</v>
      </c>
      <c r="F141" s="181">
        <f t="shared" si="14"/>
        <v>142634</v>
      </c>
      <c r="H141" s="245"/>
      <c r="I141" s="250">
        <v>0</v>
      </c>
      <c r="J141" s="250"/>
      <c r="K141" s="251">
        <f t="shared" si="15"/>
        <v>0</v>
      </c>
      <c r="L141" s="50">
        <f t="shared" si="16"/>
        <v>0</v>
      </c>
      <c r="M141" s="50">
        <f t="shared" si="17"/>
        <v>0</v>
      </c>
      <c r="N141" s="50">
        <f t="shared" si="18"/>
        <v>0</v>
      </c>
    </row>
    <row r="142" spans="1:14" ht="12.75" customHeight="1" x14ac:dyDescent="0.3">
      <c r="A142" s="13">
        <v>19</v>
      </c>
      <c r="B142" s="40" t="s">
        <v>154</v>
      </c>
      <c r="C142" s="18"/>
      <c r="D142" s="19"/>
      <c r="E142" s="190"/>
      <c r="F142" s="190"/>
      <c r="G142" s="191"/>
      <c r="H142" s="245"/>
      <c r="I142" s="246"/>
      <c r="J142" s="247"/>
      <c r="K142" s="247"/>
      <c r="L142" s="178"/>
      <c r="M142" s="178"/>
      <c r="N142" s="179"/>
    </row>
    <row r="143" spans="1:14" ht="12.75" customHeight="1" x14ac:dyDescent="0.3">
      <c r="A143" s="13"/>
      <c r="B143" s="40" t="s">
        <v>155</v>
      </c>
      <c r="C143" s="18"/>
      <c r="D143" s="19"/>
      <c r="E143" s="19"/>
      <c r="F143" s="19"/>
      <c r="G143" s="192">
        <f>+SUM(F144:F146)</f>
        <v>21227962</v>
      </c>
      <c r="H143" s="245">
        <f>+G143/$G$195</f>
        <v>2.5126450140132647E-2</v>
      </c>
      <c r="I143" s="246"/>
      <c r="J143" s="247"/>
      <c r="K143" s="247"/>
      <c r="L143" s="178"/>
      <c r="M143" s="178"/>
      <c r="N143" s="179"/>
    </row>
    <row r="144" spans="1:14" ht="12.75" customHeight="1" x14ac:dyDescent="0.3">
      <c r="A144" s="20">
        <v>19.010000000000002</v>
      </c>
      <c r="B144" s="136" t="s">
        <v>156</v>
      </c>
      <c r="C144" s="122" t="s">
        <v>29</v>
      </c>
      <c r="D144" s="123">
        <v>1</v>
      </c>
      <c r="E144" s="183">
        <v>6793844</v>
      </c>
      <c r="F144" s="183">
        <f t="shared" si="14"/>
        <v>6793844</v>
      </c>
      <c r="H144" s="245"/>
      <c r="I144" s="250">
        <v>0</v>
      </c>
      <c r="J144" s="250"/>
      <c r="K144" s="251">
        <f t="shared" si="15"/>
        <v>0</v>
      </c>
      <c r="L144" s="50">
        <f t="shared" si="16"/>
        <v>0</v>
      </c>
      <c r="M144" s="50">
        <f t="shared" si="17"/>
        <v>0</v>
      </c>
      <c r="N144" s="50">
        <f t="shared" si="18"/>
        <v>0</v>
      </c>
    </row>
    <row r="145" spans="1:14" ht="12.75" customHeight="1" x14ac:dyDescent="0.3">
      <c r="A145" s="24">
        <v>19.02</v>
      </c>
      <c r="B145" s="36" t="s">
        <v>157</v>
      </c>
      <c r="C145" s="28" t="s">
        <v>29</v>
      </c>
      <c r="D145" s="29">
        <v>1</v>
      </c>
      <c r="E145" s="181">
        <v>9552583</v>
      </c>
      <c r="F145" s="181">
        <f t="shared" si="14"/>
        <v>9552583</v>
      </c>
      <c r="H145" s="245"/>
      <c r="I145" s="250">
        <v>0</v>
      </c>
      <c r="J145" s="250"/>
      <c r="K145" s="251">
        <f t="shared" si="15"/>
        <v>0</v>
      </c>
      <c r="L145" s="50">
        <f t="shared" si="16"/>
        <v>0</v>
      </c>
      <c r="M145" s="50">
        <f t="shared" si="17"/>
        <v>0</v>
      </c>
      <c r="N145" s="50">
        <f t="shared" si="18"/>
        <v>0</v>
      </c>
    </row>
    <row r="146" spans="1:14" ht="12.75" customHeight="1" x14ac:dyDescent="0.3">
      <c r="A146" s="33">
        <v>19.03</v>
      </c>
      <c r="B146" s="137" t="s">
        <v>158</v>
      </c>
      <c r="C146" s="138" t="s">
        <v>29</v>
      </c>
      <c r="D146" s="139">
        <v>1</v>
      </c>
      <c r="E146" s="181">
        <v>4881535</v>
      </c>
      <c r="F146" s="181">
        <f t="shared" si="14"/>
        <v>4881535</v>
      </c>
      <c r="H146" s="245"/>
      <c r="I146" s="250">
        <v>0</v>
      </c>
      <c r="J146" s="250"/>
      <c r="K146" s="251">
        <f t="shared" si="15"/>
        <v>0</v>
      </c>
      <c r="L146" s="50">
        <f t="shared" si="16"/>
        <v>0</v>
      </c>
      <c r="M146" s="50">
        <f t="shared" si="17"/>
        <v>0</v>
      </c>
      <c r="N146" s="50">
        <f t="shared" si="18"/>
        <v>0</v>
      </c>
    </row>
    <row r="147" spans="1:14" ht="12.75" customHeight="1" x14ac:dyDescent="0.3">
      <c r="A147" s="140"/>
      <c r="B147" s="141" t="s">
        <v>159</v>
      </c>
      <c r="C147" s="11"/>
      <c r="D147" s="12"/>
      <c r="E147" s="19"/>
      <c r="F147" s="19"/>
      <c r="G147" s="192">
        <f>+SUM(F148:F150)</f>
        <v>7075989</v>
      </c>
      <c r="H147" s="245">
        <f>+G147/$G$195</f>
        <v>8.3754853527920892E-3</v>
      </c>
      <c r="I147" s="246"/>
      <c r="J147" s="247"/>
      <c r="K147" s="247"/>
      <c r="L147" s="178"/>
      <c r="M147" s="178"/>
      <c r="N147" s="179"/>
    </row>
    <row r="148" spans="1:14" ht="12.75" customHeight="1" x14ac:dyDescent="0.3">
      <c r="A148" s="20">
        <v>19.04</v>
      </c>
      <c r="B148" s="136" t="s">
        <v>160</v>
      </c>
      <c r="C148" s="122" t="s">
        <v>29</v>
      </c>
      <c r="D148" s="123">
        <v>1</v>
      </c>
      <c r="E148" s="181">
        <v>2476596</v>
      </c>
      <c r="F148" s="181">
        <f t="shared" si="14"/>
        <v>2476596</v>
      </c>
      <c r="H148" s="245"/>
      <c r="I148" s="250">
        <v>0</v>
      </c>
      <c r="J148" s="250"/>
      <c r="K148" s="251">
        <f t="shared" si="15"/>
        <v>0</v>
      </c>
      <c r="L148" s="50">
        <f t="shared" si="16"/>
        <v>0</v>
      </c>
      <c r="M148" s="50">
        <f t="shared" si="17"/>
        <v>0</v>
      </c>
      <c r="N148" s="50">
        <f t="shared" si="18"/>
        <v>0</v>
      </c>
    </row>
    <row r="149" spans="1:14" ht="12.75" customHeight="1" x14ac:dyDescent="0.3">
      <c r="A149" s="24">
        <v>19.05</v>
      </c>
      <c r="B149" s="36" t="s">
        <v>161</v>
      </c>
      <c r="C149" s="28" t="s">
        <v>29</v>
      </c>
      <c r="D149" s="29">
        <v>1</v>
      </c>
      <c r="E149" s="181">
        <v>3537994</v>
      </c>
      <c r="F149" s="181">
        <f t="shared" si="14"/>
        <v>3537994</v>
      </c>
      <c r="H149" s="245"/>
      <c r="I149" s="250">
        <v>0</v>
      </c>
      <c r="J149" s="250"/>
      <c r="K149" s="251">
        <f t="shared" si="15"/>
        <v>0</v>
      </c>
      <c r="L149" s="50">
        <f t="shared" si="16"/>
        <v>0</v>
      </c>
      <c r="M149" s="50">
        <f t="shared" si="17"/>
        <v>0</v>
      </c>
      <c r="N149" s="50">
        <f t="shared" si="18"/>
        <v>0</v>
      </c>
    </row>
    <row r="150" spans="1:14" ht="12.75" customHeight="1" x14ac:dyDescent="0.3">
      <c r="A150" s="33">
        <v>19.059999999999999</v>
      </c>
      <c r="B150" s="137" t="s">
        <v>162</v>
      </c>
      <c r="C150" s="138" t="s">
        <v>29</v>
      </c>
      <c r="D150" s="139">
        <v>1</v>
      </c>
      <c r="E150" s="181">
        <v>1061399</v>
      </c>
      <c r="F150" s="181">
        <f t="shared" si="14"/>
        <v>1061399</v>
      </c>
      <c r="H150" s="245"/>
      <c r="I150" s="250">
        <v>0</v>
      </c>
      <c r="J150" s="250"/>
      <c r="K150" s="251">
        <f t="shared" si="15"/>
        <v>0</v>
      </c>
      <c r="L150" s="50">
        <f t="shared" si="16"/>
        <v>0</v>
      </c>
      <c r="M150" s="50">
        <f t="shared" si="17"/>
        <v>0</v>
      </c>
      <c r="N150" s="50">
        <f t="shared" si="18"/>
        <v>0</v>
      </c>
    </row>
    <row r="151" spans="1:14" ht="12.75" customHeight="1" x14ac:dyDescent="0.3">
      <c r="A151" s="13"/>
      <c r="B151" s="40" t="s">
        <v>163</v>
      </c>
      <c r="C151" s="18"/>
      <c r="D151" s="19"/>
      <c r="E151" s="19"/>
      <c r="F151" s="19"/>
      <c r="G151" s="192">
        <f>+SUM(F152:F156)</f>
        <v>34829620</v>
      </c>
      <c r="H151" s="245">
        <f>+G151/$G$195</f>
        <v>4.1226035279777064E-2</v>
      </c>
      <c r="I151" s="246"/>
      <c r="J151" s="247"/>
      <c r="K151" s="247"/>
      <c r="L151" s="178"/>
      <c r="M151" s="178"/>
      <c r="N151" s="179"/>
    </row>
    <row r="152" spans="1:14" ht="12.75" customHeight="1" x14ac:dyDescent="0.3">
      <c r="A152" s="115">
        <v>19.07</v>
      </c>
      <c r="B152" s="142" t="s">
        <v>164</v>
      </c>
      <c r="C152" s="122" t="s">
        <v>29</v>
      </c>
      <c r="D152" s="123">
        <v>1</v>
      </c>
      <c r="E152" s="180">
        <v>3263223</v>
      </c>
      <c r="F152" s="180">
        <f t="shared" si="14"/>
        <v>3263223</v>
      </c>
      <c r="H152" s="245"/>
      <c r="I152" s="250">
        <v>0</v>
      </c>
      <c r="J152" s="250"/>
      <c r="K152" s="251">
        <f t="shared" si="15"/>
        <v>0</v>
      </c>
      <c r="L152" s="50">
        <f t="shared" si="16"/>
        <v>0</v>
      </c>
      <c r="M152" s="50">
        <f t="shared" si="17"/>
        <v>0</v>
      </c>
      <c r="N152" s="50">
        <f t="shared" si="18"/>
        <v>0</v>
      </c>
    </row>
    <row r="153" spans="1:14" ht="12.75" customHeight="1" x14ac:dyDescent="0.3">
      <c r="A153" s="100">
        <v>19.079999999999998</v>
      </c>
      <c r="B153" s="143" t="s">
        <v>165</v>
      </c>
      <c r="C153" s="28" t="s">
        <v>29</v>
      </c>
      <c r="D153" s="29">
        <v>1</v>
      </c>
      <c r="E153" s="181">
        <v>3665831</v>
      </c>
      <c r="F153" s="181">
        <f t="shared" si="14"/>
        <v>3665831</v>
      </c>
      <c r="H153" s="245"/>
      <c r="I153" s="250">
        <v>0</v>
      </c>
      <c r="J153" s="250"/>
      <c r="K153" s="251">
        <f t="shared" si="15"/>
        <v>0</v>
      </c>
      <c r="L153" s="50">
        <f t="shared" si="16"/>
        <v>0</v>
      </c>
      <c r="M153" s="50">
        <f t="shared" si="17"/>
        <v>0</v>
      </c>
      <c r="N153" s="50">
        <f t="shared" si="18"/>
        <v>0</v>
      </c>
    </row>
    <row r="154" spans="1:14" ht="12.75" customHeight="1" x14ac:dyDescent="0.3">
      <c r="A154" s="100">
        <v>19.09</v>
      </c>
      <c r="B154" s="144" t="s">
        <v>166</v>
      </c>
      <c r="C154" s="28" t="s">
        <v>29</v>
      </c>
      <c r="D154" s="29">
        <v>1</v>
      </c>
      <c r="E154" s="181">
        <v>3263223</v>
      </c>
      <c r="F154" s="181">
        <f t="shared" si="14"/>
        <v>3263223</v>
      </c>
      <c r="H154" s="245"/>
      <c r="I154" s="250">
        <v>0</v>
      </c>
      <c r="J154" s="250"/>
      <c r="K154" s="251">
        <f t="shared" si="15"/>
        <v>0</v>
      </c>
      <c r="L154" s="50">
        <f t="shared" si="16"/>
        <v>0</v>
      </c>
      <c r="M154" s="50">
        <f t="shared" si="17"/>
        <v>0</v>
      </c>
      <c r="N154" s="50">
        <f t="shared" si="18"/>
        <v>0</v>
      </c>
    </row>
    <row r="155" spans="1:14" ht="12.75" customHeight="1" x14ac:dyDescent="0.3">
      <c r="A155" s="100">
        <v>19.100000000000001</v>
      </c>
      <c r="B155" s="143" t="s">
        <v>167</v>
      </c>
      <c r="C155" s="28" t="s">
        <v>29</v>
      </c>
      <c r="D155" s="29">
        <v>1</v>
      </c>
      <c r="E155" s="181">
        <v>18413869</v>
      </c>
      <c r="F155" s="181">
        <f t="shared" si="14"/>
        <v>18413869</v>
      </c>
      <c r="H155" s="245"/>
      <c r="I155" s="250">
        <v>0</v>
      </c>
      <c r="J155" s="250"/>
      <c r="K155" s="251">
        <f t="shared" si="15"/>
        <v>0</v>
      </c>
      <c r="L155" s="50">
        <f t="shared" si="16"/>
        <v>0</v>
      </c>
      <c r="M155" s="50">
        <f t="shared" si="17"/>
        <v>0</v>
      </c>
      <c r="N155" s="50">
        <f t="shared" si="18"/>
        <v>0</v>
      </c>
    </row>
    <row r="156" spans="1:14" ht="12.75" customHeight="1" x14ac:dyDescent="0.3">
      <c r="A156" s="100">
        <v>19.11</v>
      </c>
      <c r="B156" s="145" t="s">
        <v>168</v>
      </c>
      <c r="C156" s="138" t="s">
        <v>29</v>
      </c>
      <c r="D156" s="139">
        <v>1</v>
      </c>
      <c r="E156" s="189">
        <v>6223474</v>
      </c>
      <c r="F156" s="189">
        <f t="shared" si="14"/>
        <v>6223474</v>
      </c>
      <c r="H156" s="245"/>
      <c r="I156" s="250">
        <v>0</v>
      </c>
      <c r="J156" s="250"/>
      <c r="K156" s="251">
        <f t="shared" si="15"/>
        <v>0</v>
      </c>
      <c r="L156" s="50">
        <f t="shared" si="16"/>
        <v>0</v>
      </c>
      <c r="M156" s="50">
        <f t="shared" si="17"/>
        <v>0</v>
      </c>
      <c r="N156" s="50">
        <f t="shared" si="18"/>
        <v>0</v>
      </c>
    </row>
    <row r="157" spans="1:14" ht="12.75" customHeight="1" x14ac:dyDescent="0.3">
      <c r="A157" s="13"/>
      <c r="B157" s="40" t="s">
        <v>169</v>
      </c>
      <c r="C157" s="18"/>
      <c r="D157" s="19"/>
      <c r="E157" s="19"/>
      <c r="F157" s="19"/>
      <c r="G157" s="192">
        <f>+SUM(F158)</f>
        <v>2637801</v>
      </c>
      <c r="H157" s="245">
        <f>+G157/$G$195</f>
        <v>3.1222297885257206E-3</v>
      </c>
      <c r="I157" s="246"/>
      <c r="J157" s="247"/>
      <c r="K157" s="247"/>
      <c r="L157" s="178"/>
      <c r="M157" s="178"/>
      <c r="N157" s="179"/>
    </row>
    <row r="158" spans="1:14" ht="12.75" customHeight="1" x14ac:dyDescent="0.3">
      <c r="A158" s="24">
        <v>19.12</v>
      </c>
      <c r="B158" s="36" t="s">
        <v>170</v>
      </c>
      <c r="C158" s="28" t="s">
        <v>29</v>
      </c>
      <c r="D158" s="29">
        <v>1</v>
      </c>
      <c r="E158" s="181">
        <v>2637801</v>
      </c>
      <c r="F158" s="181">
        <f t="shared" si="14"/>
        <v>2637801</v>
      </c>
      <c r="H158" s="245"/>
      <c r="I158" s="250">
        <v>0</v>
      </c>
      <c r="J158" s="250"/>
      <c r="K158" s="251">
        <f t="shared" si="15"/>
        <v>0</v>
      </c>
      <c r="L158" s="50">
        <f t="shared" si="16"/>
        <v>0</v>
      </c>
      <c r="M158" s="50">
        <f t="shared" si="17"/>
        <v>0</v>
      </c>
      <c r="N158" s="50">
        <f t="shared" si="18"/>
        <v>0</v>
      </c>
    </row>
    <row r="159" spans="1:14" ht="12.75" customHeight="1" x14ac:dyDescent="0.3">
      <c r="A159" s="13"/>
      <c r="B159" s="40" t="s">
        <v>171</v>
      </c>
      <c r="C159" s="18"/>
      <c r="D159" s="19"/>
      <c r="E159" s="19"/>
      <c r="F159" s="19"/>
      <c r="G159" s="192">
        <f>+SUM(F160:F161)</f>
        <v>39784561</v>
      </c>
      <c r="H159" s="245">
        <f>+G159/$G$195</f>
        <v>4.7090944873255651E-2</v>
      </c>
      <c r="I159" s="246"/>
      <c r="J159" s="247"/>
      <c r="K159" s="247"/>
      <c r="L159" s="178"/>
      <c r="M159" s="178"/>
      <c r="N159" s="179"/>
    </row>
    <row r="160" spans="1:14" ht="12.75" customHeight="1" x14ac:dyDescent="0.3">
      <c r="A160" s="20">
        <v>19.13</v>
      </c>
      <c r="B160" s="136" t="s">
        <v>172</v>
      </c>
      <c r="C160" s="122" t="s">
        <v>29</v>
      </c>
      <c r="D160" s="123">
        <v>1</v>
      </c>
      <c r="E160" s="181">
        <v>36002858</v>
      </c>
      <c r="F160" s="181">
        <f t="shared" si="14"/>
        <v>36002858</v>
      </c>
      <c r="H160" s="245"/>
      <c r="I160" s="250">
        <v>0</v>
      </c>
      <c r="J160" s="250"/>
      <c r="K160" s="251">
        <f t="shared" si="15"/>
        <v>0</v>
      </c>
      <c r="L160" s="50">
        <f t="shared" si="16"/>
        <v>0</v>
      </c>
      <c r="M160" s="50">
        <f t="shared" si="17"/>
        <v>0</v>
      </c>
      <c r="N160" s="50">
        <f t="shared" si="18"/>
        <v>0</v>
      </c>
    </row>
    <row r="161" spans="1:14" ht="12.75" customHeight="1" x14ac:dyDescent="0.3">
      <c r="A161" s="33">
        <v>19.14</v>
      </c>
      <c r="B161" s="137" t="s">
        <v>173</v>
      </c>
      <c r="C161" s="138" t="s">
        <v>29</v>
      </c>
      <c r="D161" s="139">
        <v>1</v>
      </c>
      <c r="E161" s="181">
        <v>3781703</v>
      </c>
      <c r="F161" s="181">
        <f t="shared" si="14"/>
        <v>3781703</v>
      </c>
      <c r="H161" s="245"/>
      <c r="I161" s="250">
        <v>0</v>
      </c>
      <c r="J161" s="250"/>
      <c r="K161" s="251">
        <f t="shared" si="15"/>
        <v>0</v>
      </c>
      <c r="L161" s="50">
        <f t="shared" si="16"/>
        <v>0</v>
      </c>
      <c r="M161" s="50">
        <f t="shared" si="17"/>
        <v>0</v>
      </c>
      <c r="N161" s="50">
        <f t="shared" si="18"/>
        <v>0</v>
      </c>
    </row>
    <row r="162" spans="1:14" ht="12.75" customHeight="1" x14ac:dyDescent="0.3">
      <c r="A162" s="13"/>
      <c r="B162" s="40" t="s">
        <v>174</v>
      </c>
      <c r="C162" s="18"/>
      <c r="D162" s="19"/>
      <c r="E162" s="19"/>
      <c r="F162" s="19"/>
      <c r="G162" s="192">
        <f>+SUM(F163)</f>
        <v>6439007</v>
      </c>
      <c r="H162" s="245">
        <f>+G162/$G$195</f>
        <v>7.6215224211097178E-3</v>
      </c>
      <c r="I162" s="246"/>
      <c r="J162" s="247"/>
      <c r="K162" s="247"/>
      <c r="L162" s="178"/>
      <c r="M162" s="178"/>
      <c r="N162" s="179"/>
    </row>
    <row r="163" spans="1:14" ht="12.75" customHeight="1" x14ac:dyDescent="0.3">
      <c r="A163" s="24">
        <v>19.149999999999999</v>
      </c>
      <c r="B163" s="98" t="s">
        <v>175</v>
      </c>
      <c r="C163" s="28" t="s">
        <v>29</v>
      </c>
      <c r="D163" s="29">
        <v>1</v>
      </c>
      <c r="E163" s="181">
        <v>6439007</v>
      </c>
      <c r="F163" s="181">
        <f t="shared" si="14"/>
        <v>6439007</v>
      </c>
      <c r="H163" s="245"/>
      <c r="I163" s="250">
        <v>0</v>
      </c>
      <c r="J163" s="250"/>
      <c r="K163" s="251">
        <f t="shared" si="15"/>
        <v>0</v>
      </c>
      <c r="L163" s="50">
        <f t="shared" si="16"/>
        <v>0</v>
      </c>
      <c r="M163" s="50">
        <f t="shared" si="17"/>
        <v>0</v>
      </c>
      <c r="N163" s="50">
        <f t="shared" si="18"/>
        <v>0</v>
      </c>
    </row>
    <row r="164" spans="1:14" ht="12.75" customHeight="1" x14ac:dyDescent="0.3">
      <c r="A164" s="13"/>
      <c r="B164" s="40" t="s">
        <v>176</v>
      </c>
      <c r="C164" s="18"/>
      <c r="D164" s="19"/>
      <c r="E164" s="19"/>
      <c r="F164" s="19"/>
      <c r="G164" s="192">
        <f>+SUM(F165:F168)</f>
        <v>33172785</v>
      </c>
      <c r="H164" s="245">
        <f t="shared" ref="H164:H192" si="19">+G164/$G$195</f>
        <v>3.9264924645702685E-2</v>
      </c>
      <c r="I164" s="246"/>
      <c r="J164" s="247"/>
      <c r="K164" s="247"/>
      <c r="L164" s="178"/>
      <c r="M164" s="178"/>
      <c r="N164" s="179"/>
    </row>
    <row r="165" spans="1:14" ht="12.75" customHeight="1" x14ac:dyDescent="0.3">
      <c r="A165" s="24">
        <v>19.16</v>
      </c>
      <c r="B165" s="143" t="s">
        <v>177</v>
      </c>
      <c r="C165" s="28" t="s">
        <v>29</v>
      </c>
      <c r="D165" s="29">
        <v>1</v>
      </c>
      <c r="E165" s="181">
        <v>27794007</v>
      </c>
      <c r="F165" s="181">
        <f t="shared" si="14"/>
        <v>27794007</v>
      </c>
      <c r="H165" s="245"/>
      <c r="I165" s="250">
        <v>0</v>
      </c>
      <c r="J165" s="250"/>
      <c r="K165" s="251">
        <f t="shared" si="15"/>
        <v>0</v>
      </c>
      <c r="L165" s="50">
        <f t="shared" si="16"/>
        <v>0</v>
      </c>
      <c r="M165" s="50">
        <f t="shared" si="17"/>
        <v>0</v>
      </c>
      <c r="N165" s="50">
        <f t="shared" si="18"/>
        <v>0</v>
      </c>
    </row>
    <row r="166" spans="1:14" ht="12.75" customHeight="1" x14ac:dyDescent="0.3">
      <c r="A166" s="24">
        <v>19.170000000000002</v>
      </c>
      <c r="B166" s="146" t="s">
        <v>178</v>
      </c>
      <c r="C166" s="147" t="s">
        <v>33</v>
      </c>
      <c r="D166" s="148">
        <v>8</v>
      </c>
      <c r="E166" s="181">
        <v>59973</v>
      </c>
      <c r="F166" s="181">
        <f t="shared" si="14"/>
        <v>479784</v>
      </c>
      <c r="H166" s="245"/>
      <c r="I166" s="250">
        <v>0</v>
      </c>
      <c r="J166" s="250"/>
      <c r="K166" s="251">
        <f t="shared" si="15"/>
        <v>0</v>
      </c>
      <c r="L166" s="50">
        <f t="shared" si="16"/>
        <v>0</v>
      </c>
      <c r="M166" s="50">
        <f t="shared" si="17"/>
        <v>0</v>
      </c>
      <c r="N166" s="50">
        <f t="shared" si="18"/>
        <v>0</v>
      </c>
    </row>
    <row r="167" spans="1:14" ht="12.75" customHeight="1" x14ac:dyDescent="0.3">
      <c r="A167" s="24">
        <v>19.18</v>
      </c>
      <c r="B167" s="146" t="s">
        <v>179</v>
      </c>
      <c r="C167" s="147" t="s">
        <v>29</v>
      </c>
      <c r="D167" s="148">
        <v>8</v>
      </c>
      <c r="E167" s="181">
        <v>27640</v>
      </c>
      <c r="F167" s="181">
        <f t="shared" si="14"/>
        <v>221120</v>
      </c>
      <c r="H167" s="245"/>
      <c r="I167" s="250">
        <v>0</v>
      </c>
      <c r="J167" s="250"/>
      <c r="K167" s="251">
        <f t="shared" si="15"/>
        <v>0</v>
      </c>
      <c r="L167" s="50">
        <f t="shared" si="16"/>
        <v>0</v>
      </c>
      <c r="M167" s="50">
        <f t="shared" si="17"/>
        <v>0</v>
      </c>
      <c r="N167" s="50">
        <f t="shared" si="18"/>
        <v>0</v>
      </c>
    </row>
    <row r="168" spans="1:14" ht="12.75" customHeight="1" x14ac:dyDescent="0.3">
      <c r="A168" s="100">
        <v>19.190000000000001</v>
      </c>
      <c r="B168" s="145" t="s">
        <v>180</v>
      </c>
      <c r="C168" s="138" t="s">
        <v>29</v>
      </c>
      <c r="D168" s="139">
        <v>1</v>
      </c>
      <c r="E168" s="181">
        <v>4677874</v>
      </c>
      <c r="F168" s="181">
        <f t="shared" si="14"/>
        <v>4677874</v>
      </c>
      <c r="H168" s="245"/>
      <c r="I168" s="250">
        <v>0</v>
      </c>
      <c r="J168" s="250"/>
      <c r="K168" s="251">
        <f t="shared" si="15"/>
        <v>0</v>
      </c>
      <c r="L168" s="50">
        <f t="shared" si="16"/>
        <v>0</v>
      </c>
      <c r="M168" s="50">
        <f t="shared" si="17"/>
        <v>0</v>
      </c>
      <c r="N168" s="50">
        <f t="shared" si="18"/>
        <v>0</v>
      </c>
    </row>
    <row r="169" spans="1:14" ht="12.75" customHeight="1" x14ac:dyDescent="0.3">
      <c r="A169" s="13">
        <v>20</v>
      </c>
      <c r="B169" s="40" t="s">
        <v>181</v>
      </c>
      <c r="C169" s="18"/>
      <c r="D169" s="19"/>
      <c r="E169" s="19"/>
      <c r="F169" s="19"/>
      <c r="G169" s="192">
        <f>+SUM(F170:F171)</f>
        <v>0</v>
      </c>
      <c r="H169" s="245">
        <f t="shared" si="19"/>
        <v>0</v>
      </c>
      <c r="I169" s="246"/>
      <c r="J169" s="247"/>
      <c r="K169" s="247"/>
      <c r="L169" s="178"/>
      <c r="M169" s="178"/>
      <c r="N169" s="179"/>
    </row>
    <row r="170" spans="1:14" ht="12.75" customHeight="1" x14ac:dyDescent="0.3">
      <c r="A170" s="106">
        <v>20.010000000000002</v>
      </c>
      <c r="B170" s="107" t="s">
        <v>182</v>
      </c>
      <c r="C170" s="120" t="s">
        <v>33</v>
      </c>
      <c r="D170" s="121">
        <v>0</v>
      </c>
      <c r="E170" s="183">
        <v>0</v>
      </c>
      <c r="F170" s="183">
        <f t="shared" si="14"/>
        <v>0</v>
      </c>
      <c r="H170" s="245"/>
      <c r="I170" s="250">
        <v>0</v>
      </c>
      <c r="J170" s="250"/>
      <c r="K170" s="251">
        <f t="shared" si="15"/>
        <v>0</v>
      </c>
      <c r="L170" s="50">
        <f t="shared" si="16"/>
        <v>0</v>
      </c>
      <c r="M170" s="50">
        <f t="shared" si="17"/>
        <v>0</v>
      </c>
      <c r="N170" s="50">
        <f t="shared" si="18"/>
        <v>0</v>
      </c>
    </row>
    <row r="171" spans="1:14" ht="12.75" customHeight="1" x14ac:dyDescent="0.3">
      <c r="A171" s="24">
        <v>20.02</v>
      </c>
      <c r="B171" s="25" t="s">
        <v>183</v>
      </c>
      <c r="C171" s="112" t="s">
        <v>33</v>
      </c>
      <c r="D171" s="27">
        <v>0</v>
      </c>
      <c r="E171" s="181">
        <v>0</v>
      </c>
      <c r="F171" s="181">
        <f t="shared" si="14"/>
        <v>0</v>
      </c>
      <c r="H171" s="245"/>
      <c r="I171" s="250">
        <v>0</v>
      </c>
      <c r="J171" s="250"/>
      <c r="K171" s="251">
        <f t="shared" si="15"/>
        <v>0</v>
      </c>
      <c r="L171" s="50">
        <f t="shared" si="16"/>
        <v>0</v>
      </c>
      <c r="M171" s="50">
        <f t="shared" si="17"/>
        <v>0</v>
      </c>
      <c r="N171" s="50">
        <f t="shared" si="18"/>
        <v>0</v>
      </c>
    </row>
    <row r="172" spans="1:14" ht="12.75" customHeight="1" x14ac:dyDescent="0.3">
      <c r="A172" s="13">
        <v>21</v>
      </c>
      <c r="B172" s="40" t="s">
        <v>184</v>
      </c>
      <c r="C172" s="18"/>
      <c r="D172" s="19"/>
      <c r="E172" s="19"/>
      <c r="F172" s="19"/>
      <c r="G172" s="192">
        <f>+SUM(F173)</f>
        <v>0</v>
      </c>
      <c r="H172" s="245">
        <f t="shared" si="19"/>
        <v>0</v>
      </c>
      <c r="I172" s="246"/>
      <c r="J172" s="247"/>
      <c r="K172" s="247"/>
      <c r="L172" s="178"/>
      <c r="M172" s="178"/>
      <c r="N172" s="179"/>
    </row>
    <row r="173" spans="1:14" ht="12.75" customHeight="1" x14ac:dyDescent="0.3">
      <c r="A173" s="149">
        <v>21.01</v>
      </c>
      <c r="B173" s="150" t="s">
        <v>185</v>
      </c>
      <c r="C173" s="151" t="s">
        <v>29</v>
      </c>
      <c r="D173" s="152">
        <v>1</v>
      </c>
      <c r="E173" s="184">
        <v>0</v>
      </c>
      <c r="F173" s="181">
        <f t="shared" si="14"/>
        <v>0</v>
      </c>
      <c r="G173" s="182"/>
      <c r="H173" s="245"/>
      <c r="I173" s="250">
        <v>0</v>
      </c>
      <c r="J173" s="250"/>
      <c r="K173" s="251">
        <f t="shared" si="15"/>
        <v>0</v>
      </c>
      <c r="L173" s="50">
        <f t="shared" si="16"/>
        <v>0</v>
      </c>
      <c r="M173" s="50">
        <f t="shared" si="17"/>
        <v>0</v>
      </c>
      <c r="N173" s="50">
        <f t="shared" si="18"/>
        <v>0</v>
      </c>
    </row>
    <row r="174" spans="1:14" ht="12.75" customHeight="1" x14ac:dyDescent="0.3">
      <c r="A174" s="13">
        <v>22</v>
      </c>
      <c r="B174" s="40" t="s">
        <v>186</v>
      </c>
      <c r="C174" s="18"/>
      <c r="D174" s="19"/>
      <c r="E174" s="19"/>
      <c r="F174" s="19"/>
      <c r="G174" s="192">
        <f>+SUM(F175:F176)</f>
        <v>2934560</v>
      </c>
      <c r="H174" s="245">
        <f t="shared" si="19"/>
        <v>3.4734882002910904E-3</v>
      </c>
      <c r="I174" s="246"/>
      <c r="J174" s="247"/>
      <c r="K174" s="247"/>
      <c r="L174" s="178"/>
      <c r="M174" s="178"/>
      <c r="N174" s="179"/>
    </row>
    <row r="175" spans="1:14" ht="12.75" customHeight="1" x14ac:dyDescent="0.3">
      <c r="A175" s="115">
        <v>22.01</v>
      </c>
      <c r="B175" s="131" t="s">
        <v>187</v>
      </c>
      <c r="C175" s="132" t="s">
        <v>33</v>
      </c>
      <c r="D175" s="153">
        <v>8</v>
      </c>
      <c r="E175" s="184">
        <v>91705</v>
      </c>
      <c r="F175" s="183">
        <f t="shared" si="14"/>
        <v>733640</v>
      </c>
      <c r="H175" s="245"/>
      <c r="I175" s="250">
        <v>0</v>
      </c>
      <c r="J175" s="250"/>
      <c r="K175" s="251">
        <f t="shared" si="15"/>
        <v>0</v>
      </c>
      <c r="L175" s="50">
        <f t="shared" si="16"/>
        <v>0</v>
      </c>
      <c r="M175" s="50">
        <f t="shared" si="17"/>
        <v>0</v>
      </c>
      <c r="N175" s="50">
        <f t="shared" si="18"/>
        <v>0</v>
      </c>
    </row>
    <row r="176" spans="1:14" ht="12.75" customHeight="1" x14ac:dyDescent="0.3">
      <c r="A176" s="100">
        <v>22.02</v>
      </c>
      <c r="B176" s="98" t="s">
        <v>188</v>
      </c>
      <c r="C176" s="133" t="s">
        <v>33</v>
      </c>
      <c r="D176" s="153">
        <v>24</v>
      </c>
      <c r="E176" s="184">
        <v>91705</v>
      </c>
      <c r="F176" s="183">
        <f t="shared" si="14"/>
        <v>2200920</v>
      </c>
      <c r="H176" s="245"/>
      <c r="I176" s="250">
        <v>0</v>
      </c>
      <c r="J176" s="250"/>
      <c r="K176" s="251">
        <f t="shared" si="15"/>
        <v>0</v>
      </c>
      <c r="L176" s="50">
        <f t="shared" si="16"/>
        <v>0</v>
      </c>
      <c r="M176" s="50">
        <f t="shared" si="17"/>
        <v>0</v>
      </c>
      <c r="N176" s="50">
        <f t="shared" si="18"/>
        <v>0</v>
      </c>
    </row>
    <row r="177" spans="1:14" ht="12.75" customHeight="1" x14ac:dyDescent="0.3">
      <c r="A177" s="13">
        <v>23</v>
      </c>
      <c r="B177" s="40" t="s">
        <v>189</v>
      </c>
      <c r="C177" s="18"/>
      <c r="D177" s="19"/>
      <c r="E177" s="19"/>
      <c r="F177" s="19"/>
      <c r="G177" s="192">
        <f>+SUM(F178:F181)</f>
        <v>19050437</v>
      </c>
      <c r="H177" s="245">
        <f t="shared" si="19"/>
        <v>2.2549025451818604E-2</v>
      </c>
      <c r="I177" s="246"/>
      <c r="J177" s="247"/>
      <c r="K177" s="247"/>
      <c r="L177" s="178"/>
      <c r="M177" s="178"/>
      <c r="N177" s="179"/>
    </row>
    <row r="178" spans="1:14" ht="12.75" customHeight="1" x14ac:dyDescent="0.3">
      <c r="A178" s="115">
        <v>23.01</v>
      </c>
      <c r="B178" s="21" t="s">
        <v>190</v>
      </c>
      <c r="C178" s="93" t="s">
        <v>29</v>
      </c>
      <c r="D178" s="94">
        <v>6</v>
      </c>
      <c r="E178" s="180">
        <v>259063</v>
      </c>
      <c r="F178" s="180">
        <f t="shared" si="14"/>
        <v>1554378</v>
      </c>
      <c r="G178" s="182"/>
      <c r="H178" s="245"/>
      <c r="I178" s="250">
        <v>0</v>
      </c>
      <c r="J178" s="250"/>
      <c r="K178" s="251">
        <f t="shared" si="15"/>
        <v>0</v>
      </c>
      <c r="L178" s="50">
        <f t="shared" si="16"/>
        <v>0</v>
      </c>
      <c r="M178" s="50">
        <f t="shared" si="17"/>
        <v>0</v>
      </c>
      <c r="N178" s="50">
        <f t="shared" si="18"/>
        <v>0</v>
      </c>
    </row>
    <row r="179" spans="1:14" ht="12.75" customHeight="1" x14ac:dyDescent="0.3">
      <c r="A179" s="100">
        <v>23.02</v>
      </c>
      <c r="B179" s="25" t="s">
        <v>191</v>
      </c>
      <c r="C179" s="30" t="s">
        <v>29</v>
      </c>
      <c r="D179" s="31">
        <v>1</v>
      </c>
      <c r="E179" s="181">
        <v>793947</v>
      </c>
      <c r="F179" s="181">
        <f t="shared" si="14"/>
        <v>793947</v>
      </c>
      <c r="H179" s="245"/>
      <c r="I179" s="250">
        <v>0</v>
      </c>
      <c r="J179" s="250"/>
      <c r="K179" s="251">
        <f t="shared" si="15"/>
        <v>0</v>
      </c>
      <c r="L179" s="50">
        <f t="shared" si="16"/>
        <v>0</v>
      </c>
      <c r="M179" s="50">
        <f t="shared" si="17"/>
        <v>0</v>
      </c>
      <c r="N179" s="50">
        <f t="shared" si="18"/>
        <v>0</v>
      </c>
    </row>
    <row r="180" spans="1:14" ht="12.75" customHeight="1" x14ac:dyDescent="0.3">
      <c r="A180" s="100">
        <v>23.03</v>
      </c>
      <c r="B180" s="25" t="s">
        <v>192</v>
      </c>
      <c r="C180" s="30" t="s">
        <v>19</v>
      </c>
      <c r="D180" s="31">
        <v>26</v>
      </c>
      <c r="E180" s="181">
        <v>27076</v>
      </c>
      <c r="F180" s="181">
        <f t="shared" si="14"/>
        <v>703976</v>
      </c>
      <c r="H180" s="245"/>
      <c r="I180" s="250">
        <v>0</v>
      </c>
      <c r="J180" s="250"/>
      <c r="K180" s="251">
        <f t="shared" si="15"/>
        <v>0</v>
      </c>
      <c r="L180" s="50">
        <f t="shared" si="16"/>
        <v>0</v>
      </c>
      <c r="M180" s="50">
        <f t="shared" si="17"/>
        <v>0</v>
      </c>
      <c r="N180" s="50">
        <f t="shared" si="18"/>
        <v>0</v>
      </c>
    </row>
    <row r="181" spans="1:14" ht="12.75" customHeight="1" x14ac:dyDescent="0.3">
      <c r="A181" s="130">
        <v>23.04</v>
      </c>
      <c r="B181" s="154" t="s">
        <v>193</v>
      </c>
      <c r="C181" s="155" t="s">
        <v>19</v>
      </c>
      <c r="D181" s="102">
        <v>231</v>
      </c>
      <c r="E181" s="189">
        <v>69256</v>
      </c>
      <c r="F181" s="189">
        <f t="shared" si="14"/>
        <v>15998136</v>
      </c>
      <c r="H181" s="245"/>
      <c r="I181" s="250">
        <v>0</v>
      </c>
      <c r="J181" s="250"/>
      <c r="K181" s="251">
        <f t="shared" si="15"/>
        <v>0</v>
      </c>
      <c r="L181" s="50">
        <f t="shared" si="16"/>
        <v>0</v>
      </c>
      <c r="M181" s="50">
        <f t="shared" si="17"/>
        <v>0</v>
      </c>
      <c r="N181" s="50">
        <f t="shared" si="18"/>
        <v>0</v>
      </c>
    </row>
    <row r="182" spans="1:14" ht="12.75" customHeight="1" x14ac:dyDescent="0.3">
      <c r="A182" s="13">
        <v>24</v>
      </c>
      <c r="B182" s="40" t="s">
        <v>194</v>
      </c>
      <c r="C182" s="18"/>
      <c r="D182" s="19"/>
      <c r="E182" s="19"/>
      <c r="F182" s="19"/>
      <c r="G182" s="192">
        <f>+SUM(F183:F191)</f>
        <v>76903896</v>
      </c>
      <c r="H182" s="245">
        <f t="shared" si="19"/>
        <v>9.1027198391722505E-2</v>
      </c>
      <c r="I182" s="246"/>
      <c r="J182" s="247"/>
      <c r="K182" s="247"/>
      <c r="L182" s="178"/>
      <c r="M182" s="178"/>
      <c r="N182" s="179"/>
    </row>
    <row r="183" spans="1:14" ht="12.75" customHeight="1" x14ac:dyDescent="0.3">
      <c r="A183" s="20">
        <v>24.01</v>
      </c>
      <c r="B183" s="156" t="s">
        <v>195</v>
      </c>
      <c r="C183" s="22" t="s">
        <v>196</v>
      </c>
      <c r="D183" s="94">
        <v>17</v>
      </c>
      <c r="E183" s="181">
        <v>973327</v>
      </c>
      <c r="F183" s="181">
        <f t="shared" si="14"/>
        <v>16546559</v>
      </c>
      <c r="H183" s="245"/>
      <c r="I183" s="250">
        <v>0.3</v>
      </c>
      <c r="J183" s="250">
        <v>0.05</v>
      </c>
      <c r="K183" s="251">
        <f t="shared" si="15"/>
        <v>0.35</v>
      </c>
      <c r="L183" s="50">
        <f t="shared" si="16"/>
        <v>4963967.7</v>
      </c>
      <c r="M183" s="50">
        <f t="shared" si="17"/>
        <v>827327.95000000007</v>
      </c>
      <c r="N183" s="50">
        <f t="shared" si="18"/>
        <v>5791295.6499999994</v>
      </c>
    </row>
    <row r="184" spans="1:14" ht="12.75" customHeight="1" x14ac:dyDescent="0.3">
      <c r="A184" s="24">
        <v>24.02</v>
      </c>
      <c r="B184" s="157" t="s">
        <v>197</v>
      </c>
      <c r="C184" s="26" t="s">
        <v>196</v>
      </c>
      <c r="D184" s="31">
        <v>4</v>
      </c>
      <c r="E184" s="181">
        <v>2005316</v>
      </c>
      <c r="F184" s="181">
        <f t="shared" si="14"/>
        <v>8021264</v>
      </c>
      <c r="H184" s="245"/>
      <c r="I184" s="250">
        <v>1</v>
      </c>
      <c r="J184" s="250"/>
      <c r="K184" s="251">
        <f t="shared" si="15"/>
        <v>1</v>
      </c>
      <c r="L184" s="50">
        <f t="shared" si="16"/>
        <v>8021264</v>
      </c>
      <c r="M184" s="50">
        <f t="shared" si="17"/>
        <v>0</v>
      </c>
      <c r="N184" s="50">
        <f t="shared" si="18"/>
        <v>8021264</v>
      </c>
    </row>
    <row r="185" spans="1:14" ht="12.75" customHeight="1" x14ac:dyDescent="0.3">
      <c r="A185" s="24">
        <v>24.03</v>
      </c>
      <c r="B185" s="158" t="s">
        <v>198</v>
      </c>
      <c r="C185" s="26" t="s">
        <v>196</v>
      </c>
      <c r="D185" s="31">
        <v>17</v>
      </c>
      <c r="E185" s="181">
        <v>199910</v>
      </c>
      <c r="F185" s="181">
        <f t="shared" si="14"/>
        <v>3398470</v>
      </c>
      <c r="H185" s="245"/>
      <c r="I185" s="250">
        <v>0.3</v>
      </c>
      <c r="J185" s="250">
        <v>0.05</v>
      </c>
      <c r="K185" s="251">
        <f t="shared" si="15"/>
        <v>0.35</v>
      </c>
      <c r="L185" s="50">
        <f t="shared" si="16"/>
        <v>1019541</v>
      </c>
      <c r="M185" s="50">
        <f t="shared" si="17"/>
        <v>169923.5</v>
      </c>
      <c r="N185" s="50">
        <f t="shared" si="18"/>
        <v>1189464.5</v>
      </c>
    </row>
    <row r="186" spans="1:14" ht="12.75" customHeight="1" x14ac:dyDescent="0.3">
      <c r="A186" s="24">
        <v>24.04</v>
      </c>
      <c r="B186" s="158" t="s">
        <v>199</v>
      </c>
      <c r="C186" s="26" t="s">
        <v>29</v>
      </c>
      <c r="D186" s="27">
        <v>1</v>
      </c>
      <c r="E186" s="181">
        <v>6284456</v>
      </c>
      <c r="F186" s="181">
        <f t="shared" si="14"/>
        <v>6284456</v>
      </c>
      <c r="H186" s="245"/>
      <c r="I186" s="250">
        <v>0</v>
      </c>
      <c r="J186" s="274">
        <v>0.45</v>
      </c>
      <c r="K186" s="251">
        <f t="shared" si="15"/>
        <v>0.45</v>
      </c>
      <c r="L186" s="50">
        <f t="shared" si="16"/>
        <v>0</v>
      </c>
      <c r="M186" s="50">
        <f t="shared" si="17"/>
        <v>2828005.2</v>
      </c>
      <c r="N186" s="50">
        <f t="shared" si="18"/>
        <v>2828005.2</v>
      </c>
    </row>
    <row r="187" spans="1:14" ht="12.75" customHeight="1" x14ac:dyDescent="0.3">
      <c r="A187" s="24">
        <v>24.05</v>
      </c>
      <c r="B187" s="158" t="s">
        <v>200</v>
      </c>
      <c r="C187" s="159" t="s">
        <v>196</v>
      </c>
      <c r="D187" s="31">
        <v>17</v>
      </c>
      <c r="E187" s="181">
        <v>873895</v>
      </c>
      <c r="F187" s="181">
        <f t="shared" si="14"/>
        <v>14856215</v>
      </c>
      <c r="G187" s="194"/>
      <c r="H187" s="245"/>
      <c r="I187" s="250">
        <v>0.2</v>
      </c>
      <c r="J187" s="250">
        <v>0.05</v>
      </c>
      <c r="K187" s="251">
        <f t="shared" si="15"/>
        <v>0.25</v>
      </c>
      <c r="L187" s="50">
        <f t="shared" si="16"/>
        <v>2971243</v>
      </c>
      <c r="M187" s="50">
        <f t="shared" si="17"/>
        <v>742810.75</v>
      </c>
      <c r="N187" s="50">
        <f t="shared" si="18"/>
        <v>3714053.75</v>
      </c>
    </row>
    <row r="188" spans="1:14" ht="12.75" customHeight="1" x14ac:dyDescent="0.3">
      <c r="A188" s="24">
        <v>24.06</v>
      </c>
      <c r="B188" s="158" t="s">
        <v>201</v>
      </c>
      <c r="C188" s="159" t="s">
        <v>196</v>
      </c>
      <c r="D188" s="31">
        <v>17</v>
      </c>
      <c r="E188" s="181">
        <v>577178</v>
      </c>
      <c r="F188" s="181">
        <f t="shared" si="14"/>
        <v>9812026</v>
      </c>
      <c r="G188" s="194"/>
      <c r="H188" s="245"/>
      <c r="I188" s="250">
        <v>0.2</v>
      </c>
      <c r="J188" s="250">
        <v>0.05</v>
      </c>
      <c r="K188" s="251">
        <f t="shared" si="15"/>
        <v>0.25</v>
      </c>
      <c r="L188" s="50">
        <f t="shared" si="16"/>
        <v>1962405.2000000002</v>
      </c>
      <c r="M188" s="50">
        <f t="shared" si="17"/>
        <v>490601.30000000005</v>
      </c>
      <c r="N188" s="50">
        <f t="shared" si="18"/>
        <v>2453006.5</v>
      </c>
    </row>
    <row r="189" spans="1:14" ht="12.75" customHeight="1" x14ac:dyDescent="0.3">
      <c r="A189" s="24">
        <v>24.07</v>
      </c>
      <c r="B189" s="158" t="s">
        <v>202</v>
      </c>
      <c r="C189" s="159" t="s">
        <v>29</v>
      </c>
      <c r="D189" s="27">
        <v>1</v>
      </c>
      <c r="E189" s="181">
        <v>5277814</v>
      </c>
      <c r="F189" s="181">
        <f t="shared" si="14"/>
        <v>5277814</v>
      </c>
      <c r="G189" s="194"/>
      <c r="H189" s="245"/>
      <c r="I189" s="250">
        <v>0</v>
      </c>
      <c r="J189" s="250"/>
      <c r="K189" s="251">
        <f t="shared" si="15"/>
        <v>0</v>
      </c>
      <c r="L189" s="50">
        <f t="shared" si="16"/>
        <v>0</v>
      </c>
      <c r="M189" s="50">
        <f t="shared" si="17"/>
        <v>0</v>
      </c>
      <c r="N189" s="50">
        <f t="shared" si="18"/>
        <v>0</v>
      </c>
    </row>
    <row r="190" spans="1:14" ht="12.75" customHeight="1" x14ac:dyDescent="0.3">
      <c r="A190" s="24">
        <v>24.08</v>
      </c>
      <c r="B190" s="158" t="s">
        <v>203</v>
      </c>
      <c r="C190" s="159" t="s">
        <v>196</v>
      </c>
      <c r="D190" s="31">
        <v>17</v>
      </c>
      <c r="E190" s="181">
        <v>399819</v>
      </c>
      <c r="F190" s="181">
        <f t="shared" si="14"/>
        <v>6796923</v>
      </c>
      <c r="G190" s="194"/>
      <c r="H190" s="245"/>
      <c r="I190" s="250">
        <v>0.25</v>
      </c>
      <c r="J190" s="250">
        <v>0.05</v>
      </c>
      <c r="K190" s="251">
        <f t="shared" si="15"/>
        <v>0.3</v>
      </c>
      <c r="L190" s="50">
        <f t="shared" si="16"/>
        <v>1699230.75</v>
      </c>
      <c r="M190" s="50">
        <f t="shared" si="17"/>
        <v>339846.15</v>
      </c>
      <c r="N190" s="50">
        <f t="shared" si="18"/>
        <v>2039076.9</v>
      </c>
    </row>
    <row r="191" spans="1:14" ht="12.75" customHeight="1" x14ac:dyDescent="0.3">
      <c r="A191" s="24">
        <v>24.09</v>
      </c>
      <c r="B191" s="160" t="s">
        <v>204</v>
      </c>
      <c r="C191" s="161" t="s">
        <v>196</v>
      </c>
      <c r="D191" s="31">
        <v>17</v>
      </c>
      <c r="E191" s="189">
        <v>347657</v>
      </c>
      <c r="F191" s="189">
        <f t="shared" si="14"/>
        <v>5910169</v>
      </c>
      <c r="G191" s="194"/>
      <c r="H191" s="245"/>
      <c r="I191" s="250">
        <v>0.18</v>
      </c>
      <c r="J191" s="250">
        <v>0.05</v>
      </c>
      <c r="K191" s="251">
        <f t="shared" si="15"/>
        <v>0.22999999999999998</v>
      </c>
      <c r="L191" s="50">
        <f t="shared" si="16"/>
        <v>1063830.42</v>
      </c>
      <c r="M191" s="50">
        <f t="shared" si="17"/>
        <v>295508.45</v>
      </c>
      <c r="N191" s="50">
        <f t="shared" si="18"/>
        <v>1359338.8699999999</v>
      </c>
    </row>
    <row r="192" spans="1:14" ht="12.75" customHeight="1" x14ac:dyDescent="0.3">
      <c r="A192" s="13">
        <v>25</v>
      </c>
      <c r="B192" s="40" t="s">
        <v>205</v>
      </c>
      <c r="C192" s="18"/>
      <c r="D192" s="19"/>
      <c r="E192" s="19"/>
      <c r="F192" s="19"/>
      <c r="G192" s="192">
        <f>+SUM(F193:F194)</f>
        <v>110386593</v>
      </c>
      <c r="H192" s="245">
        <f t="shared" si="19"/>
        <v>0.13065894998086086</v>
      </c>
      <c r="I192" s="246"/>
      <c r="J192" s="247"/>
      <c r="K192" s="247"/>
      <c r="L192" s="178"/>
      <c r="M192" s="178"/>
      <c r="N192" s="179"/>
    </row>
    <row r="193" spans="1:14" ht="12.75" customHeight="1" x14ac:dyDescent="0.3">
      <c r="A193" s="20">
        <v>25.01</v>
      </c>
      <c r="B193" s="21" t="s">
        <v>206</v>
      </c>
      <c r="C193" s="93" t="s">
        <v>196</v>
      </c>
      <c r="D193" s="94">
        <v>17</v>
      </c>
      <c r="E193" s="184">
        <v>5826965</v>
      </c>
      <c r="F193" s="183">
        <f t="shared" si="14"/>
        <v>99058405</v>
      </c>
      <c r="G193" s="195"/>
      <c r="H193" s="245"/>
      <c r="I193" s="250">
        <v>0.3</v>
      </c>
      <c r="J193" s="250">
        <v>0.05</v>
      </c>
      <c r="K193" s="251">
        <f t="shared" si="15"/>
        <v>0.35</v>
      </c>
      <c r="L193" s="50">
        <f t="shared" si="16"/>
        <v>29717521.5</v>
      </c>
      <c r="M193" s="50">
        <f t="shared" si="17"/>
        <v>4952920.25</v>
      </c>
      <c r="N193" s="50">
        <f t="shared" si="18"/>
        <v>34670441.75</v>
      </c>
    </row>
    <row r="194" spans="1:14" ht="12.75" customHeight="1" x14ac:dyDescent="0.3">
      <c r="A194" s="33">
        <v>25.02</v>
      </c>
      <c r="B194" s="38" t="s">
        <v>207</v>
      </c>
      <c r="C194" s="34" t="s">
        <v>196</v>
      </c>
      <c r="D194" s="35">
        <v>17</v>
      </c>
      <c r="E194" s="184">
        <v>666364</v>
      </c>
      <c r="F194" s="181">
        <f t="shared" si="14"/>
        <v>11328188</v>
      </c>
      <c r="G194" s="196"/>
      <c r="H194" s="245"/>
      <c r="I194" s="255">
        <v>0.3</v>
      </c>
      <c r="J194" s="255">
        <v>0.05</v>
      </c>
      <c r="K194" s="256">
        <f t="shared" si="15"/>
        <v>0.35</v>
      </c>
      <c r="L194" s="257">
        <f t="shared" si="16"/>
        <v>3398456.4</v>
      </c>
      <c r="M194" s="257">
        <f t="shared" si="17"/>
        <v>566409.4</v>
      </c>
      <c r="N194" s="257">
        <f t="shared" si="18"/>
        <v>3964865.8</v>
      </c>
    </row>
    <row r="195" spans="1:14" ht="12.75" customHeight="1" x14ac:dyDescent="0.3">
      <c r="A195" s="13"/>
      <c r="B195" s="40" t="s">
        <v>208</v>
      </c>
      <c r="C195" s="18"/>
      <c r="D195" s="19"/>
      <c r="E195" s="19"/>
      <c r="F195" s="197">
        <f>SUM(F9:F194)</f>
        <v>844845248</v>
      </c>
      <c r="G195" s="192">
        <f>SUM(G9:G194)</f>
        <v>844845248</v>
      </c>
      <c r="H195" s="245">
        <f>+SUM(H9:H194)</f>
        <v>0.99999999999999978</v>
      </c>
      <c r="I195" s="258"/>
      <c r="J195" s="259"/>
      <c r="K195" s="259"/>
      <c r="L195" s="260">
        <f>+SUM(L10:L194)</f>
        <v>59960028.489999995</v>
      </c>
      <c r="M195" s="260">
        <f>+SUM(M10:M194)</f>
        <v>14134217.950000001</v>
      </c>
      <c r="N195" s="261">
        <f>+SUM(N10:N194)</f>
        <v>74094246.439999998</v>
      </c>
    </row>
    <row r="196" spans="1:14" s="41" customFormat="1" ht="13" x14ac:dyDescent="0.3">
      <c r="A196" s="43"/>
      <c r="B196" s="44"/>
      <c r="C196" s="45"/>
      <c r="D196" s="46"/>
      <c r="E196" s="198"/>
      <c r="F196" s="198"/>
      <c r="G196" s="199"/>
      <c r="H196" s="177"/>
      <c r="I196" s="200"/>
      <c r="J196" s="200"/>
      <c r="K196" s="200"/>
      <c r="L196" s="200"/>
      <c r="M196" s="254">
        <f>+M195/G195</f>
        <v>1.6729949045058725E-2</v>
      </c>
      <c r="N196" s="254">
        <f>+N195/G195</f>
        <v>8.7701560274385304E-2</v>
      </c>
    </row>
    <row r="197" spans="1:14" s="41" customFormat="1" ht="13" x14ac:dyDescent="0.3">
      <c r="A197" s="42"/>
      <c r="B197" s="88"/>
      <c r="C197" s="89"/>
      <c r="D197" s="9"/>
      <c r="E197" s="201"/>
      <c r="F197" s="201"/>
      <c r="G197" s="166"/>
      <c r="H197" s="177"/>
      <c r="I197" s="200"/>
      <c r="J197" s="200"/>
      <c r="K197" s="200"/>
      <c r="L197" s="200"/>
      <c r="M197" s="51"/>
      <c r="N197" s="51"/>
    </row>
    <row r="198" spans="1:14" ht="12.75" customHeight="1" x14ac:dyDescent="0.3">
      <c r="A198" s="39"/>
      <c r="B198" s="47"/>
      <c r="D198" s="48"/>
      <c r="E198" s="9"/>
      <c r="F198" s="9"/>
      <c r="G198" s="202"/>
      <c r="I198" s="200"/>
      <c r="J198" s="200"/>
      <c r="K198" s="200"/>
      <c r="L198" s="200"/>
      <c r="M198" s="51"/>
      <c r="N198" s="51"/>
    </row>
    <row r="199" spans="1:14" ht="12.75" customHeight="1" x14ac:dyDescent="0.3">
      <c r="A199" s="52"/>
      <c r="B199" s="53" t="s">
        <v>209</v>
      </c>
      <c r="C199" s="54"/>
      <c r="D199" s="55"/>
      <c r="E199" s="203"/>
      <c r="F199" s="204"/>
      <c r="G199" s="205"/>
      <c r="H199" s="205"/>
      <c r="I199" s="204"/>
      <c r="J199" s="206"/>
      <c r="K199" s="207" t="s">
        <v>210</v>
      </c>
      <c r="L199" s="208">
        <f>+J5</f>
        <v>7</v>
      </c>
      <c r="M199" s="209"/>
      <c r="N199" s="57">
        <f>+N5</f>
        <v>45930</v>
      </c>
    </row>
    <row r="200" spans="1:14" ht="12.75" customHeight="1" x14ac:dyDescent="0.3">
      <c r="A200" s="58"/>
      <c r="B200" s="53" t="s">
        <v>9</v>
      </c>
      <c r="C200" s="56"/>
      <c r="D200" s="59"/>
      <c r="E200" s="211"/>
      <c r="F200" s="205"/>
      <c r="G200" s="205"/>
      <c r="H200" s="205"/>
      <c r="I200" s="205"/>
      <c r="J200" s="209"/>
      <c r="K200" s="205"/>
      <c r="L200" s="205"/>
      <c r="M200" s="209" t="s">
        <v>211</v>
      </c>
      <c r="N200" s="210" t="s">
        <v>212</v>
      </c>
    </row>
    <row r="201" spans="1:14" ht="12.75" customHeight="1" x14ac:dyDescent="0.3">
      <c r="A201" s="275" t="s">
        <v>213</v>
      </c>
      <c r="B201" s="61" t="s">
        <v>214</v>
      </c>
      <c r="C201" s="60"/>
      <c r="D201" s="62"/>
      <c r="E201" s="212"/>
      <c r="F201" s="213"/>
      <c r="G201" s="214"/>
      <c r="H201" s="214"/>
      <c r="I201" s="213"/>
      <c r="J201" s="215"/>
      <c r="K201" s="213"/>
      <c r="L201" s="213"/>
      <c r="M201" s="213"/>
      <c r="N201" s="63">
        <f>+G195</f>
        <v>844845248</v>
      </c>
    </row>
    <row r="202" spans="1:14" ht="12.75" customHeight="1" x14ac:dyDescent="0.3">
      <c r="A202" s="64" t="s">
        <v>215</v>
      </c>
      <c r="B202" s="65" t="s">
        <v>216</v>
      </c>
      <c r="C202" s="66"/>
      <c r="D202" s="67"/>
      <c r="E202" s="216"/>
      <c r="F202" s="217"/>
      <c r="G202" s="218"/>
      <c r="H202" s="218"/>
      <c r="I202" s="217"/>
      <c r="J202" s="219"/>
      <c r="K202" s="217"/>
      <c r="L202" s="217"/>
      <c r="M202" s="236">
        <v>0.1</v>
      </c>
      <c r="N202" s="220">
        <f>+M202*N201</f>
        <v>84484524.800000012</v>
      </c>
    </row>
    <row r="203" spans="1:14" ht="12.75" customHeight="1" x14ac:dyDescent="0.3">
      <c r="A203" s="276" t="s">
        <v>217</v>
      </c>
      <c r="B203" s="69" t="s">
        <v>218</v>
      </c>
      <c r="C203" s="70"/>
      <c r="D203" s="71"/>
      <c r="E203" s="221"/>
      <c r="F203" s="222"/>
      <c r="G203" s="223"/>
      <c r="H203" s="223"/>
      <c r="I203" s="222"/>
      <c r="J203" s="224"/>
      <c r="K203" s="222"/>
      <c r="L203" s="222"/>
      <c r="M203" s="237"/>
      <c r="N203" s="225">
        <f>+M195</f>
        <v>14134217.950000001</v>
      </c>
    </row>
    <row r="204" spans="1:14" ht="12.75" customHeight="1" x14ac:dyDescent="0.3">
      <c r="A204" s="264" t="s">
        <v>219</v>
      </c>
      <c r="B204" s="265" t="s">
        <v>220</v>
      </c>
      <c r="C204" s="266"/>
      <c r="D204" s="267"/>
      <c r="E204" s="268"/>
      <c r="F204" s="269"/>
      <c r="G204" s="270"/>
      <c r="H204" s="270"/>
      <c r="I204" s="269"/>
      <c r="J204" s="271"/>
      <c r="K204" s="269"/>
      <c r="L204" s="269"/>
      <c r="M204" s="272">
        <f>-M202</f>
        <v>-0.1</v>
      </c>
      <c r="N204" s="273">
        <f>+M204*N203</f>
        <v>-1413421.7950000002</v>
      </c>
    </row>
    <row r="205" spans="1:14" ht="12.75" customHeight="1" x14ac:dyDescent="0.3">
      <c r="A205" s="277" t="s">
        <v>221</v>
      </c>
      <c r="B205" s="278" t="s">
        <v>222</v>
      </c>
      <c r="C205" s="279"/>
      <c r="D205" s="280"/>
      <c r="E205" s="281"/>
      <c r="F205" s="282"/>
      <c r="G205" s="282"/>
      <c r="H205" s="282"/>
      <c r="I205" s="282"/>
      <c r="J205" s="283"/>
      <c r="K205" s="282"/>
      <c r="L205" s="282"/>
      <c r="M205" s="284"/>
      <c r="N205" s="285">
        <f>+N203+N204</f>
        <v>12720796.155000001</v>
      </c>
    </row>
  </sheetData>
  <mergeCells count="2">
    <mergeCell ref="I7:K7"/>
    <mergeCell ref="L7:N7"/>
  </mergeCells>
  <conditionalFormatting sqref="C3:C197">
    <cfRule type="cellIs" dxfId="43" priority="2" operator="equal">
      <formula>"x"</formula>
    </cfRule>
  </conditionalFormatting>
  <conditionalFormatting sqref="K10:K23 K25:K31 K33 K35:K40 K42:K49 K51:K53 K55:K58 K60:K70 K72:K74 K76:K79 K81:K87 K89:K100 K102 K104:K107 K109:K141 K144:K146 K148:K150 K152:K156 K158 K160:K161 K163 K165:K168 K170:K171 K173 K175:K176 K178:K181 K183:K191 K193:K194">
    <cfRule type="cellIs" dxfId="42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69A88-0D38-4752-8C65-AEADB05F2757}">
  <dimension ref="A1:S205"/>
  <sheetViews>
    <sheetView topLeftCell="A175" zoomScaleNormal="100" workbookViewId="0">
      <selection activeCell="J111" sqref="J111"/>
    </sheetView>
  </sheetViews>
  <sheetFormatPr defaultColWidth="11.54296875" defaultRowHeight="12.75" customHeight="1" x14ac:dyDescent="0.3"/>
  <cols>
    <col min="1" max="1" width="7" style="1" bestFit="1" customWidth="1"/>
    <col min="2" max="2" width="56.36328125" style="2" customWidth="1"/>
    <col min="3" max="3" width="4.08984375" style="3" bestFit="1" customWidth="1"/>
    <col min="4" max="4" width="7" style="4" bestFit="1" customWidth="1"/>
    <col min="5" max="5" width="14.36328125" style="86" bestFit="1" customWidth="1"/>
    <col min="6" max="6" width="15.6328125" style="86" bestFit="1" customWidth="1"/>
    <col min="7" max="7" width="14.6328125" style="87" bestFit="1" customWidth="1"/>
    <col min="8" max="8" width="8.54296875" style="92" bestFit="1" customWidth="1"/>
    <col min="9" max="9" width="14" style="92" bestFit="1" customWidth="1"/>
    <col min="10" max="10" width="12.08984375" style="92" customWidth="1"/>
    <col min="11" max="13" width="11.36328125" style="92" bestFit="1" customWidth="1"/>
    <col min="14" max="14" width="13.6328125" style="92" bestFit="1" customWidth="1"/>
    <col min="15" max="15" width="12.08984375" style="5" customWidth="1"/>
    <col min="16" max="16384" width="11.54296875" style="5"/>
  </cols>
  <sheetData>
    <row r="1" spans="1:14" ht="12.75" customHeight="1" x14ac:dyDescent="0.3">
      <c r="F1" s="162" t="s">
        <v>0</v>
      </c>
      <c r="G1" s="162" t="s">
        <v>1</v>
      </c>
    </row>
    <row r="2" spans="1:14" ht="13" x14ac:dyDescent="0.3">
      <c r="F2" s="163">
        <v>1066.5</v>
      </c>
      <c r="G2" s="163">
        <v>1170</v>
      </c>
    </row>
    <row r="3" spans="1:14" s="10" customFormat="1" ht="13" x14ac:dyDescent="0.25">
      <c r="A3" s="6"/>
      <c r="B3" s="7"/>
      <c r="C3" s="8"/>
      <c r="D3" s="9"/>
      <c r="E3" s="9"/>
      <c r="F3" s="9"/>
      <c r="G3" s="164"/>
      <c r="H3" s="165"/>
      <c r="I3" s="165"/>
      <c r="J3" s="165"/>
      <c r="K3" s="165"/>
      <c r="L3" s="165"/>
      <c r="M3" s="165"/>
      <c r="N3" s="165"/>
    </row>
    <row r="4" spans="1:14" s="10" customFormat="1" ht="13" x14ac:dyDescent="0.25">
      <c r="A4" s="6"/>
      <c r="B4" s="7"/>
      <c r="C4" s="8"/>
      <c r="D4" s="9"/>
      <c r="E4" s="9"/>
      <c r="F4" s="286">
        <v>45667</v>
      </c>
      <c r="G4" s="164"/>
      <c r="H4" s="165"/>
      <c r="I4" s="165"/>
      <c r="J4" s="165"/>
      <c r="K4" s="165"/>
      <c r="L4" s="165"/>
      <c r="M4" s="165"/>
      <c r="N4" s="165"/>
    </row>
    <row r="5" spans="1:14" s="10" customFormat="1" ht="13" x14ac:dyDescent="0.3">
      <c r="A5" s="6"/>
      <c r="B5" s="90" t="s">
        <v>2</v>
      </c>
      <c r="C5" s="8"/>
      <c r="D5" s="9"/>
      <c r="E5" s="167"/>
      <c r="F5" s="167"/>
      <c r="G5" s="164"/>
      <c r="H5" s="165"/>
      <c r="I5" s="168" t="s">
        <v>3</v>
      </c>
      <c r="J5" s="169">
        <v>8</v>
      </c>
      <c r="K5" s="170"/>
      <c r="L5" s="170"/>
      <c r="M5" s="171"/>
      <c r="N5" s="49">
        <v>45958</v>
      </c>
    </row>
    <row r="6" spans="1:14" s="10" customFormat="1" ht="13" x14ac:dyDescent="0.25">
      <c r="A6" s="6"/>
      <c r="B6" s="90" t="s">
        <v>4</v>
      </c>
      <c r="C6" s="8"/>
      <c r="D6" s="9"/>
      <c r="E6" s="172"/>
      <c r="F6" s="172"/>
      <c r="G6" s="164"/>
      <c r="H6" s="165"/>
      <c r="I6" s="165"/>
      <c r="J6" s="165"/>
      <c r="K6" s="165"/>
      <c r="L6" s="165"/>
      <c r="M6" s="165"/>
      <c r="N6" s="165"/>
    </row>
    <row r="7" spans="1:14" s="10" customFormat="1" ht="13" x14ac:dyDescent="0.25">
      <c r="A7" s="6"/>
      <c r="B7" s="91" t="s">
        <v>5</v>
      </c>
      <c r="C7" s="11"/>
      <c r="D7" s="12"/>
      <c r="E7" s="173"/>
      <c r="F7" s="172"/>
      <c r="G7" s="164"/>
      <c r="H7" s="165"/>
      <c r="I7" s="330" t="s">
        <v>6</v>
      </c>
      <c r="J7" s="330"/>
      <c r="K7" s="330"/>
      <c r="L7" s="330" t="s">
        <v>7</v>
      </c>
      <c r="M7" s="330"/>
      <c r="N7" s="330"/>
    </row>
    <row r="8" spans="1:14" ht="13" x14ac:dyDescent="0.3">
      <c r="A8" s="13" t="s">
        <v>8</v>
      </c>
      <c r="B8" s="14" t="s">
        <v>9</v>
      </c>
      <c r="C8" s="15" t="s">
        <v>10</v>
      </c>
      <c r="D8" s="16" t="s">
        <v>11</v>
      </c>
      <c r="E8" s="175" t="s">
        <v>12</v>
      </c>
      <c r="F8" s="175" t="s">
        <v>13</v>
      </c>
      <c r="I8" s="174" t="s">
        <v>14</v>
      </c>
      <c r="J8" s="174" t="s">
        <v>15</v>
      </c>
      <c r="K8" s="174" t="s">
        <v>16</v>
      </c>
      <c r="L8" s="174" t="s">
        <v>14</v>
      </c>
      <c r="M8" s="174" t="s">
        <v>15</v>
      </c>
      <c r="N8" s="174" t="s">
        <v>16</v>
      </c>
    </row>
    <row r="9" spans="1:14" ht="12.75" customHeight="1" x14ac:dyDescent="0.3">
      <c r="A9" s="13">
        <v>4</v>
      </c>
      <c r="B9" s="17" t="s">
        <v>17</v>
      </c>
      <c r="C9" s="18"/>
      <c r="D9" s="19"/>
      <c r="E9" s="19"/>
      <c r="F9" s="19"/>
      <c r="G9" s="176">
        <f>+SUM(F10:F23)</f>
        <v>51045774</v>
      </c>
      <c r="H9" s="245">
        <f>+G9/$G$195</f>
        <v>6.0420265274428106E-2</v>
      </c>
      <c r="I9" s="246"/>
      <c r="J9" s="247"/>
      <c r="K9" s="247"/>
      <c r="L9" s="178"/>
      <c r="M9" s="178"/>
      <c r="N9" s="179"/>
    </row>
    <row r="10" spans="1:14" ht="12.75" customHeight="1" x14ac:dyDescent="0.3">
      <c r="A10" s="20">
        <v>4.01</v>
      </c>
      <c r="B10" s="21" t="s">
        <v>18</v>
      </c>
      <c r="C10" s="93" t="s">
        <v>19</v>
      </c>
      <c r="D10" s="94">
        <v>621</v>
      </c>
      <c r="E10" s="180">
        <v>22140</v>
      </c>
      <c r="F10" s="181">
        <f t="shared" ref="F10:F73" si="0">+E10*D10</f>
        <v>13748940</v>
      </c>
      <c r="G10" s="182"/>
      <c r="H10" s="245"/>
      <c r="I10" s="248">
        <v>0</v>
      </c>
      <c r="J10" s="248"/>
      <c r="K10" s="249">
        <f t="shared" ref="K10:K73" si="1">+I10+J10</f>
        <v>0</v>
      </c>
      <c r="L10" s="50">
        <f t="shared" ref="L10:L73" si="2">+F10*I10</f>
        <v>0</v>
      </c>
      <c r="M10" s="50">
        <f t="shared" ref="M10:M73" si="3">+F10*J10</f>
        <v>0</v>
      </c>
      <c r="N10" s="50">
        <f t="shared" ref="N10:N73" si="4">+F10*K10</f>
        <v>0</v>
      </c>
    </row>
    <row r="11" spans="1:14" ht="12.75" customHeight="1" x14ac:dyDescent="0.3">
      <c r="A11" s="24">
        <v>4.0199999999999996</v>
      </c>
      <c r="B11" s="95" t="s">
        <v>20</v>
      </c>
      <c r="C11" s="30" t="s">
        <v>19</v>
      </c>
      <c r="D11" s="31">
        <v>780</v>
      </c>
      <c r="E11" s="183">
        <v>24437</v>
      </c>
      <c r="F11" s="181">
        <f t="shared" si="0"/>
        <v>19060860</v>
      </c>
      <c r="G11" s="182"/>
      <c r="H11" s="245"/>
      <c r="I11" s="250">
        <v>0</v>
      </c>
      <c r="J11" s="250"/>
      <c r="K11" s="251">
        <f t="shared" si="1"/>
        <v>0</v>
      </c>
      <c r="L11" s="50">
        <f t="shared" si="2"/>
        <v>0</v>
      </c>
      <c r="M11" s="50">
        <f t="shared" si="3"/>
        <v>0</v>
      </c>
      <c r="N11" s="50">
        <f t="shared" si="4"/>
        <v>0</v>
      </c>
    </row>
    <row r="12" spans="1:14" ht="12.75" customHeight="1" x14ac:dyDescent="0.3">
      <c r="A12" s="24">
        <v>4.03</v>
      </c>
      <c r="B12" s="25" t="s">
        <v>21</v>
      </c>
      <c r="C12" s="30" t="s">
        <v>19</v>
      </c>
      <c r="D12" s="31">
        <v>56</v>
      </c>
      <c r="E12" s="183">
        <v>23248</v>
      </c>
      <c r="F12" s="181">
        <f t="shared" si="0"/>
        <v>1301888</v>
      </c>
      <c r="G12" s="182"/>
      <c r="H12" s="245"/>
      <c r="I12" s="250">
        <v>0</v>
      </c>
      <c r="J12" s="250"/>
      <c r="K12" s="251">
        <f t="shared" si="1"/>
        <v>0</v>
      </c>
      <c r="L12" s="50">
        <f t="shared" si="2"/>
        <v>0</v>
      </c>
      <c r="M12" s="50">
        <f t="shared" si="3"/>
        <v>0</v>
      </c>
      <c r="N12" s="50">
        <f t="shared" si="4"/>
        <v>0</v>
      </c>
    </row>
    <row r="13" spans="1:14" ht="12.75" customHeight="1" x14ac:dyDescent="0.3">
      <c r="A13" s="24">
        <v>4.04</v>
      </c>
      <c r="B13" s="25" t="s">
        <v>22</v>
      </c>
      <c r="C13" s="30" t="s">
        <v>19</v>
      </c>
      <c r="D13" s="31">
        <v>42</v>
      </c>
      <c r="E13" s="183">
        <v>28746</v>
      </c>
      <c r="F13" s="181">
        <f t="shared" si="0"/>
        <v>1207332</v>
      </c>
      <c r="G13" s="182"/>
      <c r="H13" s="245"/>
      <c r="I13" s="250">
        <v>0</v>
      </c>
      <c r="J13" s="250"/>
      <c r="K13" s="251">
        <f t="shared" si="1"/>
        <v>0</v>
      </c>
      <c r="L13" s="50">
        <f t="shared" si="2"/>
        <v>0</v>
      </c>
      <c r="M13" s="50">
        <f t="shared" si="3"/>
        <v>0</v>
      </c>
      <c r="N13" s="50">
        <f t="shared" si="4"/>
        <v>0</v>
      </c>
    </row>
    <row r="14" spans="1:14" ht="12.75" customHeight="1" x14ac:dyDescent="0.3">
      <c r="A14" s="24">
        <v>4.05</v>
      </c>
      <c r="B14" s="25" t="s">
        <v>23</v>
      </c>
      <c r="C14" s="30" t="s">
        <v>19</v>
      </c>
      <c r="D14" s="31">
        <v>70</v>
      </c>
      <c r="E14" s="183">
        <v>36933</v>
      </c>
      <c r="F14" s="181">
        <f t="shared" si="0"/>
        <v>2585310</v>
      </c>
      <c r="G14" s="182"/>
      <c r="H14" s="245"/>
      <c r="I14" s="250">
        <v>0</v>
      </c>
      <c r="J14" s="250"/>
      <c r="K14" s="251">
        <f t="shared" si="1"/>
        <v>0</v>
      </c>
      <c r="L14" s="50">
        <f t="shared" si="2"/>
        <v>0</v>
      </c>
      <c r="M14" s="50">
        <f t="shared" si="3"/>
        <v>0</v>
      </c>
      <c r="N14" s="50">
        <f t="shared" si="4"/>
        <v>0</v>
      </c>
    </row>
    <row r="15" spans="1:14" ht="12.75" customHeight="1" x14ac:dyDescent="0.3">
      <c r="A15" s="24">
        <v>4.0599999999999996</v>
      </c>
      <c r="B15" s="25" t="s">
        <v>24</v>
      </c>
      <c r="C15" s="30" t="s">
        <v>19</v>
      </c>
      <c r="D15" s="31">
        <v>5</v>
      </c>
      <c r="E15" s="183">
        <v>28672</v>
      </c>
      <c r="F15" s="181">
        <f t="shared" si="0"/>
        <v>143360</v>
      </c>
      <c r="G15" s="182"/>
      <c r="H15" s="245"/>
      <c r="I15" s="250">
        <v>0</v>
      </c>
      <c r="J15" s="250"/>
      <c r="K15" s="251">
        <f t="shared" si="1"/>
        <v>0</v>
      </c>
      <c r="L15" s="50">
        <f t="shared" si="2"/>
        <v>0</v>
      </c>
      <c r="M15" s="50">
        <f t="shared" si="3"/>
        <v>0</v>
      </c>
      <c r="N15" s="50">
        <f t="shared" si="4"/>
        <v>0</v>
      </c>
    </row>
    <row r="16" spans="1:14" ht="12.75" customHeight="1" x14ac:dyDescent="0.3">
      <c r="A16" s="24">
        <v>4.07</v>
      </c>
      <c r="B16" s="25" t="s">
        <v>25</v>
      </c>
      <c r="C16" s="30" t="s">
        <v>19</v>
      </c>
      <c r="D16" s="37">
        <v>193</v>
      </c>
      <c r="E16" s="183">
        <v>18611</v>
      </c>
      <c r="F16" s="181">
        <f t="shared" si="0"/>
        <v>3591923</v>
      </c>
      <c r="G16" s="182"/>
      <c r="H16" s="245"/>
      <c r="I16" s="250">
        <v>0</v>
      </c>
      <c r="J16" s="250"/>
      <c r="K16" s="251">
        <f t="shared" si="1"/>
        <v>0</v>
      </c>
      <c r="L16" s="50">
        <f t="shared" si="2"/>
        <v>0</v>
      </c>
      <c r="M16" s="50">
        <f t="shared" si="3"/>
        <v>0</v>
      </c>
      <c r="N16" s="50">
        <f t="shared" si="4"/>
        <v>0</v>
      </c>
    </row>
    <row r="17" spans="1:14" ht="12.75" customHeight="1" x14ac:dyDescent="0.3">
      <c r="A17" s="24">
        <v>4.08</v>
      </c>
      <c r="B17" s="25" t="s">
        <v>26</v>
      </c>
      <c r="C17" s="30" t="s">
        <v>27</v>
      </c>
      <c r="D17" s="37">
        <v>61</v>
      </c>
      <c r="E17" s="183">
        <v>28578</v>
      </c>
      <c r="F17" s="181">
        <f t="shared" si="0"/>
        <v>1743258</v>
      </c>
      <c r="G17" s="182"/>
      <c r="H17" s="245"/>
      <c r="I17" s="250">
        <v>0</v>
      </c>
      <c r="J17" s="250"/>
      <c r="K17" s="251">
        <f t="shared" si="1"/>
        <v>0</v>
      </c>
      <c r="L17" s="50">
        <f t="shared" si="2"/>
        <v>0</v>
      </c>
      <c r="M17" s="50">
        <f t="shared" si="3"/>
        <v>0</v>
      </c>
      <c r="N17" s="50">
        <f t="shared" si="4"/>
        <v>0</v>
      </c>
    </row>
    <row r="18" spans="1:14" ht="12.75" customHeight="1" x14ac:dyDescent="0.3">
      <c r="A18" s="24">
        <v>4.09</v>
      </c>
      <c r="B18" s="25" t="s">
        <v>28</v>
      </c>
      <c r="C18" s="30" t="s">
        <v>29</v>
      </c>
      <c r="D18" s="37">
        <v>1</v>
      </c>
      <c r="E18" s="183">
        <v>280823</v>
      </c>
      <c r="F18" s="181">
        <f t="shared" si="0"/>
        <v>280823</v>
      </c>
      <c r="G18" s="182"/>
      <c r="H18" s="245"/>
      <c r="I18" s="250">
        <v>0</v>
      </c>
      <c r="J18" s="250"/>
      <c r="K18" s="251">
        <f t="shared" si="1"/>
        <v>0</v>
      </c>
      <c r="L18" s="50">
        <f t="shared" si="2"/>
        <v>0</v>
      </c>
      <c r="M18" s="50">
        <f t="shared" si="3"/>
        <v>0</v>
      </c>
      <c r="N18" s="50">
        <f t="shared" si="4"/>
        <v>0</v>
      </c>
    </row>
    <row r="19" spans="1:14" ht="12.75" customHeight="1" x14ac:dyDescent="0.3">
      <c r="A19" s="24">
        <v>4.0999999999999996</v>
      </c>
      <c r="B19" s="25" t="s">
        <v>30</v>
      </c>
      <c r="C19" s="30" t="s">
        <v>29</v>
      </c>
      <c r="D19" s="37">
        <v>1</v>
      </c>
      <c r="E19" s="183">
        <v>801214</v>
      </c>
      <c r="F19" s="181">
        <f t="shared" si="0"/>
        <v>801214</v>
      </c>
      <c r="G19" s="182"/>
      <c r="H19" s="245"/>
      <c r="I19" s="250">
        <v>0</v>
      </c>
      <c r="J19" s="250"/>
      <c r="K19" s="251">
        <f t="shared" si="1"/>
        <v>0</v>
      </c>
      <c r="L19" s="50">
        <f t="shared" si="2"/>
        <v>0</v>
      </c>
      <c r="M19" s="50">
        <f t="shared" si="3"/>
        <v>0</v>
      </c>
      <c r="N19" s="50">
        <f t="shared" si="4"/>
        <v>0</v>
      </c>
    </row>
    <row r="20" spans="1:14" ht="12.75" customHeight="1" x14ac:dyDescent="0.3">
      <c r="A20" s="24">
        <v>4.1100000000000003</v>
      </c>
      <c r="B20" s="25" t="s">
        <v>31</v>
      </c>
      <c r="C20" s="30" t="s">
        <v>29</v>
      </c>
      <c r="D20" s="37">
        <v>1</v>
      </c>
      <c r="E20" s="183">
        <v>525234</v>
      </c>
      <c r="F20" s="181">
        <f t="shared" si="0"/>
        <v>525234</v>
      </c>
      <c r="G20" s="182"/>
      <c r="H20" s="245"/>
      <c r="I20" s="250">
        <v>0</v>
      </c>
      <c r="J20" s="250"/>
      <c r="K20" s="251">
        <f t="shared" si="1"/>
        <v>0</v>
      </c>
      <c r="L20" s="50">
        <f t="shared" si="2"/>
        <v>0</v>
      </c>
      <c r="M20" s="50">
        <f t="shared" si="3"/>
        <v>0</v>
      </c>
      <c r="N20" s="50">
        <f t="shared" si="4"/>
        <v>0</v>
      </c>
    </row>
    <row r="21" spans="1:14" ht="12.75" customHeight="1" x14ac:dyDescent="0.3">
      <c r="A21" s="24">
        <v>4.12</v>
      </c>
      <c r="B21" s="25" t="s">
        <v>32</v>
      </c>
      <c r="C21" s="30" t="s">
        <v>33</v>
      </c>
      <c r="D21" s="37">
        <v>3</v>
      </c>
      <c r="E21" s="183">
        <v>237784</v>
      </c>
      <c r="F21" s="181">
        <f t="shared" si="0"/>
        <v>713352</v>
      </c>
      <c r="G21" s="182"/>
      <c r="H21" s="245"/>
      <c r="I21" s="250">
        <v>0</v>
      </c>
      <c r="J21" s="250"/>
      <c r="K21" s="251">
        <f t="shared" si="1"/>
        <v>0</v>
      </c>
      <c r="L21" s="50">
        <f t="shared" si="2"/>
        <v>0</v>
      </c>
      <c r="M21" s="50">
        <f t="shared" si="3"/>
        <v>0</v>
      </c>
      <c r="N21" s="50">
        <f t="shared" si="4"/>
        <v>0</v>
      </c>
    </row>
    <row r="22" spans="1:14" ht="12.75" customHeight="1" x14ac:dyDescent="0.3">
      <c r="A22" s="24">
        <v>4.13</v>
      </c>
      <c r="B22" s="25" t="s">
        <v>34</v>
      </c>
      <c r="C22" s="30" t="s">
        <v>27</v>
      </c>
      <c r="D22" s="37">
        <v>40</v>
      </c>
      <c r="E22" s="183">
        <v>98026</v>
      </c>
      <c r="F22" s="181">
        <f t="shared" si="0"/>
        <v>3921040</v>
      </c>
      <c r="G22" s="182"/>
      <c r="H22" s="245"/>
      <c r="I22" s="250">
        <v>0</v>
      </c>
      <c r="J22" s="250"/>
      <c r="K22" s="251">
        <f t="shared" si="1"/>
        <v>0</v>
      </c>
      <c r="L22" s="50">
        <f t="shared" si="2"/>
        <v>0</v>
      </c>
      <c r="M22" s="50">
        <f t="shared" si="3"/>
        <v>0</v>
      </c>
      <c r="N22" s="50">
        <f t="shared" si="4"/>
        <v>0</v>
      </c>
    </row>
    <row r="23" spans="1:14" ht="12.75" customHeight="1" x14ac:dyDescent="0.3">
      <c r="A23" s="24">
        <v>4.1399999999999997</v>
      </c>
      <c r="B23" s="38" t="s">
        <v>35</v>
      </c>
      <c r="C23" s="34" t="s">
        <v>33</v>
      </c>
      <c r="D23" s="96">
        <v>8</v>
      </c>
      <c r="E23" s="183">
        <v>177655</v>
      </c>
      <c r="F23" s="181">
        <f t="shared" si="0"/>
        <v>1421240</v>
      </c>
      <c r="G23" s="182"/>
      <c r="H23" s="245"/>
      <c r="I23" s="250">
        <v>0</v>
      </c>
      <c r="J23" s="250"/>
      <c r="K23" s="251">
        <f t="shared" si="1"/>
        <v>0</v>
      </c>
      <c r="L23" s="50">
        <f t="shared" si="2"/>
        <v>0</v>
      </c>
      <c r="M23" s="50">
        <f t="shared" si="3"/>
        <v>0</v>
      </c>
      <c r="N23" s="50">
        <f t="shared" si="4"/>
        <v>0</v>
      </c>
    </row>
    <row r="24" spans="1:14" ht="12.75" customHeight="1" x14ac:dyDescent="0.3">
      <c r="A24" s="13">
        <v>5</v>
      </c>
      <c r="B24" s="40" t="s">
        <v>36</v>
      </c>
      <c r="C24" s="18"/>
      <c r="D24" s="19"/>
      <c r="E24" s="19"/>
      <c r="F24" s="19"/>
      <c r="G24" s="176">
        <f>+SUM(F25:F31)</f>
        <v>19239698</v>
      </c>
      <c r="H24" s="245">
        <f>+G24/$G$195</f>
        <v>2.2773043993022494E-2</v>
      </c>
      <c r="I24" s="246"/>
      <c r="J24" s="247"/>
      <c r="K24" s="247"/>
      <c r="L24" s="178"/>
      <c r="M24" s="178"/>
      <c r="N24" s="179"/>
    </row>
    <row r="25" spans="1:14" ht="12.75" customHeight="1" x14ac:dyDescent="0.3">
      <c r="A25" s="20">
        <v>5.01</v>
      </c>
      <c r="B25" s="21" t="s">
        <v>37</v>
      </c>
      <c r="C25" s="93" t="s">
        <v>27</v>
      </c>
      <c r="D25" s="97">
        <v>136</v>
      </c>
      <c r="E25" s="183">
        <v>6496</v>
      </c>
      <c r="F25" s="181">
        <f t="shared" si="0"/>
        <v>883456</v>
      </c>
      <c r="G25" s="182"/>
      <c r="H25" s="245"/>
      <c r="I25" s="250">
        <v>0</v>
      </c>
      <c r="J25" s="250"/>
      <c r="K25" s="251">
        <f t="shared" si="1"/>
        <v>0</v>
      </c>
      <c r="L25" s="50">
        <f t="shared" si="2"/>
        <v>0</v>
      </c>
      <c r="M25" s="50">
        <f t="shared" si="3"/>
        <v>0</v>
      </c>
      <c r="N25" s="50">
        <f t="shared" si="4"/>
        <v>0</v>
      </c>
    </row>
    <row r="26" spans="1:14" ht="12.75" customHeight="1" x14ac:dyDescent="0.3">
      <c r="A26" s="24">
        <v>5.0199999999999996</v>
      </c>
      <c r="B26" s="98" t="s">
        <v>38</v>
      </c>
      <c r="C26" s="30" t="s">
        <v>19</v>
      </c>
      <c r="D26" s="31">
        <v>77</v>
      </c>
      <c r="E26" s="184">
        <v>33270</v>
      </c>
      <c r="F26" s="183">
        <f t="shared" si="0"/>
        <v>2561790</v>
      </c>
      <c r="G26" s="182"/>
      <c r="H26" s="245"/>
      <c r="I26" s="250">
        <v>0</v>
      </c>
      <c r="J26" s="250"/>
      <c r="K26" s="251">
        <f t="shared" si="1"/>
        <v>0</v>
      </c>
      <c r="L26" s="50">
        <f t="shared" si="2"/>
        <v>0</v>
      </c>
      <c r="M26" s="50">
        <f t="shared" si="3"/>
        <v>0</v>
      </c>
      <c r="N26" s="50">
        <f t="shared" si="4"/>
        <v>0</v>
      </c>
    </row>
    <row r="27" spans="1:14" ht="12.75" customHeight="1" x14ac:dyDescent="0.3">
      <c r="A27" s="24">
        <v>5.03</v>
      </c>
      <c r="B27" s="25" t="s">
        <v>39</v>
      </c>
      <c r="C27" s="30" t="s">
        <v>19</v>
      </c>
      <c r="D27" s="31">
        <v>107</v>
      </c>
      <c r="E27" s="184">
        <v>6496</v>
      </c>
      <c r="F27" s="181">
        <f t="shared" si="0"/>
        <v>695072</v>
      </c>
      <c r="G27" s="182"/>
      <c r="H27" s="245"/>
      <c r="I27" s="250">
        <v>0</v>
      </c>
      <c r="J27" s="250"/>
      <c r="K27" s="251">
        <f t="shared" si="1"/>
        <v>0</v>
      </c>
      <c r="L27" s="50">
        <f t="shared" si="2"/>
        <v>0</v>
      </c>
      <c r="M27" s="50">
        <f t="shared" si="3"/>
        <v>0</v>
      </c>
      <c r="N27" s="50">
        <f t="shared" si="4"/>
        <v>0</v>
      </c>
    </row>
    <row r="28" spans="1:14" ht="12.75" customHeight="1" x14ac:dyDescent="0.3">
      <c r="A28" s="24">
        <v>5.04</v>
      </c>
      <c r="B28" s="25" t="s">
        <v>40</v>
      </c>
      <c r="C28" s="30" t="s">
        <v>19</v>
      </c>
      <c r="D28" s="31">
        <v>186</v>
      </c>
      <c r="E28" s="184">
        <v>4832</v>
      </c>
      <c r="F28" s="181">
        <f t="shared" si="0"/>
        <v>898752</v>
      </c>
      <c r="G28" s="182"/>
      <c r="H28" s="245"/>
      <c r="I28" s="250">
        <v>0</v>
      </c>
      <c r="J28" s="250"/>
      <c r="K28" s="251">
        <f t="shared" si="1"/>
        <v>0</v>
      </c>
      <c r="L28" s="50">
        <f t="shared" si="2"/>
        <v>0</v>
      </c>
      <c r="M28" s="50">
        <f t="shared" si="3"/>
        <v>0</v>
      </c>
      <c r="N28" s="50">
        <f t="shared" si="4"/>
        <v>0</v>
      </c>
    </row>
    <row r="29" spans="1:14" ht="12.75" customHeight="1" x14ac:dyDescent="0.3">
      <c r="A29" s="24">
        <v>5.05</v>
      </c>
      <c r="B29" s="25" t="s">
        <v>41</v>
      </c>
      <c r="C29" s="30" t="s">
        <v>19</v>
      </c>
      <c r="D29" s="31">
        <v>186</v>
      </c>
      <c r="E29" s="184">
        <v>4134</v>
      </c>
      <c r="F29" s="181">
        <f t="shared" si="0"/>
        <v>768924</v>
      </c>
      <c r="G29" s="182"/>
      <c r="H29" s="245"/>
      <c r="I29" s="250">
        <v>0</v>
      </c>
      <c r="J29" s="250"/>
      <c r="K29" s="251">
        <f t="shared" si="1"/>
        <v>0</v>
      </c>
      <c r="L29" s="50">
        <f t="shared" si="2"/>
        <v>0</v>
      </c>
      <c r="M29" s="50">
        <f t="shared" si="3"/>
        <v>0</v>
      </c>
      <c r="N29" s="50">
        <f t="shared" si="4"/>
        <v>0</v>
      </c>
    </row>
    <row r="30" spans="1:14" ht="12.75" customHeight="1" x14ac:dyDescent="0.3">
      <c r="A30" s="24">
        <v>5.0599999999999996</v>
      </c>
      <c r="B30" s="25" t="s">
        <v>42</v>
      </c>
      <c r="C30" s="99" t="s">
        <v>19</v>
      </c>
      <c r="D30" s="31">
        <v>390</v>
      </c>
      <c r="E30" s="184">
        <v>28187</v>
      </c>
      <c r="F30" s="181">
        <f t="shared" si="0"/>
        <v>10992930</v>
      </c>
      <c r="G30" s="185"/>
      <c r="H30" s="245"/>
      <c r="I30" s="250">
        <v>0</v>
      </c>
      <c r="J30" s="250"/>
      <c r="K30" s="251">
        <f t="shared" si="1"/>
        <v>0</v>
      </c>
      <c r="L30" s="50">
        <f t="shared" si="2"/>
        <v>0</v>
      </c>
      <c r="M30" s="50">
        <f t="shared" si="3"/>
        <v>0</v>
      </c>
      <c r="N30" s="50">
        <f t="shared" si="4"/>
        <v>0</v>
      </c>
    </row>
    <row r="31" spans="1:14" ht="12.75" customHeight="1" x14ac:dyDescent="0.3">
      <c r="A31" s="24">
        <v>5.07</v>
      </c>
      <c r="B31" s="25" t="s">
        <v>43</v>
      </c>
      <c r="C31" s="99" t="s">
        <v>29</v>
      </c>
      <c r="D31" s="31">
        <v>1</v>
      </c>
      <c r="E31" s="184">
        <v>2438774</v>
      </c>
      <c r="F31" s="181">
        <f t="shared" si="0"/>
        <v>2438774</v>
      </c>
      <c r="G31" s="186"/>
      <c r="H31" s="245"/>
      <c r="I31" s="250">
        <v>0</v>
      </c>
      <c r="J31" s="250"/>
      <c r="K31" s="251">
        <f t="shared" si="1"/>
        <v>0</v>
      </c>
      <c r="L31" s="50">
        <f t="shared" si="2"/>
        <v>0</v>
      </c>
      <c r="M31" s="50">
        <f t="shared" si="3"/>
        <v>0</v>
      </c>
      <c r="N31" s="50">
        <f t="shared" si="4"/>
        <v>0</v>
      </c>
    </row>
    <row r="32" spans="1:14" ht="12.75" customHeight="1" x14ac:dyDescent="0.3">
      <c r="A32" s="13">
        <v>6</v>
      </c>
      <c r="B32" s="17" t="s">
        <v>44</v>
      </c>
      <c r="C32" s="18"/>
      <c r="D32" s="19"/>
      <c r="E32" s="19"/>
      <c r="F32" s="19"/>
      <c r="G32" s="176">
        <f>+SUM(F33)</f>
        <v>1722875</v>
      </c>
      <c r="H32" s="245">
        <f>+G32/$G$195</f>
        <v>2.0392787958251023E-3</v>
      </c>
      <c r="I32" s="246"/>
      <c r="J32" s="247"/>
      <c r="K32" s="247"/>
      <c r="L32" s="178"/>
      <c r="M32" s="178"/>
      <c r="N32" s="179"/>
    </row>
    <row r="33" spans="1:14" ht="12.75" customHeight="1" x14ac:dyDescent="0.3">
      <c r="A33" s="100">
        <v>6.02</v>
      </c>
      <c r="B33" s="38" t="s">
        <v>45</v>
      </c>
      <c r="C33" s="101" t="s">
        <v>27</v>
      </c>
      <c r="D33" s="102">
        <v>55</v>
      </c>
      <c r="E33" s="181">
        <v>31325</v>
      </c>
      <c r="F33" s="181">
        <f t="shared" si="0"/>
        <v>1722875</v>
      </c>
      <c r="G33" s="185"/>
      <c r="H33" s="245"/>
      <c r="I33" s="250">
        <v>0</v>
      </c>
      <c r="J33" s="250"/>
      <c r="K33" s="251">
        <f t="shared" si="1"/>
        <v>0</v>
      </c>
      <c r="L33" s="50">
        <f t="shared" si="2"/>
        <v>0</v>
      </c>
      <c r="M33" s="50">
        <f t="shared" si="3"/>
        <v>0</v>
      </c>
      <c r="N33" s="50">
        <f t="shared" si="4"/>
        <v>0</v>
      </c>
    </row>
    <row r="34" spans="1:14" ht="12.75" customHeight="1" x14ac:dyDescent="0.3">
      <c r="A34" s="13">
        <v>7</v>
      </c>
      <c r="B34" s="40" t="s">
        <v>46</v>
      </c>
      <c r="C34" s="18"/>
      <c r="D34" s="19"/>
      <c r="E34" s="19"/>
      <c r="F34" s="19"/>
      <c r="G34" s="176">
        <f>+SUM(F35:F40)</f>
        <v>92324467</v>
      </c>
      <c r="H34" s="245">
        <f>+G34/$G$195</f>
        <v>0.10927973758337338</v>
      </c>
      <c r="I34" s="246"/>
      <c r="J34" s="247"/>
      <c r="K34" s="247"/>
      <c r="L34" s="178"/>
      <c r="M34" s="178"/>
      <c r="N34" s="179"/>
    </row>
    <row r="35" spans="1:14" ht="12.75" customHeight="1" x14ac:dyDescent="0.3">
      <c r="A35" s="20">
        <v>7.01</v>
      </c>
      <c r="B35" s="103" t="s">
        <v>47</v>
      </c>
      <c r="C35" s="93" t="s">
        <v>19</v>
      </c>
      <c r="D35" s="94">
        <v>879</v>
      </c>
      <c r="E35" s="180">
        <v>19943</v>
      </c>
      <c r="F35" s="180">
        <f t="shared" si="0"/>
        <v>17529897</v>
      </c>
      <c r="G35" s="187"/>
      <c r="H35" s="245"/>
      <c r="I35" s="250">
        <v>0</v>
      </c>
      <c r="J35" s="250"/>
      <c r="K35" s="251">
        <f t="shared" si="1"/>
        <v>0</v>
      </c>
      <c r="L35" s="50">
        <f t="shared" si="2"/>
        <v>0</v>
      </c>
      <c r="M35" s="50">
        <f t="shared" si="3"/>
        <v>0</v>
      </c>
      <c r="N35" s="50">
        <f t="shared" si="4"/>
        <v>0</v>
      </c>
    </row>
    <row r="36" spans="1:14" ht="12.75" customHeight="1" x14ac:dyDescent="0.3">
      <c r="A36" s="24">
        <v>7.02</v>
      </c>
      <c r="B36" s="104" t="s">
        <v>48</v>
      </c>
      <c r="C36" s="30" t="s">
        <v>19</v>
      </c>
      <c r="D36" s="31">
        <v>716</v>
      </c>
      <c r="E36" s="181">
        <v>26767</v>
      </c>
      <c r="F36" s="181">
        <f t="shared" si="0"/>
        <v>19165172</v>
      </c>
      <c r="G36" s="185"/>
      <c r="H36" s="245"/>
      <c r="I36" s="250">
        <v>0</v>
      </c>
      <c r="J36" s="250"/>
      <c r="K36" s="251">
        <f t="shared" si="1"/>
        <v>0</v>
      </c>
      <c r="L36" s="50">
        <f t="shared" si="2"/>
        <v>0</v>
      </c>
      <c r="M36" s="50">
        <f t="shared" si="3"/>
        <v>0</v>
      </c>
      <c r="N36" s="50">
        <f t="shared" si="4"/>
        <v>0</v>
      </c>
    </row>
    <row r="37" spans="1:14" ht="12.75" customHeight="1" x14ac:dyDescent="0.3">
      <c r="A37" s="24">
        <v>7.03</v>
      </c>
      <c r="B37" s="25" t="s">
        <v>49</v>
      </c>
      <c r="C37" s="30" t="s">
        <v>19</v>
      </c>
      <c r="D37" s="31">
        <v>1439</v>
      </c>
      <c r="E37" s="181">
        <v>22963</v>
      </c>
      <c r="F37" s="181">
        <f t="shared" si="0"/>
        <v>33043757</v>
      </c>
      <c r="G37" s="185"/>
      <c r="H37" s="245"/>
      <c r="I37" s="250">
        <v>0</v>
      </c>
      <c r="J37" s="250"/>
      <c r="K37" s="251">
        <f t="shared" si="1"/>
        <v>0</v>
      </c>
      <c r="L37" s="50">
        <f t="shared" si="2"/>
        <v>0</v>
      </c>
      <c r="M37" s="50">
        <f t="shared" si="3"/>
        <v>0</v>
      </c>
      <c r="N37" s="50">
        <f t="shared" si="4"/>
        <v>0</v>
      </c>
    </row>
    <row r="38" spans="1:14" ht="12.75" customHeight="1" x14ac:dyDescent="0.3">
      <c r="A38" s="100">
        <v>7.04</v>
      </c>
      <c r="B38" s="105" t="s">
        <v>50</v>
      </c>
      <c r="C38" s="30" t="s">
        <v>27</v>
      </c>
      <c r="D38" s="31">
        <v>347</v>
      </c>
      <c r="E38" s="181">
        <v>16909</v>
      </c>
      <c r="F38" s="181">
        <f t="shared" si="0"/>
        <v>5867423</v>
      </c>
      <c r="G38" s="185"/>
      <c r="H38" s="245"/>
      <c r="I38" s="250">
        <v>0</v>
      </c>
      <c r="J38" s="250"/>
      <c r="K38" s="251">
        <f t="shared" si="1"/>
        <v>0</v>
      </c>
      <c r="L38" s="50">
        <f t="shared" si="2"/>
        <v>0</v>
      </c>
      <c r="M38" s="50">
        <f t="shared" si="3"/>
        <v>0</v>
      </c>
      <c r="N38" s="50">
        <f t="shared" si="4"/>
        <v>0</v>
      </c>
    </row>
    <row r="39" spans="1:14" ht="12.75" customHeight="1" x14ac:dyDescent="0.3">
      <c r="A39" s="24">
        <v>7.05</v>
      </c>
      <c r="B39" s="105" t="s">
        <v>51</v>
      </c>
      <c r="C39" s="30" t="s">
        <v>52</v>
      </c>
      <c r="D39" s="31">
        <v>132</v>
      </c>
      <c r="E39" s="181">
        <v>19384</v>
      </c>
      <c r="F39" s="181">
        <f t="shared" si="0"/>
        <v>2558688</v>
      </c>
      <c r="G39" s="185"/>
      <c r="H39" s="245"/>
      <c r="I39" s="250">
        <v>0</v>
      </c>
      <c r="J39" s="250"/>
      <c r="K39" s="251">
        <f t="shared" si="1"/>
        <v>0</v>
      </c>
      <c r="L39" s="50">
        <f t="shared" si="2"/>
        <v>0</v>
      </c>
      <c r="M39" s="50">
        <f t="shared" si="3"/>
        <v>0</v>
      </c>
      <c r="N39" s="50">
        <f t="shared" si="4"/>
        <v>0</v>
      </c>
    </row>
    <row r="40" spans="1:14" ht="12.75" customHeight="1" x14ac:dyDescent="0.3">
      <c r="A40" s="100">
        <v>7.06</v>
      </c>
      <c r="B40" s="25" t="s">
        <v>53</v>
      </c>
      <c r="C40" s="30" t="s">
        <v>19</v>
      </c>
      <c r="D40" s="31">
        <v>710</v>
      </c>
      <c r="E40" s="181">
        <v>19943</v>
      </c>
      <c r="F40" s="181">
        <f t="shared" si="0"/>
        <v>14159530</v>
      </c>
      <c r="G40" s="185"/>
      <c r="H40" s="245"/>
      <c r="I40" s="250">
        <v>0</v>
      </c>
      <c r="J40" s="250"/>
      <c r="K40" s="251">
        <f t="shared" si="1"/>
        <v>0</v>
      </c>
      <c r="L40" s="50">
        <f t="shared" si="2"/>
        <v>0</v>
      </c>
      <c r="M40" s="50">
        <f t="shared" si="3"/>
        <v>0</v>
      </c>
      <c r="N40" s="50">
        <f t="shared" si="4"/>
        <v>0</v>
      </c>
    </row>
    <row r="41" spans="1:14" ht="12.75" customHeight="1" x14ac:dyDescent="0.3">
      <c r="A41" s="13">
        <v>8</v>
      </c>
      <c r="B41" s="17" t="s">
        <v>54</v>
      </c>
      <c r="C41" s="18"/>
      <c r="D41" s="19"/>
      <c r="E41" s="19"/>
      <c r="F41" s="19"/>
      <c r="G41" s="176">
        <f>+SUM(F42:F49)</f>
        <v>49520833</v>
      </c>
      <c r="H41" s="245">
        <f>+G41/$G$195</f>
        <v>5.8615270805192479E-2</v>
      </c>
      <c r="I41" s="246"/>
      <c r="J41" s="247"/>
      <c r="K41" s="247"/>
      <c r="L41" s="178"/>
      <c r="M41" s="178"/>
      <c r="N41" s="179"/>
    </row>
    <row r="42" spans="1:14" ht="12.75" customHeight="1" x14ac:dyDescent="0.3">
      <c r="A42" s="20">
        <v>8.01</v>
      </c>
      <c r="B42" s="21" t="s">
        <v>55</v>
      </c>
      <c r="C42" s="93" t="s">
        <v>19</v>
      </c>
      <c r="D42" s="94">
        <v>107</v>
      </c>
      <c r="E42" s="183">
        <v>58580</v>
      </c>
      <c r="F42" s="183">
        <f t="shared" si="0"/>
        <v>6268060</v>
      </c>
      <c r="G42" s="182"/>
      <c r="H42" s="245"/>
      <c r="I42" s="250">
        <v>0</v>
      </c>
      <c r="J42" s="250"/>
      <c r="K42" s="251">
        <f t="shared" si="1"/>
        <v>0</v>
      </c>
      <c r="L42" s="50">
        <f t="shared" si="2"/>
        <v>0</v>
      </c>
      <c r="M42" s="50">
        <f t="shared" si="3"/>
        <v>0</v>
      </c>
      <c r="N42" s="50">
        <f t="shared" si="4"/>
        <v>0</v>
      </c>
    </row>
    <row r="43" spans="1:14" ht="12.75" customHeight="1" x14ac:dyDescent="0.3">
      <c r="A43" s="106">
        <v>8.02</v>
      </c>
      <c r="B43" s="107" t="s">
        <v>56</v>
      </c>
      <c r="C43" s="108" t="s">
        <v>19</v>
      </c>
      <c r="D43" s="32">
        <v>258</v>
      </c>
      <c r="E43" s="183">
        <v>38729</v>
      </c>
      <c r="F43" s="183">
        <f t="shared" si="0"/>
        <v>9992082</v>
      </c>
      <c r="G43" s="182"/>
      <c r="H43" s="245"/>
      <c r="I43" s="250">
        <v>0</v>
      </c>
      <c r="J43" s="250"/>
      <c r="K43" s="251">
        <f t="shared" si="1"/>
        <v>0</v>
      </c>
      <c r="L43" s="50">
        <f t="shared" si="2"/>
        <v>0</v>
      </c>
      <c r="M43" s="50">
        <f t="shared" si="3"/>
        <v>0</v>
      </c>
      <c r="N43" s="50">
        <f t="shared" si="4"/>
        <v>0</v>
      </c>
    </row>
    <row r="44" spans="1:14" ht="12.75" customHeight="1" x14ac:dyDescent="0.3">
      <c r="A44" s="24">
        <v>8.0299999999999994</v>
      </c>
      <c r="B44" s="25" t="s">
        <v>57</v>
      </c>
      <c r="C44" s="30" t="s">
        <v>19</v>
      </c>
      <c r="D44" s="31">
        <v>425</v>
      </c>
      <c r="E44" s="183">
        <v>22943</v>
      </c>
      <c r="F44" s="183">
        <f t="shared" si="0"/>
        <v>9750775</v>
      </c>
      <c r="G44" s="182"/>
      <c r="H44" s="245"/>
      <c r="I44" s="250">
        <v>0</v>
      </c>
      <c r="J44" s="250"/>
      <c r="K44" s="251">
        <f t="shared" si="1"/>
        <v>0</v>
      </c>
      <c r="L44" s="50">
        <f t="shared" si="2"/>
        <v>0</v>
      </c>
      <c r="M44" s="50">
        <f t="shared" si="3"/>
        <v>0</v>
      </c>
      <c r="N44" s="50">
        <f t="shared" si="4"/>
        <v>0</v>
      </c>
    </row>
    <row r="45" spans="1:14" ht="12.75" customHeight="1" x14ac:dyDescent="0.3">
      <c r="A45" s="106">
        <v>8.0399999999999991</v>
      </c>
      <c r="B45" s="25" t="s">
        <v>58</v>
      </c>
      <c r="C45" s="30" t="s">
        <v>19</v>
      </c>
      <c r="D45" s="31">
        <v>200</v>
      </c>
      <c r="E45" s="183">
        <v>40355</v>
      </c>
      <c r="F45" s="183">
        <f t="shared" si="0"/>
        <v>8071000</v>
      </c>
      <c r="G45" s="182"/>
      <c r="H45" s="245"/>
      <c r="I45" s="250">
        <v>0</v>
      </c>
      <c r="J45" s="250"/>
      <c r="K45" s="251">
        <f t="shared" si="1"/>
        <v>0</v>
      </c>
      <c r="L45" s="50">
        <f t="shared" si="2"/>
        <v>0</v>
      </c>
      <c r="M45" s="50">
        <f t="shared" si="3"/>
        <v>0</v>
      </c>
      <c r="N45" s="50">
        <f t="shared" si="4"/>
        <v>0</v>
      </c>
    </row>
    <row r="46" spans="1:14" ht="12.75" customHeight="1" x14ac:dyDescent="0.3">
      <c r="A46" s="24">
        <v>8.0500000000000007</v>
      </c>
      <c r="B46" s="25" t="s">
        <v>59</v>
      </c>
      <c r="C46" s="30" t="s">
        <v>19</v>
      </c>
      <c r="D46" s="31">
        <v>77</v>
      </c>
      <c r="E46" s="183">
        <v>31515</v>
      </c>
      <c r="F46" s="183">
        <f t="shared" si="0"/>
        <v>2426655</v>
      </c>
      <c r="G46" s="182"/>
      <c r="H46" s="245"/>
      <c r="I46" s="250">
        <v>0</v>
      </c>
      <c r="J46" s="250"/>
      <c r="K46" s="251">
        <f t="shared" si="1"/>
        <v>0</v>
      </c>
      <c r="L46" s="50">
        <f t="shared" si="2"/>
        <v>0</v>
      </c>
      <c r="M46" s="50">
        <f t="shared" si="3"/>
        <v>0</v>
      </c>
      <c r="N46" s="50">
        <f t="shared" si="4"/>
        <v>0</v>
      </c>
    </row>
    <row r="47" spans="1:14" ht="12.75" customHeight="1" x14ac:dyDescent="0.3">
      <c r="A47" s="106">
        <v>8.06</v>
      </c>
      <c r="B47" s="25" t="s">
        <v>60</v>
      </c>
      <c r="C47" s="30" t="s">
        <v>19</v>
      </c>
      <c r="D47" s="31">
        <v>77</v>
      </c>
      <c r="E47" s="183">
        <v>19683</v>
      </c>
      <c r="F47" s="183">
        <f t="shared" si="0"/>
        <v>1515591</v>
      </c>
      <c r="G47" s="182"/>
      <c r="H47" s="245"/>
      <c r="I47" s="250">
        <v>0</v>
      </c>
      <c r="J47" s="250"/>
      <c r="K47" s="251">
        <f t="shared" si="1"/>
        <v>0</v>
      </c>
      <c r="L47" s="50">
        <f t="shared" si="2"/>
        <v>0</v>
      </c>
      <c r="M47" s="50">
        <f t="shared" si="3"/>
        <v>0</v>
      </c>
      <c r="N47" s="50">
        <f t="shared" si="4"/>
        <v>0</v>
      </c>
    </row>
    <row r="48" spans="1:14" ht="12.75" customHeight="1" x14ac:dyDescent="0.3">
      <c r="A48" s="24">
        <v>8.07</v>
      </c>
      <c r="B48" s="25" t="s">
        <v>61</v>
      </c>
      <c r="C48" s="30" t="s">
        <v>19</v>
      </c>
      <c r="D48" s="31">
        <v>442</v>
      </c>
      <c r="E48" s="183">
        <v>14335</v>
      </c>
      <c r="F48" s="183">
        <f t="shared" si="0"/>
        <v>6336070</v>
      </c>
      <c r="G48" s="182"/>
      <c r="H48" s="245"/>
      <c r="I48" s="250">
        <v>0</v>
      </c>
      <c r="J48" s="250"/>
      <c r="K48" s="251">
        <f t="shared" si="1"/>
        <v>0</v>
      </c>
      <c r="L48" s="50">
        <f t="shared" si="2"/>
        <v>0</v>
      </c>
      <c r="M48" s="50">
        <f t="shared" si="3"/>
        <v>0</v>
      </c>
      <c r="N48" s="50">
        <f t="shared" si="4"/>
        <v>0</v>
      </c>
    </row>
    <row r="49" spans="1:14" ht="12.75" customHeight="1" x14ac:dyDescent="0.3">
      <c r="A49" s="106">
        <v>8.08</v>
      </c>
      <c r="B49" s="25" t="s">
        <v>62</v>
      </c>
      <c r="C49" s="30" t="s">
        <v>19</v>
      </c>
      <c r="D49" s="31">
        <v>360</v>
      </c>
      <c r="E49" s="183">
        <v>14335</v>
      </c>
      <c r="F49" s="183">
        <f t="shared" si="0"/>
        <v>5160600</v>
      </c>
      <c r="G49" s="182"/>
      <c r="H49" s="245"/>
      <c r="I49" s="250">
        <v>0</v>
      </c>
      <c r="J49" s="250"/>
      <c r="K49" s="251">
        <f t="shared" si="1"/>
        <v>0</v>
      </c>
      <c r="L49" s="50">
        <f t="shared" si="2"/>
        <v>0</v>
      </c>
      <c r="M49" s="50">
        <f t="shared" si="3"/>
        <v>0</v>
      </c>
      <c r="N49" s="50">
        <f t="shared" si="4"/>
        <v>0</v>
      </c>
    </row>
    <row r="50" spans="1:14" ht="12.75" customHeight="1" x14ac:dyDescent="0.3">
      <c r="A50" s="13">
        <v>9</v>
      </c>
      <c r="B50" s="17" t="s">
        <v>63</v>
      </c>
      <c r="C50" s="18"/>
      <c r="D50" s="19"/>
      <c r="E50" s="19"/>
      <c r="F50" s="19"/>
      <c r="G50" s="176">
        <f>+SUM(F51:F53)</f>
        <v>4852846</v>
      </c>
      <c r="H50" s="245">
        <f>+G50/$G$195</f>
        <v>5.7440649769743392E-3</v>
      </c>
      <c r="I50" s="246"/>
      <c r="J50" s="247"/>
      <c r="K50" s="247"/>
      <c r="L50" s="178"/>
      <c r="M50" s="178"/>
      <c r="N50" s="179"/>
    </row>
    <row r="51" spans="1:14" ht="12.75" customHeight="1" x14ac:dyDescent="0.3">
      <c r="A51" s="20">
        <v>9.01</v>
      </c>
      <c r="B51" s="21" t="s">
        <v>64</v>
      </c>
      <c r="C51" s="109" t="s">
        <v>29</v>
      </c>
      <c r="D51" s="94">
        <v>1</v>
      </c>
      <c r="E51" s="181">
        <v>2109310</v>
      </c>
      <c r="F51" s="181">
        <f t="shared" si="0"/>
        <v>2109310</v>
      </c>
      <c r="G51" s="186"/>
      <c r="H51" s="245"/>
      <c r="I51" s="250">
        <v>0</v>
      </c>
      <c r="J51" s="250"/>
      <c r="K51" s="251">
        <f t="shared" si="1"/>
        <v>0</v>
      </c>
      <c r="L51" s="50">
        <f t="shared" si="2"/>
        <v>0</v>
      </c>
      <c r="M51" s="50">
        <f t="shared" si="3"/>
        <v>0</v>
      </c>
      <c r="N51" s="50">
        <f t="shared" si="4"/>
        <v>0</v>
      </c>
    </row>
    <row r="52" spans="1:14" ht="12.75" customHeight="1" x14ac:dyDescent="0.3">
      <c r="A52" s="24">
        <v>9.02</v>
      </c>
      <c r="B52" s="25" t="s">
        <v>65</v>
      </c>
      <c r="C52" s="110" t="s">
        <v>52</v>
      </c>
      <c r="D52" s="31">
        <v>81</v>
      </c>
      <c r="E52" s="181">
        <v>28022</v>
      </c>
      <c r="F52" s="181">
        <f t="shared" si="0"/>
        <v>2269782</v>
      </c>
      <c r="G52" s="186"/>
      <c r="H52" s="252"/>
      <c r="I52" s="250">
        <v>0</v>
      </c>
      <c r="J52" s="250"/>
      <c r="K52" s="251">
        <f t="shared" si="1"/>
        <v>0</v>
      </c>
      <c r="L52" s="50">
        <f t="shared" si="2"/>
        <v>0</v>
      </c>
      <c r="M52" s="50">
        <f t="shared" si="3"/>
        <v>0</v>
      </c>
      <c r="N52" s="50">
        <f t="shared" si="4"/>
        <v>0</v>
      </c>
    </row>
    <row r="53" spans="1:14" ht="12.75" customHeight="1" x14ac:dyDescent="0.3">
      <c r="A53" s="33">
        <v>9.0299999999999994</v>
      </c>
      <c r="B53" s="38" t="s">
        <v>66</v>
      </c>
      <c r="C53" s="111" t="s">
        <v>27</v>
      </c>
      <c r="D53" s="35">
        <v>46</v>
      </c>
      <c r="E53" s="181">
        <v>10299</v>
      </c>
      <c r="F53" s="181">
        <f t="shared" si="0"/>
        <v>473754</v>
      </c>
      <c r="G53" s="186"/>
      <c r="H53" s="252"/>
      <c r="I53" s="250">
        <v>0</v>
      </c>
      <c r="J53" s="250"/>
      <c r="K53" s="251">
        <f t="shared" si="1"/>
        <v>0</v>
      </c>
      <c r="L53" s="50">
        <f t="shared" si="2"/>
        <v>0</v>
      </c>
      <c r="M53" s="50">
        <f t="shared" si="3"/>
        <v>0</v>
      </c>
      <c r="N53" s="50">
        <f t="shared" si="4"/>
        <v>0</v>
      </c>
    </row>
    <row r="54" spans="1:14" ht="12.75" customHeight="1" x14ac:dyDescent="0.3">
      <c r="A54" s="13">
        <v>10</v>
      </c>
      <c r="B54" s="40" t="s">
        <v>67</v>
      </c>
      <c r="C54" s="18"/>
      <c r="D54" s="19"/>
      <c r="E54" s="19"/>
      <c r="F54" s="19"/>
      <c r="G54" s="176">
        <f>+SUM(F55:F58)</f>
        <v>4184652</v>
      </c>
      <c r="H54" s="245">
        <f>+G54/$G$195</f>
        <v>4.9531580013100814E-3</v>
      </c>
      <c r="I54" s="246"/>
      <c r="J54" s="247"/>
      <c r="K54" s="247"/>
      <c r="L54" s="178"/>
      <c r="M54" s="178"/>
      <c r="N54" s="179"/>
    </row>
    <row r="55" spans="1:14" ht="12.75" customHeight="1" x14ac:dyDescent="0.3">
      <c r="A55" s="24">
        <v>10.01</v>
      </c>
      <c r="B55" s="25" t="s">
        <v>68</v>
      </c>
      <c r="C55" s="112" t="s">
        <v>29</v>
      </c>
      <c r="D55" s="27">
        <v>1</v>
      </c>
      <c r="E55" s="181">
        <v>1844532</v>
      </c>
      <c r="F55" s="181">
        <f t="shared" si="0"/>
        <v>1844532</v>
      </c>
      <c r="G55" s="188"/>
      <c r="H55" s="245"/>
      <c r="I55" s="250">
        <v>0</v>
      </c>
      <c r="J55" s="250"/>
      <c r="K55" s="251">
        <f t="shared" si="1"/>
        <v>0</v>
      </c>
      <c r="L55" s="50">
        <f t="shared" si="2"/>
        <v>0</v>
      </c>
      <c r="M55" s="50">
        <f t="shared" si="3"/>
        <v>0</v>
      </c>
      <c r="N55" s="50">
        <f t="shared" si="4"/>
        <v>0</v>
      </c>
    </row>
    <row r="56" spans="1:14" ht="12.75" customHeight="1" x14ac:dyDescent="0.3">
      <c r="A56" s="24">
        <v>10.02</v>
      </c>
      <c r="B56" s="25" t="s">
        <v>69</v>
      </c>
      <c r="C56" s="112" t="s">
        <v>29</v>
      </c>
      <c r="D56" s="27">
        <v>1</v>
      </c>
      <c r="E56" s="181">
        <v>1214937</v>
      </c>
      <c r="F56" s="181">
        <f t="shared" si="0"/>
        <v>1214937</v>
      </c>
      <c r="H56" s="245"/>
      <c r="I56" s="250">
        <v>0</v>
      </c>
      <c r="J56" s="250"/>
      <c r="K56" s="251">
        <f t="shared" si="1"/>
        <v>0</v>
      </c>
      <c r="L56" s="50">
        <f t="shared" si="2"/>
        <v>0</v>
      </c>
      <c r="M56" s="50">
        <f t="shared" si="3"/>
        <v>0</v>
      </c>
      <c r="N56" s="50">
        <f t="shared" si="4"/>
        <v>0</v>
      </c>
    </row>
    <row r="57" spans="1:14" ht="12.75" customHeight="1" x14ac:dyDescent="0.3">
      <c r="A57" s="24">
        <v>10.029999999999999</v>
      </c>
      <c r="B57" s="25" t="s">
        <v>70</v>
      </c>
      <c r="C57" s="112" t="s">
        <v>29</v>
      </c>
      <c r="D57" s="27">
        <v>1</v>
      </c>
      <c r="E57" s="181">
        <v>539833</v>
      </c>
      <c r="F57" s="181">
        <f t="shared" si="0"/>
        <v>539833</v>
      </c>
      <c r="H57" s="245"/>
      <c r="I57" s="250">
        <v>0</v>
      </c>
      <c r="J57" s="250"/>
      <c r="K57" s="251">
        <f t="shared" si="1"/>
        <v>0</v>
      </c>
      <c r="L57" s="50">
        <f t="shared" si="2"/>
        <v>0</v>
      </c>
      <c r="M57" s="50">
        <f t="shared" si="3"/>
        <v>0</v>
      </c>
      <c r="N57" s="50">
        <f t="shared" si="4"/>
        <v>0</v>
      </c>
    </row>
    <row r="58" spans="1:14" ht="12.75" customHeight="1" x14ac:dyDescent="0.3">
      <c r="A58" s="24">
        <v>10.039999999999999</v>
      </c>
      <c r="B58" s="25" t="s">
        <v>71</v>
      </c>
      <c r="C58" s="30" t="s">
        <v>33</v>
      </c>
      <c r="D58" s="31">
        <v>10</v>
      </c>
      <c r="E58" s="181">
        <v>58535</v>
      </c>
      <c r="F58" s="181">
        <f t="shared" si="0"/>
        <v>585350</v>
      </c>
      <c r="G58" s="182"/>
      <c r="H58" s="245"/>
      <c r="I58" s="250">
        <v>0</v>
      </c>
      <c r="J58" s="250"/>
      <c r="K58" s="251">
        <f t="shared" si="1"/>
        <v>0</v>
      </c>
      <c r="L58" s="50">
        <f t="shared" si="2"/>
        <v>0</v>
      </c>
      <c r="M58" s="50">
        <f t="shared" si="3"/>
        <v>0</v>
      </c>
      <c r="N58" s="50">
        <f t="shared" si="4"/>
        <v>0</v>
      </c>
    </row>
    <row r="59" spans="1:14" ht="12.75" customHeight="1" x14ac:dyDescent="0.3">
      <c r="A59" s="13">
        <v>11</v>
      </c>
      <c r="B59" s="17" t="s">
        <v>72</v>
      </c>
      <c r="C59" s="18"/>
      <c r="D59" s="19"/>
      <c r="E59" s="19"/>
      <c r="F59" s="19"/>
      <c r="G59" s="176">
        <f>+SUM(F60:F70)</f>
        <v>31170783</v>
      </c>
      <c r="H59" s="245">
        <f>+G59/$G$195</f>
        <v>3.6895257532418527E-2</v>
      </c>
      <c r="I59" s="246"/>
      <c r="J59" s="247"/>
      <c r="K59" s="247"/>
      <c r="L59" s="178"/>
      <c r="M59" s="178"/>
      <c r="N59" s="179"/>
    </row>
    <row r="60" spans="1:14" ht="12.75" customHeight="1" x14ac:dyDescent="0.3">
      <c r="A60" s="20">
        <v>11.01</v>
      </c>
      <c r="B60" s="21" t="s">
        <v>73</v>
      </c>
      <c r="C60" s="109" t="s">
        <v>19</v>
      </c>
      <c r="D60" s="94">
        <v>0</v>
      </c>
      <c r="E60" s="181">
        <v>0</v>
      </c>
      <c r="F60" s="181">
        <f t="shared" si="0"/>
        <v>0</v>
      </c>
      <c r="G60" s="185"/>
      <c r="H60" s="252"/>
      <c r="I60" s="250">
        <v>0</v>
      </c>
      <c r="J60" s="250"/>
      <c r="K60" s="251">
        <f t="shared" si="1"/>
        <v>0</v>
      </c>
      <c r="L60" s="50">
        <f t="shared" si="2"/>
        <v>0</v>
      </c>
      <c r="M60" s="50">
        <f t="shared" si="3"/>
        <v>0</v>
      </c>
      <c r="N60" s="50">
        <f t="shared" si="4"/>
        <v>0</v>
      </c>
    </row>
    <row r="61" spans="1:14" ht="12.75" customHeight="1" x14ac:dyDescent="0.3">
      <c r="A61" s="24">
        <v>11.02</v>
      </c>
      <c r="B61" s="25" t="s">
        <v>74</v>
      </c>
      <c r="C61" s="110" t="s">
        <v>19</v>
      </c>
      <c r="D61" s="31">
        <v>39</v>
      </c>
      <c r="E61" s="181">
        <v>19280</v>
      </c>
      <c r="F61" s="181">
        <f t="shared" si="0"/>
        <v>751920</v>
      </c>
      <c r="G61" s="186"/>
      <c r="H61" s="252"/>
      <c r="I61" s="250">
        <v>0</v>
      </c>
      <c r="J61" s="250"/>
      <c r="K61" s="251">
        <f t="shared" si="1"/>
        <v>0</v>
      </c>
      <c r="L61" s="50">
        <f t="shared" si="2"/>
        <v>0</v>
      </c>
      <c r="M61" s="50">
        <f t="shared" si="3"/>
        <v>0</v>
      </c>
      <c r="N61" s="50">
        <f t="shared" si="4"/>
        <v>0</v>
      </c>
    </row>
    <row r="62" spans="1:14" ht="12.75" customHeight="1" x14ac:dyDescent="0.3">
      <c r="A62" s="24">
        <v>11.03</v>
      </c>
      <c r="B62" s="25" t="s">
        <v>75</v>
      </c>
      <c r="C62" s="110" t="s">
        <v>19</v>
      </c>
      <c r="D62" s="31">
        <v>48</v>
      </c>
      <c r="E62" s="181">
        <v>25362</v>
      </c>
      <c r="F62" s="181">
        <f t="shared" si="0"/>
        <v>1217376</v>
      </c>
      <c r="G62" s="186"/>
      <c r="H62" s="252"/>
      <c r="I62" s="250">
        <v>0</v>
      </c>
      <c r="J62" s="250"/>
      <c r="K62" s="251">
        <f t="shared" si="1"/>
        <v>0</v>
      </c>
      <c r="L62" s="50">
        <f t="shared" si="2"/>
        <v>0</v>
      </c>
      <c r="M62" s="50">
        <f t="shared" si="3"/>
        <v>0</v>
      </c>
      <c r="N62" s="50">
        <f t="shared" si="4"/>
        <v>0</v>
      </c>
    </row>
    <row r="63" spans="1:14" ht="12.75" customHeight="1" x14ac:dyDescent="0.3">
      <c r="A63" s="24">
        <v>11.04</v>
      </c>
      <c r="B63" s="25" t="s">
        <v>76</v>
      </c>
      <c r="C63" s="30" t="s">
        <v>19</v>
      </c>
      <c r="D63" s="31">
        <v>174</v>
      </c>
      <c r="E63" s="181">
        <v>19164</v>
      </c>
      <c r="F63" s="181">
        <f t="shared" si="0"/>
        <v>3334536</v>
      </c>
      <c r="G63" s="182"/>
      <c r="H63" s="245"/>
      <c r="I63" s="250">
        <v>0</v>
      </c>
      <c r="J63" s="250"/>
      <c r="K63" s="251">
        <f t="shared" si="1"/>
        <v>0</v>
      </c>
      <c r="L63" s="50">
        <f t="shared" si="2"/>
        <v>0</v>
      </c>
      <c r="M63" s="50">
        <f t="shared" si="3"/>
        <v>0</v>
      </c>
      <c r="N63" s="50">
        <f t="shared" si="4"/>
        <v>0</v>
      </c>
    </row>
    <row r="64" spans="1:14" ht="12.75" customHeight="1" x14ac:dyDescent="0.3">
      <c r="A64" s="24">
        <v>11.05</v>
      </c>
      <c r="B64" s="25" t="s">
        <v>77</v>
      </c>
      <c r="C64" s="110" t="s">
        <v>19</v>
      </c>
      <c r="D64" s="31">
        <v>92</v>
      </c>
      <c r="E64" s="181">
        <v>19164</v>
      </c>
      <c r="F64" s="181">
        <f t="shared" si="0"/>
        <v>1763088</v>
      </c>
      <c r="G64" s="185"/>
      <c r="H64" s="252"/>
      <c r="I64" s="250">
        <v>0</v>
      </c>
      <c r="J64" s="250"/>
      <c r="K64" s="251">
        <f t="shared" si="1"/>
        <v>0</v>
      </c>
      <c r="L64" s="50">
        <f t="shared" si="2"/>
        <v>0</v>
      </c>
      <c r="M64" s="50">
        <f t="shared" si="3"/>
        <v>0</v>
      </c>
      <c r="N64" s="50">
        <f t="shared" si="4"/>
        <v>0</v>
      </c>
    </row>
    <row r="65" spans="1:14" ht="12.75" customHeight="1" x14ac:dyDescent="0.3">
      <c r="A65" s="24">
        <v>11.06</v>
      </c>
      <c r="B65" s="25" t="s">
        <v>78</v>
      </c>
      <c r="C65" s="30" t="s">
        <v>19</v>
      </c>
      <c r="D65" s="31">
        <v>8</v>
      </c>
      <c r="E65" s="181">
        <v>14043</v>
      </c>
      <c r="F65" s="181">
        <f t="shared" si="0"/>
        <v>112344</v>
      </c>
      <c r="G65" s="182"/>
      <c r="H65" s="245"/>
      <c r="I65" s="250">
        <v>0</v>
      </c>
      <c r="J65" s="250"/>
      <c r="K65" s="251">
        <f t="shared" si="1"/>
        <v>0</v>
      </c>
      <c r="L65" s="50">
        <f t="shared" si="2"/>
        <v>0</v>
      </c>
      <c r="M65" s="50">
        <f t="shared" si="3"/>
        <v>0</v>
      </c>
      <c r="N65" s="50">
        <f t="shared" si="4"/>
        <v>0</v>
      </c>
    </row>
    <row r="66" spans="1:14" ht="12.75" customHeight="1" x14ac:dyDescent="0.3">
      <c r="A66" s="24">
        <v>11.07</v>
      </c>
      <c r="B66" s="25" t="s">
        <v>79</v>
      </c>
      <c r="C66" s="110" t="s">
        <v>19</v>
      </c>
      <c r="D66" s="31">
        <v>46</v>
      </c>
      <c r="E66" s="181">
        <v>26630</v>
      </c>
      <c r="F66" s="181">
        <f t="shared" si="0"/>
        <v>1224980</v>
      </c>
      <c r="G66" s="186"/>
      <c r="H66" s="252"/>
      <c r="I66" s="250">
        <v>0</v>
      </c>
      <c r="J66" s="250"/>
      <c r="K66" s="251">
        <f t="shared" si="1"/>
        <v>0</v>
      </c>
      <c r="L66" s="50">
        <f t="shared" si="2"/>
        <v>0</v>
      </c>
      <c r="M66" s="50">
        <f t="shared" si="3"/>
        <v>0</v>
      </c>
      <c r="N66" s="50">
        <f t="shared" si="4"/>
        <v>0</v>
      </c>
    </row>
    <row r="67" spans="1:14" ht="12.75" customHeight="1" x14ac:dyDescent="0.3">
      <c r="A67" s="24">
        <v>11.08</v>
      </c>
      <c r="B67" s="25" t="s">
        <v>80</v>
      </c>
      <c r="C67" s="110" t="s">
        <v>19</v>
      </c>
      <c r="D67" s="31">
        <v>562</v>
      </c>
      <c r="E67" s="181">
        <v>25362</v>
      </c>
      <c r="F67" s="181">
        <f t="shared" si="0"/>
        <v>14253444</v>
      </c>
      <c r="G67" s="186"/>
      <c r="H67" s="252"/>
      <c r="I67" s="250">
        <v>0</v>
      </c>
      <c r="J67" s="250"/>
      <c r="K67" s="251">
        <f t="shared" si="1"/>
        <v>0</v>
      </c>
      <c r="L67" s="50">
        <f t="shared" si="2"/>
        <v>0</v>
      </c>
      <c r="M67" s="50">
        <f t="shared" si="3"/>
        <v>0</v>
      </c>
      <c r="N67" s="50">
        <f t="shared" si="4"/>
        <v>0</v>
      </c>
    </row>
    <row r="68" spans="1:14" ht="12.75" customHeight="1" x14ac:dyDescent="0.3">
      <c r="A68" s="24">
        <v>11.09</v>
      </c>
      <c r="B68" s="25" t="s">
        <v>81</v>
      </c>
      <c r="C68" s="113" t="s">
        <v>19</v>
      </c>
      <c r="D68" s="32">
        <v>73</v>
      </c>
      <c r="E68" s="181">
        <v>30109</v>
      </c>
      <c r="F68" s="181">
        <f t="shared" si="0"/>
        <v>2197957</v>
      </c>
      <c r="G68" s="186"/>
      <c r="H68" s="252"/>
      <c r="I68" s="250">
        <v>0</v>
      </c>
      <c r="J68" s="250"/>
      <c r="K68" s="251">
        <f t="shared" si="1"/>
        <v>0</v>
      </c>
      <c r="L68" s="50">
        <f t="shared" si="2"/>
        <v>0</v>
      </c>
      <c r="M68" s="50">
        <f t="shared" si="3"/>
        <v>0</v>
      </c>
      <c r="N68" s="50">
        <f t="shared" si="4"/>
        <v>0</v>
      </c>
    </row>
    <row r="69" spans="1:14" ht="12.75" customHeight="1" x14ac:dyDescent="0.3">
      <c r="A69" s="24">
        <v>11.1</v>
      </c>
      <c r="B69" s="25" t="s">
        <v>82</v>
      </c>
      <c r="C69" s="113" t="s">
        <v>19</v>
      </c>
      <c r="D69" s="32">
        <v>143</v>
      </c>
      <c r="E69" s="181">
        <v>25362</v>
      </c>
      <c r="F69" s="181">
        <f t="shared" si="0"/>
        <v>3626766</v>
      </c>
      <c r="G69" s="186"/>
      <c r="H69" s="252"/>
      <c r="I69" s="250">
        <v>0</v>
      </c>
      <c r="J69" s="250"/>
      <c r="K69" s="251">
        <f t="shared" si="1"/>
        <v>0</v>
      </c>
      <c r="L69" s="50">
        <f t="shared" si="2"/>
        <v>0</v>
      </c>
      <c r="M69" s="50">
        <f t="shared" si="3"/>
        <v>0</v>
      </c>
      <c r="N69" s="50">
        <f t="shared" si="4"/>
        <v>0</v>
      </c>
    </row>
    <row r="70" spans="1:14" ht="12.75" customHeight="1" x14ac:dyDescent="0.3">
      <c r="A70" s="24">
        <v>11.11</v>
      </c>
      <c r="B70" s="25" t="s">
        <v>83</v>
      </c>
      <c r="C70" s="111" t="s">
        <v>19</v>
      </c>
      <c r="D70" s="35">
        <v>106</v>
      </c>
      <c r="E70" s="181">
        <v>25362</v>
      </c>
      <c r="F70" s="181">
        <f t="shared" si="0"/>
        <v>2688372</v>
      </c>
      <c r="G70" s="186"/>
      <c r="H70" s="252"/>
      <c r="I70" s="250">
        <v>0</v>
      </c>
      <c r="J70" s="250"/>
      <c r="K70" s="251">
        <f t="shared" si="1"/>
        <v>0</v>
      </c>
      <c r="L70" s="50">
        <f t="shared" si="2"/>
        <v>0</v>
      </c>
      <c r="M70" s="50">
        <f t="shared" si="3"/>
        <v>0</v>
      </c>
      <c r="N70" s="50">
        <f t="shared" si="4"/>
        <v>0</v>
      </c>
    </row>
    <row r="71" spans="1:14" ht="12.75" customHeight="1" x14ac:dyDescent="0.3">
      <c r="A71" s="13">
        <v>12</v>
      </c>
      <c r="B71" s="17" t="s">
        <v>84</v>
      </c>
      <c r="C71" s="18"/>
      <c r="D71" s="19"/>
      <c r="E71" s="19"/>
      <c r="F71" s="19"/>
      <c r="G71" s="176">
        <f>+SUM(F72:F74)</f>
        <v>8990052</v>
      </c>
      <c r="H71" s="245">
        <f>+G71/$G$195</f>
        <v>1.0641063580912749E-2</v>
      </c>
      <c r="I71" s="246"/>
      <c r="J71" s="247"/>
      <c r="K71" s="247"/>
      <c r="L71" s="178"/>
      <c r="M71" s="178"/>
      <c r="N71" s="179"/>
    </row>
    <row r="72" spans="1:14" ht="12.75" customHeight="1" x14ac:dyDescent="0.3">
      <c r="A72" s="20">
        <f>+A71+0.01</f>
        <v>12.01</v>
      </c>
      <c r="B72" s="21" t="s">
        <v>85</v>
      </c>
      <c r="C72" s="109" t="s">
        <v>27</v>
      </c>
      <c r="D72" s="94">
        <v>19</v>
      </c>
      <c r="E72" s="181">
        <v>6496</v>
      </c>
      <c r="F72" s="181">
        <f t="shared" si="0"/>
        <v>123424</v>
      </c>
      <c r="H72" s="245"/>
      <c r="I72" s="250">
        <v>0</v>
      </c>
      <c r="J72" s="250"/>
      <c r="K72" s="251">
        <f t="shared" si="1"/>
        <v>0</v>
      </c>
      <c r="L72" s="50">
        <f t="shared" si="2"/>
        <v>0</v>
      </c>
      <c r="M72" s="50">
        <f t="shared" si="3"/>
        <v>0</v>
      </c>
      <c r="N72" s="50">
        <f t="shared" si="4"/>
        <v>0</v>
      </c>
    </row>
    <row r="73" spans="1:14" ht="12.75" customHeight="1" x14ac:dyDescent="0.3">
      <c r="A73" s="106">
        <v>12.02</v>
      </c>
      <c r="B73" s="25" t="s">
        <v>86</v>
      </c>
      <c r="C73" s="114" t="s">
        <v>27</v>
      </c>
      <c r="D73" s="31">
        <v>626</v>
      </c>
      <c r="E73" s="181">
        <v>9059</v>
      </c>
      <c r="F73" s="181">
        <f t="shared" si="0"/>
        <v>5670934</v>
      </c>
      <c r="H73" s="245"/>
      <c r="I73" s="250">
        <v>0</v>
      </c>
      <c r="J73" s="250"/>
      <c r="K73" s="251">
        <f t="shared" si="1"/>
        <v>0</v>
      </c>
      <c r="L73" s="50">
        <f t="shared" si="2"/>
        <v>0</v>
      </c>
      <c r="M73" s="50">
        <f t="shared" si="3"/>
        <v>0</v>
      </c>
      <c r="N73" s="50">
        <f t="shared" si="4"/>
        <v>0</v>
      </c>
    </row>
    <row r="74" spans="1:14" ht="12.75" customHeight="1" x14ac:dyDescent="0.3">
      <c r="A74" s="106">
        <v>12.03</v>
      </c>
      <c r="B74" s="107" t="s">
        <v>87</v>
      </c>
      <c r="C74" s="114" t="s">
        <v>27</v>
      </c>
      <c r="D74" s="35">
        <v>386</v>
      </c>
      <c r="E74" s="181">
        <v>8279</v>
      </c>
      <c r="F74" s="181">
        <f t="shared" ref="F74:F137" si="5">+E74*D74</f>
        <v>3195694</v>
      </c>
      <c r="H74" s="245"/>
      <c r="I74" s="250">
        <v>0</v>
      </c>
      <c r="J74" s="250"/>
      <c r="K74" s="251">
        <f t="shared" ref="K74" si="6">+I74+J74</f>
        <v>0</v>
      </c>
      <c r="L74" s="50">
        <f t="shared" ref="L74" si="7">+F74*I74</f>
        <v>0</v>
      </c>
      <c r="M74" s="50">
        <f t="shared" ref="M74" si="8">+F74*J74</f>
        <v>0</v>
      </c>
      <c r="N74" s="50">
        <f t="shared" ref="N74" si="9">+F74*K74</f>
        <v>0</v>
      </c>
    </row>
    <row r="75" spans="1:14" ht="12.75" customHeight="1" x14ac:dyDescent="0.3">
      <c r="A75" s="13">
        <v>13</v>
      </c>
      <c r="B75" s="17" t="s">
        <v>88</v>
      </c>
      <c r="C75" s="18"/>
      <c r="D75" s="19"/>
      <c r="E75" s="19"/>
      <c r="F75" s="19"/>
      <c r="G75" s="176">
        <f>+SUM(F76:F79)</f>
        <v>14836279</v>
      </c>
      <c r="H75" s="245">
        <f>+G75/$G$195</f>
        <v>1.7560942711250239E-2</v>
      </c>
      <c r="I75" s="246"/>
      <c r="J75" s="247"/>
      <c r="K75" s="247"/>
      <c r="L75" s="178"/>
      <c r="M75" s="178"/>
      <c r="N75" s="179"/>
    </row>
    <row r="76" spans="1:14" ht="12.75" customHeight="1" x14ac:dyDescent="0.3">
      <c r="A76" s="115">
        <v>13.01</v>
      </c>
      <c r="B76" s="116" t="s">
        <v>89</v>
      </c>
      <c r="C76" s="117" t="s">
        <v>19</v>
      </c>
      <c r="D76" s="23">
        <v>413</v>
      </c>
      <c r="E76" s="181">
        <v>30109</v>
      </c>
      <c r="F76" s="181">
        <f t="shared" si="5"/>
        <v>12435017</v>
      </c>
      <c r="H76" s="245"/>
      <c r="I76" s="250">
        <v>0</v>
      </c>
      <c r="J76" s="250"/>
      <c r="K76" s="251">
        <f t="shared" ref="K76:K139" si="10">+I76+J76</f>
        <v>0</v>
      </c>
      <c r="L76" s="50">
        <f t="shared" ref="L76:L139" si="11">+F76*I76</f>
        <v>0</v>
      </c>
      <c r="M76" s="50">
        <f t="shared" ref="M76:M139" si="12">+F76*J76</f>
        <v>0</v>
      </c>
      <c r="N76" s="50">
        <f t="shared" ref="N76:N139" si="13">+F76*K76</f>
        <v>0</v>
      </c>
    </row>
    <row r="77" spans="1:14" ht="12.75" customHeight="1" x14ac:dyDescent="0.3">
      <c r="A77" s="118">
        <v>13.02</v>
      </c>
      <c r="B77" s="119" t="s">
        <v>90</v>
      </c>
      <c r="C77" s="120" t="s">
        <v>19</v>
      </c>
      <c r="D77" s="121">
        <v>18</v>
      </c>
      <c r="E77" s="181">
        <v>30109</v>
      </c>
      <c r="F77" s="181">
        <f t="shared" si="5"/>
        <v>541962</v>
      </c>
      <c r="H77" s="245"/>
      <c r="I77" s="250">
        <v>0</v>
      </c>
      <c r="J77" s="250"/>
      <c r="K77" s="251">
        <f t="shared" si="10"/>
        <v>0</v>
      </c>
      <c r="L77" s="50">
        <f t="shared" si="11"/>
        <v>0</v>
      </c>
      <c r="M77" s="50">
        <f t="shared" si="12"/>
        <v>0</v>
      </c>
      <c r="N77" s="50">
        <f t="shared" si="13"/>
        <v>0</v>
      </c>
    </row>
    <row r="78" spans="1:14" ht="12.75" customHeight="1" x14ac:dyDescent="0.3">
      <c r="A78" s="100">
        <v>13.03</v>
      </c>
      <c r="B78" s="119" t="s">
        <v>91</v>
      </c>
      <c r="C78" s="110" t="s">
        <v>19</v>
      </c>
      <c r="D78" s="31">
        <v>20</v>
      </c>
      <c r="E78" s="181">
        <v>92965</v>
      </c>
      <c r="F78" s="181">
        <f t="shared" si="5"/>
        <v>1859300</v>
      </c>
      <c r="G78" s="186"/>
      <c r="H78" s="252"/>
      <c r="I78" s="250">
        <v>0</v>
      </c>
      <c r="J78" s="250"/>
      <c r="K78" s="251">
        <f t="shared" si="10"/>
        <v>0</v>
      </c>
      <c r="L78" s="50">
        <f t="shared" si="11"/>
        <v>0</v>
      </c>
      <c r="M78" s="50">
        <f t="shared" si="12"/>
        <v>0</v>
      </c>
      <c r="N78" s="50">
        <f t="shared" si="13"/>
        <v>0</v>
      </c>
    </row>
    <row r="79" spans="1:14" ht="12.75" customHeight="1" x14ac:dyDescent="0.3">
      <c r="A79" s="100">
        <v>13.04</v>
      </c>
      <c r="B79" s="25" t="s">
        <v>92</v>
      </c>
      <c r="C79" s="110" t="s">
        <v>19</v>
      </c>
      <c r="D79" s="31">
        <v>0</v>
      </c>
      <c r="E79" s="181">
        <v>0</v>
      </c>
      <c r="F79" s="181">
        <f t="shared" si="5"/>
        <v>0</v>
      </c>
      <c r="G79" s="186"/>
      <c r="H79" s="252"/>
      <c r="I79" s="250">
        <v>0</v>
      </c>
      <c r="J79" s="250"/>
      <c r="K79" s="251">
        <f t="shared" si="10"/>
        <v>0</v>
      </c>
      <c r="L79" s="50">
        <f t="shared" si="11"/>
        <v>0</v>
      </c>
      <c r="M79" s="50">
        <f t="shared" si="12"/>
        <v>0</v>
      </c>
      <c r="N79" s="50">
        <f t="shared" si="13"/>
        <v>0</v>
      </c>
    </row>
    <row r="80" spans="1:14" ht="12.75" customHeight="1" x14ac:dyDescent="0.3">
      <c r="A80" s="13">
        <v>14</v>
      </c>
      <c r="B80" s="17" t="s">
        <v>93</v>
      </c>
      <c r="C80" s="18"/>
      <c r="D80" s="19"/>
      <c r="E80" s="19"/>
      <c r="F80" s="19"/>
      <c r="G80" s="176">
        <f>+SUM(F81:F87)</f>
        <v>33813897</v>
      </c>
      <c r="H80" s="245">
        <f>+G80/$G$195</f>
        <v>4.0023776046616291E-2</v>
      </c>
      <c r="I80" s="246"/>
      <c r="J80" s="247"/>
      <c r="K80" s="247"/>
      <c r="L80" s="178"/>
      <c r="M80" s="178"/>
      <c r="N80" s="179"/>
    </row>
    <row r="81" spans="1:14" ht="12.75" customHeight="1" x14ac:dyDescent="0.3">
      <c r="A81" s="20">
        <f>+A80+0.01</f>
        <v>14.01</v>
      </c>
      <c r="B81" s="21" t="s">
        <v>94</v>
      </c>
      <c r="C81" s="117" t="s">
        <v>19</v>
      </c>
      <c r="D81" s="23">
        <v>460</v>
      </c>
      <c r="E81" s="181">
        <v>23624</v>
      </c>
      <c r="F81" s="181">
        <f t="shared" si="5"/>
        <v>10867040</v>
      </c>
      <c r="H81" s="245"/>
      <c r="I81" s="250">
        <v>0</v>
      </c>
      <c r="J81" s="250"/>
      <c r="K81" s="251">
        <f t="shared" si="10"/>
        <v>0</v>
      </c>
      <c r="L81" s="50">
        <f t="shared" si="11"/>
        <v>0</v>
      </c>
      <c r="M81" s="50">
        <f t="shared" si="12"/>
        <v>0</v>
      </c>
      <c r="N81" s="50">
        <f t="shared" si="13"/>
        <v>0</v>
      </c>
    </row>
    <row r="82" spans="1:14" ht="12.75" customHeight="1" x14ac:dyDescent="0.3">
      <c r="A82" s="106">
        <v>14.02</v>
      </c>
      <c r="B82" s="107" t="s">
        <v>95</v>
      </c>
      <c r="C82" s="120" t="s">
        <v>27</v>
      </c>
      <c r="D82" s="121">
        <v>434</v>
      </c>
      <c r="E82" s="181">
        <v>16659</v>
      </c>
      <c r="F82" s="181">
        <f t="shared" si="5"/>
        <v>7230006</v>
      </c>
      <c r="H82" s="245"/>
      <c r="I82" s="250">
        <v>0</v>
      </c>
      <c r="J82" s="250"/>
      <c r="K82" s="251">
        <f t="shared" si="10"/>
        <v>0</v>
      </c>
      <c r="L82" s="50">
        <f t="shared" si="11"/>
        <v>0</v>
      </c>
      <c r="M82" s="50">
        <f t="shared" si="12"/>
        <v>0</v>
      </c>
      <c r="N82" s="50">
        <f t="shared" si="13"/>
        <v>0</v>
      </c>
    </row>
    <row r="83" spans="1:14" ht="12.75" customHeight="1" x14ac:dyDescent="0.3">
      <c r="A83" s="24">
        <v>14.03</v>
      </c>
      <c r="B83" s="25" t="s">
        <v>96</v>
      </c>
      <c r="C83" s="112" t="s">
        <v>19</v>
      </c>
      <c r="D83" s="27">
        <v>115</v>
      </c>
      <c r="E83" s="181">
        <v>35817</v>
      </c>
      <c r="F83" s="181">
        <f t="shared" si="5"/>
        <v>4118955</v>
      </c>
      <c r="H83" s="245"/>
      <c r="I83" s="250">
        <v>0</v>
      </c>
      <c r="J83" s="250"/>
      <c r="K83" s="251">
        <f t="shared" si="10"/>
        <v>0</v>
      </c>
      <c r="L83" s="50">
        <f t="shared" si="11"/>
        <v>0</v>
      </c>
      <c r="M83" s="50">
        <f t="shared" si="12"/>
        <v>0</v>
      </c>
      <c r="N83" s="50">
        <f t="shared" si="13"/>
        <v>0</v>
      </c>
    </row>
    <row r="84" spans="1:14" ht="12.75" customHeight="1" x14ac:dyDescent="0.3">
      <c r="A84" s="106">
        <v>14.04</v>
      </c>
      <c r="B84" s="25" t="s">
        <v>97</v>
      </c>
      <c r="C84" s="112" t="s">
        <v>19</v>
      </c>
      <c r="D84" s="27">
        <v>89</v>
      </c>
      <c r="E84" s="181">
        <v>41132</v>
      </c>
      <c r="F84" s="181">
        <f t="shared" si="5"/>
        <v>3660748</v>
      </c>
      <c r="H84" s="245"/>
      <c r="I84" s="250">
        <v>0</v>
      </c>
      <c r="J84" s="250"/>
      <c r="K84" s="251">
        <f t="shared" si="10"/>
        <v>0</v>
      </c>
      <c r="L84" s="50">
        <f t="shared" si="11"/>
        <v>0</v>
      </c>
      <c r="M84" s="50">
        <f t="shared" si="12"/>
        <v>0</v>
      </c>
      <c r="N84" s="50">
        <f t="shared" si="13"/>
        <v>0</v>
      </c>
    </row>
    <row r="85" spans="1:14" ht="12.75" customHeight="1" x14ac:dyDescent="0.3">
      <c r="A85" s="24">
        <v>14.05</v>
      </c>
      <c r="B85" s="25" t="s">
        <v>98</v>
      </c>
      <c r="C85" s="112" t="s">
        <v>27</v>
      </c>
      <c r="D85" s="27">
        <v>530</v>
      </c>
      <c r="E85" s="181">
        <v>9274</v>
      </c>
      <c r="F85" s="181">
        <f t="shared" si="5"/>
        <v>4915220</v>
      </c>
      <c r="H85" s="245"/>
      <c r="I85" s="250">
        <v>0</v>
      </c>
      <c r="J85" s="250"/>
      <c r="K85" s="251">
        <f t="shared" si="10"/>
        <v>0</v>
      </c>
      <c r="L85" s="50">
        <f t="shared" si="11"/>
        <v>0</v>
      </c>
      <c r="M85" s="50">
        <f t="shared" si="12"/>
        <v>0</v>
      </c>
      <c r="N85" s="50">
        <f t="shared" si="13"/>
        <v>0</v>
      </c>
    </row>
    <row r="86" spans="1:14" ht="12.75" customHeight="1" x14ac:dyDescent="0.3">
      <c r="A86" s="106">
        <v>14.06</v>
      </c>
      <c r="B86" s="25" t="s">
        <v>99</v>
      </c>
      <c r="C86" s="112" t="s">
        <v>27</v>
      </c>
      <c r="D86" s="27">
        <v>56</v>
      </c>
      <c r="E86" s="181">
        <v>9274</v>
      </c>
      <c r="F86" s="181">
        <f t="shared" si="5"/>
        <v>519344</v>
      </c>
      <c r="H86" s="245"/>
      <c r="I86" s="250">
        <v>0</v>
      </c>
      <c r="J86" s="250"/>
      <c r="K86" s="251">
        <f t="shared" si="10"/>
        <v>0</v>
      </c>
      <c r="L86" s="50">
        <f t="shared" si="11"/>
        <v>0</v>
      </c>
      <c r="M86" s="50">
        <f t="shared" si="12"/>
        <v>0</v>
      </c>
      <c r="N86" s="50">
        <f t="shared" si="13"/>
        <v>0</v>
      </c>
    </row>
    <row r="87" spans="1:14" ht="12.75" customHeight="1" x14ac:dyDescent="0.3">
      <c r="A87" s="24">
        <v>14.07</v>
      </c>
      <c r="B87" s="25" t="s">
        <v>100</v>
      </c>
      <c r="C87" s="112" t="s">
        <v>19</v>
      </c>
      <c r="D87" s="27">
        <v>469</v>
      </c>
      <c r="E87" s="181">
        <v>5336</v>
      </c>
      <c r="F87" s="181">
        <f t="shared" si="5"/>
        <v>2502584</v>
      </c>
      <c r="H87" s="245"/>
      <c r="I87" s="250">
        <v>0</v>
      </c>
      <c r="J87" s="250"/>
      <c r="K87" s="251">
        <f t="shared" si="10"/>
        <v>0</v>
      </c>
      <c r="L87" s="50">
        <f t="shared" si="11"/>
        <v>0</v>
      </c>
      <c r="M87" s="50">
        <f t="shared" si="12"/>
        <v>0</v>
      </c>
      <c r="N87" s="50">
        <f t="shared" si="13"/>
        <v>0</v>
      </c>
    </row>
    <row r="88" spans="1:14" ht="12.75" customHeight="1" x14ac:dyDescent="0.3">
      <c r="A88" s="13">
        <v>15</v>
      </c>
      <c r="B88" s="17" t="s">
        <v>101</v>
      </c>
      <c r="C88" s="18"/>
      <c r="D88" s="19"/>
      <c r="E88" s="19"/>
      <c r="F88" s="19"/>
      <c r="G88" s="176">
        <f>+SUM(F89:F100)</f>
        <v>81675029</v>
      </c>
      <c r="H88" s="245">
        <f>+G88/$G$195</f>
        <v>9.667454388049064E-2</v>
      </c>
      <c r="I88" s="246"/>
      <c r="J88" s="247"/>
      <c r="K88" s="247"/>
      <c r="L88" s="178"/>
      <c r="M88" s="178"/>
      <c r="N88" s="179"/>
    </row>
    <row r="89" spans="1:14" ht="12.75" customHeight="1" x14ac:dyDescent="0.3">
      <c r="A89" s="115">
        <v>15.01</v>
      </c>
      <c r="B89" s="116" t="s">
        <v>102</v>
      </c>
      <c r="C89" s="122" t="s">
        <v>19</v>
      </c>
      <c r="D89" s="123">
        <v>739</v>
      </c>
      <c r="E89" s="181">
        <v>22075</v>
      </c>
      <c r="F89" s="181">
        <f t="shared" si="5"/>
        <v>16313425</v>
      </c>
      <c r="G89" s="186"/>
      <c r="H89" s="253"/>
      <c r="I89" s="250">
        <v>0</v>
      </c>
      <c r="J89" s="250"/>
      <c r="K89" s="251">
        <f t="shared" si="10"/>
        <v>0</v>
      </c>
      <c r="L89" s="50">
        <f t="shared" si="11"/>
        <v>0</v>
      </c>
      <c r="M89" s="50">
        <f t="shared" si="12"/>
        <v>0</v>
      </c>
      <c r="N89" s="50">
        <f t="shared" si="13"/>
        <v>0</v>
      </c>
    </row>
    <row r="90" spans="1:14" ht="12.75" customHeight="1" x14ac:dyDescent="0.3">
      <c r="A90" s="100">
        <v>15.02</v>
      </c>
      <c r="B90" s="25" t="s">
        <v>103</v>
      </c>
      <c r="C90" s="110" t="s">
        <v>19</v>
      </c>
      <c r="D90" s="29">
        <v>1439</v>
      </c>
      <c r="E90" s="181">
        <v>8883</v>
      </c>
      <c r="F90" s="181">
        <f t="shared" si="5"/>
        <v>12782637</v>
      </c>
      <c r="G90" s="186"/>
      <c r="H90" s="253"/>
      <c r="I90" s="250">
        <v>0</v>
      </c>
      <c r="J90" s="250"/>
      <c r="K90" s="251">
        <f t="shared" si="10"/>
        <v>0</v>
      </c>
      <c r="L90" s="50">
        <f t="shared" si="11"/>
        <v>0</v>
      </c>
      <c r="M90" s="50">
        <f t="shared" si="12"/>
        <v>0</v>
      </c>
      <c r="N90" s="50">
        <f t="shared" si="13"/>
        <v>0</v>
      </c>
    </row>
    <row r="91" spans="1:14" ht="12.75" customHeight="1" x14ac:dyDescent="0.3">
      <c r="A91" s="100">
        <v>15.03</v>
      </c>
      <c r="B91" s="25" t="s">
        <v>104</v>
      </c>
      <c r="C91" s="110" t="s">
        <v>19</v>
      </c>
      <c r="D91" s="29">
        <v>462</v>
      </c>
      <c r="E91" s="181">
        <v>14295</v>
      </c>
      <c r="F91" s="181">
        <f t="shared" si="5"/>
        <v>6604290</v>
      </c>
      <c r="G91" s="186"/>
      <c r="H91" s="253"/>
      <c r="I91" s="250">
        <v>0</v>
      </c>
      <c r="J91" s="250"/>
      <c r="K91" s="251">
        <f t="shared" si="10"/>
        <v>0</v>
      </c>
      <c r="L91" s="50">
        <f t="shared" si="11"/>
        <v>0</v>
      </c>
      <c r="M91" s="50">
        <f t="shared" si="12"/>
        <v>0</v>
      </c>
      <c r="N91" s="50">
        <f t="shared" si="13"/>
        <v>0</v>
      </c>
    </row>
    <row r="92" spans="1:14" ht="12.75" customHeight="1" x14ac:dyDescent="0.3">
      <c r="A92" s="100">
        <v>15.04</v>
      </c>
      <c r="B92" s="25" t="s">
        <v>105</v>
      </c>
      <c r="C92" s="110" t="s">
        <v>19</v>
      </c>
      <c r="D92" s="29">
        <v>144</v>
      </c>
      <c r="E92" s="181">
        <v>7538</v>
      </c>
      <c r="F92" s="181">
        <f t="shared" si="5"/>
        <v>1085472</v>
      </c>
      <c r="G92" s="186"/>
      <c r="H92" s="253"/>
      <c r="I92" s="250">
        <v>0</v>
      </c>
      <c r="J92" s="250"/>
      <c r="K92" s="251">
        <f t="shared" si="10"/>
        <v>0</v>
      </c>
      <c r="L92" s="50">
        <f t="shared" si="11"/>
        <v>0</v>
      </c>
      <c r="M92" s="50">
        <f t="shared" si="12"/>
        <v>0</v>
      </c>
      <c r="N92" s="50">
        <f t="shared" si="13"/>
        <v>0</v>
      </c>
    </row>
    <row r="93" spans="1:14" ht="12.75" customHeight="1" x14ac:dyDescent="0.3">
      <c r="A93" s="100">
        <v>15.05</v>
      </c>
      <c r="B93" s="25" t="s">
        <v>106</v>
      </c>
      <c r="C93" s="110" t="s">
        <v>19</v>
      </c>
      <c r="D93" s="29">
        <v>460</v>
      </c>
      <c r="E93" s="181">
        <v>8883</v>
      </c>
      <c r="F93" s="181">
        <f t="shared" si="5"/>
        <v>4086180</v>
      </c>
      <c r="G93" s="186"/>
      <c r="H93" s="253"/>
      <c r="I93" s="250">
        <v>0</v>
      </c>
      <c r="J93" s="250"/>
      <c r="K93" s="251">
        <f t="shared" si="10"/>
        <v>0</v>
      </c>
      <c r="L93" s="50">
        <f t="shared" si="11"/>
        <v>0</v>
      </c>
      <c r="M93" s="50">
        <f t="shared" si="12"/>
        <v>0</v>
      </c>
      <c r="N93" s="50">
        <f t="shared" si="13"/>
        <v>0</v>
      </c>
    </row>
    <row r="94" spans="1:14" ht="12.75" customHeight="1" x14ac:dyDescent="0.3">
      <c r="A94" s="100">
        <v>15.06</v>
      </c>
      <c r="B94" s="25" t="s">
        <v>107</v>
      </c>
      <c r="C94" s="110" t="s">
        <v>19</v>
      </c>
      <c r="D94" s="29">
        <v>204</v>
      </c>
      <c r="E94" s="181">
        <v>15750</v>
      </c>
      <c r="F94" s="181">
        <f t="shared" si="5"/>
        <v>3213000</v>
      </c>
      <c r="G94" s="186"/>
      <c r="H94" s="253"/>
      <c r="I94" s="250">
        <v>0</v>
      </c>
      <c r="J94" s="250"/>
      <c r="K94" s="251">
        <f t="shared" si="10"/>
        <v>0</v>
      </c>
      <c r="L94" s="50">
        <f t="shared" si="11"/>
        <v>0</v>
      </c>
      <c r="M94" s="50">
        <f t="shared" si="12"/>
        <v>0</v>
      </c>
      <c r="N94" s="50">
        <f t="shared" si="13"/>
        <v>0</v>
      </c>
    </row>
    <row r="95" spans="1:14" ht="12.75" customHeight="1" x14ac:dyDescent="0.3">
      <c r="A95" s="100">
        <v>15.07</v>
      </c>
      <c r="B95" s="25" t="s">
        <v>108</v>
      </c>
      <c r="C95" s="28" t="s">
        <v>19</v>
      </c>
      <c r="D95" s="29">
        <v>262</v>
      </c>
      <c r="E95" s="181">
        <v>17154</v>
      </c>
      <c r="F95" s="181">
        <f t="shared" si="5"/>
        <v>4494348</v>
      </c>
      <c r="G95" s="186"/>
      <c r="H95" s="245"/>
      <c r="I95" s="250">
        <v>0</v>
      </c>
      <c r="J95" s="250"/>
      <c r="K95" s="251">
        <f t="shared" si="10"/>
        <v>0</v>
      </c>
      <c r="L95" s="50">
        <f t="shared" si="11"/>
        <v>0</v>
      </c>
      <c r="M95" s="50">
        <f t="shared" si="12"/>
        <v>0</v>
      </c>
      <c r="N95" s="50">
        <f t="shared" si="13"/>
        <v>0</v>
      </c>
    </row>
    <row r="96" spans="1:14" ht="12.75" customHeight="1" x14ac:dyDescent="0.3">
      <c r="A96" s="100">
        <v>15.08</v>
      </c>
      <c r="B96" s="25" t="s">
        <v>109</v>
      </c>
      <c r="C96" s="110" t="s">
        <v>19</v>
      </c>
      <c r="D96" s="31">
        <v>756</v>
      </c>
      <c r="E96" s="181">
        <v>26534</v>
      </c>
      <c r="F96" s="181">
        <f t="shared" si="5"/>
        <v>20059704</v>
      </c>
      <c r="G96" s="186"/>
      <c r="H96" s="252"/>
      <c r="I96" s="250">
        <v>0</v>
      </c>
      <c r="J96" s="250"/>
      <c r="K96" s="251">
        <f t="shared" si="10"/>
        <v>0</v>
      </c>
      <c r="L96" s="50">
        <f t="shared" si="11"/>
        <v>0</v>
      </c>
      <c r="M96" s="50">
        <f t="shared" si="12"/>
        <v>0</v>
      </c>
      <c r="N96" s="50">
        <f t="shared" si="13"/>
        <v>0</v>
      </c>
    </row>
    <row r="97" spans="1:19" ht="12.75" customHeight="1" x14ac:dyDescent="0.3">
      <c r="A97" s="100">
        <v>15.09</v>
      </c>
      <c r="B97" s="25" t="s">
        <v>110</v>
      </c>
      <c r="C97" s="110" t="s">
        <v>19</v>
      </c>
      <c r="D97" s="31">
        <v>56</v>
      </c>
      <c r="E97" s="181">
        <v>31737</v>
      </c>
      <c r="F97" s="181">
        <f t="shared" si="5"/>
        <v>1777272</v>
      </c>
      <c r="G97" s="186"/>
      <c r="H97" s="252"/>
      <c r="I97" s="250">
        <v>0</v>
      </c>
      <c r="J97" s="250"/>
      <c r="K97" s="251">
        <f t="shared" si="10"/>
        <v>0</v>
      </c>
      <c r="L97" s="50">
        <f t="shared" si="11"/>
        <v>0</v>
      </c>
      <c r="M97" s="50">
        <f t="shared" si="12"/>
        <v>0</v>
      </c>
      <c r="N97" s="50">
        <f t="shared" si="13"/>
        <v>0</v>
      </c>
    </row>
    <row r="98" spans="1:19" ht="12.75" customHeight="1" x14ac:dyDescent="0.3">
      <c r="A98" s="100">
        <v>15.1</v>
      </c>
      <c r="B98" s="25" t="s">
        <v>111</v>
      </c>
      <c r="C98" s="110" t="s">
        <v>29</v>
      </c>
      <c r="D98" s="31">
        <v>1</v>
      </c>
      <c r="E98" s="181">
        <v>885031</v>
      </c>
      <c r="F98" s="181">
        <f t="shared" si="5"/>
        <v>885031</v>
      </c>
      <c r="H98" s="245"/>
      <c r="I98" s="250">
        <v>0</v>
      </c>
      <c r="J98" s="250"/>
      <c r="K98" s="251">
        <f t="shared" si="10"/>
        <v>0</v>
      </c>
      <c r="L98" s="50">
        <f t="shared" si="11"/>
        <v>0</v>
      </c>
      <c r="M98" s="50">
        <f t="shared" si="12"/>
        <v>0</v>
      </c>
      <c r="N98" s="50">
        <f t="shared" si="13"/>
        <v>0</v>
      </c>
    </row>
    <row r="99" spans="1:19" ht="12.75" customHeight="1" x14ac:dyDescent="0.3">
      <c r="A99" s="100">
        <v>15.11</v>
      </c>
      <c r="B99" s="25" t="s">
        <v>112</v>
      </c>
      <c r="C99" s="110" t="s">
        <v>52</v>
      </c>
      <c r="D99" s="31">
        <v>73</v>
      </c>
      <c r="E99" s="181">
        <v>83386</v>
      </c>
      <c r="F99" s="181">
        <f t="shared" si="5"/>
        <v>6087178</v>
      </c>
      <c r="H99" s="245"/>
      <c r="I99" s="250">
        <v>0</v>
      </c>
      <c r="J99" s="250"/>
      <c r="K99" s="251">
        <f t="shared" si="10"/>
        <v>0</v>
      </c>
      <c r="L99" s="50">
        <f t="shared" si="11"/>
        <v>0</v>
      </c>
      <c r="M99" s="50">
        <f t="shared" si="12"/>
        <v>0</v>
      </c>
      <c r="N99" s="50">
        <f t="shared" si="13"/>
        <v>0</v>
      </c>
    </row>
    <row r="100" spans="1:19" ht="12.75" customHeight="1" x14ac:dyDescent="0.3">
      <c r="A100" s="100">
        <v>15.12</v>
      </c>
      <c r="B100" s="124" t="s">
        <v>113</v>
      </c>
      <c r="C100" s="111" t="s">
        <v>29</v>
      </c>
      <c r="D100" s="35">
        <v>1</v>
      </c>
      <c r="E100" s="181">
        <v>4286492</v>
      </c>
      <c r="F100" s="181">
        <f t="shared" si="5"/>
        <v>4286492</v>
      </c>
      <c r="H100" s="245"/>
      <c r="I100" s="250">
        <v>0</v>
      </c>
      <c r="J100" s="250"/>
      <c r="K100" s="251">
        <f t="shared" si="10"/>
        <v>0</v>
      </c>
      <c r="L100" s="50">
        <f t="shared" si="11"/>
        <v>0</v>
      </c>
      <c r="M100" s="50">
        <f t="shared" si="12"/>
        <v>0</v>
      </c>
      <c r="N100" s="50">
        <f t="shared" si="13"/>
        <v>0</v>
      </c>
    </row>
    <row r="101" spans="1:19" ht="12.75" customHeight="1" x14ac:dyDescent="0.3">
      <c r="A101" s="13">
        <v>16</v>
      </c>
      <c r="B101" s="125" t="s">
        <v>114</v>
      </c>
      <c r="C101" s="18"/>
      <c r="D101" s="19"/>
      <c r="E101" s="19"/>
      <c r="F101" s="19"/>
      <c r="G101" s="176">
        <f>+SUM(F102)</f>
        <v>0</v>
      </c>
      <c r="H101" s="245">
        <f>+G101/$G$195</f>
        <v>0</v>
      </c>
      <c r="I101" s="246"/>
      <c r="J101" s="247"/>
      <c r="K101" s="247"/>
      <c r="L101" s="178"/>
      <c r="M101" s="178"/>
      <c r="N101" s="179"/>
    </row>
    <row r="102" spans="1:19" ht="12.75" customHeight="1" x14ac:dyDescent="0.3">
      <c r="A102" s="20"/>
      <c r="B102" s="21"/>
      <c r="C102" s="93"/>
      <c r="D102" s="94"/>
      <c r="E102" s="184">
        <v>0</v>
      </c>
      <c r="F102" s="183">
        <f t="shared" si="5"/>
        <v>0</v>
      </c>
      <c r="G102" s="185"/>
      <c r="H102" s="252"/>
      <c r="I102" s="250">
        <v>0</v>
      </c>
      <c r="J102" s="250"/>
      <c r="K102" s="251">
        <f t="shared" si="10"/>
        <v>0</v>
      </c>
      <c r="L102" s="50">
        <f t="shared" si="11"/>
        <v>0</v>
      </c>
      <c r="M102" s="50">
        <f t="shared" si="12"/>
        <v>0</v>
      </c>
      <c r="N102" s="50">
        <f t="shared" si="13"/>
        <v>0</v>
      </c>
    </row>
    <row r="103" spans="1:19" ht="12.75" customHeight="1" x14ac:dyDescent="0.3">
      <c r="A103" s="13">
        <v>17</v>
      </c>
      <c r="B103" s="17" t="s">
        <v>115</v>
      </c>
      <c r="C103" s="18"/>
      <c r="D103" s="19"/>
      <c r="E103" s="19"/>
      <c r="F103" s="19"/>
      <c r="G103" s="176">
        <f>+SUM(F104:F107)</f>
        <v>9415299</v>
      </c>
      <c r="H103" s="245">
        <f>+G103/$G$195</f>
        <v>1.1144406649962005E-2</v>
      </c>
      <c r="I103" s="246"/>
      <c r="J103" s="247"/>
      <c r="K103" s="247"/>
      <c r="L103" s="178"/>
      <c r="M103" s="178"/>
      <c r="N103" s="179"/>
    </row>
    <row r="104" spans="1:19" ht="12.75" customHeight="1" x14ac:dyDescent="0.3">
      <c r="A104" s="20">
        <f>+A103+0.01</f>
        <v>17.010000000000002</v>
      </c>
      <c r="B104" s="126" t="s">
        <v>116</v>
      </c>
      <c r="C104" s="127" t="s">
        <v>33</v>
      </c>
      <c r="D104" s="94">
        <v>57</v>
      </c>
      <c r="E104" s="180">
        <v>79321</v>
      </c>
      <c r="F104" s="180">
        <f t="shared" si="5"/>
        <v>4521297</v>
      </c>
      <c r="G104" s="182"/>
      <c r="H104" s="245"/>
      <c r="I104" s="250">
        <v>0</v>
      </c>
      <c r="J104" s="250"/>
      <c r="K104" s="251">
        <f t="shared" si="10"/>
        <v>0</v>
      </c>
      <c r="L104" s="50">
        <f t="shared" si="11"/>
        <v>0</v>
      </c>
      <c r="M104" s="50">
        <f t="shared" si="12"/>
        <v>0</v>
      </c>
      <c r="N104" s="50">
        <f t="shared" si="13"/>
        <v>0</v>
      </c>
    </row>
    <row r="105" spans="1:19" ht="12.75" customHeight="1" x14ac:dyDescent="0.3">
      <c r="A105" s="24">
        <v>17.02</v>
      </c>
      <c r="B105" s="128" t="s">
        <v>117</v>
      </c>
      <c r="C105" s="129" t="s">
        <v>33</v>
      </c>
      <c r="D105" s="31">
        <v>11</v>
      </c>
      <c r="E105" s="181">
        <v>79321</v>
      </c>
      <c r="F105" s="181">
        <f t="shared" si="5"/>
        <v>872531</v>
      </c>
      <c r="G105" s="182"/>
      <c r="H105" s="245"/>
      <c r="I105" s="250">
        <v>0</v>
      </c>
      <c r="J105" s="250"/>
      <c r="K105" s="251">
        <f t="shared" si="10"/>
        <v>0</v>
      </c>
      <c r="L105" s="50">
        <f t="shared" si="11"/>
        <v>0</v>
      </c>
      <c r="M105" s="50">
        <f t="shared" si="12"/>
        <v>0</v>
      </c>
      <c r="N105" s="50">
        <f t="shared" si="13"/>
        <v>0</v>
      </c>
    </row>
    <row r="106" spans="1:19" ht="12.75" customHeight="1" x14ac:dyDescent="0.3">
      <c r="A106" s="24">
        <v>17.03</v>
      </c>
      <c r="B106" s="128" t="s">
        <v>118</v>
      </c>
      <c r="C106" s="129" t="s">
        <v>33</v>
      </c>
      <c r="D106" s="31">
        <v>65</v>
      </c>
      <c r="E106" s="181">
        <v>51161</v>
      </c>
      <c r="F106" s="181">
        <f t="shared" si="5"/>
        <v>3325465</v>
      </c>
      <c r="G106" s="182"/>
      <c r="H106" s="245"/>
      <c r="I106" s="250">
        <v>0</v>
      </c>
      <c r="J106" s="250"/>
      <c r="K106" s="251">
        <f t="shared" si="10"/>
        <v>0</v>
      </c>
      <c r="L106" s="50">
        <f t="shared" si="11"/>
        <v>0</v>
      </c>
      <c r="M106" s="50">
        <f t="shared" si="12"/>
        <v>0</v>
      </c>
      <c r="N106" s="50">
        <f t="shared" si="13"/>
        <v>0</v>
      </c>
    </row>
    <row r="107" spans="1:19" ht="12.75" customHeight="1" x14ac:dyDescent="0.3">
      <c r="A107" s="130">
        <v>17.04</v>
      </c>
      <c r="B107" s="38" t="s">
        <v>119</v>
      </c>
      <c r="C107" s="34" t="s">
        <v>33</v>
      </c>
      <c r="D107" s="35">
        <v>6</v>
      </c>
      <c r="E107" s="189">
        <v>116001</v>
      </c>
      <c r="F107" s="189">
        <f t="shared" si="5"/>
        <v>696006</v>
      </c>
      <c r="G107" s="182"/>
      <c r="H107" s="245"/>
      <c r="I107" s="250">
        <v>0</v>
      </c>
      <c r="J107" s="250"/>
      <c r="K107" s="251">
        <f t="shared" si="10"/>
        <v>0</v>
      </c>
      <c r="L107" s="50">
        <f t="shared" si="11"/>
        <v>0</v>
      </c>
      <c r="M107" s="50">
        <f t="shared" si="12"/>
        <v>0</v>
      </c>
      <c r="N107" s="50">
        <f t="shared" si="13"/>
        <v>0</v>
      </c>
    </row>
    <row r="108" spans="1:19" ht="12.75" customHeight="1" x14ac:dyDescent="0.3">
      <c r="A108" s="13">
        <v>18</v>
      </c>
      <c r="B108" s="40" t="s">
        <v>120</v>
      </c>
      <c r="C108" s="18"/>
      <c r="D108" s="19"/>
      <c r="E108" s="19"/>
      <c r="F108" s="19"/>
      <c r="G108" s="176">
        <f>+SUM(F109:F141)</f>
        <v>87609553</v>
      </c>
      <c r="H108" s="245">
        <f>+G108/$G$195</f>
        <v>0.10369893564223492</v>
      </c>
      <c r="I108" s="246"/>
      <c r="J108" s="247"/>
      <c r="K108" s="247"/>
      <c r="L108" s="178"/>
      <c r="M108" s="178"/>
      <c r="N108" s="179"/>
    </row>
    <row r="109" spans="1:19" ht="12.75" customHeight="1" x14ac:dyDescent="0.3">
      <c r="A109" s="115">
        <f>+A108+0.01</f>
        <v>18.010000000000002</v>
      </c>
      <c r="B109" s="131" t="s">
        <v>121</v>
      </c>
      <c r="C109" s="132" t="s">
        <v>33</v>
      </c>
      <c r="D109" s="94">
        <v>260</v>
      </c>
      <c r="E109" s="180">
        <v>76531</v>
      </c>
      <c r="F109" s="180">
        <f t="shared" si="5"/>
        <v>19898060</v>
      </c>
      <c r="H109" s="245"/>
      <c r="I109" s="250">
        <v>0.15000000000000002</v>
      </c>
      <c r="J109" s="250">
        <v>0.05</v>
      </c>
      <c r="K109" s="251">
        <f t="shared" si="10"/>
        <v>0.2</v>
      </c>
      <c r="L109" s="50">
        <f t="shared" si="11"/>
        <v>2984709.0000000005</v>
      </c>
      <c r="M109" s="50">
        <f t="shared" si="12"/>
        <v>994903</v>
      </c>
      <c r="N109" s="50">
        <f t="shared" si="13"/>
        <v>3979612</v>
      </c>
      <c r="Q109" s="263"/>
      <c r="S109" s="262"/>
    </row>
    <row r="110" spans="1:19" ht="12.75" customHeight="1" x14ac:dyDescent="0.3">
      <c r="A110" s="100">
        <v>18.02</v>
      </c>
      <c r="B110" s="98" t="s">
        <v>122</v>
      </c>
      <c r="C110" s="133" t="s">
        <v>33</v>
      </c>
      <c r="D110" s="31">
        <v>62</v>
      </c>
      <c r="E110" s="181">
        <v>73235</v>
      </c>
      <c r="F110" s="181">
        <f t="shared" si="5"/>
        <v>4540570</v>
      </c>
      <c r="H110" s="245"/>
      <c r="I110" s="250">
        <v>0.18</v>
      </c>
      <c r="J110" s="250">
        <v>0.06</v>
      </c>
      <c r="K110" s="251">
        <f t="shared" si="10"/>
        <v>0.24</v>
      </c>
      <c r="L110" s="50">
        <f t="shared" si="11"/>
        <v>817302.6</v>
      </c>
      <c r="M110" s="50">
        <f t="shared" si="12"/>
        <v>272434.2</v>
      </c>
      <c r="N110" s="50">
        <f t="shared" si="13"/>
        <v>1089736.8</v>
      </c>
      <c r="Q110" s="263"/>
      <c r="S110" s="262"/>
    </row>
    <row r="111" spans="1:19" ht="12.75" customHeight="1" x14ac:dyDescent="0.3">
      <c r="A111" s="100">
        <v>18.03</v>
      </c>
      <c r="B111" s="98" t="s">
        <v>123</v>
      </c>
      <c r="C111" s="133" t="s">
        <v>33</v>
      </c>
      <c r="D111" s="31">
        <v>12</v>
      </c>
      <c r="E111" s="181">
        <v>73235</v>
      </c>
      <c r="F111" s="181">
        <f t="shared" si="5"/>
        <v>878820</v>
      </c>
      <c r="H111" s="245"/>
      <c r="I111" s="250">
        <v>0.44999999999999996</v>
      </c>
      <c r="J111" s="250">
        <v>0.1</v>
      </c>
      <c r="K111" s="251">
        <f t="shared" si="10"/>
        <v>0.54999999999999993</v>
      </c>
      <c r="L111" s="50">
        <f t="shared" si="11"/>
        <v>395468.99999999994</v>
      </c>
      <c r="M111" s="50">
        <f t="shared" si="12"/>
        <v>87882</v>
      </c>
      <c r="N111" s="50">
        <f t="shared" si="13"/>
        <v>483350.99999999994</v>
      </c>
      <c r="Q111" s="263"/>
      <c r="S111" s="262"/>
    </row>
    <row r="112" spans="1:19" ht="12.75" customHeight="1" x14ac:dyDescent="0.3">
      <c r="A112" s="100">
        <v>18.04</v>
      </c>
      <c r="B112" s="98" t="s">
        <v>124</v>
      </c>
      <c r="C112" s="133" t="s">
        <v>33</v>
      </c>
      <c r="D112" s="31">
        <v>16</v>
      </c>
      <c r="E112" s="181">
        <v>73235</v>
      </c>
      <c r="F112" s="181">
        <f t="shared" si="5"/>
        <v>1171760</v>
      </c>
      <c r="H112" s="245"/>
      <c r="I112" s="250">
        <v>0.35</v>
      </c>
      <c r="J112" s="250">
        <v>0.1</v>
      </c>
      <c r="K112" s="251">
        <f t="shared" si="10"/>
        <v>0.44999999999999996</v>
      </c>
      <c r="L112" s="50">
        <f t="shared" si="11"/>
        <v>410116</v>
      </c>
      <c r="M112" s="50">
        <f t="shared" si="12"/>
        <v>117176</v>
      </c>
      <c r="N112" s="50">
        <f t="shared" si="13"/>
        <v>527292</v>
      </c>
      <c r="Q112" s="263"/>
      <c r="S112" s="262"/>
    </row>
    <row r="113" spans="1:19" ht="12.75" customHeight="1" x14ac:dyDescent="0.3">
      <c r="A113" s="100">
        <v>18.05</v>
      </c>
      <c r="B113" s="98" t="s">
        <v>125</v>
      </c>
      <c r="C113" s="133" t="s">
        <v>33</v>
      </c>
      <c r="D113" s="31">
        <v>1</v>
      </c>
      <c r="E113" s="181">
        <v>73235</v>
      </c>
      <c r="F113" s="181">
        <f t="shared" si="5"/>
        <v>73235</v>
      </c>
      <c r="H113" s="245"/>
      <c r="I113" s="250">
        <v>0.4</v>
      </c>
      <c r="J113" s="250"/>
      <c r="K113" s="251">
        <f t="shared" si="10"/>
        <v>0.4</v>
      </c>
      <c r="L113" s="50">
        <f t="shared" si="11"/>
        <v>29294</v>
      </c>
      <c r="M113" s="50">
        <f t="shared" si="12"/>
        <v>0</v>
      </c>
      <c r="N113" s="50">
        <f t="shared" si="13"/>
        <v>29294</v>
      </c>
    </row>
    <row r="114" spans="1:19" ht="12.75" customHeight="1" x14ac:dyDescent="0.3">
      <c r="A114" s="100">
        <v>18.059999999999999</v>
      </c>
      <c r="B114" s="98" t="s">
        <v>126</v>
      </c>
      <c r="C114" s="133" t="s">
        <v>33</v>
      </c>
      <c r="D114" s="31">
        <v>24</v>
      </c>
      <c r="E114" s="181">
        <v>73235</v>
      </c>
      <c r="F114" s="181">
        <f t="shared" si="5"/>
        <v>1757640</v>
      </c>
      <c r="H114" s="245"/>
      <c r="I114" s="250">
        <v>0.2</v>
      </c>
      <c r="J114" s="250">
        <v>0.1</v>
      </c>
      <c r="K114" s="251">
        <f t="shared" si="10"/>
        <v>0.30000000000000004</v>
      </c>
      <c r="L114" s="50">
        <f t="shared" si="11"/>
        <v>351528</v>
      </c>
      <c r="M114" s="50">
        <f t="shared" si="12"/>
        <v>175764</v>
      </c>
      <c r="N114" s="50">
        <f t="shared" si="13"/>
        <v>527292.00000000012</v>
      </c>
      <c r="P114" s="262"/>
    </row>
    <row r="115" spans="1:19" ht="12.75" customHeight="1" x14ac:dyDescent="0.3">
      <c r="A115" s="100">
        <v>18.07</v>
      </c>
      <c r="B115" s="98" t="s">
        <v>127</v>
      </c>
      <c r="C115" s="133" t="s">
        <v>33</v>
      </c>
      <c r="D115" s="31">
        <v>226</v>
      </c>
      <c r="E115" s="181">
        <v>69154</v>
      </c>
      <c r="F115" s="181">
        <f t="shared" si="5"/>
        <v>15628804</v>
      </c>
      <c r="H115" s="245"/>
      <c r="I115" s="250">
        <v>0.13</v>
      </c>
      <c r="J115" s="250">
        <v>0.05</v>
      </c>
      <c r="K115" s="251">
        <f t="shared" si="10"/>
        <v>0.18</v>
      </c>
      <c r="L115" s="50">
        <f t="shared" si="11"/>
        <v>2031744.52</v>
      </c>
      <c r="M115" s="50">
        <f t="shared" si="12"/>
        <v>781440.20000000007</v>
      </c>
      <c r="N115" s="50">
        <f t="shared" si="13"/>
        <v>2813184.7199999997</v>
      </c>
      <c r="Q115" s="263"/>
    </row>
    <row r="116" spans="1:19" ht="12.75" customHeight="1" x14ac:dyDescent="0.3">
      <c r="A116" s="100">
        <v>18.079999999999998</v>
      </c>
      <c r="B116" s="98" t="s">
        <v>128</v>
      </c>
      <c r="C116" s="133" t="s">
        <v>33</v>
      </c>
      <c r="D116" s="31">
        <v>32</v>
      </c>
      <c r="E116" s="181">
        <v>95308</v>
      </c>
      <c r="F116" s="181">
        <f t="shared" si="5"/>
        <v>3049856</v>
      </c>
      <c r="H116" s="245"/>
      <c r="I116" s="250">
        <v>0.1</v>
      </c>
      <c r="J116" s="250">
        <v>0.05</v>
      </c>
      <c r="K116" s="251">
        <f t="shared" si="10"/>
        <v>0.15000000000000002</v>
      </c>
      <c r="L116" s="50">
        <f t="shared" si="11"/>
        <v>304985.60000000003</v>
      </c>
      <c r="M116" s="50">
        <f t="shared" si="12"/>
        <v>152492.80000000002</v>
      </c>
      <c r="N116" s="50">
        <f t="shared" si="13"/>
        <v>457478.40000000008</v>
      </c>
    </row>
    <row r="117" spans="1:19" ht="12.75" customHeight="1" x14ac:dyDescent="0.3">
      <c r="A117" s="100">
        <v>18.09</v>
      </c>
      <c r="B117" s="98" t="s">
        <v>129</v>
      </c>
      <c r="C117" s="133" t="s">
        <v>33</v>
      </c>
      <c r="D117" s="31">
        <v>8</v>
      </c>
      <c r="E117" s="181">
        <v>69154</v>
      </c>
      <c r="F117" s="181">
        <f t="shared" si="5"/>
        <v>553232</v>
      </c>
      <c r="H117" s="245"/>
      <c r="I117" s="250">
        <v>0</v>
      </c>
      <c r="J117" s="250"/>
      <c r="K117" s="251">
        <f t="shared" si="10"/>
        <v>0</v>
      </c>
      <c r="L117" s="50">
        <f t="shared" si="11"/>
        <v>0</v>
      </c>
      <c r="M117" s="50">
        <f t="shared" si="12"/>
        <v>0</v>
      </c>
      <c r="N117" s="50">
        <f t="shared" si="13"/>
        <v>0</v>
      </c>
    </row>
    <row r="118" spans="1:19" ht="12.75" customHeight="1" x14ac:dyDescent="0.3">
      <c r="A118" s="100">
        <v>18.100000000000001</v>
      </c>
      <c r="B118" s="98" t="s">
        <v>130</v>
      </c>
      <c r="C118" s="133" t="s">
        <v>33</v>
      </c>
      <c r="D118" s="31">
        <v>8</v>
      </c>
      <c r="E118" s="181">
        <v>69154</v>
      </c>
      <c r="F118" s="181">
        <f t="shared" si="5"/>
        <v>553232</v>
      </c>
      <c r="H118" s="245"/>
      <c r="I118" s="250">
        <v>0.2</v>
      </c>
      <c r="J118" s="250">
        <v>0.1</v>
      </c>
      <c r="K118" s="251">
        <f t="shared" si="10"/>
        <v>0.30000000000000004</v>
      </c>
      <c r="L118" s="50">
        <f t="shared" si="11"/>
        <v>110646.40000000001</v>
      </c>
      <c r="M118" s="50">
        <f t="shared" si="12"/>
        <v>55323.200000000004</v>
      </c>
      <c r="N118" s="50">
        <f t="shared" si="13"/>
        <v>165969.60000000003</v>
      </c>
    </row>
    <row r="119" spans="1:19" ht="12.75" customHeight="1" x14ac:dyDescent="0.3">
      <c r="A119" s="100">
        <v>18.11</v>
      </c>
      <c r="B119" s="98" t="s">
        <v>131</v>
      </c>
      <c r="C119" s="133" t="s">
        <v>33</v>
      </c>
      <c r="D119" s="31">
        <v>26</v>
      </c>
      <c r="E119" s="181">
        <v>50616</v>
      </c>
      <c r="F119" s="181">
        <f t="shared" si="5"/>
        <v>1316016</v>
      </c>
      <c r="H119" s="245"/>
      <c r="I119" s="250">
        <v>0</v>
      </c>
      <c r="J119" s="250"/>
      <c r="K119" s="251">
        <f t="shared" si="10"/>
        <v>0</v>
      </c>
      <c r="L119" s="50">
        <f t="shared" si="11"/>
        <v>0</v>
      </c>
      <c r="M119" s="50">
        <f t="shared" si="12"/>
        <v>0</v>
      </c>
      <c r="N119" s="50">
        <f t="shared" si="13"/>
        <v>0</v>
      </c>
    </row>
    <row r="120" spans="1:19" ht="12.75" customHeight="1" x14ac:dyDescent="0.3">
      <c r="A120" s="100">
        <v>18.12</v>
      </c>
      <c r="B120" s="98" t="s">
        <v>132</v>
      </c>
      <c r="C120" s="133" t="s">
        <v>33</v>
      </c>
      <c r="D120" s="31">
        <v>27</v>
      </c>
      <c r="E120" s="181">
        <v>50616</v>
      </c>
      <c r="F120" s="181">
        <f t="shared" si="5"/>
        <v>1366632</v>
      </c>
      <c r="H120" s="245"/>
      <c r="I120" s="250">
        <v>0.2</v>
      </c>
      <c r="J120" s="250">
        <v>0.1</v>
      </c>
      <c r="K120" s="251">
        <f t="shared" si="10"/>
        <v>0.30000000000000004</v>
      </c>
      <c r="L120" s="50">
        <f t="shared" si="11"/>
        <v>273326.40000000002</v>
      </c>
      <c r="M120" s="50">
        <f t="shared" si="12"/>
        <v>136663.20000000001</v>
      </c>
      <c r="N120" s="50">
        <f t="shared" si="13"/>
        <v>409989.60000000003</v>
      </c>
    </row>
    <row r="121" spans="1:19" ht="12.75" customHeight="1" x14ac:dyDescent="0.3">
      <c r="A121" s="100">
        <v>18.13</v>
      </c>
      <c r="B121" s="98" t="s">
        <v>133</v>
      </c>
      <c r="C121" s="133" t="s">
        <v>33</v>
      </c>
      <c r="D121" s="31">
        <v>9</v>
      </c>
      <c r="E121" s="181">
        <v>50616</v>
      </c>
      <c r="F121" s="181">
        <f t="shared" si="5"/>
        <v>455544</v>
      </c>
      <c r="H121" s="245"/>
      <c r="I121" s="250">
        <v>0</v>
      </c>
      <c r="J121" s="250"/>
      <c r="K121" s="251">
        <f t="shared" si="10"/>
        <v>0</v>
      </c>
      <c r="L121" s="50">
        <f t="shared" si="11"/>
        <v>0</v>
      </c>
      <c r="M121" s="50">
        <f t="shared" si="12"/>
        <v>0</v>
      </c>
      <c r="N121" s="50">
        <f t="shared" si="13"/>
        <v>0</v>
      </c>
    </row>
    <row r="122" spans="1:19" ht="12.75" customHeight="1" x14ac:dyDescent="0.3">
      <c r="A122" s="100">
        <v>18.14</v>
      </c>
      <c r="B122" s="98" t="s">
        <v>134</v>
      </c>
      <c r="C122" s="133" t="s">
        <v>33</v>
      </c>
      <c r="D122" s="31">
        <v>29</v>
      </c>
      <c r="E122" s="181">
        <v>50616</v>
      </c>
      <c r="F122" s="181">
        <f t="shared" si="5"/>
        <v>1467864</v>
      </c>
      <c r="H122" s="245"/>
      <c r="I122" s="250">
        <v>0.2</v>
      </c>
      <c r="J122" s="250">
        <v>0.1</v>
      </c>
      <c r="K122" s="251">
        <f t="shared" si="10"/>
        <v>0.30000000000000004</v>
      </c>
      <c r="L122" s="50">
        <f t="shared" si="11"/>
        <v>293572.8</v>
      </c>
      <c r="M122" s="50">
        <f t="shared" si="12"/>
        <v>146786.4</v>
      </c>
      <c r="N122" s="50">
        <f t="shared" si="13"/>
        <v>440359.20000000007</v>
      </c>
    </row>
    <row r="123" spans="1:19" ht="12.75" customHeight="1" x14ac:dyDescent="0.3">
      <c r="A123" s="100">
        <v>18.149999999999999</v>
      </c>
      <c r="B123" s="98" t="s">
        <v>135</v>
      </c>
      <c r="C123" s="133" t="s">
        <v>33</v>
      </c>
      <c r="D123" s="31">
        <v>3</v>
      </c>
      <c r="E123" s="181">
        <v>50616</v>
      </c>
      <c r="F123" s="181">
        <f t="shared" si="5"/>
        <v>151848</v>
      </c>
      <c r="H123" s="245"/>
      <c r="I123" s="250">
        <v>0.4</v>
      </c>
      <c r="J123" s="250"/>
      <c r="K123" s="251">
        <f t="shared" si="10"/>
        <v>0.4</v>
      </c>
      <c r="L123" s="50">
        <f t="shared" si="11"/>
        <v>60739.200000000004</v>
      </c>
      <c r="M123" s="50">
        <f t="shared" si="12"/>
        <v>0</v>
      </c>
      <c r="N123" s="50">
        <f t="shared" si="13"/>
        <v>60739.200000000004</v>
      </c>
      <c r="Q123" s="263"/>
      <c r="S123" s="262"/>
    </row>
    <row r="124" spans="1:19" ht="12.75" customHeight="1" x14ac:dyDescent="0.3">
      <c r="A124" s="100">
        <v>18.16</v>
      </c>
      <c r="B124" s="98" t="s">
        <v>136</v>
      </c>
      <c r="C124" s="133" t="s">
        <v>33</v>
      </c>
      <c r="D124" s="31">
        <v>1</v>
      </c>
      <c r="E124" s="181">
        <v>2245770</v>
      </c>
      <c r="F124" s="181">
        <f t="shared" si="5"/>
        <v>2245770</v>
      </c>
      <c r="H124" s="245"/>
      <c r="I124" s="250">
        <v>0</v>
      </c>
      <c r="J124" s="250"/>
      <c r="K124" s="251">
        <f t="shared" si="10"/>
        <v>0</v>
      </c>
      <c r="L124" s="50">
        <f t="shared" si="11"/>
        <v>0</v>
      </c>
      <c r="M124" s="50">
        <f t="shared" si="12"/>
        <v>0</v>
      </c>
      <c r="N124" s="50">
        <f t="shared" si="13"/>
        <v>0</v>
      </c>
    </row>
    <row r="125" spans="1:19" ht="12.75" customHeight="1" x14ac:dyDescent="0.3">
      <c r="A125" s="100">
        <v>18.170000000000002</v>
      </c>
      <c r="B125" s="98" t="s">
        <v>137</v>
      </c>
      <c r="C125" s="133" t="s">
        <v>33</v>
      </c>
      <c r="D125" s="31">
        <v>1</v>
      </c>
      <c r="E125" s="181">
        <v>1116033</v>
      </c>
      <c r="F125" s="181">
        <f t="shared" si="5"/>
        <v>1116033</v>
      </c>
      <c r="H125" s="245"/>
      <c r="I125" s="250">
        <v>0</v>
      </c>
      <c r="J125" s="250"/>
      <c r="K125" s="251">
        <f t="shared" si="10"/>
        <v>0</v>
      </c>
      <c r="L125" s="50">
        <f t="shared" si="11"/>
        <v>0</v>
      </c>
      <c r="M125" s="50">
        <f t="shared" si="12"/>
        <v>0</v>
      </c>
      <c r="N125" s="50">
        <f t="shared" si="13"/>
        <v>0</v>
      </c>
    </row>
    <row r="126" spans="1:19" ht="12.75" customHeight="1" x14ac:dyDescent="0.3">
      <c r="A126" s="100">
        <v>18.18</v>
      </c>
      <c r="B126" s="98" t="s">
        <v>138</v>
      </c>
      <c r="C126" s="133" t="s">
        <v>33</v>
      </c>
      <c r="D126" s="31">
        <v>2</v>
      </c>
      <c r="E126" s="181">
        <v>530996</v>
      </c>
      <c r="F126" s="181">
        <f t="shared" si="5"/>
        <v>1061992</v>
      </c>
      <c r="H126" s="245"/>
      <c r="I126" s="250">
        <v>0</v>
      </c>
      <c r="J126" s="250"/>
      <c r="K126" s="251">
        <f t="shared" si="10"/>
        <v>0</v>
      </c>
      <c r="L126" s="50">
        <f t="shared" si="11"/>
        <v>0</v>
      </c>
      <c r="M126" s="50">
        <f t="shared" si="12"/>
        <v>0</v>
      </c>
      <c r="N126" s="50">
        <f t="shared" si="13"/>
        <v>0</v>
      </c>
    </row>
    <row r="127" spans="1:19" ht="12.75" customHeight="1" x14ac:dyDescent="0.3">
      <c r="A127" s="100">
        <v>18.190000000000001</v>
      </c>
      <c r="B127" s="98" t="s">
        <v>139</v>
      </c>
      <c r="C127" s="133" t="s">
        <v>33</v>
      </c>
      <c r="D127" s="31">
        <v>9</v>
      </c>
      <c r="E127" s="181">
        <v>595409</v>
      </c>
      <c r="F127" s="181">
        <f t="shared" si="5"/>
        <v>5358681</v>
      </c>
      <c r="H127" s="245"/>
      <c r="I127" s="250">
        <v>0</v>
      </c>
      <c r="J127" s="250"/>
      <c r="K127" s="251">
        <f t="shared" si="10"/>
        <v>0</v>
      </c>
      <c r="L127" s="50">
        <f t="shared" si="11"/>
        <v>0</v>
      </c>
      <c r="M127" s="50">
        <f t="shared" si="12"/>
        <v>0</v>
      </c>
      <c r="N127" s="50">
        <f t="shared" si="13"/>
        <v>0</v>
      </c>
    </row>
    <row r="128" spans="1:19" ht="12.75" customHeight="1" x14ac:dyDescent="0.3">
      <c r="A128" s="100">
        <v>18.2</v>
      </c>
      <c r="B128" s="98" t="s">
        <v>140</v>
      </c>
      <c r="C128" s="133" t="s">
        <v>29</v>
      </c>
      <c r="D128" s="31">
        <v>1</v>
      </c>
      <c r="E128" s="181">
        <v>6378278</v>
      </c>
      <c r="F128" s="181">
        <f t="shared" si="5"/>
        <v>6378278</v>
      </c>
      <c r="H128" s="245"/>
      <c r="I128" s="250">
        <v>0</v>
      </c>
      <c r="J128" s="250"/>
      <c r="K128" s="251">
        <f t="shared" si="10"/>
        <v>0</v>
      </c>
      <c r="L128" s="50">
        <f t="shared" si="11"/>
        <v>0</v>
      </c>
      <c r="M128" s="50">
        <f t="shared" si="12"/>
        <v>0</v>
      </c>
      <c r="N128" s="50">
        <f t="shared" si="13"/>
        <v>0</v>
      </c>
    </row>
    <row r="129" spans="1:14" ht="12.75" customHeight="1" x14ac:dyDescent="0.3">
      <c r="A129" s="100">
        <v>18.21</v>
      </c>
      <c r="B129" s="98" t="s">
        <v>141</v>
      </c>
      <c r="C129" s="133" t="s">
        <v>29</v>
      </c>
      <c r="D129" s="31">
        <v>1</v>
      </c>
      <c r="E129" s="181">
        <v>1695726</v>
      </c>
      <c r="F129" s="181">
        <f t="shared" si="5"/>
        <v>1695726</v>
      </c>
      <c r="H129" s="245"/>
      <c r="I129" s="250">
        <v>0</v>
      </c>
      <c r="J129" s="250"/>
      <c r="K129" s="251">
        <f t="shared" si="10"/>
        <v>0</v>
      </c>
      <c r="L129" s="50">
        <f t="shared" si="11"/>
        <v>0</v>
      </c>
      <c r="M129" s="50">
        <f t="shared" si="12"/>
        <v>0</v>
      </c>
      <c r="N129" s="50">
        <f t="shared" si="13"/>
        <v>0</v>
      </c>
    </row>
    <row r="130" spans="1:14" ht="12.75" customHeight="1" x14ac:dyDescent="0.3">
      <c r="A130" s="100">
        <v>18.22</v>
      </c>
      <c r="B130" s="98" t="s">
        <v>142</v>
      </c>
      <c r="C130" s="133" t="s">
        <v>29</v>
      </c>
      <c r="D130" s="31">
        <v>1</v>
      </c>
      <c r="E130" s="181">
        <v>1695726</v>
      </c>
      <c r="F130" s="181">
        <f t="shared" si="5"/>
        <v>1695726</v>
      </c>
      <c r="H130" s="245"/>
      <c r="I130" s="250">
        <v>0</v>
      </c>
      <c r="J130" s="250"/>
      <c r="K130" s="251">
        <f t="shared" si="10"/>
        <v>0</v>
      </c>
      <c r="L130" s="50">
        <f t="shared" si="11"/>
        <v>0</v>
      </c>
      <c r="M130" s="50">
        <f t="shared" si="12"/>
        <v>0</v>
      </c>
      <c r="N130" s="50">
        <f t="shared" si="13"/>
        <v>0</v>
      </c>
    </row>
    <row r="131" spans="1:14" ht="12.75" customHeight="1" x14ac:dyDescent="0.3">
      <c r="A131" s="100">
        <v>18.23</v>
      </c>
      <c r="B131" s="98" t="s">
        <v>143</v>
      </c>
      <c r="C131" s="133" t="s">
        <v>33</v>
      </c>
      <c r="D131" s="31">
        <v>16</v>
      </c>
      <c r="E131" s="181">
        <v>15984</v>
      </c>
      <c r="F131" s="181">
        <f t="shared" si="5"/>
        <v>255744</v>
      </c>
      <c r="H131" s="245"/>
      <c r="I131" s="250">
        <v>0</v>
      </c>
      <c r="J131" s="250"/>
      <c r="K131" s="251">
        <f t="shared" si="10"/>
        <v>0</v>
      </c>
      <c r="L131" s="50">
        <f t="shared" si="11"/>
        <v>0</v>
      </c>
      <c r="M131" s="50">
        <f t="shared" si="12"/>
        <v>0</v>
      </c>
      <c r="N131" s="50">
        <f t="shared" si="13"/>
        <v>0</v>
      </c>
    </row>
    <row r="132" spans="1:14" ht="12.75" customHeight="1" x14ac:dyDescent="0.3">
      <c r="A132" s="100">
        <v>18.239999999999998</v>
      </c>
      <c r="B132" s="98" t="s">
        <v>144</v>
      </c>
      <c r="C132" s="133" t="s">
        <v>33</v>
      </c>
      <c r="D132" s="31">
        <v>140</v>
      </c>
      <c r="E132" s="181">
        <v>10416</v>
      </c>
      <c r="F132" s="181">
        <f t="shared" si="5"/>
        <v>1458240</v>
      </c>
      <c r="H132" s="245"/>
      <c r="I132" s="250">
        <v>0</v>
      </c>
      <c r="J132" s="250"/>
      <c r="K132" s="251">
        <f t="shared" si="10"/>
        <v>0</v>
      </c>
      <c r="L132" s="50">
        <f t="shared" si="11"/>
        <v>0</v>
      </c>
      <c r="M132" s="50">
        <f t="shared" si="12"/>
        <v>0</v>
      </c>
      <c r="N132" s="50">
        <f t="shared" si="13"/>
        <v>0</v>
      </c>
    </row>
    <row r="133" spans="1:14" ht="12.75" customHeight="1" x14ac:dyDescent="0.3">
      <c r="A133" s="100">
        <v>18.25</v>
      </c>
      <c r="B133" s="98" t="s">
        <v>145</v>
      </c>
      <c r="C133" s="133" t="s">
        <v>33</v>
      </c>
      <c r="D133" s="31">
        <v>226</v>
      </c>
      <c r="E133" s="181">
        <v>10416</v>
      </c>
      <c r="F133" s="181">
        <f t="shared" si="5"/>
        <v>2354016</v>
      </c>
      <c r="H133" s="245"/>
      <c r="I133" s="250">
        <v>0</v>
      </c>
      <c r="J133" s="250"/>
      <c r="K133" s="251">
        <f t="shared" si="10"/>
        <v>0</v>
      </c>
      <c r="L133" s="50">
        <f t="shared" si="11"/>
        <v>0</v>
      </c>
      <c r="M133" s="50">
        <f t="shared" si="12"/>
        <v>0</v>
      </c>
      <c r="N133" s="50">
        <f t="shared" si="13"/>
        <v>0</v>
      </c>
    </row>
    <row r="134" spans="1:14" ht="12.75" customHeight="1" x14ac:dyDescent="0.3">
      <c r="A134" s="100">
        <v>18.260000000000002</v>
      </c>
      <c r="B134" s="98" t="s">
        <v>146</v>
      </c>
      <c r="C134" s="133" t="s">
        <v>33</v>
      </c>
      <c r="D134" s="31">
        <v>8</v>
      </c>
      <c r="E134" s="181">
        <v>25377</v>
      </c>
      <c r="F134" s="181">
        <f t="shared" si="5"/>
        <v>203016</v>
      </c>
      <c r="H134" s="245"/>
      <c r="I134" s="250">
        <v>0</v>
      </c>
      <c r="J134" s="250"/>
      <c r="K134" s="251">
        <f t="shared" si="10"/>
        <v>0</v>
      </c>
      <c r="L134" s="50">
        <f t="shared" si="11"/>
        <v>0</v>
      </c>
      <c r="M134" s="50">
        <f t="shared" si="12"/>
        <v>0</v>
      </c>
      <c r="N134" s="50">
        <f t="shared" si="13"/>
        <v>0</v>
      </c>
    </row>
    <row r="135" spans="1:14" ht="12.75" customHeight="1" x14ac:dyDescent="0.3">
      <c r="A135" s="100">
        <v>18.27</v>
      </c>
      <c r="B135" s="98" t="s">
        <v>147</v>
      </c>
      <c r="C135" s="133" t="s">
        <v>33</v>
      </c>
      <c r="D135" s="31">
        <v>24</v>
      </c>
      <c r="E135" s="181">
        <v>93081</v>
      </c>
      <c r="F135" s="181">
        <f t="shared" si="5"/>
        <v>2233944</v>
      </c>
      <c r="H135" s="245"/>
      <c r="I135" s="250">
        <v>0</v>
      </c>
      <c r="J135" s="250"/>
      <c r="K135" s="251">
        <f t="shared" si="10"/>
        <v>0</v>
      </c>
      <c r="L135" s="50">
        <f t="shared" si="11"/>
        <v>0</v>
      </c>
      <c r="M135" s="50">
        <f t="shared" si="12"/>
        <v>0</v>
      </c>
      <c r="N135" s="50">
        <f t="shared" si="13"/>
        <v>0</v>
      </c>
    </row>
    <row r="136" spans="1:14" ht="12.75" customHeight="1" x14ac:dyDescent="0.3">
      <c r="A136" s="100">
        <v>18.28</v>
      </c>
      <c r="B136" s="98" t="s">
        <v>148</v>
      </c>
      <c r="C136" s="133" t="s">
        <v>33</v>
      </c>
      <c r="D136" s="31">
        <v>12</v>
      </c>
      <c r="E136" s="181">
        <v>25377</v>
      </c>
      <c r="F136" s="181">
        <f t="shared" si="5"/>
        <v>304524</v>
      </c>
      <c r="H136" s="245"/>
      <c r="I136" s="250">
        <v>0</v>
      </c>
      <c r="J136" s="250"/>
      <c r="K136" s="251">
        <f t="shared" si="10"/>
        <v>0</v>
      </c>
      <c r="L136" s="50">
        <f t="shared" si="11"/>
        <v>0</v>
      </c>
      <c r="M136" s="50">
        <f t="shared" si="12"/>
        <v>0</v>
      </c>
      <c r="N136" s="50">
        <f t="shared" si="13"/>
        <v>0</v>
      </c>
    </row>
    <row r="137" spans="1:14" ht="12.75" customHeight="1" x14ac:dyDescent="0.3">
      <c r="A137" s="100">
        <v>18.2899999999999</v>
      </c>
      <c r="B137" s="98" t="s">
        <v>149</v>
      </c>
      <c r="C137" s="133" t="s">
        <v>33</v>
      </c>
      <c r="D137" s="31">
        <v>1</v>
      </c>
      <c r="E137" s="181">
        <v>25377</v>
      </c>
      <c r="F137" s="181">
        <f t="shared" si="5"/>
        <v>25377</v>
      </c>
      <c r="H137" s="245"/>
      <c r="I137" s="250">
        <v>0</v>
      </c>
      <c r="J137" s="250"/>
      <c r="K137" s="251">
        <f t="shared" si="10"/>
        <v>0</v>
      </c>
      <c r="L137" s="50">
        <f t="shared" si="11"/>
        <v>0</v>
      </c>
      <c r="M137" s="50">
        <f t="shared" si="12"/>
        <v>0</v>
      </c>
      <c r="N137" s="50">
        <f t="shared" si="13"/>
        <v>0</v>
      </c>
    </row>
    <row r="138" spans="1:14" ht="12.75" customHeight="1" x14ac:dyDescent="0.3">
      <c r="A138" s="100">
        <v>18.299999999999901</v>
      </c>
      <c r="B138" s="98" t="s">
        <v>150</v>
      </c>
      <c r="C138" s="133" t="s">
        <v>33</v>
      </c>
      <c r="D138" s="31">
        <v>109</v>
      </c>
      <c r="E138" s="181">
        <v>15984</v>
      </c>
      <c r="F138" s="181">
        <f t="shared" ref="F138:F194" si="14">+E138*D138</f>
        <v>1742256</v>
      </c>
      <c r="H138" s="245"/>
      <c r="I138" s="250">
        <v>0</v>
      </c>
      <c r="J138" s="250"/>
      <c r="K138" s="251">
        <f t="shared" si="10"/>
        <v>0</v>
      </c>
      <c r="L138" s="50">
        <f t="shared" si="11"/>
        <v>0</v>
      </c>
      <c r="M138" s="50">
        <f t="shared" si="12"/>
        <v>0</v>
      </c>
      <c r="N138" s="50">
        <f t="shared" si="13"/>
        <v>0</v>
      </c>
    </row>
    <row r="139" spans="1:14" ht="12.75" customHeight="1" x14ac:dyDescent="0.3">
      <c r="A139" s="100">
        <v>18.309999999999899</v>
      </c>
      <c r="B139" s="98" t="s">
        <v>151</v>
      </c>
      <c r="C139" s="133" t="s">
        <v>29</v>
      </c>
      <c r="D139" s="31">
        <v>1</v>
      </c>
      <c r="E139" s="181">
        <v>5516929</v>
      </c>
      <c r="F139" s="181">
        <f t="shared" si="14"/>
        <v>5516929</v>
      </c>
      <c r="H139" s="245"/>
      <c r="I139" s="250">
        <v>0</v>
      </c>
      <c r="J139" s="250"/>
      <c r="K139" s="251">
        <f t="shared" si="10"/>
        <v>0</v>
      </c>
      <c r="L139" s="50">
        <f t="shared" si="11"/>
        <v>0</v>
      </c>
      <c r="M139" s="50">
        <f t="shared" si="12"/>
        <v>0</v>
      </c>
      <c r="N139" s="50">
        <f t="shared" si="13"/>
        <v>0</v>
      </c>
    </row>
    <row r="140" spans="1:14" ht="12.75" customHeight="1" x14ac:dyDescent="0.3">
      <c r="A140" s="100">
        <v>18.319999999999901</v>
      </c>
      <c r="B140" s="98" t="s">
        <v>152</v>
      </c>
      <c r="C140" s="133" t="s">
        <v>29</v>
      </c>
      <c r="D140" s="31">
        <v>1</v>
      </c>
      <c r="E140" s="181">
        <v>957554</v>
      </c>
      <c r="F140" s="181">
        <f t="shared" si="14"/>
        <v>957554</v>
      </c>
      <c r="H140" s="245"/>
      <c r="I140" s="250">
        <v>0</v>
      </c>
      <c r="J140" s="250"/>
      <c r="K140" s="251">
        <f t="shared" ref="K140:K194" si="15">+I140+J140</f>
        <v>0</v>
      </c>
      <c r="L140" s="50">
        <f t="shared" ref="L140:L194" si="16">+F140*I140</f>
        <v>0</v>
      </c>
      <c r="M140" s="50">
        <f t="shared" ref="M140:M194" si="17">+F140*J140</f>
        <v>0</v>
      </c>
      <c r="N140" s="50">
        <f t="shared" ref="N140:N194" si="18">+F140*K140</f>
        <v>0</v>
      </c>
    </row>
    <row r="141" spans="1:14" ht="12.75" customHeight="1" x14ac:dyDescent="0.3">
      <c r="A141" s="100">
        <v>18.329999999999899</v>
      </c>
      <c r="B141" s="134" t="s">
        <v>153</v>
      </c>
      <c r="C141" s="135" t="s">
        <v>29</v>
      </c>
      <c r="D141" s="35">
        <v>1</v>
      </c>
      <c r="E141" s="181">
        <v>142634</v>
      </c>
      <c r="F141" s="181">
        <f t="shared" si="14"/>
        <v>142634</v>
      </c>
      <c r="H141" s="245"/>
      <c r="I141" s="250">
        <v>0</v>
      </c>
      <c r="J141" s="250"/>
      <c r="K141" s="251">
        <f t="shared" si="15"/>
        <v>0</v>
      </c>
      <c r="L141" s="50">
        <f t="shared" si="16"/>
        <v>0</v>
      </c>
      <c r="M141" s="50">
        <f t="shared" si="17"/>
        <v>0</v>
      </c>
      <c r="N141" s="50">
        <f t="shared" si="18"/>
        <v>0</v>
      </c>
    </row>
    <row r="142" spans="1:14" ht="12.75" customHeight="1" x14ac:dyDescent="0.3">
      <c r="A142" s="13">
        <v>19</v>
      </c>
      <c r="B142" s="40" t="s">
        <v>154</v>
      </c>
      <c r="C142" s="18"/>
      <c r="D142" s="19"/>
      <c r="E142" s="190"/>
      <c r="F142" s="190"/>
      <c r="G142" s="191"/>
      <c r="H142" s="245"/>
      <c r="I142" s="246"/>
      <c r="J142" s="247"/>
      <c r="K142" s="247"/>
      <c r="L142" s="178"/>
      <c r="M142" s="178"/>
      <c r="N142" s="179"/>
    </row>
    <row r="143" spans="1:14" ht="12.75" customHeight="1" x14ac:dyDescent="0.3">
      <c r="A143" s="13"/>
      <c r="B143" s="40" t="s">
        <v>155</v>
      </c>
      <c r="C143" s="18"/>
      <c r="D143" s="19"/>
      <c r="E143" s="19"/>
      <c r="F143" s="19"/>
      <c r="G143" s="192">
        <f>+SUM(F144:F146)</f>
        <v>21227962</v>
      </c>
      <c r="H143" s="245">
        <f>+G143/$G$195</f>
        <v>2.5126450140132647E-2</v>
      </c>
      <c r="I143" s="246"/>
      <c r="J143" s="247"/>
      <c r="K143" s="247"/>
      <c r="L143" s="178"/>
      <c r="M143" s="178"/>
      <c r="N143" s="179"/>
    </row>
    <row r="144" spans="1:14" ht="12.75" customHeight="1" x14ac:dyDescent="0.3">
      <c r="A144" s="20">
        <v>19.010000000000002</v>
      </c>
      <c r="B144" s="136" t="s">
        <v>156</v>
      </c>
      <c r="C144" s="122" t="s">
        <v>29</v>
      </c>
      <c r="D144" s="123">
        <v>1</v>
      </c>
      <c r="E144" s="183">
        <v>6793844</v>
      </c>
      <c r="F144" s="183">
        <f t="shared" si="14"/>
        <v>6793844</v>
      </c>
      <c r="H144" s="245"/>
      <c r="I144" s="250">
        <v>0</v>
      </c>
      <c r="J144" s="250"/>
      <c r="K144" s="251">
        <f t="shared" si="15"/>
        <v>0</v>
      </c>
      <c r="L144" s="50">
        <f t="shared" si="16"/>
        <v>0</v>
      </c>
      <c r="M144" s="50">
        <f t="shared" si="17"/>
        <v>0</v>
      </c>
      <c r="N144" s="50">
        <f t="shared" si="18"/>
        <v>0</v>
      </c>
    </row>
    <row r="145" spans="1:14" ht="12.75" customHeight="1" x14ac:dyDescent="0.3">
      <c r="A145" s="24">
        <v>19.02</v>
      </c>
      <c r="B145" s="36" t="s">
        <v>157</v>
      </c>
      <c r="C145" s="28" t="s">
        <v>29</v>
      </c>
      <c r="D145" s="29">
        <v>1</v>
      </c>
      <c r="E145" s="181">
        <v>9552583</v>
      </c>
      <c r="F145" s="181">
        <f t="shared" si="14"/>
        <v>9552583</v>
      </c>
      <c r="H145" s="245"/>
      <c r="I145" s="250">
        <v>0</v>
      </c>
      <c r="J145" s="250"/>
      <c r="K145" s="251">
        <f t="shared" si="15"/>
        <v>0</v>
      </c>
      <c r="L145" s="50">
        <f t="shared" si="16"/>
        <v>0</v>
      </c>
      <c r="M145" s="50">
        <f t="shared" si="17"/>
        <v>0</v>
      </c>
      <c r="N145" s="50">
        <f t="shared" si="18"/>
        <v>0</v>
      </c>
    </row>
    <row r="146" spans="1:14" ht="12.75" customHeight="1" x14ac:dyDescent="0.3">
      <c r="A146" s="33">
        <v>19.03</v>
      </c>
      <c r="B146" s="137" t="s">
        <v>158</v>
      </c>
      <c r="C146" s="138" t="s">
        <v>29</v>
      </c>
      <c r="D146" s="139">
        <v>1</v>
      </c>
      <c r="E146" s="181">
        <v>4881535</v>
      </c>
      <c r="F146" s="181">
        <f t="shared" si="14"/>
        <v>4881535</v>
      </c>
      <c r="H146" s="245"/>
      <c r="I146" s="250">
        <v>0</v>
      </c>
      <c r="J146" s="250"/>
      <c r="K146" s="251">
        <f t="shared" si="15"/>
        <v>0</v>
      </c>
      <c r="L146" s="50">
        <f t="shared" si="16"/>
        <v>0</v>
      </c>
      <c r="M146" s="50">
        <f t="shared" si="17"/>
        <v>0</v>
      </c>
      <c r="N146" s="50">
        <f t="shared" si="18"/>
        <v>0</v>
      </c>
    </row>
    <row r="147" spans="1:14" ht="12.75" customHeight="1" x14ac:dyDescent="0.3">
      <c r="A147" s="140"/>
      <c r="B147" s="141" t="s">
        <v>159</v>
      </c>
      <c r="C147" s="11"/>
      <c r="D147" s="12"/>
      <c r="E147" s="19"/>
      <c r="F147" s="19"/>
      <c r="G147" s="192">
        <f>+SUM(F148:F150)</f>
        <v>7075989</v>
      </c>
      <c r="H147" s="245">
        <f>+G147/$G$195</f>
        <v>8.3754853527920892E-3</v>
      </c>
      <c r="I147" s="246"/>
      <c r="J147" s="247"/>
      <c r="K147" s="247"/>
      <c r="L147" s="178"/>
      <c r="M147" s="178"/>
      <c r="N147" s="179"/>
    </row>
    <row r="148" spans="1:14" ht="12.75" customHeight="1" x14ac:dyDescent="0.3">
      <c r="A148" s="20">
        <v>19.04</v>
      </c>
      <c r="B148" s="136" t="s">
        <v>160</v>
      </c>
      <c r="C148" s="122" t="s">
        <v>29</v>
      </c>
      <c r="D148" s="123">
        <v>1</v>
      </c>
      <c r="E148" s="181">
        <v>2476596</v>
      </c>
      <c r="F148" s="181">
        <f t="shared" si="14"/>
        <v>2476596</v>
      </c>
      <c r="H148" s="245"/>
      <c r="I148" s="250">
        <v>0</v>
      </c>
      <c r="J148" s="250"/>
      <c r="K148" s="251">
        <f t="shared" si="15"/>
        <v>0</v>
      </c>
      <c r="L148" s="50">
        <f t="shared" si="16"/>
        <v>0</v>
      </c>
      <c r="M148" s="50">
        <f t="shared" si="17"/>
        <v>0</v>
      </c>
      <c r="N148" s="50">
        <f t="shared" si="18"/>
        <v>0</v>
      </c>
    </row>
    <row r="149" spans="1:14" ht="12.75" customHeight="1" x14ac:dyDescent="0.3">
      <c r="A149" s="24">
        <v>19.05</v>
      </c>
      <c r="B149" s="36" t="s">
        <v>161</v>
      </c>
      <c r="C149" s="28" t="s">
        <v>29</v>
      </c>
      <c r="D149" s="29">
        <v>1</v>
      </c>
      <c r="E149" s="181">
        <v>3537994</v>
      </c>
      <c r="F149" s="181">
        <f t="shared" si="14"/>
        <v>3537994</v>
      </c>
      <c r="H149" s="245"/>
      <c r="I149" s="250">
        <v>0</v>
      </c>
      <c r="J149" s="250"/>
      <c r="K149" s="251">
        <f t="shared" si="15"/>
        <v>0</v>
      </c>
      <c r="L149" s="50">
        <f t="shared" si="16"/>
        <v>0</v>
      </c>
      <c r="M149" s="50">
        <f t="shared" si="17"/>
        <v>0</v>
      </c>
      <c r="N149" s="50">
        <f t="shared" si="18"/>
        <v>0</v>
      </c>
    </row>
    <row r="150" spans="1:14" ht="12.75" customHeight="1" x14ac:dyDescent="0.3">
      <c r="A150" s="33">
        <v>19.059999999999999</v>
      </c>
      <c r="B150" s="137" t="s">
        <v>162</v>
      </c>
      <c r="C150" s="138" t="s">
        <v>29</v>
      </c>
      <c r="D150" s="139">
        <v>1</v>
      </c>
      <c r="E150" s="181">
        <v>1061399</v>
      </c>
      <c r="F150" s="181">
        <f t="shared" si="14"/>
        <v>1061399</v>
      </c>
      <c r="H150" s="245"/>
      <c r="I150" s="250">
        <v>0</v>
      </c>
      <c r="J150" s="250"/>
      <c r="K150" s="251">
        <f t="shared" si="15"/>
        <v>0</v>
      </c>
      <c r="L150" s="50">
        <f t="shared" si="16"/>
        <v>0</v>
      </c>
      <c r="M150" s="50">
        <f t="shared" si="17"/>
        <v>0</v>
      </c>
      <c r="N150" s="50">
        <f t="shared" si="18"/>
        <v>0</v>
      </c>
    </row>
    <row r="151" spans="1:14" ht="12.75" customHeight="1" x14ac:dyDescent="0.3">
      <c r="A151" s="13"/>
      <c r="B151" s="40" t="s">
        <v>163</v>
      </c>
      <c r="C151" s="18"/>
      <c r="D151" s="19"/>
      <c r="E151" s="19"/>
      <c r="F151" s="19"/>
      <c r="G151" s="192">
        <f>+SUM(F152:F156)</f>
        <v>34829620</v>
      </c>
      <c r="H151" s="245">
        <f>+G151/$G$195</f>
        <v>4.1226035279777064E-2</v>
      </c>
      <c r="I151" s="246"/>
      <c r="J151" s="247"/>
      <c r="K151" s="247"/>
      <c r="L151" s="178"/>
      <c r="M151" s="178"/>
      <c r="N151" s="179"/>
    </row>
    <row r="152" spans="1:14" ht="12.75" customHeight="1" x14ac:dyDescent="0.3">
      <c r="A152" s="115">
        <v>19.07</v>
      </c>
      <c r="B152" s="142" t="s">
        <v>164</v>
      </c>
      <c r="C152" s="122" t="s">
        <v>29</v>
      </c>
      <c r="D152" s="123">
        <v>1</v>
      </c>
      <c r="E152" s="180">
        <v>3263223</v>
      </c>
      <c r="F152" s="180">
        <f t="shared" si="14"/>
        <v>3263223</v>
      </c>
      <c r="H152" s="245"/>
      <c r="I152" s="250">
        <v>0</v>
      </c>
      <c r="J152" s="250"/>
      <c r="K152" s="251">
        <f t="shared" si="15"/>
        <v>0</v>
      </c>
      <c r="L152" s="50">
        <f t="shared" si="16"/>
        <v>0</v>
      </c>
      <c r="M152" s="50">
        <f t="shared" si="17"/>
        <v>0</v>
      </c>
      <c r="N152" s="50">
        <f t="shared" si="18"/>
        <v>0</v>
      </c>
    </row>
    <row r="153" spans="1:14" ht="12.75" customHeight="1" x14ac:dyDescent="0.3">
      <c r="A153" s="100">
        <v>19.079999999999998</v>
      </c>
      <c r="B153" s="143" t="s">
        <v>165</v>
      </c>
      <c r="C153" s="28" t="s">
        <v>29</v>
      </c>
      <c r="D153" s="29">
        <v>1</v>
      </c>
      <c r="E153" s="181">
        <v>3665831</v>
      </c>
      <c r="F153" s="181">
        <f t="shared" si="14"/>
        <v>3665831</v>
      </c>
      <c r="H153" s="245"/>
      <c r="I153" s="250">
        <v>0</v>
      </c>
      <c r="J153" s="250"/>
      <c r="K153" s="251">
        <f t="shared" si="15"/>
        <v>0</v>
      </c>
      <c r="L153" s="50">
        <f t="shared" si="16"/>
        <v>0</v>
      </c>
      <c r="M153" s="50">
        <f t="shared" si="17"/>
        <v>0</v>
      </c>
      <c r="N153" s="50">
        <f t="shared" si="18"/>
        <v>0</v>
      </c>
    </row>
    <row r="154" spans="1:14" ht="12.75" customHeight="1" x14ac:dyDescent="0.3">
      <c r="A154" s="100">
        <v>19.09</v>
      </c>
      <c r="B154" s="144" t="s">
        <v>166</v>
      </c>
      <c r="C154" s="28" t="s">
        <v>29</v>
      </c>
      <c r="D154" s="29">
        <v>1</v>
      </c>
      <c r="E154" s="181">
        <v>3263223</v>
      </c>
      <c r="F154" s="181">
        <f t="shared" si="14"/>
        <v>3263223</v>
      </c>
      <c r="H154" s="245"/>
      <c r="I154" s="250">
        <v>0</v>
      </c>
      <c r="J154" s="250"/>
      <c r="K154" s="251">
        <f t="shared" si="15"/>
        <v>0</v>
      </c>
      <c r="L154" s="50">
        <f t="shared" si="16"/>
        <v>0</v>
      </c>
      <c r="M154" s="50">
        <f t="shared" si="17"/>
        <v>0</v>
      </c>
      <c r="N154" s="50">
        <f t="shared" si="18"/>
        <v>0</v>
      </c>
    </row>
    <row r="155" spans="1:14" ht="12.75" customHeight="1" x14ac:dyDescent="0.3">
      <c r="A155" s="100">
        <v>19.100000000000001</v>
      </c>
      <c r="B155" s="143" t="s">
        <v>167</v>
      </c>
      <c r="C155" s="28" t="s">
        <v>29</v>
      </c>
      <c r="D155" s="29">
        <v>1</v>
      </c>
      <c r="E155" s="181">
        <v>18413869</v>
      </c>
      <c r="F155" s="181">
        <f t="shared" si="14"/>
        <v>18413869</v>
      </c>
      <c r="H155" s="245"/>
      <c r="I155" s="250">
        <v>0</v>
      </c>
      <c r="J155" s="250"/>
      <c r="K155" s="251">
        <f t="shared" si="15"/>
        <v>0</v>
      </c>
      <c r="L155" s="50">
        <f t="shared" si="16"/>
        <v>0</v>
      </c>
      <c r="M155" s="50">
        <f t="shared" si="17"/>
        <v>0</v>
      </c>
      <c r="N155" s="50">
        <f t="shared" si="18"/>
        <v>0</v>
      </c>
    </row>
    <row r="156" spans="1:14" ht="12.75" customHeight="1" x14ac:dyDescent="0.3">
      <c r="A156" s="100">
        <v>19.11</v>
      </c>
      <c r="B156" s="145" t="s">
        <v>168</v>
      </c>
      <c r="C156" s="138" t="s">
        <v>29</v>
      </c>
      <c r="D156" s="139">
        <v>1</v>
      </c>
      <c r="E156" s="189">
        <v>6223474</v>
      </c>
      <c r="F156" s="189">
        <f t="shared" si="14"/>
        <v>6223474</v>
      </c>
      <c r="H156" s="245"/>
      <c r="I156" s="250">
        <v>0</v>
      </c>
      <c r="J156" s="250"/>
      <c r="K156" s="251">
        <f t="shared" si="15"/>
        <v>0</v>
      </c>
      <c r="L156" s="50">
        <f t="shared" si="16"/>
        <v>0</v>
      </c>
      <c r="M156" s="50">
        <f t="shared" si="17"/>
        <v>0</v>
      </c>
      <c r="N156" s="50">
        <f t="shared" si="18"/>
        <v>0</v>
      </c>
    </row>
    <row r="157" spans="1:14" ht="12.75" customHeight="1" x14ac:dyDescent="0.3">
      <c r="A157" s="13"/>
      <c r="B157" s="40" t="s">
        <v>169</v>
      </c>
      <c r="C157" s="18"/>
      <c r="D157" s="19"/>
      <c r="E157" s="19"/>
      <c r="F157" s="19"/>
      <c r="G157" s="192">
        <f>+SUM(F158)</f>
        <v>2637801</v>
      </c>
      <c r="H157" s="245">
        <f>+G157/$G$195</f>
        <v>3.1222297885257206E-3</v>
      </c>
      <c r="I157" s="246"/>
      <c r="J157" s="247"/>
      <c r="K157" s="247"/>
      <c r="L157" s="178"/>
      <c r="M157" s="178"/>
      <c r="N157" s="179"/>
    </row>
    <row r="158" spans="1:14" ht="12.75" customHeight="1" x14ac:dyDescent="0.3">
      <c r="A158" s="24">
        <v>19.12</v>
      </c>
      <c r="B158" s="36" t="s">
        <v>170</v>
      </c>
      <c r="C158" s="28" t="s">
        <v>29</v>
      </c>
      <c r="D158" s="29">
        <v>1</v>
      </c>
      <c r="E158" s="181">
        <v>2637801</v>
      </c>
      <c r="F158" s="181">
        <f t="shared" si="14"/>
        <v>2637801</v>
      </c>
      <c r="H158" s="245"/>
      <c r="I158" s="250">
        <v>0</v>
      </c>
      <c r="J158" s="250"/>
      <c r="K158" s="251">
        <f t="shared" si="15"/>
        <v>0</v>
      </c>
      <c r="L158" s="50">
        <f t="shared" si="16"/>
        <v>0</v>
      </c>
      <c r="M158" s="50">
        <f t="shared" si="17"/>
        <v>0</v>
      </c>
      <c r="N158" s="50">
        <f t="shared" si="18"/>
        <v>0</v>
      </c>
    </row>
    <row r="159" spans="1:14" ht="12.75" customHeight="1" x14ac:dyDescent="0.3">
      <c r="A159" s="13"/>
      <c r="B159" s="40" t="s">
        <v>171</v>
      </c>
      <c r="C159" s="18"/>
      <c r="D159" s="19"/>
      <c r="E159" s="19"/>
      <c r="F159" s="19"/>
      <c r="G159" s="192">
        <f>+SUM(F160:F161)</f>
        <v>39784561</v>
      </c>
      <c r="H159" s="245">
        <f>+G159/$G$195</f>
        <v>4.7090944873255651E-2</v>
      </c>
      <c r="I159" s="246"/>
      <c r="J159" s="247"/>
      <c r="K159" s="247"/>
      <c r="L159" s="178"/>
      <c r="M159" s="178"/>
      <c r="N159" s="179"/>
    </row>
    <row r="160" spans="1:14" ht="12.75" customHeight="1" x14ac:dyDescent="0.3">
      <c r="A160" s="20">
        <v>19.13</v>
      </c>
      <c r="B160" s="136" t="s">
        <v>172</v>
      </c>
      <c r="C160" s="122" t="s">
        <v>29</v>
      </c>
      <c r="D160" s="123">
        <v>1</v>
      </c>
      <c r="E160" s="181">
        <v>36002858</v>
      </c>
      <c r="F160" s="181">
        <f t="shared" si="14"/>
        <v>36002858</v>
      </c>
      <c r="H160" s="245"/>
      <c r="I160" s="250">
        <v>0</v>
      </c>
      <c r="J160" s="250"/>
      <c r="K160" s="251">
        <f t="shared" si="15"/>
        <v>0</v>
      </c>
      <c r="L160" s="50">
        <f t="shared" si="16"/>
        <v>0</v>
      </c>
      <c r="M160" s="50">
        <f t="shared" si="17"/>
        <v>0</v>
      </c>
      <c r="N160" s="50">
        <f t="shared" si="18"/>
        <v>0</v>
      </c>
    </row>
    <row r="161" spans="1:14" ht="12.75" customHeight="1" x14ac:dyDescent="0.3">
      <c r="A161" s="33">
        <v>19.14</v>
      </c>
      <c r="B161" s="137" t="s">
        <v>173</v>
      </c>
      <c r="C161" s="138" t="s">
        <v>29</v>
      </c>
      <c r="D161" s="139">
        <v>1</v>
      </c>
      <c r="E161" s="181">
        <v>3781703</v>
      </c>
      <c r="F161" s="181">
        <f t="shared" si="14"/>
        <v>3781703</v>
      </c>
      <c r="H161" s="245"/>
      <c r="I161" s="250">
        <v>0</v>
      </c>
      <c r="J161" s="250"/>
      <c r="K161" s="251">
        <f t="shared" si="15"/>
        <v>0</v>
      </c>
      <c r="L161" s="50">
        <f t="shared" si="16"/>
        <v>0</v>
      </c>
      <c r="M161" s="50">
        <f t="shared" si="17"/>
        <v>0</v>
      </c>
      <c r="N161" s="50">
        <f t="shared" si="18"/>
        <v>0</v>
      </c>
    </row>
    <row r="162" spans="1:14" ht="12.75" customHeight="1" x14ac:dyDescent="0.3">
      <c r="A162" s="13"/>
      <c r="B162" s="40" t="s">
        <v>174</v>
      </c>
      <c r="C162" s="18"/>
      <c r="D162" s="19"/>
      <c r="E162" s="19"/>
      <c r="F162" s="19"/>
      <c r="G162" s="192">
        <f>+SUM(F163)</f>
        <v>6439007</v>
      </c>
      <c r="H162" s="245">
        <f>+G162/$G$195</f>
        <v>7.6215224211097178E-3</v>
      </c>
      <c r="I162" s="246"/>
      <c r="J162" s="247"/>
      <c r="K162" s="247"/>
      <c r="L162" s="178"/>
      <c r="M162" s="178"/>
      <c r="N162" s="179"/>
    </row>
    <row r="163" spans="1:14" ht="12.75" customHeight="1" x14ac:dyDescent="0.3">
      <c r="A163" s="24">
        <v>19.149999999999999</v>
      </c>
      <c r="B163" s="98" t="s">
        <v>175</v>
      </c>
      <c r="C163" s="28" t="s">
        <v>29</v>
      </c>
      <c r="D163" s="29">
        <v>1</v>
      </c>
      <c r="E163" s="181">
        <v>6439007</v>
      </c>
      <c r="F163" s="181">
        <f t="shared" si="14"/>
        <v>6439007</v>
      </c>
      <c r="H163" s="245"/>
      <c r="I163" s="250">
        <v>0</v>
      </c>
      <c r="J163" s="250"/>
      <c r="K163" s="251">
        <f t="shared" si="15"/>
        <v>0</v>
      </c>
      <c r="L163" s="50">
        <f t="shared" si="16"/>
        <v>0</v>
      </c>
      <c r="M163" s="50">
        <f t="shared" si="17"/>
        <v>0</v>
      </c>
      <c r="N163" s="50">
        <f t="shared" si="18"/>
        <v>0</v>
      </c>
    </row>
    <row r="164" spans="1:14" ht="12.75" customHeight="1" x14ac:dyDescent="0.3">
      <c r="A164" s="13"/>
      <c r="B164" s="40" t="s">
        <v>176</v>
      </c>
      <c r="C164" s="18"/>
      <c r="D164" s="19"/>
      <c r="E164" s="19"/>
      <c r="F164" s="19"/>
      <c r="G164" s="192">
        <f>+SUM(F165:F168)</f>
        <v>33172785</v>
      </c>
      <c r="H164" s="245">
        <f t="shared" ref="H164:H192" si="19">+G164/$G$195</f>
        <v>3.9264924645702685E-2</v>
      </c>
      <c r="I164" s="246"/>
      <c r="J164" s="247"/>
      <c r="K164" s="247"/>
      <c r="L164" s="178"/>
      <c r="M164" s="178"/>
      <c r="N164" s="179"/>
    </row>
    <row r="165" spans="1:14" ht="12.75" customHeight="1" x14ac:dyDescent="0.3">
      <c r="A165" s="24">
        <v>19.16</v>
      </c>
      <c r="B165" s="143" t="s">
        <v>177</v>
      </c>
      <c r="C165" s="28" t="s">
        <v>29</v>
      </c>
      <c r="D165" s="29">
        <v>1</v>
      </c>
      <c r="E165" s="181">
        <v>27794007</v>
      </c>
      <c r="F165" s="181">
        <f t="shared" si="14"/>
        <v>27794007</v>
      </c>
      <c r="H165" s="245"/>
      <c r="I165" s="250">
        <v>0</v>
      </c>
      <c r="J165" s="250"/>
      <c r="K165" s="251">
        <f t="shared" si="15"/>
        <v>0</v>
      </c>
      <c r="L165" s="50">
        <f t="shared" si="16"/>
        <v>0</v>
      </c>
      <c r="M165" s="50">
        <f t="shared" si="17"/>
        <v>0</v>
      </c>
      <c r="N165" s="50">
        <f t="shared" si="18"/>
        <v>0</v>
      </c>
    </row>
    <row r="166" spans="1:14" ht="12.75" customHeight="1" x14ac:dyDescent="0.3">
      <c r="A166" s="24">
        <v>19.170000000000002</v>
      </c>
      <c r="B166" s="146" t="s">
        <v>178</v>
      </c>
      <c r="C166" s="147" t="s">
        <v>33</v>
      </c>
      <c r="D166" s="148">
        <v>8</v>
      </c>
      <c r="E166" s="181">
        <v>59973</v>
      </c>
      <c r="F166" s="181">
        <f t="shared" si="14"/>
        <v>479784</v>
      </c>
      <c r="H166" s="245"/>
      <c r="I166" s="250">
        <v>0</v>
      </c>
      <c r="J166" s="250"/>
      <c r="K166" s="251">
        <f t="shared" si="15"/>
        <v>0</v>
      </c>
      <c r="L166" s="50">
        <f t="shared" si="16"/>
        <v>0</v>
      </c>
      <c r="M166" s="50">
        <f t="shared" si="17"/>
        <v>0</v>
      </c>
      <c r="N166" s="50">
        <f t="shared" si="18"/>
        <v>0</v>
      </c>
    </row>
    <row r="167" spans="1:14" ht="12.75" customHeight="1" x14ac:dyDescent="0.3">
      <c r="A167" s="24">
        <v>19.18</v>
      </c>
      <c r="B167" s="146" t="s">
        <v>179</v>
      </c>
      <c r="C167" s="147" t="s">
        <v>29</v>
      </c>
      <c r="D167" s="148">
        <v>8</v>
      </c>
      <c r="E167" s="181">
        <v>27640</v>
      </c>
      <c r="F167" s="181">
        <f t="shared" si="14"/>
        <v>221120</v>
      </c>
      <c r="H167" s="245"/>
      <c r="I167" s="250">
        <v>0</v>
      </c>
      <c r="J167" s="250"/>
      <c r="K167" s="251">
        <f t="shared" si="15"/>
        <v>0</v>
      </c>
      <c r="L167" s="50">
        <f t="shared" si="16"/>
        <v>0</v>
      </c>
      <c r="M167" s="50">
        <f t="shared" si="17"/>
        <v>0</v>
      </c>
      <c r="N167" s="50">
        <f t="shared" si="18"/>
        <v>0</v>
      </c>
    </row>
    <row r="168" spans="1:14" ht="12.75" customHeight="1" x14ac:dyDescent="0.3">
      <c r="A168" s="100">
        <v>19.190000000000001</v>
      </c>
      <c r="B168" s="145" t="s">
        <v>180</v>
      </c>
      <c r="C168" s="138" t="s">
        <v>29</v>
      </c>
      <c r="D168" s="139">
        <v>1</v>
      </c>
      <c r="E168" s="181">
        <v>4677874</v>
      </c>
      <c r="F168" s="181">
        <f t="shared" si="14"/>
        <v>4677874</v>
      </c>
      <c r="H168" s="245"/>
      <c r="I168" s="250">
        <v>0</v>
      </c>
      <c r="J168" s="250"/>
      <c r="K168" s="251">
        <f t="shared" si="15"/>
        <v>0</v>
      </c>
      <c r="L168" s="50">
        <f t="shared" si="16"/>
        <v>0</v>
      </c>
      <c r="M168" s="50">
        <f t="shared" si="17"/>
        <v>0</v>
      </c>
      <c r="N168" s="50">
        <f t="shared" si="18"/>
        <v>0</v>
      </c>
    </row>
    <row r="169" spans="1:14" ht="12.75" customHeight="1" x14ac:dyDescent="0.3">
      <c r="A169" s="13">
        <v>20</v>
      </c>
      <c r="B169" s="40" t="s">
        <v>181</v>
      </c>
      <c r="C169" s="18"/>
      <c r="D169" s="19"/>
      <c r="E169" s="19"/>
      <c r="F169" s="19"/>
      <c r="G169" s="192">
        <f>+SUM(F170:F171)</f>
        <v>0</v>
      </c>
      <c r="H169" s="245">
        <f t="shared" si="19"/>
        <v>0</v>
      </c>
      <c r="I169" s="246"/>
      <c r="J169" s="247"/>
      <c r="K169" s="247"/>
      <c r="L169" s="178"/>
      <c r="M169" s="178"/>
      <c r="N169" s="179"/>
    </row>
    <row r="170" spans="1:14" ht="12.75" customHeight="1" x14ac:dyDescent="0.3">
      <c r="A170" s="106">
        <v>20.010000000000002</v>
      </c>
      <c r="B170" s="107" t="s">
        <v>182</v>
      </c>
      <c r="C170" s="120" t="s">
        <v>33</v>
      </c>
      <c r="D170" s="121">
        <v>0</v>
      </c>
      <c r="E170" s="183">
        <v>0</v>
      </c>
      <c r="F170" s="183">
        <f t="shared" si="14"/>
        <v>0</v>
      </c>
      <c r="H170" s="245"/>
      <c r="I170" s="250">
        <v>0</v>
      </c>
      <c r="J170" s="250"/>
      <c r="K170" s="251">
        <f t="shared" si="15"/>
        <v>0</v>
      </c>
      <c r="L170" s="50">
        <f t="shared" si="16"/>
        <v>0</v>
      </c>
      <c r="M170" s="50">
        <f t="shared" si="17"/>
        <v>0</v>
      </c>
      <c r="N170" s="50">
        <f t="shared" si="18"/>
        <v>0</v>
      </c>
    </row>
    <row r="171" spans="1:14" ht="12.75" customHeight="1" x14ac:dyDescent="0.3">
      <c r="A171" s="24">
        <v>20.02</v>
      </c>
      <c r="B171" s="25" t="s">
        <v>183</v>
      </c>
      <c r="C171" s="112" t="s">
        <v>33</v>
      </c>
      <c r="D171" s="27">
        <v>0</v>
      </c>
      <c r="E171" s="181">
        <v>0</v>
      </c>
      <c r="F171" s="181">
        <f t="shared" si="14"/>
        <v>0</v>
      </c>
      <c r="H171" s="245"/>
      <c r="I171" s="250">
        <v>0</v>
      </c>
      <c r="J171" s="250"/>
      <c r="K171" s="251">
        <f t="shared" si="15"/>
        <v>0</v>
      </c>
      <c r="L171" s="50">
        <f t="shared" si="16"/>
        <v>0</v>
      </c>
      <c r="M171" s="50">
        <f t="shared" si="17"/>
        <v>0</v>
      </c>
      <c r="N171" s="50">
        <f t="shared" si="18"/>
        <v>0</v>
      </c>
    </row>
    <row r="172" spans="1:14" ht="12.75" customHeight="1" x14ac:dyDescent="0.3">
      <c r="A172" s="13">
        <v>21</v>
      </c>
      <c r="B172" s="40" t="s">
        <v>184</v>
      </c>
      <c r="C172" s="18"/>
      <c r="D172" s="19"/>
      <c r="E172" s="19"/>
      <c r="F172" s="19"/>
      <c r="G172" s="192">
        <f>+SUM(F173)</f>
        <v>0</v>
      </c>
      <c r="H172" s="245">
        <f t="shared" si="19"/>
        <v>0</v>
      </c>
      <c r="I172" s="246"/>
      <c r="J172" s="247"/>
      <c r="K172" s="247"/>
      <c r="L172" s="178"/>
      <c r="M172" s="178"/>
      <c r="N172" s="179"/>
    </row>
    <row r="173" spans="1:14" ht="12.75" customHeight="1" x14ac:dyDescent="0.3">
      <c r="A173" s="149">
        <v>21.01</v>
      </c>
      <c r="B173" s="150" t="s">
        <v>185</v>
      </c>
      <c r="C173" s="151" t="s">
        <v>29</v>
      </c>
      <c r="D173" s="152">
        <v>1</v>
      </c>
      <c r="E173" s="184">
        <v>0</v>
      </c>
      <c r="F173" s="181">
        <f t="shared" si="14"/>
        <v>0</v>
      </c>
      <c r="G173" s="182"/>
      <c r="H173" s="245"/>
      <c r="I173" s="250">
        <v>0</v>
      </c>
      <c r="J173" s="250"/>
      <c r="K173" s="251">
        <f t="shared" si="15"/>
        <v>0</v>
      </c>
      <c r="L173" s="50">
        <f t="shared" si="16"/>
        <v>0</v>
      </c>
      <c r="M173" s="50">
        <f t="shared" si="17"/>
        <v>0</v>
      </c>
      <c r="N173" s="50">
        <f t="shared" si="18"/>
        <v>0</v>
      </c>
    </row>
    <row r="174" spans="1:14" ht="12.75" customHeight="1" x14ac:dyDescent="0.3">
      <c r="A174" s="13">
        <v>22</v>
      </c>
      <c r="B174" s="40" t="s">
        <v>186</v>
      </c>
      <c r="C174" s="18"/>
      <c r="D174" s="19"/>
      <c r="E174" s="19"/>
      <c r="F174" s="19"/>
      <c r="G174" s="192">
        <f>+SUM(F175:F176)</f>
        <v>2934560</v>
      </c>
      <c r="H174" s="245">
        <f t="shared" si="19"/>
        <v>3.4734882002910904E-3</v>
      </c>
      <c r="I174" s="246"/>
      <c r="J174" s="247"/>
      <c r="K174" s="247"/>
      <c r="L174" s="178"/>
      <c r="M174" s="178"/>
      <c r="N174" s="179"/>
    </row>
    <row r="175" spans="1:14" ht="12.75" customHeight="1" x14ac:dyDescent="0.3">
      <c r="A175" s="115">
        <v>22.01</v>
      </c>
      <c r="B175" s="131" t="s">
        <v>187</v>
      </c>
      <c r="C175" s="132" t="s">
        <v>33</v>
      </c>
      <c r="D175" s="153">
        <v>8</v>
      </c>
      <c r="E175" s="184">
        <v>91705</v>
      </c>
      <c r="F175" s="183">
        <f t="shared" si="14"/>
        <v>733640</v>
      </c>
      <c r="H175" s="245"/>
      <c r="I175" s="250">
        <v>0</v>
      </c>
      <c r="J175" s="250"/>
      <c r="K175" s="251">
        <f t="shared" si="15"/>
        <v>0</v>
      </c>
      <c r="L175" s="50">
        <f t="shared" si="16"/>
        <v>0</v>
      </c>
      <c r="M175" s="50">
        <f t="shared" si="17"/>
        <v>0</v>
      </c>
      <c r="N175" s="50">
        <f t="shared" si="18"/>
        <v>0</v>
      </c>
    </row>
    <row r="176" spans="1:14" ht="12.75" customHeight="1" x14ac:dyDescent="0.3">
      <c r="A176" s="100">
        <v>22.02</v>
      </c>
      <c r="B176" s="98" t="s">
        <v>188</v>
      </c>
      <c r="C176" s="133" t="s">
        <v>33</v>
      </c>
      <c r="D176" s="153">
        <v>24</v>
      </c>
      <c r="E176" s="184">
        <v>91705</v>
      </c>
      <c r="F176" s="183">
        <f t="shared" si="14"/>
        <v>2200920</v>
      </c>
      <c r="H176" s="245"/>
      <c r="I176" s="250">
        <v>0</v>
      </c>
      <c r="J176" s="250"/>
      <c r="K176" s="251">
        <f t="shared" si="15"/>
        <v>0</v>
      </c>
      <c r="L176" s="50">
        <f t="shared" si="16"/>
        <v>0</v>
      </c>
      <c r="M176" s="50">
        <f t="shared" si="17"/>
        <v>0</v>
      </c>
      <c r="N176" s="50">
        <f t="shared" si="18"/>
        <v>0</v>
      </c>
    </row>
    <row r="177" spans="1:14" ht="12.75" customHeight="1" x14ac:dyDescent="0.3">
      <c r="A177" s="13">
        <v>23</v>
      </c>
      <c r="B177" s="40" t="s">
        <v>189</v>
      </c>
      <c r="C177" s="18"/>
      <c r="D177" s="19"/>
      <c r="E177" s="19"/>
      <c r="F177" s="19"/>
      <c r="G177" s="192">
        <f>+SUM(F178:F181)</f>
        <v>19050437</v>
      </c>
      <c r="H177" s="245">
        <f t="shared" si="19"/>
        <v>2.2549025451818604E-2</v>
      </c>
      <c r="I177" s="246"/>
      <c r="J177" s="247"/>
      <c r="K177" s="247"/>
      <c r="L177" s="178"/>
      <c r="M177" s="178"/>
      <c r="N177" s="179"/>
    </row>
    <row r="178" spans="1:14" ht="12.75" customHeight="1" x14ac:dyDescent="0.3">
      <c r="A178" s="115">
        <v>23.01</v>
      </c>
      <c r="B178" s="21" t="s">
        <v>190</v>
      </c>
      <c r="C178" s="93" t="s">
        <v>29</v>
      </c>
      <c r="D178" s="94">
        <v>6</v>
      </c>
      <c r="E178" s="180">
        <v>259063</v>
      </c>
      <c r="F178" s="180">
        <f t="shared" si="14"/>
        <v>1554378</v>
      </c>
      <c r="G178" s="182"/>
      <c r="H178" s="245"/>
      <c r="I178" s="250">
        <v>0</v>
      </c>
      <c r="J178" s="250"/>
      <c r="K178" s="251">
        <f t="shared" si="15"/>
        <v>0</v>
      </c>
      <c r="L178" s="50">
        <f t="shared" si="16"/>
        <v>0</v>
      </c>
      <c r="M178" s="50">
        <f t="shared" si="17"/>
        <v>0</v>
      </c>
      <c r="N178" s="50">
        <f t="shared" si="18"/>
        <v>0</v>
      </c>
    </row>
    <row r="179" spans="1:14" ht="12.75" customHeight="1" x14ac:dyDescent="0.3">
      <c r="A179" s="100">
        <v>23.02</v>
      </c>
      <c r="B179" s="25" t="s">
        <v>191</v>
      </c>
      <c r="C179" s="30" t="s">
        <v>29</v>
      </c>
      <c r="D179" s="31">
        <v>1</v>
      </c>
      <c r="E179" s="181">
        <v>793947</v>
      </c>
      <c r="F179" s="181">
        <f t="shared" si="14"/>
        <v>793947</v>
      </c>
      <c r="H179" s="245"/>
      <c r="I179" s="250">
        <v>0</v>
      </c>
      <c r="J179" s="250"/>
      <c r="K179" s="251">
        <f t="shared" si="15"/>
        <v>0</v>
      </c>
      <c r="L179" s="50">
        <f t="shared" si="16"/>
        <v>0</v>
      </c>
      <c r="M179" s="50">
        <f t="shared" si="17"/>
        <v>0</v>
      </c>
      <c r="N179" s="50">
        <f t="shared" si="18"/>
        <v>0</v>
      </c>
    </row>
    <row r="180" spans="1:14" ht="12.75" customHeight="1" x14ac:dyDescent="0.3">
      <c r="A180" s="100">
        <v>23.03</v>
      </c>
      <c r="B180" s="25" t="s">
        <v>192</v>
      </c>
      <c r="C180" s="30" t="s">
        <v>19</v>
      </c>
      <c r="D180" s="31">
        <v>26</v>
      </c>
      <c r="E180" s="181">
        <v>27076</v>
      </c>
      <c r="F180" s="181">
        <f t="shared" si="14"/>
        <v>703976</v>
      </c>
      <c r="H180" s="245"/>
      <c r="I180" s="250">
        <v>0</v>
      </c>
      <c r="J180" s="250"/>
      <c r="K180" s="251">
        <f t="shared" si="15"/>
        <v>0</v>
      </c>
      <c r="L180" s="50">
        <f t="shared" si="16"/>
        <v>0</v>
      </c>
      <c r="M180" s="50">
        <f t="shared" si="17"/>
        <v>0</v>
      </c>
      <c r="N180" s="50">
        <f t="shared" si="18"/>
        <v>0</v>
      </c>
    </row>
    <row r="181" spans="1:14" ht="12.75" customHeight="1" x14ac:dyDescent="0.3">
      <c r="A181" s="130">
        <v>23.04</v>
      </c>
      <c r="B181" s="154" t="s">
        <v>193</v>
      </c>
      <c r="C181" s="155" t="s">
        <v>19</v>
      </c>
      <c r="D181" s="102">
        <v>231</v>
      </c>
      <c r="E181" s="189">
        <v>69256</v>
      </c>
      <c r="F181" s="189">
        <f t="shared" si="14"/>
        <v>15998136</v>
      </c>
      <c r="H181" s="245"/>
      <c r="I181" s="250">
        <v>0</v>
      </c>
      <c r="J181" s="250"/>
      <c r="K181" s="251">
        <f t="shared" si="15"/>
        <v>0</v>
      </c>
      <c r="L181" s="50">
        <f t="shared" si="16"/>
        <v>0</v>
      </c>
      <c r="M181" s="50">
        <f t="shared" si="17"/>
        <v>0</v>
      </c>
      <c r="N181" s="50">
        <f t="shared" si="18"/>
        <v>0</v>
      </c>
    </row>
    <row r="182" spans="1:14" ht="12.75" customHeight="1" x14ac:dyDescent="0.3">
      <c r="A182" s="13">
        <v>24</v>
      </c>
      <c r="B182" s="40" t="s">
        <v>194</v>
      </c>
      <c r="C182" s="18"/>
      <c r="D182" s="19"/>
      <c r="E182" s="19"/>
      <c r="F182" s="19"/>
      <c r="G182" s="192">
        <f>+SUM(F183:F191)</f>
        <v>76903896</v>
      </c>
      <c r="H182" s="245">
        <f t="shared" si="19"/>
        <v>9.1027198391722505E-2</v>
      </c>
      <c r="I182" s="246"/>
      <c r="J182" s="247"/>
      <c r="K182" s="247"/>
      <c r="L182" s="178"/>
      <c r="M182" s="178"/>
      <c r="N182" s="179"/>
    </row>
    <row r="183" spans="1:14" ht="12.75" customHeight="1" x14ac:dyDescent="0.3">
      <c r="A183" s="20">
        <v>24.01</v>
      </c>
      <c r="B183" s="156" t="s">
        <v>195</v>
      </c>
      <c r="C183" s="22" t="s">
        <v>196</v>
      </c>
      <c r="D183" s="94">
        <v>17</v>
      </c>
      <c r="E183" s="181">
        <v>973327</v>
      </c>
      <c r="F183" s="181">
        <f t="shared" si="14"/>
        <v>16546559</v>
      </c>
      <c r="H183" s="245"/>
      <c r="I183" s="250">
        <v>0.35</v>
      </c>
      <c r="J183" s="250">
        <v>0.05</v>
      </c>
      <c r="K183" s="251">
        <f t="shared" si="15"/>
        <v>0.39999999999999997</v>
      </c>
      <c r="L183" s="50">
        <f t="shared" si="16"/>
        <v>5791295.6499999994</v>
      </c>
      <c r="M183" s="50">
        <f t="shared" si="17"/>
        <v>827327.95000000007</v>
      </c>
      <c r="N183" s="50">
        <f t="shared" si="18"/>
        <v>6618623.5999999996</v>
      </c>
    </row>
    <row r="184" spans="1:14" ht="12.75" customHeight="1" x14ac:dyDescent="0.3">
      <c r="A184" s="24">
        <v>24.02</v>
      </c>
      <c r="B184" s="157" t="s">
        <v>197</v>
      </c>
      <c r="C184" s="26" t="s">
        <v>196</v>
      </c>
      <c r="D184" s="31">
        <v>4</v>
      </c>
      <c r="E184" s="181">
        <v>2005316</v>
      </c>
      <c r="F184" s="181">
        <f t="shared" si="14"/>
        <v>8021264</v>
      </c>
      <c r="H184" s="245"/>
      <c r="I184" s="250">
        <v>1</v>
      </c>
      <c r="J184" s="250"/>
      <c r="K184" s="251">
        <f t="shared" si="15"/>
        <v>1</v>
      </c>
      <c r="L184" s="50">
        <f t="shared" si="16"/>
        <v>8021264</v>
      </c>
      <c r="M184" s="50">
        <f t="shared" si="17"/>
        <v>0</v>
      </c>
      <c r="N184" s="50">
        <f t="shared" si="18"/>
        <v>8021264</v>
      </c>
    </row>
    <row r="185" spans="1:14" ht="12.75" customHeight="1" x14ac:dyDescent="0.3">
      <c r="A185" s="24">
        <v>24.03</v>
      </c>
      <c r="B185" s="158" t="s">
        <v>198</v>
      </c>
      <c r="C185" s="26" t="s">
        <v>196</v>
      </c>
      <c r="D185" s="31">
        <v>17</v>
      </c>
      <c r="E185" s="181">
        <v>199910</v>
      </c>
      <c r="F185" s="181">
        <f t="shared" si="14"/>
        <v>3398470</v>
      </c>
      <c r="H185" s="245"/>
      <c r="I185" s="250">
        <v>0.35</v>
      </c>
      <c r="J185" s="250">
        <v>0.05</v>
      </c>
      <c r="K185" s="251">
        <f t="shared" si="15"/>
        <v>0.39999999999999997</v>
      </c>
      <c r="L185" s="50">
        <f t="shared" si="16"/>
        <v>1189464.5</v>
      </c>
      <c r="M185" s="50">
        <f t="shared" si="17"/>
        <v>169923.5</v>
      </c>
      <c r="N185" s="50">
        <f t="shared" si="18"/>
        <v>1359388</v>
      </c>
    </row>
    <row r="186" spans="1:14" ht="12.75" customHeight="1" x14ac:dyDescent="0.3">
      <c r="A186" s="24">
        <v>24.04</v>
      </c>
      <c r="B186" s="158" t="s">
        <v>199</v>
      </c>
      <c r="C186" s="26" t="s">
        <v>29</v>
      </c>
      <c r="D186" s="27">
        <v>1</v>
      </c>
      <c r="E186" s="181">
        <v>6284456</v>
      </c>
      <c r="F186" s="181">
        <f t="shared" si="14"/>
        <v>6284456</v>
      </c>
      <c r="H186" s="245"/>
      <c r="I186" s="250">
        <v>0.45</v>
      </c>
      <c r="J186" s="274">
        <v>0.15</v>
      </c>
      <c r="K186" s="251">
        <f t="shared" si="15"/>
        <v>0.6</v>
      </c>
      <c r="L186" s="50">
        <f t="shared" si="16"/>
        <v>2828005.2</v>
      </c>
      <c r="M186" s="50">
        <f t="shared" si="17"/>
        <v>942668.4</v>
      </c>
      <c r="N186" s="50">
        <f t="shared" si="18"/>
        <v>3770673.6</v>
      </c>
    </row>
    <row r="187" spans="1:14" ht="12.75" customHeight="1" x14ac:dyDescent="0.3">
      <c r="A187" s="24">
        <v>24.05</v>
      </c>
      <c r="B187" s="158" t="s">
        <v>200</v>
      </c>
      <c r="C187" s="159" t="s">
        <v>196</v>
      </c>
      <c r="D187" s="31">
        <v>17</v>
      </c>
      <c r="E187" s="181">
        <v>873895</v>
      </c>
      <c r="F187" s="181">
        <f t="shared" si="14"/>
        <v>14856215</v>
      </c>
      <c r="G187" s="194"/>
      <c r="H187" s="245"/>
      <c r="I187" s="250">
        <v>0.25</v>
      </c>
      <c r="J187" s="250">
        <v>0.05</v>
      </c>
      <c r="K187" s="251">
        <f t="shared" si="15"/>
        <v>0.3</v>
      </c>
      <c r="L187" s="50">
        <f t="shared" si="16"/>
        <v>3714053.75</v>
      </c>
      <c r="M187" s="50">
        <f t="shared" si="17"/>
        <v>742810.75</v>
      </c>
      <c r="N187" s="50">
        <f t="shared" si="18"/>
        <v>4456864.5</v>
      </c>
    </row>
    <row r="188" spans="1:14" ht="12.75" customHeight="1" x14ac:dyDescent="0.3">
      <c r="A188" s="24">
        <v>24.06</v>
      </c>
      <c r="B188" s="158" t="s">
        <v>201</v>
      </c>
      <c r="C188" s="159" t="s">
        <v>196</v>
      </c>
      <c r="D188" s="31">
        <v>17</v>
      </c>
      <c r="E188" s="181">
        <v>577178</v>
      </c>
      <c r="F188" s="181">
        <f t="shared" si="14"/>
        <v>9812026</v>
      </c>
      <c r="G188" s="194"/>
      <c r="H188" s="245"/>
      <c r="I188" s="250">
        <v>0.25</v>
      </c>
      <c r="J188" s="250">
        <v>0.05</v>
      </c>
      <c r="K188" s="251">
        <f t="shared" si="15"/>
        <v>0.3</v>
      </c>
      <c r="L188" s="50">
        <f t="shared" si="16"/>
        <v>2453006.5</v>
      </c>
      <c r="M188" s="50">
        <f t="shared" si="17"/>
        <v>490601.30000000005</v>
      </c>
      <c r="N188" s="50">
        <f t="shared" si="18"/>
        <v>2943607.8</v>
      </c>
    </row>
    <row r="189" spans="1:14" ht="12.75" customHeight="1" x14ac:dyDescent="0.3">
      <c r="A189" s="24">
        <v>24.07</v>
      </c>
      <c r="B189" s="158" t="s">
        <v>202</v>
      </c>
      <c r="C189" s="159" t="s">
        <v>29</v>
      </c>
      <c r="D189" s="27">
        <v>1</v>
      </c>
      <c r="E189" s="181">
        <v>5277814</v>
      </c>
      <c r="F189" s="181">
        <f t="shared" si="14"/>
        <v>5277814</v>
      </c>
      <c r="G189" s="194"/>
      <c r="H189" s="245"/>
      <c r="I189" s="250">
        <v>0</v>
      </c>
      <c r="J189" s="250"/>
      <c r="K189" s="251">
        <f t="shared" si="15"/>
        <v>0</v>
      </c>
      <c r="L189" s="50">
        <f t="shared" si="16"/>
        <v>0</v>
      </c>
      <c r="M189" s="50">
        <f t="shared" si="17"/>
        <v>0</v>
      </c>
      <c r="N189" s="50">
        <f t="shared" si="18"/>
        <v>0</v>
      </c>
    </row>
    <row r="190" spans="1:14" ht="12.75" customHeight="1" x14ac:dyDescent="0.3">
      <c r="A190" s="24">
        <v>24.08</v>
      </c>
      <c r="B190" s="158" t="s">
        <v>203</v>
      </c>
      <c r="C190" s="159" t="s">
        <v>196</v>
      </c>
      <c r="D190" s="31">
        <v>17</v>
      </c>
      <c r="E190" s="181">
        <v>399819</v>
      </c>
      <c r="F190" s="181">
        <f t="shared" si="14"/>
        <v>6796923</v>
      </c>
      <c r="G190" s="194"/>
      <c r="H190" s="245"/>
      <c r="I190" s="250">
        <v>0.3</v>
      </c>
      <c r="J190" s="250">
        <v>0.05</v>
      </c>
      <c r="K190" s="251">
        <f t="shared" si="15"/>
        <v>0.35</v>
      </c>
      <c r="L190" s="50">
        <f t="shared" si="16"/>
        <v>2039076.9</v>
      </c>
      <c r="M190" s="50">
        <f t="shared" si="17"/>
        <v>339846.15</v>
      </c>
      <c r="N190" s="50">
        <f t="shared" si="18"/>
        <v>2378923.0499999998</v>
      </c>
    </row>
    <row r="191" spans="1:14" ht="12.75" customHeight="1" x14ac:dyDescent="0.3">
      <c r="A191" s="24">
        <v>24.09</v>
      </c>
      <c r="B191" s="160" t="s">
        <v>204</v>
      </c>
      <c r="C191" s="161" t="s">
        <v>196</v>
      </c>
      <c r="D191" s="31">
        <v>17</v>
      </c>
      <c r="E191" s="189">
        <v>347657</v>
      </c>
      <c r="F191" s="189">
        <f t="shared" si="14"/>
        <v>5910169</v>
      </c>
      <c r="G191" s="194"/>
      <c r="H191" s="245"/>
      <c r="I191" s="250">
        <v>0.22999999999999998</v>
      </c>
      <c r="J191" s="250">
        <v>0.05</v>
      </c>
      <c r="K191" s="251">
        <f t="shared" si="15"/>
        <v>0.27999999999999997</v>
      </c>
      <c r="L191" s="50">
        <f t="shared" si="16"/>
        <v>1359338.8699999999</v>
      </c>
      <c r="M191" s="50">
        <f t="shared" si="17"/>
        <v>295508.45</v>
      </c>
      <c r="N191" s="50">
        <f t="shared" si="18"/>
        <v>1654847.3199999998</v>
      </c>
    </row>
    <row r="192" spans="1:14" ht="12.75" customHeight="1" x14ac:dyDescent="0.3">
      <c r="A192" s="13">
        <v>25</v>
      </c>
      <c r="B192" s="40" t="s">
        <v>205</v>
      </c>
      <c r="C192" s="18"/>
      <c r="D192" s="19"/>
      <c r="E192" s="19"/>
      <c r="F192" s="19"/>
      <c r="G192" s="192">
        <f>+SUM(F193:F194)</f>
        <v>110386593</v>
      </c>
      <c r="H192" s="245">
        <f t="shared" si="19"/>
        <v>0.13065894998086086</v>
      </c>
      <c r="I192" s="246"/>
      <c r="J192" s="247"/>
      <c r="K192" s="247"/>
      <c r="L192" s="178"/>
      <c r="M192" s="178"/>
      <c r="N192" s="179"/>
    </row>
    <row r="193" spans="1:14" ht="12.75" customHeight="1" x14ac:dyDescent="0.3">
      <c r="A193" s="20">
        <v>25.01</v>
      </c>
      <c r="B193" s="21" t="s">
        <v>206</v>
      </c>
      <c r="C193" s="93" t="s">
        <v>196</v>
      </c>
      <c r="D193" s="94">
        <v>17</v>
      </c>
      <c r="E193" s="184">
        <v>5826965</v>
      </c>
      <c r="F193" s="183">
        <f t="shared" si="14"/>
        <v>99058405</v>
      </c>
      <c r="G193" s="195"/>
      <c r="H193" s="245"/>
      <c r="I193" s="250">
        <v>0.35</v>
      </c>
      <c r="J193" s="250">
        <v>0.05</v>
      </c>
      <c r="K193" s="251">
        <f t="shared" si="15"/>
        <v>0.39999999999999997</v>
      </c>
      <c r="L193" s="50">
        <f t="shared" si="16"/>
        <v>34670441.75</v>
      </c>
      <c r="M193" s="50">
        <f t="shared" si="17"/>
        <v>4952920.25</v>
      </c>
      <c r="N193" s="50">
        <f t="shared" si="18"/>
        <v>39623362</v>
      </c>
    </row>
    <row r="194" spans="1:14" ht="12.75" customHeight="1" x14ac:dyDescent="0.3">
      <c r="A194" s="33">
        <v>25.02</v>
      </c>
      <c r="B194" s="38" t="s">
        <v>207</v>
      </c>
      <c r="C194" s="34" t="s">
        <v>196</v>
      </c>
      <c r="D194" s="35">
        <v>17</v>
      </c>
      <c r="E194" s="184">
        <v>666364</v>
      </c>
      <c r="F194" s="181">
        <f t="shared" si="14"/>
        <v>11328188</v>
      </c>
      <c r="G194" s="196"/>
      <c r="H194" s="245"/>
      <c r="I194" s="255">
        <v>0.35</v>
      </c>
      <c r="J194" s="255">
        <v>0.05</v>
      </c>
      <c r="K194" s="256">
        <f t="shared" si="15"/>
        <v>0.39999999999999997</v>
      </c>
      <c r="L194" s="257">
        <f t="shared" si="16"/>
        <v>3964865.8</v>
      </c>
      <c r="M194" s="257">
        <f t="shared" si="17"/>
        <v>566409.4</v>
      </c>
      <c r="N194" s="257">
        <f t="shared" si="18"/>
        <v>4531275.1999999993</v>
      </c>
    </row>
    <row r="195" spans="1:14" ht="12.75" customHeight="1" x14ac:dyDescent="0.3">
      <c r="A195" s="13"/>
      <c r="B195" s="40" t="s">
        <v>208</v>
      </c>
      <c r="C195" s="18"/>
      <c r="D195" s="19"/>
      <c r="E195" s="19"/>
      <c r="F195" s="197">
        <f>SUM(F9:F194)</f>
        <v>844845248</v>
      </c>
      <c r="G195" s="192">
        <f>SUM(G9:G194)</f>
        <v>844845248</v>
      </c>
      <c r="H195" s="245">
        <f>+SUM(H9:H194)</f>
        <v>0.99999999999999978</v>
      </c>
      <c r="I195" s="258"/>
      <c r="J195" s="259"/>
      <c r="K195" s="259"/>
      <c r="L195" s="260">
        <f>+SUM(L10:L194)</f>
        <v>74094246.439999998</v>
      </c>
      <c r="M195" s="260">
        <f>+SUM(M10:M194)</f>
        <v>12248881.15</v>
      </c>
      <c r="N195" s="261">
        <f>+SUM(N10:N194)</f>
        <v>86343127.589999989</v>
      </c>
    </row>
    <row r="196" spans="1:14" s="41" customFormat="1" ht="13" x14ac:dyDescent="0.3">
      <c r="A196" s="43"/>
      <c r="B196" s="44"/>
      <c r="C196" s="45"/>
      <c r="D196" s="46"/>
      <c r="E196" s="198"/>
      <c r="F196" s="198"/>
      <c r="G196" s="199"/>
      <c r="H196" s="177"/>
      <c r="I196" s="200"/>
      <c r="J196" s="200"/>
      <c r="K196" s="200"/>
      <c r="L196" s="200"/>
      <c r="M196" s="254">
        <f>+M195/G195</f>
        <v>1.4498372546921162E-2</v>
      </c>
      <c r="N196" s="254">
        <f>+N195/G195</f>
        <v>0.10219993282130645</v>
      </c>
    </row>
    <row r="197" spans="1:14" s="41" customFormat="1" ht="13" x14ac:dyDescent="0.3">
      <c r="A197" s="42"/>
      <c r="B197" s="88"/>
      <c r="C197" s="89"/>
      <c r="D197" s="9"/>
      <c r="E197" s="201"/>
      <c r="F197" s="201"/>
      <c r="G197" s="166"/>
      <c r="H197" s="177"/>
      <c r="I197" s="200"/>
      <c r="J197" s="200"/>
      <c r="K197" s="200"/>
      <c r="L197" s="200"/>
      <c r="M197" s="51"/>
      <c r="N197" s="51"/>
    </row>
    <row r="198" spans="1:14" ht="12.75" customHeight="1" x14ac:dyDescent="0.3">
      <c r="A198" s="39"/>
      <c r="B198" s="47"/>
      <c r="D198" s="48"/>
      <c r="E198" s="9"/>
      <c r="F198" s="9"/>
      <c r="G198" s="202"/>
      <c r="I198" s="200"/>
      <c r="J198" s="200"/>
      <c r="K198" s="200"/>
      <c r="L198" s="200"/>
      <c r="M198" s="51"/>
      <c r="N198" s="51"/>
    </row>
    <row r="199" spans="1:14" ht="12.75" customHeight="1" x14ac:dyDescent="0.3">
      <c r="A199" s="52"/>
      <c r="B199" s="53" t="s">
        <v>209</v>
      </c>
      <c r="C199" s="54"/>
      <c r="D199" s="55"/>
      <c r="E199" s="203"/>
      <c r="F199" s="204"/>
      <c r="G199" s="205"/>
      <c r="H199" s="205"/>
      <c r="I199" s="204"/>
      <c r="J199" s="206"/>
      <c r="K199" s="207" t="s">
        <v>210</v>
      </c>
      <c r="L199" s="208">
        <f>+J5</f>
        <v>8</v>
      </c>
      <c r="M199" s="209"/>
      <c r="N199" s="57">
        <f>+N5</f>
        <v>45958</v>
      </c>
    </row>
    <row r="200" spans="1:14" ht="12.75" customHeight="1" x14ac:dyDescent="0.3">
      <c r="A200" s="58"/>
      <c r="B200" s="53" t="s">
        <v>9</v>
      </c>
      <c r="C200" s="56"/>
      <c r="D200" s="59"/>
      <c r="E200" s="211"/>
      <c r="F200" s="205"/>
      <c r="G200" s="205"/>
      <c r="H200" s="205"/>
      <c r="I200" s="205"/>
      <c r="J200" s="209"/>
      <c r="K200" s="205"/>
      <c r="L200" s="205"/>
      <c r="M200" s="209" t="s">
        <v>211</v>
      </c>
      <c r="N200" s="210" t="s">
        <v>212</v>
      </c>
    </row>
    <row r="201" spans="1:14" ht="12.75" customHeight="1" x14ac:dyDescent="0.3">
      <c r="A201" s="275" t="s">
        <v>213</v>
      </c>
      <c r="B201" s="61" t="s">
        <v>214</v>
      </c>
      <c r="C201" s="60"/>
      <c r="D201" s="62"/>
      <c r="E201" s="212"/>
      <c r="F201" s="213"/>
      <c r="G201" s="214"/>
      <c r="H201" s="214"/>
      <c r="I201" s="213"/>
      <c r="J201" s="215"/>
      <c r="K201" s="213"/>
      <c r="L201" s="213"/>
      <c r="M201" s="213"/>
      <c r="N201" s="63">
        <f>+G195</f>
        <v>844845248</v>
      </c>
    </row>
    <row r="202" spans="1:14" ht="12.75" customHeight="1" x14ac:dyDescent="0.3">
      <c r="A202" s="64" t="s">
        <v>215</v>
      </c>
      <c r="B202" s="65" t="s">
        <v>216</v>
      </c>
      <c r="C202" s="66"/>
      <c r="D202" s="67"/>
      <c r="E202" s="216"/>
      <c r="F202" s="217"/>
      <c r="G202" s="218"/>
      <c r="H202" s="218"/>
      <c r="I202" s="217"/>
      <c r="J202" s="219"/>
      <c r="K202" s="217"/>
      <c r="L202" s="217"/>
      <c r="M202" s="236">
        <v>0.1</v>
      </c>
      <c r="N202" s="220">
        <f>+M202*N201</f>
        <v>84484524.800000012</v>
      </c>
    </row>
    <row r="203" spans="1:14" ht="12.75" customHeight="1" x14ac:dyDescent="0.3">
      <c r="A203" s="276" t="s">
        <v>217</v>
      </c>
      <c r="B203" s="69" t="s">
        <v>218</v>
      </c>
      <c r="C203" s="70"/>
      <c r="D203" s="71"/>
      <c r="E203" s="221"/>
      <c r="F203" s="222"/>
      <c r="G203" s="223"/>
      <c r="H203" s="223"/>
      <c r="I203" s="222"/>
      <c r="J203" s="224"/>
      <c r="K203" s="222"/>
      <c r="L203" s="222"/>
      <c r="M203" s="237"/>
      <c r="N203" s="225">
        <f>+M195</f>
        <v>12248881.15</v>
      </c>
    </row>
    <row r="204" spans="1:14" ht="12.75" customHeight="1" x14ac:dyDescent="0.3">
      <c r="A204" s="264" t="s">
        <v>219</v>
      </c>
      <c r="B204" s="265" t="s">
        <v>220</v>
      </c>
      <c r="C204" s="266"/>
      <c r="D204" s="267"/>
      <c r="E204" s="268"/>
      <c r="F204" s="269"/>
      <c r="G204" s="270"/>
      <c r="H204" s="270"/>
      <c r="I204" s="269"/>
      <c r="J204" s="271"/>
      <c r="K204" s="269"/>
      <c r="L204" s="269"/>
      <c r="M204" s="272">
        <f>-M202</f>
        <v>-0.1</v>
      </c>
      <c r="N204" s="273">
        <f>+M204*N203</f>
        <v>-1224888.115</v>
      </c>
    </row>
    <row r="205" spans="1:14" ht="12.75" customHeight="1" x14ac:dyDescent="0.3">
      <c r="A205" s="277" t="s">
        <v>221</v>
      </c>
      <c r="B205" s="278" t="s">
        <v>222</v>
      </c>
      <c r="C205" s="279"/>
      <c r="D205" s="280"/>
      <c r="E205" s="281"/>
      <c r="F205" s="282"/>
      <c r="G205" s="282"/>
      <c r="H205" s="282"/>
      <c r="I205" s="282"/>
      <c r="J205" s="283"/>
      <c r="K205" s="282"/>
      <c r="L205" s="282"/>
      <c r="M205" s="284"/>
      <c r="N205" s="285">
        <f>+N203+N204</f>
        <v>11023993.035</v>
      </c>
    </row>
  </sheetData>
  <mergeCells count="2">
    <mergeCell ref="I7:K7"/>
    <mergeCell ref="L7:N7"/>
  </mergeCells>
  <conditionalFormatting sqref="C3:C197">
    <cfRule type="cellIs" dxfId="41" priority="2" operator="equal">
      <formula>"x"</formula>
    </cfRule>
  </conditionalFormatting>
  <conditionalFormatting sqref="K10:K23 K25:K31 K33 K35:K40 K42:K49 K51:K53 K55:K58 K60:K70 K72:K74 K76:K79 K81:K87 K89:K100 K102 K104:K107 K109:K141 K144:K146 K148:K150 K152:K156 K158 K160:K161 K163 K165:K168 K170:K171 K173 K175:K176 K178:K181 K183:K191 K193:K194">
    <cfRule type="cellIs" dxfId="40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DFBAB4-85DE-4021-9CCD-071F5A328250}">
  <dimension ref="A1:S205"/>
  <sheetViews>
    <sheetView zoomScaleNormal="100" workbookViewId="0">
      <selection activeCell="A111" sqref="A111:N111"/>
    </sheetView>
  </sheetViews>
  <sheetFormatPr defaultColWidth="11.54296875" defaultRowHeight="12.75" customHeight="1" x14ac:dyDescent="0.3"/>
  <cols>
    <col min="1" max="1" width="7" style="1" bestFit="1" customWidth="1"/>
    <col min="2" max="2" width="56.36328125" style="2" customWidth="1"/>
    <col min="3" max="3" width="4.08984375" style="3" bestFit="1" customWidth="1"/>
    <col min="4" max="4" width="7" style="4" bestFit="1" customWidth="1"/>
    <col min="5" max="5" width="14.36328125" style="86" bestFit="1" customWidth="1"/>
    <col min="6" max="6" width="15.6328125" style="86" bestFit="1" customWidth="1"/>
    <col min="7" max="7" width="14.6328125" style="87" bestFit="1" customWidth="1"/>
    <col min="8" max="8" width="8.54296875" style="92" bestFit="1" customWidth="1"/>
    <col min="9" max="9" width="14" style="92" bestFit="1" customWidth="1"/>
    <col min="10" max="10" width="12.08984375" style="92" customWidth="1"/>
    <col min="11" max="13" width="11.36328125" style="92" bestFit="1" customWidth="1"/>
    <col min="14" max="14" width="13.6328125" style="92" bestFit="1" customWidth="1"/>
    <col min="15" max="15" width="12.08984375" style="5" customWidth="1"/>
    <col min="16" max="16384" width="11.54296875" style="5"/>
  </cols>
  <sheetData>
    <row r="1" spans="1:18" ht="12.75" customHeight="1" x14ac:dyDescent="0.3">
      <c r="F1" s="162" t="s">
        <v>0</v>
      </c>
      <c r="G1" s="162" t="s">
        <v>1</v>
      </c>
    </row>
    <row r="2" spans="1:18" ht="13" x14ac:dyDescent="0.3">
      <c r="F2" s="163">
        <v>1066.5</v>
      </c>
      <c r="G2" s="163">
        <v>1170</v>
      </c>
    </row>
    <row r="3" spans="1:18" s="10" customFormat="1" ht="13" x14ac:dyDescent="0.25">
      <c r="A3" s="6"/>
      <c r="B3" s="7"/>
      <c r="C3" s="8"/>
      <c r="D3" s="9"/>
      <c r="E3" s="9"/>
      <c r="F3" s="9"/>
      <c r="G3" s="164"/>
      <c r="H3" s="165"/>
      <c r="I3" s="165"/>
      <c r="J3" s="165"/>
      <c r="K3" s="165"/>
      <c r="L3" s="165"/>
      <c r="M3" s="165"/>
      <c r="N3" s="165"/>
    </row>
    <row r="4" spans="1:18" s="10" customFormat="1" ht="13" x14ac:dyDescent="0.25">
      <c r="A4" s="6"/>
      <c r="B4" s="7"/>
      <c r="C4" s="8"/>
      <c r="D4" s="9"/>
      <c r="E4" s="9"/>
      <c r="F4" s="286">
        <v>45667</v>
      </c>
      <c r="G4" s="164"/>
      <c r="H4" s="165"/>
      <c r="I4" s="165"/>
      <c r="J4" s="165"/>
      <c r="K4" s="165"/>
      <c r="L4" s="165"/>
      <c r="M4" s="165"/>
      <c r="N4" s="165"/>
    </row>
    <row r="5" spans="1:18" s="10" customFormat="1" ht="13" x14ac:dyDescent="0.3">
      <c r="A5" s="6"/>
      <c r="B5" s="90" t="s">
        <v>2</v>
      </c>
      <c r="C5" s="8"/>
      <c r="D5" s="9"/>
      <c r="E5" s="167"/>
      <c r="F5" s="167"/>
      <c r="G5" s="164"/>
      <c r="H5" s="165"/>
      <c r="I5" s="168" t="s">
        <v>3</v>
      </c>
      <c r="J5" s="169">
        <v>9</v>
      </c>
      <c r="K5" s="170"/>
      <c r="L5" s="170"/>
      <c r="M5" s="171"/>
      <c r="N5" s="49">
        <v>45988</v>
      </c>
    </row>
    <row r="6" spans="1:18" s="10" customFormat="1" ht="13" x14ac:dyDescent="0.25">
      <c r="A6" s="6"/>
      <c r="B6" s="90" t="s">
        <v>4</v>
      </c>
      <c r="C6" s="8"/>
      <c r="D6" s="9"/>
      <c r="E6" s="172"/>
      <c r="F6" s="172"/>
      <c r="G6" s="164"/>
      <c r="H6" s="165"/>
      <c r="I6" s="165"/>
      <c r="J6" s="165"/>
      <c r="K6" s="165"/>
      <c r="L6" s="165"/>
      <c r="M6" s="165"/>
      <c r="N6" s="165"/>
    </row>
    <row r="7" spans="1:18" s="10" customFormat="1" ht="13" x14ac:dyDescent="0.25">
      <c r="A7" s="6"/>
      <c r="B7" s="91" t="s">
        <v>5</v>
      </c>
      <c r="C7" s="11"/>
      <c r="D7" s="12"/>
      <c r="E7" s="173"/>
      <c r="F7" s="172"/>
      <c r="G7" s="164"/>
      <c r="H7" s="165"/>
      <c r="I7" s="330" t="s">
        <v>6</v>
      </c>
      <c r="J7" s="330"/>
      <c r="K7" s="330"/>
      <c r="L7" s="330" t="s">
        <v>7</v>
      </c>
      <c r="M7" s="330"/>
      <c r="N7" s="330"/>
    </row>
    <row r="8" spans="1:18" ht="13" x14ac:dyDescent="0.3">
      <c r="A8" s="13" t="s">
        <v>8</v>
      </c>
      <c r="B8" s="14" t="s">
        <v>9</v>
      </c>
      <c r="C8" s="15" t="s">
        <v>10</v>
      </c>
      <c r="D8" s="16" t="s">
        <v>11</v>
      </c>
      <c r="E8" s="175" t="s">
        <v>12</v>
      </c>
      <c r="F8" s="175" t="s">
        <v>13</v>
      </c>
      <c r="I8" s="174" t="s">
        <v>14</v>
      </c>
      <c r="J8" s="174" t="s">
        <v>15</v>
      </c>
      <c r="K8" s="174" t="s">
        <v>16</v>
      </c>
      <c r="L8" s="174" t="s">
        <v>14</v>
      </c>
      <c r="M8" s="174" t="s">
        <v>15</v>
      </c>
      <c r="N8" s="174" t="s">
        <v>16</v>
      </c>
    </row>
    <row r="9" spans="1:18" ht="12.75" customHeight="1" x14ac:dyDescent="0.3">
      <c r="A9" s="13">
        <v>4</v>
      </c>
      <c r="B9" s="17" t="s">
        <v>17</v>
      </c>
      <c r="C9" s="18"/>
      <c r="D9" s="19"/>
      <c r="E9" s="19"/>
      <c r="F9" s="19"/>
      <c r="G9" s="176">
        <f>+SUM(F10:F23)</f>
        <v>51045774</v>
      </c>
      <c r="H9" s="245">
        <f>+G9/$G$195</f>
        <v>6.0420265274428106E-2</v>
      </c>
      <c r="I9" s="246"/>
      <c r="J9" s="247"/>
      <c r="K9" s="247"/>
      <c r="L9" s="178"/>
      <c r="M9" s="178"/>
      <c r="N9" s="179"/>
    </row>
    <row r="10" spans="1:18" ht="12.75" customHeight="1" x14ac:dyDescent="0.3">
      <c r="A10" s="20">
        <v>4.01</v>
      </c>
      <c r="B10" s="21" t="s">
        <v>18</v>
      </c>
      <c r="C10" s="93" t="s">
        <v>19</v>
      </c>
      <c r="D10" s="94">
        <v>621</v>
      </c>
      <c r="E10" s="180">
        <v>22140</v>
      </c>
      <c r="F10" s="181">
        <f t="shared" ref="F10:F73" si="0">+E10*D10</f>
        <v>13748940</v>
      </c>
      <c r="G10" s="182"/>
      <c r="H10" s="245"/>
      <c r="I10" s="248">
        <v>0</v>
      </c>
      <c r="J10" s="248">
        <v>0.15</v>
      </c>
      <c r="K10" s="249">
        <f t="shared" ref="K10:K73" si="1">+I10+J10</f>
        <v>0.15</v>
      </c>
      <c r="L10" s="50">
        <f t="shared" ref="L10:L73" si="2">+F10*I10</f>
        <v>0</v>
      </c>
      <c r="M10" s="50">
        <f t="shared" ref="M10:M73" si="3">+F10*J10</f>
        <v>2062341</v>
      </c>
      <c r="N10" s="50">
        <f t="shared" ref="N10:N73" si="4">+F10*K10</f>
        <v>2062341</v>
      </c>
      <c r="R10" s="245"/>
    </row>
    <row r="11" spans="1:18" ht="12.75" customHeight="1" x14ac:dyDescent="0.3">
      <c r="A11" s="24">
        <v>4.0199999999999996</v>
      </c>
      <c r="B11" s="95" t="s">
        <v>20</v>
      </c>
      <c r="C11" s="30" t="s">
        <v>19</v>
      </c>
      <c r="D11" s="31">
        <v>780</v>
      </c>
      <c r="E11" s="183">
        <v>24437</v>
      </c>
      <c r="F11" s="181">
        <f t="shared" si="0"/>
        <v>19060860</v>
      </c>
      <c r="G11" s="182"/>
      <c r="H11" s="245"/>
      <c r="I11" s="250">
        <v>0</v>
      </c>
      <c r="J11" s="250">
        <v>0.25</v>
      </c>
      <c r="K11" s="251">
        <f t="shared" si="1"/>
        <v>0.25</v>
      </c>
      <c r="L11" s="50">
        <f t="shared" si="2"/>
        <v>0</v>
      </c>
      <c r="M11" s="50">
        <f t="shared" si="3"/>
        <v>4765215</v>
      </c>
      <c r="N11" s="50">
        <f t="shared" si="4"/>
        <v>4765215</v>
      </c>
      <c r="R11" s="245"/>
    </row>
    <row r="12" spans="1:18" ht="12.75" customHeight="1" x14ac:dyDescent="0.3">
      <c r="A12" s="24">
        <v>4.03</v>
      </c>
      <c r="B12" s="25" t="s">
        <v>21</v>
      </c>
      <c r="C12" s="30" t="s">
        <v>19</v>
      </c>
      <c r="D12" s="31">
        <v>56</v>
      </c>
      <c r="E12" s="183">
        <v>23248</v>
      </c>
      <c r="F12" s="181">
        <f t="shared" si="0"/>
        <v>1301888</v>
      </c>
      <c r="G12" s="182"/>
      <c r="H12" s="245"/>
      <c r="I12" s="250">
        <v>0</v>
      </c>
      <c r="J12" s="250"/>
      <c r="K12" s="251">
        <f t="shared" si="1"/>
        <v>0</v>
      </c>
      <c r="L12" s="50">
        <f t="shared" si="2"/>
        <v>0</v>
      </c>
      <c r="M12" s="50">
        <f t="shared" si="3"/>
        <v>0</v>
      </c>
      <c r="N12" s="50">
        <f t="shared" si="4"/>
        <v>0</v>
      </c>
    </row>
    <row r="13" spans="1:18" ht="12.75" customHeight="1" x14ac:dyDescent="0.3">
      <c r="A13" s="24">
        <v>4.04</v>
      </c>
      <c r="B13" s="25" t="s">
        <v>22</v>
      </c>
      <c r="C13" s="30" t="s">
        <v>19</v>
      </c>
      <c r="D13" s="31">
        <v>42</v>
      </c>
      <c r="E13" s="183">
        <v>28746</v>
      </c>
      <c r="F13" s="181">
        <f t="shared" si="0"/>
        <v>1207332</v>
      </c>
      <c r="G13" s="182"/>
      <c r="H13" s="245"/>
      <c r="I13" s="250">
        <v>0</v>
      </c>
      <c r="J13" s="250"/>
      <c r="K13" s="251">
        <f t="shared" si="1"/>
        <v>0</v>
      </c>
      <c r="L13" s="50">
        <f t="shared" si="2"/>
        <v>0</v>
      </c>
      <c r="M13" s="50">
        <f t="shared" si="3"/>
        <v>0</v>
      </c>
      <c r="N13" s="50">
        <f t="shared" si="4"/>
        <v>0</v>
      </c>
    </row>
    <row r="14" spans="1:18" ht="12.75" customHeight="1" x14ac:dyDescent="0.3">
      <c r="A14" s="24">
        <v>4.05</v>
      </c>
      <c r="B14" s="25" t="s">
        <v>23</v>
      </c>
      <c r="C14" s="30" t="s">
        <v>19</v>
      </c>
      <c r="D14" s="31">
        <v>70</v>
      </c>
      <c r="E14" s="183">
        <v>36933</v>
      </c>
      <c r="F14" s="181">
        <f t="shared" si="0"/>
        <v>2585310</v>
      </c>
      <c r="G14" s="182"/>
      <c r="H14" s="245"/>
      <c r="I14" s="250">
        <v>0</v>
      </c>
      <c r="J14" s="250"/>
      <c r="K14" s="251">
        <f t="shared" si="1"/>
        <v>0</v>
      </c>
      <c r="L14" s="50">
        <f t="shared" si="2"/>
        <v>0</v>
      </c>
      <c r="M14" s="50">
        <f t="shared" si="3"/>
        <v>0</v>
      </c>
      <c r="N14" s="50">
        <f t="shared" si="4"/>
        <v>0</v>
      </c>
    </row>
    <row r="15" spans="1:18" ht="12.75" customHeight="1" x14ac:dyDescent="0.3">
      <c r="A15" s="24">
        <v>4.0599999999999996</v>
      </c>
      <c r="B15" s="25" t="s">
        <v>24</v>
      </c>
      <c r="C15" s="30" t="s">
        <v>19</v>
      </c>
      <c r="D15" s="31">
        <v>5</v>
      </c>
      <c r="E15" s="183">
        <v>28672</v>
      </c>
      <c r="F15" s="181">
        <f t="shared" si="0"/>
        <v>143360</v>
      </c>
      <c r="G15" s="182"/>
      <c r="H15" s="245"/>
      <c r="I15" s="250">
        <v>0</v>
      </c>
      <c r="J15" s="250"/>
      <c r="K15" s="251">
        <f t="shared" si="1"/>
        <v>0</v>
      </c>
      <c r="L15" s="50">
        <f t="shared" si="2"/>
        <v>0</v>
      </c>
      <c r="M15" s="50">
        <f t="shared" si="3"/>
        <v>0</v>
      </c>
      <c r="N15" s="50">
        <f t="shared" si="4"/>
        <v>0</v>
      </c>
    </row>
    <row r="16" spans="1:18" ht="12.75" customHeight="1" x14ac:dyDescent="0.3">
      <c r="A16" s="24">
        <v>4.07</v>
      </c>
      <c r="B16" s="25" t="s">
        <v>25</v>
      </c>
      <c r="C16" s="30" t="s">
        <v>19</v>
      </c>
      <c r="D16" s="37">
        <v>193</v>
      </c>
      <c r="E16" s="183">
        <v>18611</v>
      </c>
      <c r="F16" s="181">
        <f t="shared" si="0"/>
        <v>3591923</v>
      </c>
      <c r="G16" s="182"/>
      <c r="H16" s="245"/>
      <c r="I16" s="250">
        <v>0</v>
      </c>
      <c r="J16" s="250"/>
      <c r="K16" s="251">
        <f t="shared" si="1"/>
        <v>0</v>
      </c>
      <c r="L16" s="50">
        <f t="shared" si="2"/>
        <v>0</v>
      </c>
      <c r="M16" s="50">
        <f t="shared" si="3"/>
        <v>0</v>
      </c>
      <c r="N16" s="50">
        <f t="shared" si="4"/>
        <v>0</v>
      </c>
    </row>
    <row r="17" spans="1:14" ht="12.75" customHeight="1" x14ac:dyDescent="0.3">
      <c r="A17" s="24">
        <v>4.08</v>
      </c>
      <c r="B17" s="25" t="s">
        <v>26</v>
      </c>
      <c r="C17" s="30" t="s">
        <v>27</v>
      </c>
      <c r="D17" s="37">
        <v>61</v>
      </c>
      <c r="E17" s="183">
        <v>28578</v>
      </c>
      <c r="F17" s="181">
        <f t="shared" si="0"/>
        <v>1743258</v>
      </c>
      <c r="G17" s="182"/>
      <c r="H17" s="245"/>
      <c r="I17" s="250">
        <v>0</v>
      </c>
      <c r="J17" s="250"/>
      <c r="K17" s="251">
        <f t="shared" si="1"/>
        <v>0</v>
      </c>
      <c r="L17" s="50">
        <f t="shared" si="2"/>
        <v>0</v>
      </c>
      <c r="M17" s="50">
        <f t="shared" si="3"/>
        <v>0</v>
      </c>
      <c r="N17" s="50">
        <f t="shared" si="4"/>
        <v>0</v>
      </c>
    </row>
    <row r="18" spans="1:14" ht="12.75" customHeight="1" x14ac:dyDescent="0.3">
      <c r="A18" s="24">
        <v>4.09</v>
      </c>
      <c r="B18" s="25" t="s">
        <v>28</v>
      </c>
      <c r="C18" s="30" t="s">
        <v>29</v>
      </c>
      <c r="D18" s="37">
        <v>1</v>
      </c>
      <c r="E18" s="183">
        <v>280823</v>
      </c>
      <c r="F18" s="181">
        <f t="shared" si="0"/>
        <v>280823</v>
      </c>
      <c r="G18" s="182"/>
      <c r="H18" s="245"/>
      <c r="I18" s="250">
        <v>0</v>
      </c>
      <c r="J18" s="250"/>
      <c r="K18" s="251">
        <f t="shared" si="1"/>
        <v>0</v>
      </c>
      <c r="L18" s="50">
        <f t="shared" si="2"/>
        <v>0</v>
      </c>
      <c r="M18" s="50">
        <f t="shared" si="3"/>
        <v>0</v>
      </c>
      <c r="N18" s="50">
        <f t="shared" si="4"/>
        <v>0</v>
      </c>
    </row>
    <row r="19" spans="1:14" ht="12.75" customHeight="1" x14ac:dyDescent="0.3">
      <c r="A19" s="24">
        <v>4.0999999999999996</v>
      </c>
      <c r="B19" s="25" t="s">
        <v>30</v>
      </c>
      <c r="C19" s="30" t="s">
        <v>29</v>
      </c>
      <c r="D19" s="37">
        <v>1</v>
      </c>
      <c r="E19" s="183">
        <v>801214</v>
      </c>
      <c r="F19" s="181">
        <f t="shared" si="0"/>
        <v>801214</v>
      </c>
      <c r="G19" s="182"/>
      <c r="H19" s="245"/>
      <c r="I19" s="250">
        <v>0</v>
      </c>
      <c r="J19" s="250"/>
      <c r="K19" s="251">
        <f t="shared" si="1"/>
        <v>0</v>
      </c>
      <c r="L19" s="50">
        <f t="shared" si="2"/>
        <v>0</v>
      </c>
      <c r="M19" s="50">
        <f t="shared" si="3"/>
        <v>0</v>
      </c>
      <c r="N19" s="50">
        <f t="shared" si="4"/>
        <v>0</v>
      </c>
    </row>
    <row r="20" spans="1:14" ht="12.75" customHeight="1" x14ac:dyDescent="0.3">
      <c r="A20" s="24">
        <v>4.1100000000000003</v>
      </c>
      <c r="B20" s="25" t="s">
        <v>31</v>
      </c>
      <c r="C20" s="30" t="s">
        <v>29</v>
      </c>
      <c r="D20" s="37">
        <v>1</v>
      </c>
      <c r="E20" s="183">
        <v>525234</v>
      </c>
      <c r="F20" s="181">
        <f t="shared" si="0"/>
        <v>525234</v>
      </c>
      <c r="G20" s="182"/>
      <c r="H20" s="245"/>
      <c r="I20" s="250">
        <v>0</v>
      </c>
      <c r="J20" s="250"/>
      <c r="K20" s="251">
        <f t="shared" si="1"/>
        <v>0</v>
      </c>
      <c r="L20" s="50">
        <f t="shared" si="2"/>
        <v>0</v>
      </c>
      <c r="M20" s="50">
        <f t="shared" si="3"/>
        <v>0</v>
      </c>
      <c r="N20" s="50">
        <f t="shared" si="4"/>
        <v>0</v>
      </c>
    </row>
    <row r="21" spans="1:14" ht="12.75" customHeight="1" x14ac:dyDescent="0.3">
      <c r="A21" s="24">
        <v>4.12</v>
      </c>
      <c r="B21" s="25" t="s">
        <v>32</v>
      </c>
      <c r="C21" s="30" t="s">
        <v>33</v>
      </c>
      <c r="D21" s="37">
        <v>3</v>
      </c>
      <c r="E21" s="183">
        <v>237784</v>
      </c>
      <c r="F21" s="181">
        <f t="shared" si="0"/>
        <v>713352</v>
      </c>
      <c r="G21" s="182"/>
      <c r="H21" s="245"/>
      <c r="I21" s="250">
        <v>0</v>
      </c>
      <c r="J21" s="250"/>
      <c r="K21" s="251">
        <f t="shared" si="1"/>
        <v>0</v>
      </c>
      <c r="L21" s="50">
        <f t="shared" si="2"/>
        <v>0</v>
      </c>
      <c r="M21" s="50">
        <f t="shared" si="3"/>
        <v>0</v>
      </c>
      <c r="N21" s="50">
        <f t="shared" si="4"/>
        <v>0</v>
      </c>
    </row>
    <row r="22" spans="1:14" ht="12.75" customHeight="1" x14ac:dyDescent="0.3">
      <c r="A22" s="24">
        <v>4.13</v>
      </c>
      <c r="B22" s="25" t="s">
        <v>34</v>
      </c>
      <c r="C22" s="30" t="s">
        <v>27</v>
      </c>
      <c r="D22" s="37">
        <v>40</v>
      </c>
      <c r="E22" s="183">
        <v>98026</v>
      </c>
      <c r="F22" s="181">
        <f t="shared" si="0"/>
        <v>3921040</v>
      </c>
      <c r="G22" s="182"/>
      <c r="H22" s="245"/>
      <c r="I22" s="250">
        <v>0</v>
      </c>
      <c r="J22" s="250"/>
      <c r="K22" s="251">
        <f t="shared" si="1"/>
        <v>0</v>
      </c>
      <c r="L22" s="50">
        <f t="shared" si="2"/>
        <v>0</v>
      </c>
      <c r="M22" s="50">
        <f t="shared" si="3"/>
        <v>0</v>
      </c>
      <c r="N22" s="50">
        <f t="shared" si="4"/>
        <v>0</v>
      </c>
    </row>
    <row r="23" spans="1:14" ht="12.75" customHeight="1" x14ac:dyDescent="0.3">
      <c r="A23" s="24">
        <v>4.1399999999999997</v>
      </c>
      <c r="B23" s="38" t="s">
        <v>35</v>
      </c>
      <c r="C23" s="34" t="s">
        <v>33</v>
      </c>
      <c r="D23" s="96">
        <v>8</v>
      </c>
      <c r="E23" s="183">
        <v>177655</v>
      </c>
      <c r="F23" s="181">
        <f t="shared" si="0"/>
        <v>1421240</v>
      </c>
      <c r="G23" s="182"/>
      <c r="H23" s="245"/>
      <c r="I23" s="250">
        <v>0</v>
      </c>
      <c r="J23" s="250"/>
      <c r="K23" s="251">
        <f t="shared" si="1"/>
        <v>0</v>
      </c>
      <c r="L23" s="50">
        <f t="shared" si="2"/>
        <v>0</v>
      </c>
      <c r="M23" s="50">
        <f t="shared" si="3"/>
        <v>0</v>
      </c>
      <c r="N23" s="50">
        <f t="shared" si="4"/>
        <v>0</v>
      </c>
    </row>
    <row r="24" spans="1:14" ht="12.75" customHeight="1" x14ac:dyDescent="0.3">
      <c r="A24" s="13">
        <v>5</v>
      </c>
      <c r="B24" s="40" t="s">
        <v>36</v>
      </c>
      <c r="C24" s="18"/>
      <c r="D24" s="19"/>
      <c r="E24" s="19"/>
      <c r="F24" s="19"/>
      <c r="G24" s="176">
        <f>+SUM(F25:F31)</f>
        <v>19239698</v>
      </c>
      <c r="H24" s="245">
        <f>+G24/$G$195</f>
        <v>2.2773043993022494E-2</v>
      </c>
      <c r="I24" s="246"/>
      <c r="J24" s="247"/>
      <c r="K24" s="247"/>
      <c r="L24" s="178"/>
      <c r="M24" s="178"/>
      <c r="N24" s="179"/>
    </row>
    <row r="25" spans="1:14" ht="12.75" customHeight="1" x14ac:dyDescent="0.3">
      <c r="A25" s="20">
        <v>5.01</v>
      </c>
      <c r="B25" s="21" t="s">
        <v>37</v>
      </c>
      <c r="C25" s="93" t="s">
        <v>27</v>
      </c>
      <c r="D25" s="97">
        <v>136</v>
      </c>
      <c r="E25" s="183">
        <v>6496</v>
      </c>
      <c r="F25" s="181">
        <f t="shared" si="0"/>
        <v>883456</v>
      </c>
      <c r="G25" s="182"/>
      <c r="H25" s="245"/>
      <c r="I25" s="250">
        <v>0</v>
      </c>
      <c r="J25" s="250"/>
      <c r="K25" s="251">
        <f t="shared" si="1"/>
        <v>0</v>
      </c>
      <c r="L25" s="50">
        <f t="shared" si="2"/>
        <v>0</v>
      </c>
      <c r="M25" s="50">
        <f t="shared" si="3"/>
        <v>0</v>
      </c>
      <c r="N25" s="50">
        <f t="shared" si="4"/>
        <v>0</v>
      </c>
    </row>
    <row r="26" spans="1:14" ht="12.75" customHeight="1" x14ac:dyDescent="0.3">
      <c r="A26" s="24">
        <v>5.0199999999999996</v>
      </c>
      <c r="B26" s="98" t="s">
        <v>38</v>
      </c>
      <c r="C26" s="30" t="s">
        <v>19</v>
      </c>
      <c r="D26" s="31">
        <v>77</v>
      </c>
      <c r="E26" s="184">
        <v>33270</v>
      </c>
      <c r="F26" s="183">
        <f t="shared" si="0"/>
        <v>2561790</v>
      </c>
      <c r="G26" s="182"/>
      <c r="H26" s="245"/>
      <c r="I26" s="250">
        <v>0</v>
      </c>
      <c r="J26" s="250"/>
      <c r="K26" s="251">
        <f t="shared" si="1"/>
        <v>0</v>
      </c>
      <c r="L26" s="50">
        <f t="shared" si="2"/>
        <v>0</v>
      </c>
      <c r="M26" s="50">
        <f t="shared" si="3"/>
        <v>0</v>
      </c>
      <c r="N26" s="50">
        <f t="shared" si="4"/>
        <v>0</v>
      </c>
    </row>
    <row r="27" spans="1:14" ht="12.75" customHeight="1" x14ac:dyDescent="0.3">
      <c r="A27" s="24">
        <v>5.03</v>
      </c>
      <c r="B27" s="25" t="s">
        <v>39</v>
      </c>
      <c r="C27" s="30" t="s">
        <v>19</v>
      </c>
      <c r="D27" s="31">
        <v>107</v>
      </c>
      <c r="E27" s="184">
        <v>6496</v>
      </c>
      <c r="F27" s="181">
        <f t="shared" si="0"/>
        <v>695072</v>
      </c>
      <c r="G27" s="182"/>
      <c r="H27" s="245"/>
      <c r="I27" s="250">
        <v>0</v>
      </c>
      <c r="J27" s="250"/>
      <c r="K27" s="251">
        <f t="shared" si="1"/>
        <v>0</v>
      </c>
      <c r="L27" s="50">
        <f t="shared" si="2"/>
        <v>0</v>
      </c>
      <c r="M27" s="50">
        <f t="shared" si="3"/>
        <v>0</v>
      </c>
      <c r="N27" s="50">
        <f t="shared" si="4"/>
        <v>0</v>
      </c>
    </row>
    <row r="28" spans="1:14" ht="12.75" customHeight="1" x14ac:dyDescent="0.3">
      <c r="A28" s="24">
        <v>5.04</v>
      </c>
      <c r="B28" s="25" t="s">
        <v>40</v>
      </c>
      <c r="C28" s="30" t="s">
        <v>19</v>
      </c>
      <c r="D28" s="31">
        <v>186</v>
      </c>
      <c r="E28" s="184">
        <v>4832</v>
      </c>
      <c r="F28" s="181">
        <f t="shared" si="0"/>
        <v>898752</v>
      </c>
      <c r="G28" s="182"/>
      <c r="H28" s="245"/>
      <c r="I28" s="250">
        <v>0</v>
      </c>
      <c r="J28" s="250"/>
      <c r="K28" s="251">
        <f t="shared" si="1"/>
        <v>0</v>
      </c>
      <c r="L28" s="50">
        <f t="shared" si="2"/>
        <v>0</v>
      </c>
      <c r="M28" s="50">
        <f t="shared" si="3"/>
        <v>0</v>
      </c>
      <c r="N28" s="50">
        <f t="shared" si="4"/>
        <v>0</v>
      </c>
    </row>
    <row r="29" spans="1:14" ht="12.75" customHeight="1" x14ac:dyDescent="0.3">
      <c r="A29" s="24">
        <v>5.05</v>
      </c>
      <c r="B29" s="25" t="s">
        <v>41</v>
      </c>
      <c r="C29" s="30" t="s">
        <v>19</v>
      </c>
      <c r="D29" s="31">
        <v>186</v>
      </c>
      <c r="E29" s="184">
        <v>4134</v>
      </c>
      <c r="F29" s="181">
        <f t="shared" si="0"/>
        <v>768924</v>
      </c>
      <c r="G29" s="182"/>
      <c r="H29" s="245"/>
      <c r="I29" s="250">
        <v>0</v>
      </c>
      <c r="J29" s="250"/>
      <c r="K29" s="251">
        <f t="shared" si="1"/>
        <v>0</v>
      </c>
      <c r="L29" s="50">
        <f t="shared" si="2"/>
        <v>0</v>
      </c>
      <c r="M29" s="50">
        <f t="shared" si="3"/>
        <v>0</v>
      </c>
      <c r="N29" s="50">
        <f t="shared" si="4"/>
        <v>0</v>
      </c>
    </row>
    <row r="30" spans="1:14" ht="12.75" customHeight="1" x14ac:dyDescent="0.3">
      <c r="A30" s="24">
        <v>5.0599999999999996</v>
      </c>
      <c r="B30" s="25" t="s">
        <v>42</v>
      </c>
      <c r="C30" s="99" t="s">
        <v>19</v>
      </c>
      <c r="D30" s="31">
        <v>390</v>
      </c>
      <c r="E30" s="184">
        <v>28187</v>
      </c>
      <c r="F30" s="181">
        <f t="shared" si="0"/>
        <v>10992930</v>
      </c>
      <c r="G30" s="185"/>
      <c r="H30" s="245"/>
      <c r="I30" s="250">
        <v>0</v>
      </c>
      <c r="J30" s="250"/>
      <c r="K30" s="251">
        <f t="shared" si="1"/>
        <v>0</v>
      </c>
      <c r="L30" s="50">
        <f t="shared" si="2"/>
        <v>0</v>
      </c>
      <c r="M30" s="50">
        <f t="shared" si="3"/>
        <v>0</v>
      </c>
      <c r="N30" s="50">
        <f t="shared" si="4"/>
        <v>0</v>
      </c>
    </row>
    <row r="31" spans="1:14" ht="12.75" customHeight="1" x14ac:dyDescent="0.3">
      <c r="A31" s="24">
        <v>5.07</v>
      </c>
      <c r="B31" s="25" t="s">
        <v>43</v>
      </c>
      <c r="C31" s="99" t="s">
        <v>29</v>
      </c>
      <c r="D31" s="31">
        <v>1</v>
      </c>
      <c r="E31" s="184">
        <v>2438774</v>
      </c>
      <c r="F31" s="181">
        <f t="shared" si="0"/>
        <v>2438774</v>
      </c>
      <c r="G31" s="186"/>
      <c r="H31" s="245"/>
      <c r="I31" s="250">
        <v>0</v>
      </c>
      <c r="J31" s="250"/>
      <c r="K31" s="251">
        <f t="shared" si="1"/>
        <v>0</v>
      </c>
      <c r="L31" s="50">
        <f t="shared" si="2"/>
        <v>0</v>
      </c>
      <c r="M31" s="50">
        <f t="shared" si="3"/>
        <v>0</v>
      </c>
      <c r="N31" s="50">
        <f t="shared" si="4"/>
        <v>0</v>
      </c>
    </row>
    <row r="32" spans="1:14" ht="12.75" customHeight="1" x14ac:dyDescent="0.3">
      <c r="A32" s="13">
        <v>6</v>
      </c>
      <c r="B32" s="17" t="s">
        <v>44</v>
      </c>
      <c r="C32" s="18"/>
      <c r="D32" s="19"/>
      <c r="E32" s="19"/>
      <c r="F32" s="19"/>
      <c r="G32" s="176">
        <f>+SUM(F33)</f>
        <v>1722875</v>
      </c>
      <c r="H32" s="245">
        <f>+G32/$G$195</f>
        <v>2.0392787958251023E-3</v>
      </c>
      <c r="I32" s="246"/>
      <c r="J32" s="247"/>
      <c r="K32" s="247"/>
      <c r="L32" s="178"/>
      <c r="M32" s="178"/>
      <c r="N32" s="179"/>
    </row>
    <row r="33" spans="1:14" ht="12.75" customHeight="1" x14ac:dyDescent="0.3">
      <c r="A33" s="100">
        <v>6.02</v>
      </c>
      <c r="B33" s="38" t="s">
        <v>45</v>
      </c>
      <c r="C33" s="101" t="s">
        <v>27</v>
      </c>
      <c r="D33" s="102">
        <v>55</v>
      </c>
      <c r="E33" s="181">
        <v>31325</v>
      </c>
      <c r="F33" s="181">
        <f t="shared" si="0"/>
        <v>1722875</v>
      </c>
      <c r="G33" s="185"/>
      <c r="H33" s="245"/>
      <c r="I33" s="250">
        <v>0</v>
      </c>
      <c r="J33" s="250"/>
      <c r="K33" s="251">
        <f t="shared" si="1"/>
        <v>0</v>
      </c>
      <c r="L33" s="50">
        <f t="shared" si="2"/>
        <v>0</v>
      </c>
      <c r="M33" s="50">
        <f t="shared" si="3"/>
        <v>0</v>
      </c>
      <c r="N33" s="50">
        <f t="shared" si="4"/>
        <v>0</v>
      </c>
    </row>
    <row r="34" spans="1:14" ht="12.75" customHeight="1" x14ac:dyDescent="0.3">
      <c r="A34" s="13">
        <v>7</v>
      </c>
      <c r="B34" s="40" t="s">
        <v>46</v>
      </c>
      <c r="C34" s="18"/>
      <c r="D34" s="19"/>
      <c r="E34" s="19"/>
      <c r="F34" s="19"/>
      <c r="G34" s="176">
        <f>+SUM(F35:F40)</f>
        <v>92324467</v>
      </c>
      <c r="H34" s="245">
        <f>+G34/$G$195</f>
        <v>0.10927973758337338</v>
      </c>
      <c r="I34" s="246"/>
      <c r="J34" s="247"/>
      <c r="K34" s="247"/>
      <c r="L34" s="178"/>
      <c r="M34" s="178"/>
      <c r="N34" s="179"/>
    </row>
    <row r="35" spans="1:14" ht="12.75" customHeight="1" x14ac:dyDescent="0.3">
      <c r="A35" s="20">
        <v>7.01</v>
      </c>
      <c r="B35" s="103" t="s">
        <v>47</v>
      </c>
      <c r="C35" s="93" t="s">
        <v>19</v>
      </c>
      <c r="D35" s="94">
        <v>879</v>
      </c>
      <c r="E35" s="180">
        <v>19943</v>
      </c>
      <c r="F35" s="180">
        <f t="shared" si="0"/>
        <v>17529897</v>
      </c>
      <c r="G35" s="187"/>
      <c r="H35" s="245"/>
      <c r="I35" s="250">
        <v>0</v>
      </c>
      <c r="J35" s="250"/>
      <c r="K35" s="251">
        <f t="shared" si="1"/>
        <v>0</v>
      </c>
      <c r="L35" s="50">
        <f t="shared" si="2"/>
        <v>0</v>
      </c>
      <c r="M35" s="50">
        <f t="shared" si="3"/>
        <v>0</v>
      </c>
      <c r="N35" s="50">
        <f t="shared" si="4"/>
        <v>0</v>
      </c>
    </row>
    <row r="36" spans="1:14" ht="12.75" customHeight="1" x14ac:dyDescent="0.3">
      <c r="A36" s="24">
        <v>7.02</v>
      </c>
      <c r="B36" s="104" t="s">
        <v>48</v>
      </c>
      <c r="C36" s="30" t="s">
        <v>19</v>
      </c>
      <c r="D36" s="31">
        <v>716</v>
      </c>
      <c r="E36" s="181">
        <v>26767</v>
      </c>
      <c r="F36" s="181">
        <f t="shared" si="0"/>
        <v>19165172</v>
      </c>
      <c r="G36" s="185"/>
      <c r="H36" s="245"/>
      <c r="I36" s="250">
        <v>0</v>
      </c>
      <c r="J36" s="250"/>
      <c r="K36" s="251">
        <f t="shared" si="1"/>
        <v>0</v>
      </c>
      <c r="L36" s="50">
        <f t="shared" si="2"/>
        <v>0</v>
      </c>
      <c r="M36" s="50">
        <f t="shared" si="3"/>
        <v>0</v>
      </c>
      <c r="N36" s="50">
        <f t="shared" si="4"/>
        <v>0</v>
      </c>
    </row>
    <row r="37" spans="1:14" ht="12.75" customHeight="1" x14ac:dyDescent="0.3">
      <c r="A37" s="24">
        <v>7.03</v>
      </c>
      <c r="B37" s="25" t="s">
        <v>49</v>
      </c>
      <c r="C37" s="30" t="s">
        <v>19</v>
      </c>
      <c r="D37" s="31">
        <v>1439</v>
      </c>
      <c r="E37" s="181">
        <v>22963</v>
      </c>
      <c r="F37" s="181">
        <f t="shared" si="0"/>
        <v>33043757</v>
      </c>
      <c r="G37" s="185"/>
      <c r="H37" s="245"/>
      <c r="I37" s="250">
        <v>0</v>
      </c>
      <c r="J37" s="250"/>
      <c r="K37" s="251">
        <f t="shared" si="1"/>
        <v>0</v>
      </c>
      <c r="L37" s="50">
        <f t="shared" si="2"/>
        <v>0</v>
      </c>
      <c r="M37" s="50">
        <f t="shared" si="3"/>
        <v>0</v>
      </c>
      <c r="N37" s="50">
        <f t="shared" si="4"/>
        <v>0</v>
      </c>
    </row>
    <row r="38" spans="1:14" ht="12.75" customHeight="1" x14ac:dyDescent="0.3">
      <c r="A38" s="100">
        <v>7.04</v>
      </c>
      <c r="B38" s="105" t="s">
        <v>50</v>
      </c>
      <c r="C38" s="30" t="s">
        <v>27</v>
      </c>
      <c r="D38" s="31">
        <v>347</v>
      </c>
      <c r="E38" s="181">
        <v>16909</v>
      </c>
      <c r="F38" s="181">
        <f t="shared" si="0"/>
        <v>5867423</v>
      </c>
      <c r="G38" s="185"/>
      <c r="H38" s="245"/>
      <c r="I38" s="250">
        <v>0</v>
      </c>
      <c r="J38" s="250"/>
      <c r="K38" s="251">
        <f t="shared" si="1"/>
        <v>0</v>
      </c>
      <c r="L38" s="50">
        <f t="shared" si="2"/>
        <v>0</v>
      </c>
      <c r="M38" s="50">
        <f t="shared" si="3"/>
        <v>0</v>
      </c>
      <c r="N38" s="50">
        <f t="shared" si="4"/>
        <v>0</v>
      </c>
    </row>
    <row r="39" spans="1:14" ht="12.75" customHeight="1" x14ac:dyDescent="0.3">
      <c r="A39" s="24">
        <v>7.05</v>
      </c>
      <c r="B39" s="105" t="s">
        <v>51</v>
      </c>
      <c r="C39" s="30" t="s">
        <v>52</v>
      </c>
      <c r="D39" s="31">
        <v>132</v>
      </c>
      <c r="E39" s="181">
        <v>19384</v>
      </c>
      <c r="F39" s="181">
        <f t="shared" si="0"/>
        <v>2558688</v>
      </c>
      <c r="G39" s="185"/>
      <c r="H39" s="245"/>
      <c r="I39" s="250">
        <v>0</v>
      </c>
      <c r="J39" s="250"/>
      <c r="K39" s="251">
        <f t="shared" si="1"/>
        <v>0</v>
      </c>
      <c r="L39" s="50">
        <f t="shared" si="2"/>
        <v>0</v>
      </c>
      <c r="M39" s="50">
        <f t="shared" si="3"/>
        <v>0</v>
      </c>
      <c r="N39" s="50">
        <f t="shared" si="4"/>
        <v>0</v>
      </c>
    </row>
    <row r="40" spans="1:14" ht="12.75" customHeight="1" x14ac:dyDescent="0.3">
      <c r="A40" s="100">
        <v>7.06</v>
      </c>
      <c r="B40" s="25" t="s">
        <v>53</v>
      </c>
      <c r="C40" s="30" t="s">
        <v>19</v>
      </c>
      <c r="D40" s="31">
        <v>710</v>
      </c>
      <c r="E40" s="181">
        <v>19943</v>
      </c>
      <c r="F40" s="181">
        <f t="shared" si="0"/>
        <v>14159530</v>
      </c>
      <c r="G40" s="185"/>
      <c r="H40" s="245"/>
      <c r="I40" s="250">
        <v>0</v>
      </c>
      <c r="J40" s="250"/>
      <c r="K40" s="251">
        <f t="shared" si="1"/>
        <v>0</v>
      </c>
      <c r="L40" s="50">
        <f t="shared" si="2"/>
        <v>0</v>
      </c>
      <c r="M40" s="50">
        <f t="shared" si="3"/>
        <v>0</v>
      </c>
      <c r="N40" s="50">
        <f t="shared" si="4"/>
        <v>0</v>
      </c>
    </row>
    <row r="41" spans="1:14" ht="12.75" customHeight="1" x14ac:dyDescent="0.3">
      <c r="A41" s="13">
        <v>8</v>
      </c>
      <c r="B41" s="17" t="s">
        <v>54</v>
      </c>
      <c r="C41" s="18"/>
      <c r="D41" s="19"/>
      <c r="E41" s="19"/>
      <c r="F41" s="19"/>
      <c r="G41" s="176">
        <f>+SUM(F42:F49)</f>
        <v>49520833</v>
      </c>
      <c r="H41" s="245">
        <f>+G41/$G$195</f>
        <v>5.8615270805192479E-2</v>
      </c>
      <c r="I41" s="246"/>
      <c r="J41" s="247"/>
      <c r="K41" s="247"/>
      <c r="L41" s="178"/>
      <c r="M41" s="178"/>
      <c r="N41" s="179"/>
    </row>
    <row r="42" spans="1:14" ht="12.75" customHeight="1" x14ac:dyDescent="0.3">
      <c r="A42" s="20">
        <v>8.01</v>
      </c>
      <c r="B42" s="21" t="s">
        <v>55</v>
      </c>
      <c r="C42" s="93" t="s">
        <v>19</v>
      </c>
      <c r="D42" s="94">
        <v>107</v>
      </c>
      <c r="E42" s="183">
        <v>58580</v>
      </c>
      <c r="F42" s="183">
        <f t="shared" si="0"/>
        <v>6268060</v>
      </c>
      <c r="G42" s="182"/>
      <c r="H42" s="245"/>
      <c r="I42" s="250">
        <v>0</v>
      </c>
      <c r="J42" s="250"/>
      <c r="K42" s="251">
        <f t="shared" si="1"/>
        <v>0</v>
      </c>
      <c r="L42" s="50">
        <f t="shared" si="2"/>
        <v>0</v>
      </c>
      <c r="M42" s="50">
        <f t="shared" si="3"/>
        <v>0</v>
      </c>
      <c r="N42" s="50">
        <f t="shared" si="4"/>
        <v>0</v>
      </c>
    </row>
    <row r="43" spans="1:14" ht="12.75" customHeight="1" x14ac:dyDescent="0.3">
      <c r="A43" s="106">
        <v>8.02</v>
      </c>
      <c r="B43" s="107" t="s">
        <v>56</v>
      </c>
      <c r="C43" s="108" t="s">
        <v>19</v>
      </c>
      <c r="D43" s="32">
        <v>258</v>
      </c>
      <c r="E43" s="183">
        <v>38729</v>
      </c>
      <c r="F43" s="183">
        <f t="shared" si="0"/>
        <v>9992082</v>
      </c>
      <c r="G43" s="182"/>
      <c r="H43" s="245"/>
      <c r="I43" s="250">
        <v>0</v>
      </c>
      <c r="J43" s="250"/>
      <c r="K43" s="251">
        <f t="shared" si="1"/>
        <v>0</v>
      </c>
      <c r="L43" s="50">
        <f t="shared" si="2"/>
        <v>0</v>
      </c>
      <c r="M43" s="50">
        <f t="shared" si="3"/>
        <v>0</v>
      </c>
      <c r="N43" s="50">
        <f t="shared" si="4"/>
        <v>0</v>
      </c>
    </row>
    <row r="44" spans="1:14" ht="12.75" customHeight="1" x14ac:dyDescent="0.3">
      <c r="A44" s="24">
        <v>8.0299999999999994</v>
      </c>
      <c r="B44" s="25" t="s">
        <v>57</v>
      </c>
      <c r="C44" s="30" t="s">
        <v>19</v>
      </c>
      <c r="D44" s="31">
        <v>425</v>
      </c>
      <c r="E44" s="183">
        <v>22943</v>
      </c>
      <c r="F44" s="183">
        <f t="shared" si="0"/>
        <v>9750775</v>
      </c>
      <c r="G44" s="182"/>
      <c r="H44" s="245"/>
      <c r="I44" s="250">
        <v>0</v>
      </c>
      <c r="J44" s="250"/>
      <c r="K44" s="251">
        <f t="shared" si="1"/>
        <v>0</v>
      </c>
      <c r="L44" s="50">
        <f t="shared" si="2"/>
        <v>0</v>
      </c>
      <c r="M44" s="50">
        <f t="shared" si="3"/>
        <v>0</v>
      </c>
      <c r="N44" s="50">
        <f t="shared" si="4"/>
        <v>0</v>
      </c>
    </row>
    <row r="45" spans="1:14" ht="12.75" customHeight="1" x14ac:dyDescent="0.3">
      <c r="A45" s="106">
        <v>8.0399999999999991</v>
      </c>
      <c r="B45" s="25" t="s">
        <v>58</v>
      </c>
      <c r="C45" s="30" t="s">
        <v>19</v>
      </c>
      <c r="D45" s="31">
        <v>200</v>
      </c>
      <c r="E45" s="183">
        <v>40355</v>
      </c>
      <c r="F45" s="183">
        <f t="shared" si="0"/>
        <v>8071000</v>
      </c>
      <c r="G45" s="182"/>
      <c r="H45" s="245"/>
      <c r="I45" s="250">
        <v>0</v>
      </c>
      <c r="J45" s="250"/>
      <c r="K45" s="251">
        <f t="shared" si="1"/>
        <v>0</v>
      </c>
      <c r="L45" s="50">
        <f t="shared" si="2"/>
        <v>0</v>
      </c>
      <c r="M45" s="50">
        <f t="shared" si="3"/>
        <v>0</v>
      </c>
      <c r="N45" s="50">
        <f t="shared" si="4"/>
        <v>0</v>
      </c>
    </row>
    <row r="46" spans="1:14" ht="12.75" customHeight="1" x14ac:dyDescent="0.3">
      <c r="A46" s="24">
        <v>8.0500000000000007</v>
      </c>
      <c r="B46" s="25" t="s">
        <v>59</v>
      </c>
      <c r="C46" s="30" t="s">
        <v>19</v>
      </c>
      <c r="D46" s="31">
        <v>77</v>
      </c>
      <c r="E46" s="183">
        <v>31515</v>
      </c>
      <c r="F46" s="183">
        <f t="shared" si="0"/>
        <v>2426655</v>
      </c>
      <c r="G46" s="182"/>
      <c r="H46" s="245"/>
      <c r="I46" s="250">
        <v>0</v>
      </c>
      <c r="J46" s="250"/>
      <c r="K46" s="251">
        <f t="shared" si="1"/>
        <v>0</v>
      </c>
      <c r="L46" s="50">
        <f t="shared" si="2"/>
        <v>0</v>
      </c>
      <c r="M46" s="50">
        <f t="shared" si="3"/>
        <v>0</v>
      </c>
      <c r="N46" s="50">
        <f t="shared" si="4"/>
        <v>0</v>
      </c>
    </row>
    <row r="47" spans="1:14" ht="12.75" customHeight="1" x14ac:dyDescent="0.3">
      <c r="A47" s="106">
        <v>8.06</v>
      </c>
      <c r="B47" s="25" t="s">
        <v>60</v>
      </c>
      <c r="C47" s="30" t="s">
        <v>19</v>
      </c>
      <c r="D47" s="31">
        <v>77</v>
      </c>
      <c r="E47" s="183">
        <v>19683</v>
      </c>
      <c r="F47" s="183">
        <f t="shared" si="0"/>
        <v>1515591</v>
      </c>
      <c r="G47" s="182"/>
      <c r="H47" s="245"/>
      <c r="I47" s="250">
        <v>0</v>
      </c>
      <c r="J47" s="250"/>
      <c r="K47" s="251">
        <f t="shared" si="1"/>
        <v>0</v>
      </c>
      <c r="L47" s="50">
        <f t="shared" si="2"/>
        <v>0</v>
      </c>
      <c r="M47" s="50">
        <f t="shared" si="3"/>
        <v>0</v>
      </c>
      <c r="N47" s="50">
        <f t="shared" si="4"/>
        <v>0</v>
      </c>
    </row>
    <row r="48" spans="1:14" ht="12.75" customHeight="1" x14ac:dyDescent="0.3">
      <c r="A48" s="24">
        <v>8.07</v>
      </c>
      <c r="B48" s="25" t="s">
        <v>61</v>
      </c>
      <c r="C48" s="30" t="s">
        <v>19</v>
      </c>
      <c r="D48" s="31">
        <v>442</v>
      </c>
      <c r="E48" s="183">
        <v>14335</v>
      </c>
      <c r="F48" s="183">
        <f t="shared" si="0"/>
        <v>6336070</v>
      </c>
      <c r="G48" s="182"/>
      <c r="H48" s="245"/>
      <c r="I48" s="250">
        <v>0</v>
      </c>
      <c r="J48" s="250"/>
      <c r="K48" s="251">
        <f t="shared" si="1"/>
        <v>0</v>
      </c>
      <c r="L48" s="50">
        <f t="shared" si="2"/>
        <v>0</v>
      </c>
      <c r="M48" s="50">
        <f t="shared" si="3"/>
        <v>0</v>
      </c>
      <c r="N48" s="50">
        <f t="shared" si="4"/>
        <v>0</v>
      </c>
    </row>
    <row r="49" spans="1:14" ht="12.75" customHeight="1" x14ac:dyDescent="0.3">
      <c r="A49" s="106">
        <v>8.08</v>
      </c>
      <c r="B49" s="25" t="s">
        <v>62</v>
      </c>
      <c r="C49" s="30" t="s">
        <v>19</v>
      </c>
      <c r="D49" s="31">
        <v>360</v>
      </c>
      <c r="E49" s="183">
        <v>14335</v>
      </c>
      <c r="F49" s="183">
        <f t="shared" si="0"/>
        <v>5160600</v>
      </c>
      <c r="G49" s="182"/>
      <c r="H49" s="245"/>
      <c r="I49" s="250">
        <v>0</v>
      </c>
      <c r="J49" s="250"/>
      <c r="K49" s="251">
        <f t="shared" si="1"/>
        <v>0</v>
      </c>
      <c r="L49" s="50">
        <f t="shared" si="2"/>
        <v>0</v>
      </c>
      <c r="M49" s="50">
        <f t="shared" si="3"/>
        <v>0</v>
      </c>
      <c r="N49" s="50">
        <f t="shared" si="4"/>
        <v>0</v>
      </c>
    </row>
    <row r="50" spans="1:14" ht="12.75" customHeight="1" x14ac:dyDescent="0.3">
      <c r="A50" s="13">
        <v>9</v>
      </c>
      <c r="B50" s="17" t="s">
        <v>63</v>
      </c>
      <c r="C50" s="18"/>
      <c r="D50" s="19"/>
      <c r="E50" s="19"/>
      <c r="F50" s="19"/>
      <c r="G50" s="176">
        <f>+SUM(F51:F53)</f>
        <v>4852846</v>
      </c>
      <c r="H50" s="245">
        <f>+G50/$G$195</f>
        <v>5.7440649769743392E-3</v>
      </c>
      <c r="I50" s="246"/>
      <c r="J50" s="247"/>
      <c r="K50" s="247"/>
      <c r="L50" s="178"/>
      <c r="M50" s="178"/>
      <c r="N50" s="179"/>
    </row>
    <row r="51" spans="1:14" ht="12.75" customHeight="1" x14ac:dyDescent="0.3">
      <c r="A51" s="20">
        <v>9.01</v>
      </c>
      <c r="B51" s="21" t="s">
        <v>64</v>
      </c>
      <c r="C51" s="109" t="s">
        <v>29</v>
      </c>
      <c r="D51" s="94">
        <v>1</v>
      </c>
      <c r="E51" s="181">
        <v>2109310</v>
      </c>
      <c r="F51" s="181">
        <f t="shared" si="0"/>
        <v>2109310</v>
      </c>
      <c r="G51" s="186"/>
      <c r="H51" s="245"/>
      <c r="I51" s="250">
        <v>0</v>
      </c>
      <c r="J51" s="250"/>
      <c r="K51" s="251">
        <f t="shared" si="1"/>
        <v>0</v>
      </c>
      <c r="L51" s="50">
        <f t="shared" si="2"/>
        <v>0</v>
      </c>
      <c r="M51" s="50">
        <f t="shared" si="3"/>
        <v>0</v>
      </c>
      <c r="N51" s="50">
        <f t="shared" si="4"/>
        <v>0</v>
      </c>
    </row>
    <row r="52" spans="1:14" ht="12.75" customHeight="1" x14ac:dyDescent="0.3">
      <c r="A52" s="24">
        <v>9.02</v>
      </c>
      <c r="B52" s="25" t="s">
        <v>65</v>
      </c>
      <c r="C52" s="110" t="s">
        <v>52</v>
      </c>
      <c r="D52" s="31">
        <v>81</v>
      </c>
      <c r="E52" s="181">
        <v>28022</v>
      </c>
      <c r="F52" s="181">
        <f t="shared" si="0"/>
        <v>2269782</v>
      </c>
      <c r="G52" s="186"/>
      <c r="H52" s="252"/>
      <c r="I52" s="250">
        <v>0</v>
      </c>
      <c r="J52" s="250"/>
      <c r="K52" s="251">
        <f t="shared" si="1"/>
        <v>0</v>
      </c>
      <c r="L52" s="50">
        <f t="shared" si="2"/>
        <v>0</v>
      </c>
      <c r="M52" s="50">
        <f t="shared" si="3"/>
        <v>0</v>
      </c>
      <c r="N52" s="50">
        <f t="shared" si="4"/>
        <v>0</v>
      </c>
    </row>
    <row r="53" spans="1:14" ht="12.75" customHeight="1" x14ac:dyDescent="0.3">
      <c r="A53" s="33">
        <v>9.0299999999999994</v>
      </c>
      <c r="B53" s="38" t="s">
        <v>66</v>
      </c>
      <c r="C53" s="111" t="s">
        <v>27</v>
      </c>
      <c r="D53" s="35">
        <v>46</v>
      </c>
      <c r="E53" s="181">
        <v>10299</v>
      </c>
      <c r="F53" s="181">
        <f t="shared" si="0"/>
        <v>473754</v>
      </c>
      <c r="G53" s="186"/>
      <c r="H53" s="252"/>
      <c r="I53" s="250">
        <v>0</v>
      </c>
      <c r="J53" s="250"/>
      <c r="K53" s="251">
        <f t="shared" si="1"/>
        <v>0</v>
      </c>
      <c r="L53" s="50">
        <f t="shared" si="2"/>
        <v>0</v>
      </c>
      <c r="M53" s="50">
        <f t="shared" si="3"/>
        <v>0</v>
      </c>
      <c r="N53" s="50">
        <f t="shared" si="4"/>
        <v>0</v>
      </c>
    </row>
    <row r="54" spans="1:14" ht="12.75" customHeight="1" x14ac:dyDescent="0.3">
      <c r="A54" s="13">
        <v>10</v>
      </c>
      <c r="B54" s="40" t="s">
        <v>67</v>
      </c>
      <c r="C54" s="18"/>
      <c r="D54" s="19"/>
      <c r="E54" s="19"/>
      <c r="F54" s="19"/>
      <c r="G54" s="176">
        <f>+SUM(F55:F58)</f>
        <v>4184652</v>
      </c>
      <c r="H54" s="245">
        <f>+G54/$G$195</f>
        <v>4.9531580013100814E-3</v>
      </c>
      <c r="I54" s="246"/>
      <c r="J54" s="247"/>
      <c r="K54" s="247"/>
      <c r="L54" s="178"/>
      <c r="M54" s="178"/>
      <c r="N54" s="179"/>
    </row>
    <row r="55" spans="1:14" ht="12.75" customHeight="1" x14ac:dyDescent="0.3">
      <c r="A55" s="24">
        <v>10.01</v>
      </c>
      <c r="B55" s="25" t="s">
        <v>68</v>
      </c>
      <c r="C55" s="112" t="s">
        <v>29</v>
      </c>
      <c r="D55" s="27">
        <v>1</v>
      </c>
      <c r="E55" s="181">
        <v>1844532</v>
      </c>
      <c r="F55" s="181">
        <f t="shared" si="0"/>
        <v>1844532</v>
      </c>
      <c r="G55" s="188"/>
      <c r="H55" s="245"/>
      <c r="I55" s="250">
        <v>0</v>
      </c>
      <c r="J55" s="250"/>
      <c r="K55" s="251">
        <f t="shared" si="1"/>
        <v>0</v>
      </c>
      <c r="L55" s="50">
        <f t="shared" si="2"/>
        <v>0</v>
      </c>
      <c r="M55" s="50">
        <f t="shared" si="3"/>
        <v>0</v>
      </c>
      <c r="N55" s="50">
        <f t="shared" si="4"/>
        <v>0</v>
      </c>
    </row>
    <row r="56" spans="1:14" ht="12.75" customHeight="1" x14ac:dyDescent="0.3">
      <c r="A56" s="24">
        <v>10.02</v>
      </c>
      <c r="B56" s="25" t="s">
        <v>69</v>
      </c>
      <c r="C56" s="112" t="s">
        <v>29</v>
      </c>
      <c r="D56" s="27">
        <v>1</v>
      </c>
      <c r="E56" s="181">
        <v>1214937</v>
      </c>
      <c r="F56" s="181">
        <f t="shared" si="0"/>
        <v>1214937</v>
      </c>
      <c r="H56" s="245"/>
      <c r="I56" s="250">
        <v>0</v>
      </c>
      <c r="J56" s="250"/>
      <c r="K56" s="251">
        <f t="shared" si="1"/>
        <v>0</v>
      </c>
      <c r="L56" s="50">
        <f t="shared" si="2"/>
        <v>0</v>
      </c>
      <c r="M56" s="50">
        <f t="shared" si="3"/>
        <v>0</v>
      </c>
      <c r="N56" s="50">
        <f t="shared" si="4"/>
        <v>0</v>
      </c>
    </row>
    <row r="57" spans="1:14" ht="12.75" customHeight="1" x14ac:dyDescent="0.3">
      <c r="A57" s="24">
        <v>10.029999999999999</v>
      </c>
      <c r="B57" s="25" t="s">
        <v>70</v>
      </c>
      <c r="C57" s="112" t="s">
        <v>29</v>
      </c>
      <c r="D57" s="27">
        <v>1</v>
      </c>
      <c r="E57" s="181">
        <v>539833</v>
      </c>
      <c r="F57" s="181">
        <f t="shared" si="0"/>
        <v>539833</v>
      </c>
      <c r="H57" s="245"/>
      <c r="I57" s="250">
        <v>0</v>
      </c>
      <c r="J57" s="250"/>
      <c r="K57" s="251">
        <f t="shared" si="1"/>
        <v>0</v>
      </c>
      <c r="L57" s="50">
        <f t="shared" si="2"/>
        <v>0</v>
      </c>
      <c r="M57" s="50">
        <f t="shared" si="3"/>
        <v>0</v>
      </c>
      <c r="N57" s="50">
        <f t="shared" si="4"/>
        <v>0</v>
      </c>
    </row>
    <row r="58" spans="1:14" ht="12.75" customHeight="1" x14ac:dyDescent="0.3">
      <c r="A58" s="24">
        <v>10.039999999999999</v>
      </c>
      <c r="B58" s="25" t="s">
        <v>71</v>
      </c>
      <c r="C58" s="30" t="s">
        <v>33</v>
      </c>
      <c r="D58" s="31">
        <v>10</v>
      </c>
      <c r="E58" s="181">
        <v>58535</v>
      </c>
      <c r="F58" s="181">
        <f t="shared" si="0"/>
        <v>585350</v>
      </c>
      <c r="G58" s="182"/>
      <c r="H58" s="245"/>
      <c r="I58" s="250">
        <v>0</v>
      </c>
      <c r="J58" s="250"/>
      <c r="K58" s="251">
        <f t="shared" si="1"/>
        <v>0</v>
      </c>
      <c r="L58" s="50">
        <f t="shared" si="2"/>
        <v>0</v>
      </c>
      <c r="M58" s="50">
        <f t="shared" si="3"/>
        <v>0</v>
      </c>
      <c r="N58" s="50">
        <f t="shared" si="4"/>
        <v>0</v>
      </c>
    </row>
    <row r="59" spans="1:14" ht="12.75" customHeight="1" x14ac:dyDescent="0.3">
      <c r="A59" s="13">
        <v>11</v>
      </c>
      <c r="B59" s="17" t="s">
        <v>72</v>
      </c>
      <c r="C59" s="18"/>
      <c r="D59" s="19"/>
      <c r="E59" s="19"/>
      <c r="F59" s="19"/>
      <c r="G59" s="176">
        <f>+SUM(F60:F70)</f>
        <v>31170783</v>
      </c>
      <c r="H59" s="245">
        <f>+G59/$G$195</f>
        <v>3.6895257532418527E-2</v>
      </c>
      <c r="I59" s="246"/>
      <c r="J59" s="247"/>
      <c r="K59" s="247"/>
      <c r="L59" s="178"/>
      <c r="M59" s="178"/>
      <c r="N59" s="179"/>
    </row>
    <row r="60" spans="1:14" ht="12.75" customHeight="1" x14ac:dyDescent="0.3">
      <c r="A60" s="20">
        <v>11.01</v>
      </c>
      <c r="B60" s="21" t="s">
        <v>73</v>
      </c>
      <c r="C60" s="109" t="s">
        <v>19</v>
      </c>
      <c r="D60" s="94">
        <v>0</v>
      </c>
      <c r="E60" s="181">
        <v>0</v>
      </c>
      <c r="F60" s="181">
        <f t="shared" si="0"/>
        <v>0</v>
      </c>
      <c r="G60" s="185"/>
      <c r="H60" s="252"/>
      <c r="I60" s="250">
        <v>0</v>
      </c>
      <c r="J60" s="250"/>
      <c r="K60" s="251">
        <f t="shared" si="1"/>
        <v>0</v>
      </c>
      <c r="L60" s="50">
        <f t="shared" si="2"/>
        <v>0</v>
      </c>
      <c r="M60" s="50">
        <f t="shared" si="3"/>
        <v>0</v>
      </c>
      <c r="N60" s="50">
        <f t="shared" si="4"/>
        <v>0</v>
      </c>
    </row>
    <row r="61" spans="1:14" ht="12.75" customHeight="1" x14ac:dyDescent="0.3">
      <c r="A61" s="24">
        <v>11.02</v>
      </c>
      <c r="B61" s="25" t="s">
        <v>74</v>
      </c>
      <c r="C61" s="110" t="s">
        <v>19</v>
      </c>
      <c r="D61" s="31">
        <v>39</v>
      </c>
      <c r="E61" s="181">
        <v>19280</v>
      </c>
      <c r="F61" s="181">
        <f t="shared" si="0"/>
        <v>751920</v>
      </c>
      <c r="G61" s="186"/>
      <c r="H61" s="252"/>
      <c r="I61" s="250">
        <v>0</v>
      </c>
      <c r="J61" s="250"/>
      <c r="K61" s="251">
        <f t="shared" si="1"/>
        <v>0</v>
      </c>
      <c r="L61" s="50">
        <f t="shared" si="2"/>
        <v>0</v>
      </c>
      <c r="M61" s="50">
        <f t="shared" si="3"/>
        <v>0</v>
      </c>
      <c r="N61" s="50">
        <f t="shared" si="4"/>
        <v>0</v>
      </c>
    </row>
    <row r="62" spans="1:14" ht="12.75" customHeight="1" x14ac:dyDescent="0.3">
      <c r="A62" s="24">
        <v>11.03</v>
      </c>
      <c r="B62" s="25" t="s">
        <v>75</v>
      </c>
      <c r="C62" s="110" t="s">
        <v>19</v>
      </c>
      <c r="D62" s="31">
        <v>48</v>
      </c>
      <c r="E62" s="181">
        <v>25362</v>
      </c>
      <c r="F62" s="181">
        <f t="shared" si="0"/>
        <v>1217376</v>
      </c>
      <c r="G62" s="186"/>
      <c r="H62" s="252"/>
      <c r="I62" s="250">
        <v>0</v>
      </c>
      <c r="J62" s="250"/>
      <c r="K62" s="251">
        <f t="shared" si="1"/>
        <v>0</v>
      </c>
      <c r="L62" s="50">
        <f t="shared" si="2"/>
        <v>0</v>
      </c>
      <c r="M62" s="50">
        <f t="shared" si="3"/>
        <v>0</v>
      </c>
      <c r="N62" s="50">
        <f t="shared" si="4"/>
        <v>0</v>
      </c>
    </row>
    <row r="63" spans="1:14" ht="12.75" customHeight="1" x14ac:dyDescent="0.3">
      <c r="A63" s="24">
        <v>11.04</v>
      </c>
      <c r="B63" s="25" t="s">
        <v>76</v>
      </c>
      <c r="C63" s="30" t="s">
        <v>19</v>
      </c>
      <c r="D63" s="31">
        <v>174</v>
      </c>
      <c r="E63" s="181">
        <v>19164</v>
      </c>
      <c r="F63" s="181">
        <f t="shared" si="0"/>
        <v>3334536</v>
      </c>
      <c r="G63" s="182"/>
      <c r="H63" s="245"/>
      <c r="I63" s="250">
        <v>0</v>
      </c>
      <c r="J63" s="250"/>
      <c r="K63" s="251">
        <f t="shared" si="1"/>
        <v>0</v>
      </c>
      <c r="L63" s="50">
        <f t="shared" si="2"/>
        <v>0</v>
      </c>
      <c r="M63" s="50">
        <f t="shared" si="3"/>
        <v>0</v>
      </c>
      <c r="N63" s="50">
        <f t="shared" si="4"/>
        <v>0</v>
      </c>
    </row>
    <row r="64" spans="1:14" ht="12.75" customHeight="1" x14ac:dyDescent="0.3">
      <c r="A64" s="24">
        <v>11.05</v>
      </c>
      <c r="B64" s="25" t="s">
        <v>77</v>
      </c>
      <c r="C64" s="110" t="s">
        <v>19</v>
      </c>
      <c r="D64" s="31">
        <v>92</v>
      </c>
      <c r="E64" s="181">
        <v>19164</v>
      </c>
      <c r="F64" s="181">
        <f t="shared" si="0"/>
        <v>1763088</v>
      </c>
      <c r="G64" s="185"/>
      <c r="H64" s="252"/>
      <c r="I64" s="250">
        <v>0</v>
      </c>
      <c r="J64" s="250"/>
      <c r="K64" s="251">
        <f t="shared" si="1"/>
        <v>0</v>
      </c>
      <c r="L64" s="50">
        <f t="shared" si="2"/>
        <v>0</v>
      </c>
      <c r="M64" s="50">
        <f t="shared" si="3"/>
        <v>0</v>
      </c>
      <c r="N64" s="50">
        <f t="shared" si="4"/>
        <v>0</v>
      </c>
    </row>
    <row r="65" spans="1:14" ht="12.75" customHeight="1" x14ac:dyDescent="0.3">
      <c r="A65" s="24">
        <v>11.06</v>
      </c>
      <c r="B65" s="25" t="s">
        <v>78</v>
      </c>
      <c r="C65" s="30" t="s">
        <v>19</v>
      </c>
      <c r="D65" s="31">
        <v>8</v>
      </c>
      <c r="E65" s="181">
        <v>14043</v>
      </c>
      <c r="F65" s="181">
        <f t="shared" si="0"/>
        <v>112344</v>
      </c>
      <c r="G65" s="182"/>
      <c r="H65" s="245"/>
      <c r="I65" s="250">
        <v>0</v>
      </c>
      <c r="J65" s="250"/>
      <c r="K65" s="251">
        <f t="shared" si="1"/>
        <v>0</v>
      </c>
      <c r="L65" s="50">
        <f t="shared" si="2"/>
        <v>0</v>
      </c>
      <c r="M65" s="50">
        <f t="shared" si="3"/>
        <v>0</v>
      </c>
      <c r="N65" s="50">
        <f t="shared" si="4"/>
        <v>0</v>
      </c>
    </row>
    <row r="66" spans="1:14" ht="12.75" customHeight="1" x14ac:dyDescent="0.3">
      <c r="A66" s="24">
        <v>11.07</v>
      </c>
      <c r="B66" s="25" t="s">
        <v>79</v>
      </c>
      <c r="C66" s="110" t="s">
        <v>19</v>
      </c>
      <c r="D66" s="31">
        <v>46</v>
      </c>
      <c r="E66" s="181">
        <v>26630</v>
      </c>
      <c r="F66" s="181">
        <f t="shared" si="0"/>
        <v>1224980</v>
      </c>
      <c r="G66" s="186"/>
      <c r="H66" s="252"/>
      <c r="I66" s="250">
        <v>0</v>
      </c>
      <c r="J66" s="250"/>
      <c r="K66" s="251">
        <f t="shared" si="1"/>
        <v>0</v>
      </c>
      <c r="L66" s="50">
        <f t="shared" si="2"/>
        <v>0</v>
      </c>
      <c r="M66" s="50">
        <f t="shared" si="3"/>
        <v>0</v>
      </c>
      <c r="N66" s="50">
        <f t="shared" si="4"/>
        <v>0</v>
      </c>
    </row>
    <row r="67" spans="1:14" ht="12.75" customHeight="1" x14ac:dyDescent="0.3">
      <c r="A67" s="24">
        <v>11.08</v>
      </c>
      <c r="B67" s="25" t="s">
        <v>80</v>
      </c>
      <c r="C67" s="110" t="s">
        <v>19</v>
      </c>
      <c r="D67" s="31">
        <v>562</v>
      </c>
      <c r="E67" s="181">
        <v>25362</v>
      </c>
      <c r="F67" s="181">
        <f t="shared" si="0"/>
        <v>14253444</v>
      </c>
      <c r="G67" s="186"/>
      <c r="H67" s="252"/>
      <c r="I67" s="250">
        <v>0</v>
      </c>
      <c r="J67" s="250"/>
      <c r="K67" s="251">
        <f t="shared" si="1"/>
        <v>0</v>
      </c>
      <c r="L67" s="50">
        <f t="shared" si="2"/>
        <v>0</v>
      </c>
      <c r="M67" s="50">
        <f t="shared" si="3"/>
        <v>0</v>
      </c>
      <c r="N67" s="50">
        <f t="shared" si="4"/>
        <v>0</v>
      </c>
    </row>
    <row r="68" spans="1:14" ht="12.75" customHeight="1" x14ac:dyDescent="0.3">
      <c r="A68" s="24">
        <v>11.09</v>
      </c>
      <c r="B68" s="25" t="s">
        <v>81</v>
      </c>
      <c r="C68" s="113" t="s">
        <v>19</v>
      </c>
      <c r="D68" s="32">
        <v>73</v>
      </c>
      <c r="E68" s="181">
        <v>30109</v>
      </c>
      <c r="F68" s="181">
        <f t="shared" si="0"/>
        <v>2197957</v>
      </c>
      <c r="G68" s="186"/>
      <c r="H68" s="252"/>
      <c r="I68" s="250">
        <v>0</v>
      </c>
      <c r="J68" s="250"/>
      <c r="K68" s="251">
        <f t="shared" si="1"/>
        <v>0</v>
      </c>
      <c r="L68" s="50">
        <f t="shared" si="2"/>
        <v>0</v>
      </c>
      <c r="M68" s="50">
        <f t="shared" si="3"/>
        <v>0</v>
      </c>
      <c r="N68" s="50">
        <f t="shared" si="4"/>
        <v>0</v>
      </c>
    </row>
    <row r="69" spans="1:14" ht="12.75" customHeight="1" x14ac:dyDescent="0.3">
      <c r="A69" s="24">
        <v>11.1</v>
      </c>
      <c r="B69" s="25" t="s">
        <v>82</v>
      </c>
      <c r="C69" s="113" t="s">
        <v>19</v>
      </c>
      <c r="D69" s="32">
        <v>143</v>
      </c>
      <c r="E69" s="181">
        <v>25362</v>
      </c>
      <c r="F69" s="181">
        <f t="shared" si="0"/>
        <v>3626766</v>
      </c>
      <c r="G69" s="186"/>
      <c r="H69" s="252"/>
      <c r="I69" s="250">
        <v>0</v>
      </c>
      <c r="J69" s="250"/>
      <c r="K69" s="251">
        <f t="shared" si="1"/>
        <v>0</v>
      </c>
      <c r="L69" s="50">
        <f t="shared" si="2"/>
        <v>0</v>
      </c>
      <c r="M69" s="50">
        <f t="shared" si="3"/>
        <v>0</v>
      </c>
      <c r="N69" s="50">
        <f t="shared" si="4"/>
        <v>0</v>
      </c>
    </row>
    <row r="70" spans="1:14" ht="12.75" customHeight="1" x14ac:dyDescent="0.3">
      <c r="A70" s="24">
        <v>11.11</v>
      </c>
      <c r="B70" s="25" t="s">
        <v>83</v>
      </c>
      <c r="C70" s="111" t="s">
        <v>19</v>
      </c>
      <c r="D70" s="35">
        <v>106</v>
      </c>
      <c r="E70" s="181">
        <v>25362</v>
      </c>
      <c r="F70" s="181">
        <f t="shared" si="0"/>
        <v>2688372</v>
      </c>
      <c r="G70" s="186"/>
      <c r="H70" s="252"/>
      <c r="I70" s="250">
        <v>0</v>
      </c>
      <c r="J70" s="250"/>
      <c r="K70" s="251">
        <f t="shared" si="1"/>
        <v>0</v>
      </c>
      <c r="L70" s="50">
        <f t="shared" si="2"/>
        <v>0</v>
      </c>
      <c r="M70" s="50">
        <f t="shared" si="3"/>
        <v>0</v>
      </c>
      <c r="N70" s="50">
        <f t="shared" si="4"/>
        <v>0</v>
      </c>
    </row>
    <row r="71" spans="1:14" ht="12.75" customHeight="1" x14ac:dyDescent="0.3">
      <c r="A71" s="13">
        <v>12</v>
      </c>
      <c r="B71" s="17" t="s">
        <v>84</v>
      </c>
      <c r="C71" s="18"/>
      <c r="D71" s="19"/>
      <c r="E71" s="19"/>
      <c r="F71" s="19"/>
      <c r="G71" s="176">
        <f>+SUM(F72:F74)</f>
        <v>8990052</v>
      </c>
      <c r="H71" s="245">
        <f>+G71/$G$195</f>
        <v>1.0641063580912749E-2</v>
      </c>
      <c r="I71" s="246"/>
      <c r="J71" s="247"/>
      <c r="K71" s="247"/>
      <c r="L71" s="178"/>
      <c r="M71" s="178"/>
      <c r="N71" s="179"/>
    </row>
    <row r="72" spans="1:14" ht="12.75" customHeight="1" x14ac:dyDescent="0.3">
      <c r="A72" s="20">
        <f>+A71+0.01</f>
        <v>12.01</v>
      </c>
      <c r="B72" s="21" t="s">
        <v>85</v>
      </c>
      <c r="C72" s="109" t="s">
        <v>27</v>
      </c>
      <c r="D72" s="94">
        <v>19</v>
      </c>
      <c r="E72" s="181">
        <v>6496</v>
      </c>
      <c r="F72" s="181">
        <f t="shared" si="0"/>
        <v>123424</v>
      </c>
      <c r="H72" s="245"/>
      <c r="I72" s="250">
        <v>0</v>
      </c>
      <c r="J72" s="250"/>
      <c r="K72" s="251">
        <f t="shared" si="1"/>
        <v>0</v>
      </c>
      <c r="L72" s="50">
        <f t="shared" si="2"/>
        <v>0</v>
      </c>
      <c r="M72" s="50">
        <f t="shared" si="3"/>
        <v>0</v>
      </c>
      <c r="N72" s="50">
        <f t="shared" si="4"/>
        <v>0</v>
      </c>
    </row>
    <row r="73" spans="1:14" ht="12.75" customHeight="1" x14ac:dyDescent="0.3">
      <c r="A73" s="106">
        <v>12.02</v>
      </c>
      <c r="B73" s="25" t="s">
        <v>86</v>
      </c>
      <c r="C73" s="114" t="s">
        <v>27</v>
      </c>
      <c r="D73" s="31">
        <v>626</v>
      </c>
      <c r="E73" s="181">
        <v>9059</v>
      </c>
      <c r="F73" s="181">
        <f t="shared" si="0"/>
        <v>5670934</v>
      </c>
      <c r="H73" s="245"/>
      <c r="I73" s="250">
        <v>0</v>
      </c>
      <c r="J73" s="250"/>
      <c r="K73" s="251">
        <f t="shared" si="1"/>
        <v>0</v>
      </c>
      <c r="L73" s="50">
        <f t="shared" si="2"/>
        <v>0</v>
      </c>
      <c r="M73" s="50">
        <f t="shared" si="3"/>
        <v>0</v>
      </c>
      <c r="N73" s="50">
        <f t="shared" si="4"/>
        <v>0</v>
      </c>
    </row>
    <row r="74" spans="1:14" ht="12.75" customHeight="1" x14ac:dyDescent="0.3">
      <c r="A74" s="106">
        <v>12.03</v>
      </c>
      <c r="B74" s="107" t="s">
        <v>87</v>
      </c>
      <c r="C74" s="114" t="s">
        <v>27</v>
      </c>
      <c r="D74" s="35">
        <v>386</v>
      </c>
      <c r="E74" s="181">
        <v>8279</v>
      </c>
      <c r="F74" s="181">
        <f t="shared" ref="F74:F137" si="5">+E74*D74</f>
        <v>3195694</v>
      </c>
      <c r="H74" s="245"/>
      <c r="I74" s="250">
        <v>0</v>
      </c>
      <c r="J74" s="250"/>
      <c r="K74" s="251">
        <f t="shared" ref="K74" si="6">+I74+J74</f>
        <v>0</v>
      </c>
      <c r="L74" s="50">
        <f t="shared" ref="L74" si="7">+F74*I74</f>
        <v>0</v>
      </c>
      <c r="M74" s="50">
        <f t="shared" ref="M74" si="8">+F74*J74</f>
        <v>0</v>
      </c>
      <c r="N74" s="50">
        <f t="shared" ref="N74" si="9">+F74*K74</f>
        <v>0</v>
      </c>
    </row>
    <row r="75" spans="1:14" ht="12.75" customHeight="1" x14ac:dyDescent="0.3">
      <c r="A75" s="13">
        <v>13</v>
      </c>
      <c r="B75" s="17" t="s">
        <v>88</v>
      </c>
      <c r="C75" s="18"/>
      <c r="D75" s="19"/>
      <c r="E75" s="19"/>
      <c r="F75" s="19"/>
      <c r="G75" s="176">
        <f>+SUM(F76:F79)</f>
        <v>14836279</v>
      </c>
      <c r="H75" s="245">
        <f>+G75/$G$195</f>
        <v>1.7560942711250239E-2</v>
      </c>
      <c r="I75" s="246"/>
      <c r="J75" s="247"/>
      <c r="K75" s="247"/>
      <c r="L75" s="178"/>
      <c r="M75" s="178"/>
      <c r="N75" s="179"/>
    </row>
    <row r="76" spans="1:14" ht="12.75" customHeight="1" x14ac:dyDescent="0.3">
      <c r="A76" s="115">
        <v>13.01</v>
      </c>
      <c r="B76" s="116" t="s">
        <v>89</v>
      </c>
      <c r="C76" s="117" t="s">
        <v>19</v>
      </c>
      <c r="D76" s="23">
        <v>413</v>
      </c>
      <c r="E76" s="181">
        <v>30109</v>
      </c>
      <c r="F76" s="181">
        <f t="shared" si="5"/>
        <v>12435017</v>
      </c>
      <c r="H76" s="245"/>
      <c r="I76" s="250">
        <v>0</v>
      </c>
      <c r="J76" s="250"/>
      <c r="K76" s="251">
        <f t="shared" ref="K76:K139" si="10">+I76+J76</f>
        <v>0</v>
      </c>
      <c r="L76" s="50">
        <f t="shared" ref="L76:L139" si="11">+F76*I76</f>
        <v>0</v>
      </c>
      <c r="M76" s="50">
        <f t="shared" ref="M76:M139" si="12">+F76*J76</f>
        <v>0</v>
      </c>
      <c r="N76" s="50">
        <f t="shared" ref="N76:N139" si="13">+F76*K76</f>
        <v>0</v>
      </c>
    </row>
    <row r="77" spans="1:14" ht="12.75" customHeight="1" x14ac:dyDescent="0.3">
      <c r="A77" s="118">
        <v>13.02</v>
      </c>
      <c r="B77" s="119" t="s">
        <v>90</v>
      </c>
      <c r="C77" s="120" t="s">
        <v>19</v>
      </c>
      <c r="D77" s="121">
        <v>18</v>
      </c>
      <c r="E77" s="181">
        <v>30109</v>
      </c>
      <c r="F77" s="181">
        <f t="shared" si="5"/>
        <v>541962</v>
      </c>
      <c r="H77" s="245"/>
      <c r="I77" s="250">
        <v>0</v>
      </c>
      <c r="J77" s="250"/>
      <c r="K77" s="251">
        <f t="shared" si="10"/>
        <v>0</v>
      </c>
      <c r="L77" s="50">
        <f t="shared" si="11"/>
        <v>0</v>
      </c>
      <c r="M77" s="50">
        <f t="shared" si="12"/>
        <v>0</v>
      </c>
      <c r="N77" s="50">
        <f t="shared" si="13"/>
        <v>0</v>
      </c>
    </row>
    <row r="78" spans="1:14" ht="12.75" customHeight="1" x14ac:dyDescent="0.3">
      <c r="A78" s="100">
        <v>13.03</v>
      </c>
      <c r="B78" s="119" t="s">
        <v>91</v>
      </c>
      <c r="C78" s="110" t="s">
        <v>19</v>
      </c>
      <c r="D78" s="31">
        <v>20</v>
      </c>
      <c r="E78" s="181">
        <v>92965</v>
      </c>
      <c r="F78" s="181">
        <f t="shared" si="5"/>
        <v>1859300</v>
      </c>
      <c r="G78" s="186"/>
      <c r="H78" s="252"/>
      <c r="I78" s="250">
        <v>0</v>
      </c>
      <c r="J78" s="250"/>
      <c r="K78" s="251">
        <f t="shared" si="10"/>
        <v>0</v>
      </c>
      <c r="L78" s="50">
        <f t="shared" si="11"/>
        <v>0</v>
      </c>
      <c r="M78" s="50">
        <f t="shared" si="12"/>
        <v>0</v>
      </c>
      <c r="N78" s="50">
        <f t="shared" si="13"/>
        <v>0</v>
      </c>
    </row>
    <row r="79" spans="1:14" ht="12.75" customHeight="1" x14ac:dyDescent="0.3">
      <c r="A79" s="100">
        <v>13.04</v>
      </c>
      <c r="B79" s="25" t="s">
        <v>92</v>
      </c>
      <c r="C79" s="110" t="s">
        <v>19</v>
      </c>
      <c r="D79" s="31">
        <v>0</v>
      </c>
      <c r="E79" s="181">
        <v>0</v>
      </c>
      <c r="F79" s="181">
        <f t="shared" si="5"/>
        <v>0</v>
      </c>
      <c r="G79" s="186"/>
      <c r="H79" s="252"/>
      <c r="I79" s="250">
        <v>0</v>
      </c>
      <c r="J79" s="250"/>
      <c r="K79" s="251">
        <f t="shared" si="10"/>
        <v>0</v>
      </c>
      <c r="L79" s="50">
        <f t="shared" si="11"/>
        <v>0</v>
      </c>
      <c r="M79" s="50">
        <f t="shared" si="12"/>
        <v>0</v>
      </c>
      <c r="N79" s="50">
        <f t="shared" si="13"/>
        <v>0</v>
      </c>
    </row>
    <row r="80" spans="1:14" ht="12.75" customHeight="1" x14ac:dyDescent="0.3">
      <c r="A80" s="13">
        <v>14</v>
      </c>
      <c r="B80" s="17" t="s">
        <v>93</v>
      </c>
      <c r="C80" s="18"/>
      <c r="D80" s="19"/>
      <c r="E80" s="19"/>
      <c r="F80" s="19"/>
      <c r="G80" s="176">
        <f>+SUM(F81:F87)</f>
        <v>33813897</v>
      </c>
      <c r="H80" s="245">
        <f>+G80/$G$195</f>
        <v>4.0023776046616291E-2</v>
      </c>
      <c r="I80" s="246"/>
      <c r="J80" s="247"/>
      <c r="K80" s="247"/>
      <c r="L80" s="178"/>
      <c r="M80" s="178"/>
      <c r="N80" s="179"/>
    </row>
    <row r="81" spans="1:14" ht="12.75" customHeight="1" x14ac:dyDescent="0.3">
      <c r="A81" s="20">
        <f>+A80+0.01</f>
        <v>14.01</v>
      </c>
      <c r="B81" s="21" t="s">
        <v>94</v>
      </c>
      <c r="C81" s="117" t="s">
        <v>19</v>
      </c>
      <c r="D81" s="23">
        <v>460</v>
      </c>
      <c r="E81" s="181">
        <v>23624</v>
      </c>
      <c r="F81" s="181">
        <f t="shared" si="5"/>
        <v>10867040</v>
      </c>
      <c r="H81" s="245"/>
      <c r="I81" s="250">
        <v>0</v>
      </c>
      <c r="J81" s="250"/>
      <c r="K81" s="251">
        <f t="shared" si="10"/>
        <v>0</v>
      </c>
      <c r="L81" s="50">
        <f t="shared" si="11"/>
        <v>0</v>
      </c>
      <c r="M81" s="50">
        <f t="shared" si="12"/>
        <v>0</v>
      </c>
      <c r="N81" s="50">
        <f t="shared" si="13"/>
        <v>0</v>
      </c>
    </row>
    <row r="82" spans="1:14" ht="12.75" customHeight="1" x14ac:dyDescent="0.3">
      <c r="A82" s="106">
        <v>14.02</v>
      </c>
      <c r="B82" s="107" t="s">
        <v>95</v>
      </c>
      <c r="C82" s="120" t="s">
        <v>27</v>
      </c>
      <c r="D82" s="121">
        <v>434</v>
      </c>
      <c r="E82" s="181">
        <v>16659</v>
      </c>
      <c r="F82" s="181">
        <f t="shared" si="5"/>
        <v>7230006</v>
      </c>
      <c r="H82" s="245"/>
      <c r="I82" s="250">
        <v>0</v>
      </c>
      <c r="J82" s="250"/>
      <c r="K82" s="251">
        <f t="shared" si="10"/>
        <v>0</v>
      </c>
      <c r="L82" s="50">
        <f t="shared" si="11"/>
        <v>0</v>
      </c>
      <c r="M82" s="50">
        <f t="shared" si="12"/>
        <v>0</v>
      </c>
      <c r="N82" s="50">
        <f t="shared" si="13"/>
        <v>0</v>
      </c>
    </row>
    <row r="83" spans="1:14" ht="12.75" customHeight="1" x14ac:dyDescent="0.3">
      <c r="A83" s="24">
        <v>14.03</v>
      </c>
      <c r="B83" s="25" t="s">
        <v>96</v>
      </c>
      <c r="C83" s="112" t="s">
        <v>19</v>
      </c>
      <c r="D83" s="27">
        <v>115</v>
      </c>
      <c r="E83" s="181">
        <v>35817</v>
      </c>
      <c r="F83" s="181">
        <f t="shared" si="5"/>
        <v>4118955</v>
      </c>
      <c r="H83" s="245"/>
      <c r="I83" s="250">
        <v>0</v>
      </c>
      <c r="J83" s="250"/>
      <c r="K83" s="251">
        <f t="shared" si="10"/>
        <v>0</v>
      </c>
      <c r="L83" s="50">
        <f t="shared" si="11"/>
        <v>0</v>
      </c>
      <c r="M83" s="50">
        <f t="shared" si="12"/>
        <v>0</v>
      </c>
      <c r="N83" s="50">
        <f t="shared" si="13"/>
        <v>0</v>
      </c>
    </row>
    <row r="84" spans="1:14" ht="12.75" customHeight="1" x14ac:dyDescent="0.3">
      <c r="A84" s="106">
        <v>14.04</v>
      </c>
      <c r="B84" s="25" t="s">
        <v>97</v>
      </c>
      <c r="C84" s="112" t="s">
        <v>19</v>
      </c>
      <c r="D84" s="27">
        <v>89</v>
      </c>
      <c r="E84" s="181">
        <v>41132</v>
      </c>
      <c r="F84" s="181">
        <f t="shared" si="5"/>
        <v>3660748</v>
      </c>
      <c r="H84" s="245"/>
      <c r="I84" s="250">
        <v>0</v>
      </c>
      <c r="J84" s="250"/>
      <c r="K84" s="251">
        <f t="shared" si="10"/>
        <v>0</v>
      </c>
      <c r="L84" s="50">
        <f t="shared" si="11"/>
        <v>0</v>
      </c>
      <c r="M84" s="50">
        <f t="shared" si="12"/>
        <v>0</v>
      </c>
      <c r="N84" s="50">
        <f t="shared" si="13"/>
        <v>0</v>
      </c>
    </row>
    <row r="85" spans="1:14" ht="12.75" customHeight="1" x14ac:dyDescent="0.3">
      <c r="A85" s="24">
        <v>14.05</v>
      </c>
      <c r="B85" s="25" t="s">
        <v>98</v>
      </c>
      <c r="C85" s="112" t="s">
        <v>27</v>
      </c>
      <c r="D85" s="27">
        <v>530</v>
      </c>
      <c r="E85" s="181">
        <v>9274</v>
      </c>
      <c r="F85" s="181">
        <f t="shared" si="5"/>
        <v>4915220</v>
      </c>
      <c r="H85" s="245"/>
      <c r="I85" s="250">
        <v>0</v>
      </c>
      <c r="J85" s="250"/>
      <c r="K85" s="251">
        <f t="shared" si="10"/>
        <v>0</v>
      </c>
      <c r="L85" s="50">
        <f t="shared" si="11"/>
        <v>0</v>
      </c>
      <c r="M85" s="50">
        <f t="shared" si="12"/>
        <v>0</v>
      </c>
      <c r="N85" s="50">
        <f t="shared" si="13"/>
        <v>0</v>
      </c>
    </row>
    <row r="86" spans="1:14" ht="12.75" customHeight="1" x14ac:dyDescent="0.3">
      <c r="A86" s="106">
        <v>14.06</v>
      </c>
      <c r="B86" s="25" t="s">
        <v>99</v>
      </c>
      <c r="C86" s="112" t="s">
        <v>27</v>
      </c>
      <c r="D86" s="27">
        <v>56</v>
      </c>
      <c r="E86" s="181">
        <v>9274</v>
      </c>
      <c r="F86" s="181">
        <f t="shared" si="5"/>
        <v>519344</v>
      </c>
      <c r="H86" s="245"/>
      <c r="I86" s="250">
        <v>0</v>
      </c>
      <c r="J86" s="250"/>
      <c r="K86" s="251">
        <f t="shared" si="10"/>
        <v>0</v>
      </c>
      <c r="L86" s="50">
        <f t="shared" si="11"/>
        <v>0</v>
      </c>
      <c r="M86" s="50">
        <f t="shared" si="12"/>
        <v>0</v>
      </c>
      <c r="N86" s="50">
        <f t="shared" si="13"/>
        <v>0</v>
      </c>
    </row>
    <row r="87" spans="1:14" ht="12.75" customHeight="1" x14ac:dyDescent="0.3">
      <c r="A87" s="24">
        <v>14.07</v>
      </c>
      <c r="B87" s="25" t="s">
        <v>100</v>
      </c>
      <c r="C87" s="112" t="s">
        <v>19</v>
      </c>
      <c r="D87" s="27">
        <v>469</v>
      </c>
      <c r="E87" s="181">
        <v>5336</v>
      </c>
      <c r="F87" s="181">
        <f t="shared" si="5"/>
        <v>2502584</v>
      </c>
      <c r="H87" s="245"/>
      <c r="I87" s="250">
        <v>0</v>
      </c>
      <c r="J87" s="250"/>
      <c r="K87" s="251">
        <f t="shared" si="10"/>
        <v>0</v>
      </c>
      <c r="L87" s="50">
        <f t="shared" si="11"/>
        <v>0</v>
      </c>
      <c r="M87" s="50">
        <f t="shared" si="12"/>
        <v>0</v>
      </c>
      <c r="N87" s="50">
        <f t="shared" si="13"/>
        <v>0</v>
      </c>
    </row>
    <row r="88" spans="1:14" ht="12.75" customHeight="1" x14ac:dyDescent="0.3">
      <c r="A88" s="13">
        <v>15</v>
      </c>
      <c r="B88" s="17" t="s">
        <v>101</v>
      </c>
      <c r="C88" s="18"/>
      <c r="D88" s="19"/>
      <c r="E88" s="19"/>
      <c r="F88" s="19"/>
      <c r="G88" s="176">
        <f>+SUM(F89:F100)</f>
        <v>81675029</v>
      </c>
      <c r="H88" s="245">
        <f>+G88/$G$195</f>
        <v>9.667454388049064E-2</v>
      </c>
      <c r="I88" s="246"/>
      <c r="J88" s="247"/>
      <c r="K88" s="247"/>
      <c r="L88" s="178"/>
      <c r="M88" s="178"/>
      <c r="N88" s="179"/>
    </row>
    <row r="89" spans="1:14" ht="12.75" customHeight="1" x14ac:dyDescent="0.3">
      <c r="A89" s="115">
        <v>15.01</v>
      </c>
      <c r="B89" s="116" t="s">
        <v>102</v>
      </c>
      <c r="C89" s="122" t="s">
        <v>19</v>
      </c>
      <c r="D89" s="123">
        <v>739</v>
      </c>
      <c r="E89" s="181">
        <v>22075</v>
      </c>
      <c r="F89" s="181">
        <f t="shared" si="5"/>
        <v>16313425</v>
      </c>
      <c r="G89" s="186"/>
      <c r="H89" s="253"/>
      <c r="I89" s="250">
        <v>0</v>
      </c>
      <c r="J89" s="250"/>
      <c r="K89" s="251">
        <f t="shared" si="10"/>
        <v>0</v>
      </c>
      <c r="L89" s="50">
        <f t="shared" si="11"/>
        <v>0</v>
      </c>
      <c r="M89" s="50">
        <f t="shared" si="12"/>
        <v>0</v>
      </c>
      <c r="N89" s="50">
        <f t="shared" si="13"/>
        <v>0</v>
      </c>
    </row>
    <row r="90" spans="1:14" ht="12.75" customHeight="1" x14ac:dyDescent="0.3">
      <c r="A90" s="100">
        <v>15.02</v>
      </c>
      <c r="B90" s="25" t="s">
        <v>103</v>
      </c>
      <c r="C90" s="110" t="s">
        <v>19</v>
      </c>
      <c r="D90" s="29">
        <v>1439</v>
      </c>
      <c r="E90" s="181">
        <v>8883</v>
      </c>
      <c r="F90" s="181">
        <f t="shared" si="5"/>
        <v>12782637</v>
      </c>
      <c r="G90" s="186"/>
      <c r="H90" s="253"/>
      <c r="I90" s="250">
        <v>0</v>
      </c>
      <c r="J90" s="250"/>
      <c r="K90" s="251">
        <f t="shared" si="10"/>
        <v>0</v>
      </c>
      <c r="L90" s="50">
        <f t="shared" si="11"/>
        <v>0</v>
      </c>
      <c r="M90" s="50">
        <f t="shared" si="12"/>
        <v>0</v>
      </c>
      <c r="N90" s="50">
        <f t="shared" si="13"/>
        <v>0</v>
      </c>
    </row>
    <row r="91" spans="1:14" ht="12.75" customHeight="1" x14ac:dyDescent="0.3">
      <c r="A91" s="100">
        <v>15.03</v>
      </c>
      <c r="B91" s="25" t="s">
        <v>104</v>
      </c>
      <c r="C91" s="110" t="s">
        <v>19</v>
      </c>
      <c r="D91" s="29">
        <v>462</v>
      </c>
      <c r="E91" s="181">
        <v>14295</v>
      </c>
      <c r="F91" s="181">
        <f t="shared" si="5"/>
        <v>6604290</v>
      </c>
      <c r="G91" s="186"/>
      <c r="H91" s="253"/>
      <c r="I91" s="250">
        <v>0</v>
      </c>
      <c r="J91" s="250"/>
      <c r="K91" s="251">
        <f t="shared" si="10"/>
        <v>0</v>
      </c>
      <c r="L91" s="50">
        <f t="shared" si="11"/>
        <v>0</v>
      </c>
      <c r="M91" s="50">
        <f t="shared" si="12"/>
        <v>0</v>
      </c>
      <c r="N91" s="50">
        <f t="shared" si="13"/>
        <v>0</v>
      </c>
    </row>
    <row r="92" spans="1:14" ht="12.75" customHeight="1" x14ac:dyDescent="0.3">
      <c r="A92" s="100">
        <v>15.04</v>
      </c>
      <c r="B92" s="25" t="s">
        <v>105</v>
      </c>
      <c r="C92" s="110" t="s">
        <v>19</v>
      </c>
      <c r="D92" s="29">
        <v>144</v>
      </c>
      <c r="E92" s="181">
        <v>7538</v>
      </c>
      <c r="F92" s="181">
        <f t="shared" si="5"/>
        <v>1085472</v>
      </c>
      <c r="G92" s="186"/>
      <c r="H92" s="253"/>
      <c r="I92" s="250">
        <v>0</v>
      </c>
      <c r="J92" s="250"/>
      <c r="K92" s="251">
        <f t="shared" si="10"/>
        <v>0</v>
      </c>
      <c r="L92" s="50">
        <f t="shared" si="11"/>
        <v>0</v>
      </c>
      <c r="M92" s="50">
        <f t="shared" si="12"/>
        <v>0</v>
      </c>
      <c r="N92" s="50">
        <f t="shared" si="13"/>
        <v>0</v>
      </c>
    </row>
    <row r="93" spans="1:14" ht="12.75" customHeight="1" x14ac:dyDescent="0.3">
      <c r="A93" s="100">
        <v>15.05</v>
      </c>
      <c r="B93" s="25" t="s">
        <v>106</v>
      </c>
      <c r="C93" s="110" t="s">
        <v>19</v>
      </c>
      <c r="D93" s="29">
        <v>460</v>
      </c>
      <c r="E93" s="181">
        <v>8883</v>
      </c>
      <c r="F93" s="181">
        <f t="shared" si="5"/>
        <v>4086180</v>
      </c>
      <c r="G93" s="186"/>
      <c r="H93" s="253"/>
      <c r="I93" s="250">
        <v>0</v>
      </c>
      <c r="J93" s="250"/>
      <c r="K93" s="251">
        <f t="shared" si="10"/>
        <v>0</v>
      </c>
      <c r="L93" s="50">
        <f t="shared" si="11"/>
        <v>0</v>
      </c>
      <c r="M93" s="50">
        <f t="shared" si="12"/>
        <v>0</v>
      </c>
      <c r="N93" s="50">
        <f t="shared" si="13"/>
        <v>0</v>
      </c>
    </row>
    <row r="94" spans="1:14" ht="12.75" customHeight="1" x14ac:dyDescent="0.3">
      <c r="A94" s="100">
        <v>15.06</v>
      </c>
      <c r="B94" s="25" t="s">
        <v>107</v>
      </c>
      <c r="C94" s="110" t="s">
        <v>19</v>
      </c>
      <c r="D94" s="29">
        <v>204</v>
      </c>
      <c r="E94" s="181">
        <v>15750</v>
      </c>
      <c r="F94" s="181">
        <f t="shared" si="5"/>
        <v>3213000</v>
      </c>
      <c r="G94" s="186"/>
      <c r="H94" s="253"/>
      <c r="I94" s="250">
        <v>0</v>
      </c>
      <c r="J94" s="250"/>
      <c r="K94" s="251">
        <f t="shared" si="10"/>
        <v>0</v>
      </c>
      <c r="L94" s="50">
        <f t="shared" si="11"/>
        <v>0</v>
      </c>
      <c r="M94" s="50">
        <f t="shared" si="12"/>
        <v>0</v>
      </c>
      <c r="N94" s="50">
        <f t="shared" si="13"/>
        <v>0</v>
      </c>
    </row>
    <row r="95" spans="1:14" ht="12.75" customHeight="1" x14ac:dyDescent="0.3">
      <c r="A95" s="100">
        <v>15.07</v>
      </c>
      <c r="B95" s="25" t="s">
        <v>108</v>
      </c>
      <c r="C95" s="28" t="s">
        <v>19</v>
      </c>
      <c r="D95" s="29">
        <v>262</v>
      </c>
      <c r="E95" s="181">
        <v>17154</v>
      </c>
      <c r="F95" s="181">
        <f t="shared" si="5"/>
        <v>4494348</v>
      </c>
      <c r="G95" s="186"/>
      <c r="H95" s="245"/>
      <c r="I95" s="250">
        <v>0</v>
      </c>
      <c r="J95" s="250"/>
      <c r="K95" s="251">
        <f t="shared" si="10"/>
        <v>0</v>
      </c>
      <c r="L95" s="50">
        <f t="shared" si="11"/>
        <v>0</v>
      </c>
      <c r="M95" s="50">
        <f t="shared" si="12"/>
        <v>0</v>
      </c>
      <c r="N95" s="50">
        <f t="shared" si="13"/>
        <v>0</v>
      </c>
    </row>
    <row r="96" spans="1:14" ht="12.75" customHeight="1" x14ac:dyDescent="0.3">
      <c r="A96" s="100">
        <v>15.08</v>
      </c>
      <c r="B96" s="25" t="s">
        <v>109</v>
      </c>
      <c r="C96" s="110" t="s">
        <v>19</v>
      </c>
      <c r="D96" s="31">
        <v>756</v>
      </c>
      <c r="E96" s="181">
        <v>26534</v>
      </c>
      <c r="F96" s="181">
        <f t="shared" si="5"/>
        <v>20059704</v>
      </c>
      <c r="G96" s="186"/>
      <c r="H96" s="252"/>
      <c r="I96" s="250">
        <v>0</v>
      </c>
      <c r="J96" s="250"/>
      <c r="K96" s="251">
        <f t="shared" si="10"/>
        <v>0</v>
      </c>
      <c r="L96" s="50">
        <f t="shared" si="11"/>
        <v>0</v>
      </c>
      <c r="M96" s="50">
        <f t="shared" si="12"/>
        <v>0</v>
      </c>
      <c r="N96" s="50">
        <f t="shared" si="13"/>
        <v>0</v>
      </c>
    </row>
    <row r="97" spans="1:19" ht="12.75" customHeight="1" x14ac:dyDescent="0.3">
      <c r="A97" s="100">
        <v>15.09</v>
      </c>
      <c r="B97" s="25" t="s">
        <v>110</v>
      </c>
      <c r="C97" s="110" t="s">
        <v>19</v>
      </c>
      <c r="D97" s="31">
        <v>56</v>
      </c>
      <c r="E97" s="181">
        <v>31737</v>
      </c>
      <c r="F97" s="181">
        <f t="shared" si="5"/>
        <v>1777272</v>
      </c>
      <c r="G97" s="186"/>
      <c r="H97" s="252"/>
      <c r="I97" s="250">
        <v>0</v>
      </c>
      <c r="J97" s="250"/>
      <c r="K97" s="251">
        <f t="shared" si="10"/>
        <v>0</v>
      </c>
      <c r="L97" s="50">
        <f t="shared" si="11"/>
        <v>0</v>
      </c>
      <c r="M97" s="50">
        <f t="shared" si="12"/>
        <v>0</v>
      </c>
      <c r="N97" s="50">
        <f t="shared" si="13"/>
        <v>0</v>
      </c>
    </row>
    <row r="98" spans="1:19" ht="12.75" customHeight="1" x14ac:dyDescent="0.3">
      <c r="A98" s="100">
        <v>15.1</v>
      </c>
      <c r="B98" s="25" t="s">
        <v>111</v>
      </c>
      <c r="C98" s="110" t="s">
        <v>29</v>
      </c>
      <c r="D98" s="31">
        <v>1</v>
      </c>
      <c r="E98" s="181">
        <v>885031</v>
      </c>
      <c r="F98" s="181">
        <f t="shared" si="5"/>
        <v>885031</v>
      </c>
      <c r="H98" s="245"/>
      <c r="I98" s="250">
        <v>0</v>
      </c>
      <c r="J98" s="250"/>
      <c r="K98" s="251">
        <f t="shared" si="10"/>
        <v>0</v>
      </c>
      <c r="L98" s="50">
        <f t="shared" si="11"/>
        <v>0</v>
      </c>
      <c r="M98" s="50">
        <f t="shared" si="12"/>
        <v>0</v>
      </c>
      <c r="N98" s="50">
        <f t="shared" si="13"/>
        <v>0</v>
      </c>
    </row>
    <row r="99" spans="1:19" ht="12.75" customHeight="1" x14ac:dyDescent="0.3">
      <c r="A99" s="100">
        <v>15.11</v>
      </c>
      <c r="B99" s="25" t="s">
        <v>112</v>
      </c>
      <c r="C99" s="110" t="s">
        <v>52</v>
      </c>
      <c r="D99" s="31">
        <v>73</v>
      </c>
      <c r="E99" s="181">
        <v>83386</v>
      </c>
      <c r="F99" s="181">
        <f t="shared" si="5"/>
        <v>6087178</v>
      </c>
      <c r="H99" s="245"/>
      <c r="I99" s="250">
        <v>0</v>
      </c>
      <c r="J99" s="250"/>
      <c r="K99" s="251">
        <f t="shared" si="10"/>
        <v>0</v>
      </c>
      <c r="L99" s="50">
        <f t="shared" si="11"/>
        <v>0</v>
      </c>
      <c r="M99" s="50">
        <f t="shared" si="12"/>
        <v>0</v>
      </c>
      <c r="N99" s="50">
        <f t="shared" si="13"/>
        <v>0</v>
      </c>
    </row>
    <row r="100" spans="1:19" ht="12.75" customHeight="1" x14ac:dyDescent="0.3">
      <c r="A100" s="100">
        <v>15.12</v>
      </c>
      <c r="B100" s="124" t="s">
        <v>113</v>
      </c>
      <c r="C100" s="111" t="s">
        <v>29</v>
      </c>
      <c r="D100" s="35">
        <v>1</v>
      </c>
      <c r="E100" s="181">
        <v>4286492</v>
      </c>
      <c r="F100" s="181">
        <f t="shared" si="5"/>
        <v>4286492</v>
      </c>
      <c r="H100" s="245"/>
      <c r="I100" s="250">
        <v>0</v>
      </c>
      <c r="J100" s="250"/>
      <c r="K100" s="251">
        <f t="shared" si="10"/>
        <v>0</v>
      </c>
      <c r="L100" s="50">
        <f t="shared" si="11"/>
        <v>0</v>
      </c>
      <c r="M100" s="50">
        <f t="shared" si="12"/>
        <v>0</v>
      </c>
      <c r="N100" s="50">
        <f t="shared" si="13"/>
        <v>0</v>
      </c>
    </row>
    <row r="101" spans="1:19" ht="12.75" customHeight="1" x14ac:dyDescent="0.3">
      <c r="A101" s="13">
        <v>16</v>
      </c>
      <c r="B101" s="125" t="s">
        <v>114</v>
      </c>
      <c r="C101" s="18"/>
      <c r="D101" s="19"/>
      <c r="E101" s="19"/>
      <c r="F101" s="19"/>
      <c r="G101" s="176">
        <f>+SUM(F102)</f>
        <v>0</v>
      </c>
      <c r="H101" s="245">
        <f>+G101/$G$195</f>
        <v>0</v>
      </c>
      <c r="I101" s="246"/>
      <c r="J101" s="247"/>
      <c r="K101" s="247"/>
      <c r="L101" s="178"/>
      <c r="M101" s="178"/>
      <c r="N101" s="179"/>
    </row>
    <row r="102" spans="1:19" ht="12.75" customHeight="1" x14ac:dyDescent="0.3">
      <c r="A102" s="20"/>
      <c r="B102" s="21"/>
      <c r="C102" s="93"/>
      <c r="D102" s="94"/>
      <c r="E102" s="184">
        <v>0</v>
      </c>
      <c r="F102" s="183">
        <f t="shared" si="5"/>
        <v>0</v>
      </c>
      <c r="G102" s="185"/>
      <c r="H102" s="252"/>
      <c r="I102" s="250">
        <v>0</v>
      </c>
      <c r="J102" s="250"/>
      <c r="K102" s="251">
        <f t="shared" si="10"/>
        <v>0</v>
      </c>
      <c r="L102" s="50">
        <f t="shared" si="11"/>
        <v>0</v>
      </c>
      <c r="M102" s="50">
        <f t="shared" si="12"/>
        <v>0</v>
      </c>
      <c r="N102" s="50">
        <f t="shared" si="13"/>
        <v>0</v>
      </c>
    </row>
    <row r="103" spans="1:19" ht="12.75" customHeight="1" x14ac:dyDescent="0.3">
      <c r="A103" s="13">
        <v>17</v>
      </c>
      <c r="B103" s="17" t="s">
        <v>115</v>
      </c>
      <c r="C103" s="18"/>
      <c r="D103" s="19"/>
      <c r="E103" s="19"/>
      <c r="F103" s="19"/>
      <c r="G103" s="176">
        <f>+SUM(F104:F107)</f>
        <v>9415299</v>
      </c>
      <c r="H103" s="245">
        <f>+G103/$G$195</f>
        <v>1.1144406649962005E-2</v>
      </c>
      <c r="I103" s="246"/>
      <c r="J103" s="247"/>
      <c r="K103" s="247"/>
      <c r="L103" s="178"/>
      <c r="M103" s="178"/>
      <c r="N103" s="179"/>
    </row>
    <row r="104" spans="1:19" ht="12.75" customHeight="1" x14ac:dyDescent="0.3">
      <c r="A104" s="20">
        <f>+A103+0.01</f>
        <v>17.010000000000002</v>
      </c>
      <c r="B104" s="126" t="s">
        <v>116</v>
      </c>
      <c r="C104" s="127" t="s">
        <v>33</v>
      </c>
      <c r="D104" s="94">
        <v>57</v>
      </c>
      <c r="E104" s="180">
        <v>79321</v>
      </c>
      <c r="F104" s="180">
        <f t="shared" si="5"/>
        <v>4521297</v>
      </c>
      <c r="G104" s="182"/>
      <c r="H104" s="245"/>
      <c r="I104" s="250">
        <v>0</v>
      </c>
      <c r="J104" s="250"/>
      <c r="K104" s="251">
        <f t="shared" si="10"/>
        <v>0</v>
      </c>
      <c r="L104" s="50">
        <f t="shared" si="11"/>
        <v>0</v>
      </c>
      <c r="M104" s="50">
        <f t="shared" si="12"/>
        <v>0</v>
      </c>
      <c r="N104" s="50">
        <f t="shared" si="13"/>
        <v>0</v>
      </c>
    </row>
    <row r="105" spans="1:19" ht="12.75" customHeight="1" x14ac:dyDescent="0.3">
      <c r="A105" s="24">
        <v>17.02</v>
      </c>
      <c r="B105" s="128" t="s">
        <v>117</v>
      </c>
      <c r="C105" s="129" t="s">
        <v>33</v>
      </c>
      <c r="D105" s="31">
        <v>11</v>
      </c>
      <c r="E105" s="181">
        <v>79321</v>
      </c>
      <c r="F105" s="181">
        <f t="shared" si="5"/>
        <v>872531</v>
      </c>
      <c r="G105" s="182"/>
      <c r="H105" s="245"/>
      <c r="I105" s="250">
        <v>0</v>
      </c>
      <c r="J105" s="250"/>
      <c r="K105" s="251">
        <f t="shared" si="10"/>
        <v>0</v>
      </c>
      <c r="L105" s="50">
        <f t="shared" si="11"/>
        <v>0</v>
      </c>
      <c r="M105" s="50">
        <f t="shared" si="12"/>
        <v>0</v>
      </c>
      <c r="N105" s="50">
        <f t="shared" si="13"/>
        <v>0</v>
      </c>
    </row>
    <row r="106" spans="1:19" ht="12.75" customHeight="1" x14ac:dyDescent="0.3">
      <c r="A106" s="24">
        <v>17.03</v>
      </c>
      <c r="B106" s="128" t="s">
        <v>118</v>
      </c>
      <c r="C106" s="129" t="s">
        <v>33</v>
      </c>
      <c r="D106" s="31">
        <v>65</v>
      </c>
      <c r="E106" s="181">
        <v>51161</v>
      </c>
      <c r="F106" s="181">
        <f t="shared" si="5"/>
        <v>3325465</v>
      </c>
      <c r="G106" s="182"/>
      <c r="H106" s="245"/>
      <c r="I106" s="250">
        <v>0</v>
      </c>
      <c r="J106" s="250"/>
      <c r="K106" s="251">
        <f t="shared" si="10"/>
        <v>0</v>
      </c>
      <c r="L106" s="50">
        <f t="shared" si="11"/>
        <v>0</v>
      </c>
      <c r="M106" s="50">
        <f t="shared" si="12"/>
        <v>0</v>
      </c>
      <c r="N106" s="50">
        <f t="shared" si="13"/>
        <v>0</v>
      </c>
    </row>
    <row r="107" spans="1:19" ht="12.75" customHeight="1" x14ac:dyDescent="0.3">
      <c r="A107" s="130">
        <v>17.04</v>
      </c>
      <c r="B107" s="38" t="s">
        <v>119</v>
      </c>
      <c r="C107" s="34" t="s">
        <v>33</v>
      </c>
      <c r="D107" s="35">
        <v>6</v>
      </c>
      <c r="E107" s="189">
        <v>116001</v>
      </c>
      <c r="F107" s="189">
        <f t="shared" si="5"/>
        <v>696006</v>
      </c>
      <c r="G107" s="182"/>
      <c r="H107" s="245"/>
      <c r="I107" s="250">
        <v>0</v>
      </c>
      <c r="J107" s="250"/>
      <c r="K107" s="251">
        <f t="shared" si="10"/>
        <v>0</v>
      </c>
      <c r="L107" s="50">
        <f t="shared" si="11"/>
        <v>0</v>
      </c>
      <c r="M107" s="50">
        <f t="shared" si="12"/>
        <v>0</v>
      </c>
      <c r="N107" s="50">
        <f t="shared" si="13"/>
        <v>0</v>
      </c>
    </row>
    <row r="108" spans="1:19" ht="12.75" customHeight="1" x14ac:dyDescent="0.3">
      <c r="A108" s="13">
        <v>18</v>
      </c>
      <c r="B108" s="40" t="s">
        <v>120</v>
      </c>
      <c r="C108" s="18"/>
      <c r="D108" s="19"/>
      <c r="E108" s="19"/>
      <c r="F108" s="19"/>
      <c r="G108" s="176">
        <f>+SUM(F109:F141)</f>
        <v>87609553</v>
      </c>
      <c r="H108" s="245">
        <f>+G108/$G$195</f>
        <v>0.10369893564223492</v>
      </c>
      <c r="I108" s="246"/>
      <c r="J108" s="247"/>
      <c r="K108" s="247"/>
      <c r="L108" s="178"/>
      <c r="M108" s="178"/>
      <c r="N108" s="179"/>
    </row>
    <row r="109" spans="1:19" ht="12.75" customHeight="1" x14ac:dyDescent="0.3">
      <c r="A109" s="115">
        <f>+A108+0.01</f>
        <v>18.010000000000002</v>
      </c>
      <c r="B109" s="131" t="s">
        <v>121</v>
      </c>
      <c r="C109" s="132" t="s">
        <v>33</v>
      </c>
      <c r="D109" s="94">
        <v>260</v>
      </c>
      <c r="E109" s="180">
        <v>76531</v>
      </c>
      <c r="F109" s="180">
        <f t="shared" si="5"/>
        <v>19898060</v>
      </c>
      <c r="H109" s="245"/>
      <c r="I109" s="250">
        <v>0.2</v>
      </c>
      <c r="J109" s="250">
        <v>5.5E-2</v>
      </c>
      <c r="K109" s="251">
        <f t="shared" si="10"/>
        <v>0.255</v>
      </c>
      <c r="L109" s="50">
        <f t="shared" si="11"/>
        <v>3979612</v>
      </c>
      <c r="M109" s="50">
        <f t="shared" si="12"/>
        <v>1094393.3</v>
      </c>
      <c r="N109" s="50">
        <f t="shared" si="13"/>
        <v>5074005.3</v>
      </c>
      <c r="Q109" s="263"/>
      <c r="S109" s="262"/>
    </row>
    <row r="110" spans="1:19" ht="12.75" customHeight="1" x14ac:dyDescent="0.3">
      <c r="A110" s="100">
        <v>18.02</v>
      </c>
      <c r="B110" s="98" t="s">
        <v>122</v>
      </c>
      <c r="C110" s="133" t="s">
        <v>33</v>
      </c>
      <c r="D110" s="31">
        <v>62</v>
      </c>
      <c r="E110" s="181">
        <v>73235</v>
      </c>
      <c r="F110" s="181">
        <f t="shared" si="5"/>
        <v>4540570</v>
      </c>
      <c r="H110" s="245"/>
      <c r="I110" s="250">
        <v>0.24</v>
      </c>
      <c r="J110" s="250">
        <v>7.4999999999999997E-2</v>
      </c>
      <c r="K110" s="251">
        <f t="shared" si="10"/>
        <v>0.315</v>
      </c>
      <c r="L110" s="50">
        <f t="shared" si="11"/>
        <v>1089736.8</v>
      </c>
      <c r="M110" s="50">
        <f t="shared" si="12"/>
        <v>340542.75</v>
      </c>
      <c r="N110" s="50">
        <f t="shared" si="13"/>
        <v>1430279.55</v>
      </c>
      <c r="Q110" s="263"/>
      <c r="S110" s="262"/>
    </row>
    <row r="111" spans="1:19" ht="12.75" customHeight="1" x14ac:dyDescent="0.3">
      <c r="A111" s="100">
        <v>18.03</v>
      </c>
      <c r="B111" s="98" t="s">
        <v>123</v>
      </c>
      <c r="C111" s="133" t="s">
        <v>33</v>
      </c>
      <c r="D111" s="31">
        <v>12</v>
      </c>
      <c r="E111" s="181">
        <v>73235</v>
      </c>
      <c r="F111" s="181">
        <f t="shared" si="5"/>
        <v>878820</v>
      </c>
      <c r="H111" s="245"/>
      <c r="I111" s="250">
        <v>0.54999999999999993</v>
      </c>
      <c r="J111" s="250">
        <v>0.105</v>
      </c>
      <c r="K111" s="251">
        <f t="shared" si="10"/>
        <v>0.65499999999999992</v>
      </c>
      <c r="L111" s="50">
        <f t="shared" si="11"/>
        <v>483350.99999999994</v>
      </c>
      <c r="M111" s="50">
        <f t="shared" si="12"/>
        <v>92276.099999999991</v>
      </c>
      <c r="N111" s="50">
        <f t="shared" si="13"/>
        <v>575627.1</v>
      </c>
      <c r="Q111" s="263"/>
      <c r="S111" s="262"/>
    </row>
    <row r="112" spans="1:19" ht="12.75" customHeight="1" x14ac:dyDescent="0.3">
      <c r="A112" s="100">
        <v>18.04</v>
      </c>
      <c r="B112" s="98" t="s">
        <v>124</v>
      </c>
      <c r="C112" s="133" t="s">
        <v>33</v>
      </c>
      <c r="D112" s="31">
        <v>16</v>
      </c>
      <c r="E112" s="181">
        <v>73235</v>
      </c>
      <c r="F112" s="181">
        <f t="shared" si="5"/>
        <v>1171760</v>
      </c>
      <c r="H112" s="245"/>
      <c r="I112" s="250">
        <v>0.44999999999999996</v>
      </c>
      <c r="J112" s="250">
        <v>0.105</v>
      </c>
      <c r="K112" s="251">
        <f t="shared" si="10"/>
        <v>0.55499999999999994</v>
      </c>
      <c r="L112" s="50">
        <f t="shared" si="11"/>
        <v>527292</v>
      </c>
      <c r="M112" s="50">
        <f t="shared" si="12"/>
        <v>123034.79999999999</v>
      </c>
      <c r="N112" s="50">
        <f t="shared" si="13"/>
        <v>650326.79999999993</v>
      </c>
      <c r="Q112" s="263"/>
      <c r="S112" s="262"/>
    </row>
    <row r="113" spans="1:19" ht="12.75" customHeight="1" x14ac:dyDescent="0.3">
      <c r="A113" s="100">
        <v>18.05</v>
      </c>
      <c r="B113" s="98" t="s">
        <v>125</v>
      </c>
      <c r="C113" s="133" t="s">
        <v>33</v>
      </c>
      <c r="D113" s="31">
        <v>1</v>
      </c>
      <c r="E113" s="181">
        <v>73235</v>
      </c>
      <c r="F113" s="181">
        <f t="shared" si="5"/>
        <v>73235</v>
      </c>
      <c r="H113" s="245"/>
      <c r="I113" s="250">
        <v>0.4</v>
      </c>
      <c r="J113" s="250"/>
      <c r="K113" s="251">
        <f t="shared" si="10"/>
        <v>0.4</v>
      </c>
      <c r="L113" s="50">
        <f t="shared" si="11"/>
        <v>29294</v>
      </c>
      <c r="M113" s="50">
        <f t="shared" si="12"/>
        <v>0</v>
      </c>
      <c r="N113" s="50">
        <f t="shared" si="13"/>
        <v>29294</v>
      </c>
    </row>
    <row r="114" spans="1:19" ht="12.75" customHeight="1" x14ac:dyDescent="0.3">
      <c r="A114" s="100">
        <v>18.059999999999999</v>
      </c>
      <c r="B114" s="98" t="s">
        <v>126</v>
      </c>
      <c r="C114" s="133" t="s">
        <v>33</v>
      </c>
      <c r="D114" s="31">
        <v>24</v>
      </c>
      <c r="E114" s="181">
        <v>73235</v>
      </c>
      <c r="F114" s="181">
        <f t="shared" si="5"/>
        <v>1757640</v>
      </c>
      <c r="H114" s="245"/>
      <c r="I114" s="250">
        <v>0.30000000000000004</v>
      </c>
      <c r="J114" s="250">
        <v>0.1</v>
      </c>
      <c r="K114" s="251">
        <f t="shared" si="10"/>
        <v>0.4</v>
      </c>
      <c r="L114" s="50">
        <f t="shared" si="11"/>
        <v>527292.00000000012</v>
      </c>
      <c r="M114" s="50">
        <f t="shared" si="12"/>
        <v>175764</v>
      </c>
      <c r="N114" s="50">
        <f t="shared" si="13"/>
        <v>703056</v>
      </c>
      <c r="P114" s="262"/>
    </row>
    <row r="115" spans="1:19" ht="12.75" customHeight="1" x14ac:dyDescent="0.3">
      <c r="A115" s="100">
        <v>18.07</v>
      </c>
      <c r="B115" s="98" t="s">
        <v>127</v>
      </c>
      <c r="C115" s="133" t="s">
        <v>33</v>
      </c>
      <c r="D115" s="31">
        <v>226</v>
      </c>
      <c r="E115" s="181">
        <v>69154</v>
      </c>
      <c r="F115" s="181">
        <f t="shared" si="5"/>
        <v>15628804</v>
      </c>
      <c r="H115" s="245"/>
      <c r="I115" s="250">
        <v>0.18</v>
      </c>
      <c r="J115" s="250">
        <v>5.2999999999999999E-2</v>
      </c>
      <c r="K115" s="251">
        <f t="shared" si="10"/>
        <v>0.23299999999999998</v>
      </c>
      <c r="L115" s="50">
        <f t="shared" si="11"/>
        <v>2813184.7199999997</v>
      </c>
      <c r="M115" s="50">
        <f t="shared" si="12"/>
        <v>828326.61199999996</v>
      </c>
      <c r="N115" s="50">
        <f t="shared" si="13"/>
        <v>3641511.3319999999</v>
      </c>
      <c r="Q115" s="263"/>
    </row>
    <row r="116" spans="1:19" ht="12.75" customHeight="1" x14ac:dyDescent="0.3">
      <c r="A116" s="100">
        <v>18.079999999999998</v>
      </c>
      <c r="B116" s="98" t="s">
        <v>128</v>
      </c>
      <c r="C116" s="133" t="s">
        <v>33</v>
      </c>
      <c r="D116" s="31">
        <v>32</v>
      </c>
      <c r="E116" s="181">
        <v>95308</v>
      </c>
      <c r="F116" s="181">
        <f t="shared" si="5"/>
        <v>3049856</v>
      </c>
      <c r="H116" s="245"/>
      <c r="I116" s="250">
        <v>0.15000000000000002</v>
      </c>
      <c r="J116" s="250">
        <v>0.05</v>
      </c>
      <c r="K116" s="251">
        <f t="shared" si="10"/>
        <v>0.2</v>
      </c>
      <c r="L116" s="50">
        <f t="shared" si="11"/>
        <v>457478.40000000008</v>
      </c>
      <c r="M116" s="50">
        <f t="shared" si="12"/>
        <v>152492.80000000002</v>
      </c>
      <c r="N116" s="50">
        <f t="shared" si="13"/>
        <v>609971.20000000007</v>
      </c>
    </row>
    <row r="117" spans="1:19" ht="12.75" customHeight="1" x14ac:dyDescent="0.3">
      <c r="A117" s="100">
        <v>18.09</v>
      </c>
      <c r="B117" s="98" t="s">
        <v>129</v>
      </c>
      <c r="C117" s="133" t="s">
        <v>33</v>
      </c>
      <c r="D117" s="31">
        <v>8</v>
      </c>
      <c r="E117" s="181">
        <v>69154</v>
      </c>
      <c r="F117" s="181">
        <f t="shared" si="5"/>
        <v>553232</v>
      </c>
      <c r="H117" s="245"/>
      <c r="I117" s="250">
        <v>0</v>
      </c>
      <c r="J117" s="250"/>
      <c r="K117" s="251">
        <f t="shared" si="10"/>
        <v>0</v>
      </c>
      <c r="L117" s="50">
        <f t="shared" si="11"/>
        <v>0</v>
      </c>
      <c r="M117" s="50">
        <f t="shared" si="12"/>
        <v>0</v>
      </c>
      <c r="N117" s="50">
        <f t="shared" si="13"/>
        <v>0</v>
      </c>
    </row>
    <row r="118" spans="1:19" ht="12.75" customHeight="1" x14ac:dyDescent="0.3">
      <c r="A118" s="100">
        <v>18.100000000000001</v>
      </c>
      <c r="B118" s="98" t="s">
        <v>130</v>
      </c>
      <c r="C118" s="133" t="s">
        <v>33</v>
      </c>
      <c r="D118" s="31">
        <v>8</v>
      </c>
      <c r="E118" s="181">
        <v>69154</v>
      </c>
      <c r="F118" s="181">
        <f t="shared" si="5"/>
        <v>553232</v>
      </c>
      <c r="H118" s="245"/>
      <c r="I118" s="250">
        <v>0.30000000000000004</v>
      </c>
      <c r="J118" s="250">
        <v>0.1</v>
      </c>
      <c r="K118" s="251">
        <f t="shared" si="10"/>
        <v>0.4</v>
      </c>
      <c r="L118" s="50">
        <f t="shared" si="11"/>
        <v>165969.60000000003</v>
      </c>
      <c r="M118" s="50">
        <f t="shared" si="12"/>
        <v>55323.200000000004</v>
      </c>
      <c r="N118" s="50">
        <f t="shared" si="13"/>
        <v>221292.80000000002</v>
      </c>
    </row>
    <row r="119" spans="1:19" ht="12.75" customHeight="1" x14ac:dyDescent="0.3">
      <c r="A119" s="100">
        <v>18.11</v>
      </c>
      <c r="B119" s="98" t="s">
        <v>131</v>
      </c>
      <c r="C119" s="133" t="s">
        <v>33</v>
      </c>
      <c r="D119" s="31">
        <v>26</v>
      </c>
      <c r="E119" s="181">
        <v>50616</v>
      </c>
      <c r="F119" s="181">
        <f t="shared" si="5"/>
        <v>1316016</v>
      </c>
      <c r="H119" s="245"/>
      <c r="I119" s="250">
        <v>0</v>
      </c>
      <c r="J119" s="250"/>
      <c r="K119" s="251">
        <f t="shared" si="10"/>
        <v>0</v>
      </c>
      <c r="L119" s="50">
        <f t="shared" si="11"/>
        <v>0</v>
      </c>
      <c r="M119" s="50">
        <f t="shared" si="12"/>
        <v>0</v>
      </c>
      <c r="N119" s="50">
        <f t="shared" si="13"/>
        <v>0</v>
      </c>
    </row>
    <row r="120" spans="1:19" ht="12.75" customHeight="1" x14ac:dyDescent="0.3">
      <c r="A120" s="100">
        <v>18.12</v>
      </c>
      <c r="B120" s="98" t="s">
        <v>132</v>
      </c>
      <c r="C120" s="133" t="s">
        <v>33</v>
      </c>
      <c r="D120" s="31">
        <v>27</v>
      </c>
      <c r="E120" s="181">
        <v>50616</v>
      </c>
      <c r="F120" s="181">
        <f t="shared" si="5"/>
        <v>1366632</v>
      </c>
      <c r="H120" s="245"/>
      <c r="I120" s="250">
        <v>0.30000000000000004</v>
      </c>
      <c r="J120" s="250">
        <v>0.1</v>
      </c>
      <c r="K120" s="251">
        <f t="shared" si="10"/>
        <v>0.4</v>
      </c>
      <c r="L120" s="50">
        <f t="shared" si="11"/>
        <v>409989.60000000003</v>
      </c>
      <c r="M120" s="50">
        <f t="shared" si="12"/>
        <v>136663.20000000001</v>
      </c>
      <c r="N120" s="50">
        <f t="shared" si="13"/>
        <v>546652.80000000005</v>
      </c>
    </row>
    <row r="121" spans="1:19" ht="12.75" customHeight="1" x14ac:dyDescent="0.3">
      <c r="A121" s="100">
        <v>18.13</v>
      </c>
      <c r="B121" s="98" t="s">
        <v>133</v>
      </c>
      <c r="C121" s="133" t="s">
        <v>33</v>
      </c>
      <c r="D121" s="31">
        <v>9</v>
      </c>
      <c r="E121" s="181">
        <v>50616</v>
      </c>
      <c r="F121" s="181">
        <f t="shared" si="5"/>
        <v>455544</v>
      </c>
      <c r="H121" s="245"/>
      <c r="I121" s="250">
        <v>0</v>
      </c>
      <c r="J121" s="250"/>
      <c r="K121" s="251">
        <f t="shared" si="10"/>
        <v>0</v>
      </c>
      <c r="L121" s="50">
        <f t="shared" si="11"/>
        <v>0</v>
      </c>
      <c r="M121" s="50">
        <f t="shared" si="12"/>
        <v>0</v>
      </c>
      <c r="N121" s="50">
        <f t="shared" si="13"/>
        <v>0</v>
      </c>
    </row>
    <row r="122" spans="1:19" ht="12.75" customHeight="1" x14ac:dyDescent="0.3">
      <c r="A122" s="100">
        <v>18.14</v>
      </c>
      <c r="B122" s="98" t="s">
        <v>134</v>
      </c>
      <c r="C122" s="133" t="s">
        <v>33</v>
      </c>
      <c r="D122" s="31">
        <v>29</v>
      </c>
      <c r="E122" s="181">
        <v>50616</v>
      </c>
      <c r="F122" s="181">
        <f t="shared" si="5"/>
        <v>1467864</v>
      </c>
      <c r="H122" s="245"/>
      <c r="I122" s="250">
        <v>0.30000000000000004</v>
      </c>
      <c r="J122" s="250">
        <v>0.1</v>
      </c>
      <c r="K122" s="251">
        <f t="shared" si="10"/>
        <v>0.4</v>
      </c>
      <c r="L122" s="50">
        <f t="shared" si="11"/>
        <v>440359.20000000007</v>
      </c>
      <c r="M122" s="50">
        <f t="shared" si="12"/>
        <v>146786.4</v>
      </c>
      <c r="N122" s="50">
        <f t="shared" si="13"/>
        <v>587145.6</v>
      </c>
    </row>
    <row r="123" spans="1:19" ht="12.75" customHeight="1" x14ac:dyDescent="0.3">
      <c r="A123" s="100">
        <v>18.149999999999999</v>
      </c>
      <c r="B123" s="98" t="s">
        <v>135</v>
      </c>
      <c r="C123" s="133" t="s">
        <v>33</v>
      </c>
      <c r="D123" s="31">
        <v>3</v>
      </c>
      <c r="E123" s="181">
        <v>50616</v>
      </c>
      <c r="F123" s="181">
        <f t="shared" si="5"/>
        <v>151848</v>
      </c>
      <c r="H123" s="245"/>
      <c r="I123" s="250">
        <v>0.4</v>
      </c>
      <c r="J123" s="250"/>
      <c r="K123" s="251">
        <f t="shared" si="10"/>
        <v>0.4</v>
      </c>
      <c r="L123" s="50">
        <f t="shared" si="11"/>
        <v>60739.200000000004</v>
      </c>
      <c r="M123" s="50">
        <f t="shared" si="12"/>
        <v>0</v>
      </c>
      <c r="N123" s="50">
        <f t="shared" si="13"/>
        <v>60739.200000000004</v>
      </c>
      <c r="Q123" s="263"/>
      <c r="S123" s="262"/>
    </row>
    <row r="124" spans="1:19" ht="12.75" customHeight="1" x14ac:dyDescent="0.3">
      <c r="A124" s="100">
        <v>18.16</v>
      </c>
      <c r="B124" s="98" t="s">
        <v>136</v>
      </c>
      <c r="C124" s="133" t="s">
        <v>33</v>
      </c>
      <c r="D124" s="31">
        <v>1</v>
      </c>
      <c r="E124" s="181">
        <v>2245770</v>
      </c>
      <c r="F124" s="181">
        <f t="shared" si="5"/>
        <v>2245770</v>
      </c>
      <c r="H124" s="245"/>
      <c r="I124" s="250">
        <v>0</v>
      </c>
      <c r="J124" s="250"/>
      <c r="K124" s="251">
        <f t="shared" si="10"/>
        <v>0</v>
      </c>
      <c r="L124" s="50">
        <f t="shared" si="11"/>
        <v>0</v>
      </c>
      <c r="M124" s="50">
        <f t="shared" si="12"/>
        <v>0</v>
      </c>
      <c r="N124" s="50">
        <f t="shared" si="13"/>
        <v>0</v>
      </c>
    </row>
    <row r="125" spans="1:19" ht="12.75" customHeight="1" x14ac:dyDescent="0.3">
      <c r="A125" s="100">
        <v>18.170000000000002</v>
      </c>
      <c r="B125" s="98" t="s">
        <v>137</v>
      </c>
      <c r="C125" s="133" t="s">
        <v>33</v>
      </c>
      <c r="D125" s="31">
        <v>1</v>
      </c>
      <c r="E125" s="181">
        <v>1116033</v>
      </c>
      <c r="F125" s="181">
        <f t="shared" si="5"/>
        <v>1116033</v>
      </c>
      <c r="H125" s="245"/>
      <c r="I125" s="250">
        <v>0</v>
      </c>
      <c r="J125" s="250"/>
      <c r="K125" s="251">
        <f t="shared" si="10"/>
        <v>0</v>
      </c>
      <c r="L125" s="50">
        <f t="shared" si="11"/>
        <v>0</v>
      </c>
      <c r="M125" s="50">
        <f t="shared" si="12"/>
        <v>0</v>
      </c>
      <c r="N125" s="50">
        <f t="shared" si="13"/>
        <v>0</v>
      </c>
    </row>
    <row r="126" spans="1:19" ht="12.75" customHeight="1" x14ac:dyDescent="0.3">
      <c r="A126" s="100">
        <v>18.18</v>
      </c>
      <c r="B126" s="98" t="s">
        <v>138</v>
      </c>
      <c r="C126" s="133" t="s">
        <v>33</v>
      </c>
      <c r="D126" s="31">
        <v>2</v>
      </c>
      <c r="E126" s="181">
        <v>530996</v>
      </c>
      <c r="F126" s="181">
        <f t="shared" si="5"/>
        <v>1061992</v>
      </c>
      <c r="H126" s="245"/>
      <c r="I126" s="250">
        <v>0</v>
      </c>
      <c r="J126" s="250"/>
      <c r="K126" s="251">
        <f t="shared" si="10"/>
        <v>0</v>
      </c>
      <c r="L126" s="50">
        <f t="shared" si="11"/>
        <v>0</v>
      </c>
      <c r="M126" s="50">
        <f t="shared" si="12"/>
        <v>0</v>
      </c>
      <c r="N126" s="50">
        <f t="shared" si="13"/>
        <v>0</v>
      </c>
    </row>
    <row r="127" spans="1:19" ht="12.75" customHeight="1" x14ac:dyDescent="0.3">
      <c r="A127" s="100">
        <v>18.190000000000001</v>
      </c>
      <c r="B127" s="98" t="s">
        <v>139</v>
      </c>
      <c r="C127" s="133" t="s">
        <v>33</v>
      </c>
      <c r="D127" s="31">
        <v>9</v>
      </c>
      <c r="E127" s="181">
        <v>595409</v>
      </c>
      <c r="F127" s="181">
        <f t="shared" si="5"/>
        <v>5358681</v>
      </c>
      <c r="H127" s="245"/>
      <c r="I127" s="250">
        <v>0</v>
      </c>
      <c r="J127" s="250"/>
      <c r="K127" s="251">
        <f t="shared" si="10"/>
        <v>0</v>
      </c>
      <c r="L127" s="50">
        <f t="shared" si="11"/>
        <v>0</v>
      </c>
      <c r="M127" s="50">
        <f t="shared" si="12"/>
        <v>0</v>
      </c>
      <c r="N127" s="50">
        <f t="shared" si="13"/>
        <v>0</v>
      </c>
    </row>
    <row r="128" spans="1:19" ht="12.75" customHeight="1" x14ac:dyDescent="0.3">
      <c r="A128" s="100">
        <v>18.2</v>
      </c>
      <c r="B128" s="98" t="s">
        <v>140</v>
      </c>
      <c r="C128" s="133" t="s">
        <v>29</v>
      </c>
      <c r="D128" s="31">
        <v>1</v>
      </c>
      <c r="E128" s="181">
        <v>6378278</v>
      </c>
      <c r="F128" s="181">
        <f t="shared" si="5"/>
        <v>6378278</v>
      </c>
      <c r="H128" s="245"/>
      <c r="I128" s="250">
        <v>0</v>
      </c>
      <c r="J128" s="250"/>
      <c r="K128" s="251">
        <f t="shared" si="10"/>
        <v>0</v>
      </c>
      <c r="L128" s="50">
        <f t="shared" si="11"/>
        <v>0</v>
      </c>
      <c r="M128" s="50">
        <f t="shared" si="12"/>
        <v>0</v>
      </c>
      <c r="N128" s="50">
        <f t="shared" si="13"/>
        <v>0</v>
      </c>
    </row>
    <row r="129" spans="1:14" ht="12.75" customHeight="1" x14ac:dyDescent="0.3">
      <c r="A129" s="100">
        <v>18.21</v>
      </c>
      <c r="B129" s="98" t="s">
        <v>141</v>
      </c>
      <c r="C129" s="133" t="s">
        <v>29</v>
      </c>
      <c r="D129" s="31">
        <v>1</v>
      </c>
      <c r="E129" s="181">
        <v>1695726</v>
      </c>
      <c r="F129" s="181">
        <f t="shared" si="5"/>
        <v>1695726</v>
      </c>
      <c r="H129" s="245"/>
      <c r="I129" s="250">
        <v>0</v>
      </c>
      <c r="J129" s="250"/>
      <c r="K129" s="251">
        <f t="shared" si="10"/>
        <v>0</v>
      </c>
      <c r="L129" s="50">
        <f t="shared" si="11"/>
        <v>0</v>
      </c>
      <c r="M129" s="50">
        <f t="shared" si="12"/>
        <v>0</v>
      </c>
      <c r="N129" s="50">
        <f t="shared" si="13"/>
        <v>0</v>
      </c>
    </row>
    <row r="130" spans="1:14" ht="12.75" customHeight="1" x14ac:dyDescent="0.3">
      <c r="A130" s="100">
        <v>18.22</v>
      </c>
      <c r="B130" s="98" t="s">
        <v>142</v>
      </c>
      <c r="C130" s="133" t="s">
        <v>29</v>
      </c>
      <c r="D130" s="31">
        <v>1</v>
      </c>
      <c r="E130" s="181">
        <v>1695726</v>
      </c>
      <c r="F130" s="181">
        <f t="shared" si="5"/>
        <v>1695726</v>
      </c>
      <c r="H130" s="245"/>
      <c r="I130" s="250">
        <v>0</v>
      </c>
      <c r="J130" s="250"/>
      <c r="K130" s="251">
        <f t="shared" si="10"/>
        <v>0</v>
      </c>
      <c r="L130" s="50">
        <f t="shared" si="11"/>
        <v>0</v>
      </c>
      <c r="M130" s="50">
        <f t="shared" si="12"/>
        <v>0</v>
      </c>
      <c r="N130" s="50">
        <f t="shared" si="13"/>
        <v>0</v>
      </c>
    </row>
    <row r="131" spans="1:14" ht="12.75" customHeight="1" x14ac:dyDescent="0.3">
      <c r="A131" s="100">
        <v>18.23</v>
      </c>
      <c r="B131" s="98" t="s">
        <v>143</v>
      </c>
      <c r="C131" s="133" t="s">
        <v>33</v>
      </c>
      <c r="D131" s="31">
        <v>16</v>
      </c>
      <c r="E131" s="181">
        <v>15984</v>
      </c>
      <c r="F131" s="181">
        <f t="shared" si="5"/>
        <v>255744</v>
      </c>
      <c r="H131" s="245"/>
      <c r="I131" s="250">
        <v>0</v>
      </c>
      <c r="J131" s="250"/>
      <c r="K131" s="251">
        <f t="shared" si="10"/>
        <v>0</v>
      </c>
      <c r="L131" s="50">
        <f t="shared" si="11"/>
        <v>0</v>
      </c>
      <c r="M131" s="50">
        <f t="shared" si="12"/>
        <v>0</v>
      </c>
      <c r="N131" s="50">
        <f t="shared" si="13"/>
        <v>0</v>
      </c>
    </row>
    <row r="132" spans="1:14" ht="12.75" customHeight="1" x14ac:dyDescent="0.3">
      <c r="A132" s="100">
        <v>18.239999999999998</v>
      </c>
      <c r="B132" s="98" t="s">
        <v>144</v>
      </c>
      <c r="C132" s="133" t="s">
        <v>33</v>
      </c>
      <c r="D132" s="31">
        <v>140</v>
      </c>
      <c r="E132" s="181">
        <v>10416</v>
      </c>
      <c r="F132" s="181">
        <f t="shared" si="5"/>
        <v>1458240</v>
      </c>
      <c r="H132" s="245"/>
      <c r="I132" s="250">
        <v>0</v>
      </c>
      <c r="J132" s="250"/>
      <c r="K132" s="251">
        <f t="shared" si="10"/>
        <v>0</v>
      </c>
      <c r="L132" s="50">
        <f t="shared" si="11"/>
        <v>0</v>
      </c>
      <c r="M132" s="50">
        <f t="shared" si="12"/>
        <v>0</v>
      </c>
      <c r="N132" s="50">
        <f t="shared" si="13"/>
        <v>0</v>
      </c>
    </row>
    <row r="133" spans="1:14" ht="12.75" customHeight="1" x14ac:dyDescent="0.3">
      <c r="A133" s="100">
        <v>18.25</v>
      </c>
      <c r="B133" s="98" t="s">
        <v>145</v>
      </c>
      <c r="C133" s="133" t="s">
        <v>33</v>
      </c>
      <c r="D133" s="31">
        <v>226</v>
      </c>
      <c r="E133" s="181">
        <v>10416</v>
      </c>
      <c r="F133" s="181">
        <f t="shared" si="5"/>
        <v>2354016</v>
      </c>
      <c r="H133" s="245"/>
      <c r="I133" s="250">
        <v>0</v>
      </c>
      <c r="J133" s="250"/>
      <c r="K133" s="251">
        <f t="shared" si="10"/>
        <v>0</v>
      </c>
      <c r="L133" s="50">
        <f t="shared" si="11"/>
        <v>0</v>
      </c>
      <c r="M133" s="50">
        <f t="shared" si="12"/>
        <v>0</v>
      </c>
      <c r="N133" s="50">
        <f t="shared" si="13"/>
        <v>0</v>
      </c>
    </row>
    <row r="134" spans="1:14" ht="12.75" customHeight="1" x14ac:dyDescent="0.3">
      <c r="A134" s="100">
        <v>18.260000000000002</v>
      </c>
      <c r="B134" s="98" t="s">
        <v>146</v>
      </c>
      <c r="C134" s="133" t="s">
        <v>33</v>
      </c>
      <c r="D134" s="31">
        <v>8</v>
      </c>
      <c r="E134" s="181">
        <v>25377</v>
      </c>
      <c r="F134" s="181">
        <f t="shared" si="5"/>
        <v>203016</v>
      </c>
      <c r="H134" s="245"/>
      <c r="I134" s="250">
        <v>0</v>
      </c>
      <c r="J134" s="250"/>
      <c r="K134" s="251">
        <f t="shared" si="10"/>
        <v>0</v>
      </c>
      <c r="L134" s="50">
        <f t="shared" si="11"/>
        <v>0</v>
      </c>
      <c r="M134" s="50">
        <f t="shared" si="12"/>
        <v>0</v>
      </c>
      <c r="N134" s="50">
        <f t="shared" si="13"/>
        <v>0</v>
      </c>
    </row>
    <row r="135" spans="1:14" ht="12.75" customHeight="1" x14ac:dyDescent="0.3">
      <c r="A135" s="100">
        <v>18.27</v>
      </c>
      <c r="B135" s="98" t="s">
        <v>147</v>
      </c>
      <c r="C135" s="133" t="s">
        <v>33</v>
      </c>
      <c r="D135" s="31">
        <v>24</v>
      </c>
      <c r="E135" s="181">
        <v>93081</v>
      </c>
      <c r="F135" s="181">
        <f t="shared" si="5"/>
        <v>2233944</v>
      </c>
      <c r="H135" s="245"/>
      <c r="I135" s="250">
        <v>0</v>
      </c>
      <c r="J135" s="250"/>
      <c r="K135" s="251">
        <f t="shared" si="10"/>
        <v>0</v>
      </c>
      <c r="L135" s="50">
        <f t="shared" si="11"/>
        <v>0</v>
      </c>
      <c r="M135" s="50">
        <f t="shared" si="12"/>
        <v>0</v>
      </c>
      <c r="N135" s="50">
        <f t="shared" si="13"/>
        <v>0</v>
      </c>
    </row>
    <row r="136" spans="1:14" ht="12.75" customHeight="1" x14ac:dyDescent="0.3">
      <c r="A136" s="100">
        <v>18.28</v>
      </c>
      <c r="B136" s="98" t="s">
        <v>148</v>
      </c>
      <c r="C136" s="133" t="s">
        <v>33</v>
      </c>
      <c r="D136" s="31">
        <v>12</v>
      </c>
      <c r="E136" s="181">
        <v>25377</v>
      </c>
      <c r="F136" s="181">
        <f t="shared" si="5"/>
        <v>304524</v>
      </c>
      <c r="H136" s="245"/>
      <c r="I136" s="250">
        <v>0</v>
      </c>
      <c r="J136" s="250"/>
      <c r="K136" s="251">
        <f t="shared" si="10"/>
        <v>0</v>
      </c>
      <c r="L136" s="50">
        <f t="shared" si="11"/>
        <v>0</v>
      </c>
      <c r="M136" s="50">
        <f t="shared" si="12"/>
        <v>0</v>
      </c>
      <c r="N136" s="50">
        <f t="shared" si="13"/>
        <v>0</v>
      </c>
    </row>
    <row r="137" spans="1:14" ht="12.75" customHeight="1" x14ac:dyDescent="0.3">
      <c r="A137" s="100">
        <v>18.2899999999999</v>
      </c>
      <c r="B137" s="98" t="s">
        <v>149</v>
      </c>
      <c r="C137" s="133" t="s">
        <v>33</v>
      </c>
      <c r="D137" s="31">
        <v>1</v>
      </c>
      <c r="E137" s="181">
        <v>25377</v>
      </c>
      <c r="F137" s="181">
        <f t="shared" si="5"/>
        <v>25377</v>
      </c>
      <c r="H137" s="245"/>
      <c r="I137" s="250">
        <v>0</v>
      </c>
      <c r="J137" s="250"/>
      <c r="K137" s="251">
        <f t="shared" si="10"/>
        <v>0</v>
      </c>
      <c r="L137" s="50">
        <f t="shared" si="11"/>
        <v>0</v>
      </c>
      <c r="M137" s="50">
        <f t="shared" si="12"/>
        <v>0</v>
      </c>
      <c r="N137" s="50">
        <f t="shared" si="13"/>
        <v>0</v>
      </c>
    </row>
    <row r="138" spans="1:14" ht="12.75" customHeight="1" x14ac:dyDescent="0.3">
      <c r="A138" s="100">
        <v>18.299999999999901</v>
      </c>
      <c r="B138" s="98" t="s">
        <v>150</v>
      </c>
      <c r="C138" s="133" t="s">
        <v>33</v>
      </c>
      <c r="D138" s="31">
        <v>109</v>
      </c>
      <c r="E138" s="181">
        <v>15984</v>
      </c>
      <c r="F138" s="181">
        <f t="shared" ref="F138:F194" si="14">+E138*D138</f>
        <v>1742256</v>
      </c>
      <c r="H138" s="245"/>
      <c r="I138" s="250">
        <v>0</v>
      </c>
      <c r="J138" s="250"/>
      <c r="K138" s="251">
        <f t="shared" si="10"/>
        <v>0</v>
      </c>
      <c r="L138" s="50">
        <f t="shared" si="11"/>
        <v>0</v>
      </c>
      <c r="M138" s="50">
        <f t="shared" si="12"/>
        <v>0</v>
      </c>
      <c r="N138" s="50">
        <f t="shared" si="13"/>
        <v>0</v>
      </c>
    </row>
    <row r="139" spans="1:14" ht="12.75" customHeight="1" x14ac:dyDescent="0.3">
      <c r="A139" s="100">
        <v>18.309999999999899</v>
      </c>
      <c r="B139" s="98" t="s">
        <v>151</v>
      </c>
      <c r="C139" s="133" t="s">
        <v>29</v>
      </c>
      <c r="D139" s="31">
        <v>1</v>
      </c>
      <c r="E139" s="181">
        <v>5516929</v>
      </c>
      <c r="F139" s="181">
        <f t="shared" si="14"/>
        <v>5516929</v>
      </c>
      <c r="H139" s="245"/>
      <c r="I139" s="250">
        <v>0</v>
      </c>
      <c r="J139" s="250"/>
      <c r="K139" s="251">
        <f t="shared" si="10"/>
        <v>0</v>
      </c>
      <c r="L139" s="50">
        <f t="shared" si="11"/>
        <v>0</v>
      </c>
      <c r="M139" s="50">
        <f t="shared" si="12"/>
        <v>0</v>
      </c>
      <c r="N139" s="50">
        <f t="shared" si="13"/>
        <v>0</v>
      </c>
    </row>
    <row r="140" spans="1:14" ht="12.75" customHeight="1" x14ac:dyDescent="0.3">
      <c r="A140" s="100">
        <v>18.319999999999901</v>
      </c>
      <c r="B140" s="98" t="s">
        <v>152</v>
      </c>
      <c r="C140" s="133" t="s">
        <v>29</v>
      </c>
      <c r="D140" s="31">
        <v>1</v>
      </c>
      <c r="E140" s="181">
        <v>957554</v>
      </c>
      <c r="F140" s="181">
        <f t="shared" si="14"/>
        <v>957554</v>
      </c>
      <c r="H140" s="245"/>
      <c r="I140" s="250">
        <v>0</v>
      </c>
      <c r="J140" s="250"/>
      <c r="K140" s="251">
        <f t="shared" ref="K140:K194" si="15">+I140+J140</f>
        <v>0</v>
      </c>
      <c r="L140" s="50">
        <f t="shared" ref="L140:L194" si="16">+F140*I140</f>
        <v>0</v>
      </c>
      <c r="M140" s="50">
        <f t="shared" ref="M140:M194" si="17">+F140*J140</f>
        <v>0</v>
      </c>
      <c r="N140" s="50">
        <f t="shared" ref="N140:N194" si="18">+F140*K140</f>
        <v>0</v>
      </c>
    </row>
    <row r="141" spans="1:14" ht="12.75" customHeight="1" x14ac:dyDescent="0.3">
      <c r="A141" s="100">
        <v>18.329999999999899</v>
      </c>
      <c r="B141" s="134" t="s">
        <v>153</v>
      </c>
      <c r="C141" s="135" t="s">
        <v>29</v>
      </c>
      <c r="D141" s="35">
        <v>1</v>
      </c>
      <c r="E141" s="181">
        <v>142634</v>
      </c>
      <c r="F141" s="181">
        <f t="shared" si="14"/>
        <v>142634</v>
      </c>
      <c r="H141" s="245"/>
      <c r="I141" s="250">
        <v>0</v>
      </c>
      <c r="J141" s="250"/>
      <c r="K141" s="251">
        <f t="shared" si="15"/>
        <v>0</v>
      </c>
      <c r="L141" s="50">
        <f t="shared" si="16"/>
        <v>0</v>
      </c>
      <c r="M141" s="50">
        <f t="shared" si="17"/>
        <v>0</v>
      </c>
      <c r="N141" s="50">
        <f t="shared" si="18"/>
        <v>0</v>
      </c>
    </row>
    <row r="142" spans="1:14" ht="12.75" customHeight="1" x14ac:dyDescent="0.3">
      <c r="A142" s="13">
        <v>19</v>
      </c>
      <c r="B142" s="40" t="s">
        <v>154</v>
      </c>
      <c r="C142" s="18"/>
      <c r="D142" s="19"/>
      <c r="E142" s="190"/>
      <c r="F142" s="190"/>
      <c r="G142" s="191"/>
      <c r="H142" s="245"/>
      <c r="I142" s="246"/>
      <c r="J142" s="247"/>
      <c r="K142" s="247"/>
      <c r="L142" s="178"/>
      <c r="M142" s="178"/>
      <c r="N142" s="179"/>
    </row>
    <row r="143" spans="1:14" ht="12.75" customHeight="1" x14ac:dyDescent="0.3">
      <c r="A143" s="13"/>
      <c r="B143" s="40" t="s">
        <v>155</v>
      </c>
      <c r="C143" s="18"/>
      <c r="D143" s="19"/>
      <c r="E143" s="19"/>
      <c r="F143" s="19"/>
      <c r="G143" s="192">
        <f>+SUM(F144:F146)</f>
        <v>21227962</v>
      </c>
      <c r="H143" s="245">
        <f>+G143/$G$195</f>
        <v>2.5126450140132647E-2</v>
      </c>
      <c r="I143" s="246"/>
      <c r="J143" s="247"/>
      <c r="K143" s="247"/>
      <c r="L143" s="178"/>
      <c r="M143" s="178"/>
      <c r="N143" s="179"/>
    </row>
    <row r="144" spans="1:14" ht="12.75" customHeight="1" x14ac:dyDescent="0.3">
      <c r="A144" s="20">
        <v>19.010000000000002</v>
      </c>
      <c r="B144" s="136" t="s">
        <v>156</v>
      </c>
      <c r="C144" s="122" t="s">
        <v>29</v>
      </c>
      <c r="D144" s="123">
        <v>1</v>
      </c>
      <c r="E144" s="183">
        <v>6793844</v>
      </c>
      <c r="F144" s="183">
        <f t="shared" si="14"/>
        <v>6793844</v>
      </c>
      <c r="H144" s="245"/>
      <c r="I144" s="250">
        <v>0</v>
      </c>
      <c r="J144" s="250"/>
      <c r="K144" s="251">
        <f t="shared" si="15"/>
        <v>0</v>
      </c>
      <c r="L144" s="50">
        <f t="shared" si="16"/>
        <v>0</v>
      </c>
      <c r="M144" s="50">
        <f t="shared" si="17"/>
        <v>0</v>
      </c>
      <c r="N144" s="50">
        <f t="shared" si="18"/>
        <v>0</v>
      </c>
    </row>
    <row r="145" spans="1:14" ht="12.75" customHeight="1" x14ac:dyDescent="0.3">
      <c r="A145" s="24">
        <v>19.02</v>
      </c>
      <c r="B145" s="36" t="s">
        <v>157</v>
      </c>
      <c r="C145" s="28" t="s">
        <v>29</v>
      </c>
      <c r="D145" s="29">
        <v>1</v>
      </c>
      <c r="E145" s="181">
        <v>9552583</v>
      </c>
      <c r="F145" s="181">
        <f t="shared" si="14"/>
        <v>9552583</v>
      </c>
      <c r="H145" s="245"/>
      <c r="I145" s="250">
        <v>0</v>
      </c>
      <c r="J145" s="250"/>
      <c r="K145" s="251">
        <f t="shared" si="15"/>
        <v>0</v>
      </c>
      <c r="L145" s="50">
        <f t="shared" si="16"/>
        <v>0</v>
      </c>
      <c r="M145" s="50">
        <f t="shared" si="17"/>
        <v>0</v>
      </c>
      <c r="N145" s="50">
        <f t="shared" si="18"/>
        <v>0</v>
      </c>
    </row>
    <row r="146" spans="1:14" ht="12.75" customHeight="1" x14ac:dyDescent="0.3">
      <c r="A146" s="33">
        <v>19.03</v>
      </c>
      <c r="B146" s="137" t="s">
        <v>158</v>
      </c>
      <c r="C146" s="138" t="s">
        <v>29</v>
      </c>
      <c r="D146" s="139">
        <v>1</v>
      </c>
      <c r="E146" s="181">
        <v>4881535</v>
      </c>
      <c r="F146" s="181">
        <f t="shared" si="14"/>
        <v>4881535</v>
      </c>
      <c r="H146" s="245"/>
      <c r="I146" s="250">
        <v>0</v>
      </c>
      <c r="J146" s="250"/>
      <c r="K146" s="251">
        <f t="shared" si="15"/>
        <v>0</v>
      </c>
      <c r="L146" s="50">
        <f t="shared" si="16"/>
        <v>0</v>
      </c>
      <c r="M146" s="50">
        <f t="shared" si="17"/>
        <v>0</v>
      </c>
      <c r="N146" s="50">
        <f t="shared" si="18"/>
        <v>0</v>
      </c>
    </row>
    <row r="147" spans="1:14" ht="12.75" customHeight="1" x14ac:dyDescent="0.3">
      <c r="A147" s="140"/>
      <c r="B147" s="141" t="s">
        <v>159</v>
      </c>
      <c r="C147" s="11"/>
      <c r="D147" s="12"/>
      <c r="E147" s="19"/>
      <c r="F147" s="19"/>
      <c r="G147" s="192">
        <f>+SUM(F148:F150)</f>
        <v>7075989</v>
      </c>
      <c r="H147" s="245">
        <f>+G147/$G$195</f>
        <v>8.3754853527920892E-3</v>
      </c>
      <c r="I147" s="246"/>
      <c r="J147" s="247"/>
      <c r="K147" s="247"/>
      <c r="L147" s="178"/>
      <c r="M147" s="178"/>
      <c r="N147" s="179"/>
    </row>
    <row r="148" spans="1:14" ht="12.75" customHeight="1" x14ac:dyDescent="0.3">
      <c r="A148" s="20">
        <v>19.04</v>
      </c>
      <c r="B148" s="136" t="s">
        <v>160</v>
      </c>
      <c r="C148" s="122" t="s">
        <v>29</v>
      </c>
      <c r="D148" s="123">
        <v>1</v>
      </c>
      <c r="E148" s="181">
        <v>2476596</v>
      </c>
      <c r="F148" s="181">
        <f t="shared" si="14"/>
        <v>2476596</v>
      </c>
      <c r="H148" s="245"/>
      <c r="I148" s="250">
        <v>0</v>
      </c>
      <c r="J148" s="250"/>
      <c r="K148" s="251">
        <f t="shared" si="15"/>
        <v>0</v>
      </c>
      <c r="L148" s="50">
        <f t="shared" si="16"/>
        <v>0</v>
      </c>
      <c r="M148" s="50">
        <f t="shared" si="17"/>
        <v>0</v>
      </c>
      <c r="N148" s="50">
        <f t="shared" si="18"/>
        <v>0</v>
      </c>
    </row>
    <row r="149" spans="1:14" ht="12.75" customHeight="1" x14ac:dyDescent="0.3">
      <c r="A149" s="24">
        <v>19.05</v>
      </c>
      <c r="B149" s="36" t="s">
        <v>161</v>
      </c>
      <c r="C149" s="28" t="s">
        <v>29</v>
      </c>
      <c r="D149" s="29">
        <v>1</v>
      </c>
      <c r="E149" s="181">
        <v>3537994</v>
      </c>
      <c r="F149" s="181">
        <f t="shared" si="14"/>
        <v>3537994</v>
      </c>
      <c r="H149" s="245"/>
      <c r="I149" s="250">
        <v>0</v>
      </c>
      <c r="J149" s="250"/>
      <c r="K149" s="251">
        <f t="shared" si="15"/>
        <v>0</v>
      </c>
      <c r="L149" s="50">
        <f t="shared" si="16"/>
        <v>0</v>
      </c>
      <c r="M149" s="50">
        <f t="shared" si="17"/>
        <v>0</v>
      </c>
      <c r="N149" s="50">
        <f t="shared" si="18"/>
        <v>0</v>
      </c>
    </row>
    <row r="150" spans="1:14" ht="12.75" customHeight="1" x14ac:dyDescent="0.3">
      <c r="A150" s="33">
        <v>19.059999999999999</v>
      </c>
      <c r="B150" s="137" t="s">
        <v>162</v>
      </c>
      <c r="C150" s="138" t="s">
        <v>29</v>
      </c>
      <c r="D150" s="139">
        <v>1</v>
      </c>
      <c r="E150" s="181">
        <v>1061399</v>
      </c>
      <c r="F150" s="181">
        <f t="shared" si="14"/>
        <v>1061399</v>
      </c>
      <c r="H150" s="245"/>
      <c r="I150" s="250">
        <v>0</v>
      </c>
      <c r="J150" s="250"/>
      <c r="K150" s="251">
        <f t="shared" si="15"/>
        <v>0</v>
      </c>
      <c r="L150" s="50">
        <f t="shared" si="16"/>
        <v>0</v>
      </c>
      <c r="M150" s="50">
        <f t="shared" si="17"/>
        <v>0</v>
      </c>
      <c r="N150" s="50">
        <f t="shared" si="18"/>
        <v>0</v>
      </c>
    </row>
    <row r="151" spans="1:14" ht="12.75" customHeight="1" x14ac:dyDescent="0.3">
      <c r="A151" s="13"/>
      <c r="B151" s="40" t="s">
        <v>163</v>
      </c>
      <c r="C151" s="18"/>
      <c r="D151" s="19"/>
      <c r="E151" s="19"/>
      <c r="F151" s="19"/>
      <c r="G151" s="192">
        <f>+SUM(F152:F156)</f>
        <v>34829620</v>
      </c>
      <c r="H151" s="245">
        <f>+G151/$G$195</f>
        <v>4.1226035279777064E-2</v>
      </c>
      <c r="I151" s="246"/>
      <c r="J151" s="247"/>
      <c r="K151" s="247"/>
      <c r="L151" s="178"/>
      <c r="M151" s="178"/>
      <c r="N151" s="179"/>
    </row>
    <row r="152" spans="1:14" ht="12.75" customHeight="1" x14ac:dyDescent="0.3">
      <c r="A152" s="115">
        <v>19.07</v>
      </c>
      <c r="B152" s="142" t="s">
        <v>164</v>
      </c>
      <c r="C152" s="122" t="s">
        <v>29</v>
      </c>
      <c r="D152" s="123">
        <v>1</v>
      </c>
      <c r="E152" s="180">
        <v>3263223</v>
      </c>
      <c r="F152" s="180">
        <f t="shared" si="14"/>
        <v>3263223</v>
      </c>
      <c r="H152" s="245"/>
      <c r="I152" s="250">
        <v>0</v>
      </c>
      <c r="J152" s="250"/>
      <c r="K152" s="251">
        <f t="shared" si="15"/>
        <v>0</v>
      </c>
      <c r="L152" s="50">
        <f t="shared" si="16"/>
        <v>0</v>
      </c>
      <c r="M152" s="50">
        <f t="shared" si="17"/>
        <v>0</v>
      </c>
      <c r="N152" s="50">
        <f t="shared" si="18"/>
        <v>0</v>
      </c>
    </row>
    <row r="153" spans="1:14" ht="12.75" customHeight="1" x14ac:dyDescent="0.3">
      <c r="A153" s="100">
        <v>19.079999999999998</v>
      </c>
      <c r="B153" s="143" t="s">
        <v>165</v>
      </c>
      <c r="C153" s="28" t="s">
        <v>29</v>
      </c>
      <c r="D153" s="29">
        <v>1</v>
      </c>
      <c r="E153" s="181">
        <v>3665831</v>
      </c>
      <c r="F153" s="181">
        <f t="shared" si="14"/>
        <v>3665831</v>
      </c>
      <c r="H153" s="245"/>
      <c r="I153" s="250">
        <v>0</v>
      </c>
      <c r="J153" s="250"/>
      <c r="K153" s="251">
        <f t="shared" si="15"/>
        <v>0</v>
      </c>
      <c r="L153" s="50">
        <f t="shared" si="16"/>
        <v>0</v>
      </c>
      <c r="M153" s="50">
        <f t="shared" si="17"/>
        <v>0</v>
      </c>
      <c r="N153" s="50">
        <f t="shared" si="18"/>
        <v>0</v>
      </c>
    </row>
    <row r="154" spans="1:14" ht="12.75" customHeight="1" x14ac:dyDescent="0.3">
      <c r="A154" s="100">
        <v>19.09</v>
      </c>
      <c r="B154" s="144" t="s">
        <v>166</v>
      </c>
      <c r="C154" s="28" t="s">
        <v>29</v>
      </c>
      <c r="D154" s="29">
        <v>1</v>
      </c>
      <c r="E154" s="181">
        <v>3263223</v>
      </c>
      <c r="F154" s="181">
        <f t="shared" si="14"/>
        <v>3263223</v>
      </c>
      <c r="H154" s="245"/>
      <c r="I154" s="250">
        <v>0</v>
      </c>
      <c r="J154" s="250"/>
      <c r="K154" s="251">
        <f t="shared" si="15"/>
        <v>0</v>
      </c>
      <c r="L154" s="50">
        <f t="shared" si="16"/>
        <v>0</v>
      </c>
      <c r="M154" s="50">
        <f t="shared" si="17"/>
        <v>0</v>
      </c>
      <c r="N154" s="50">
        <f t="shared" si="18"/>
        <v>0</v>
      </c>
    </row>
    <row r="155" spans="1:14" ht="12.75" customHeight="1" x14ac:dyDescent="0.3">
      <c r="A155" s="100">
        <v>19.100000000000001</v>
      </c>
      <c r="B155" s="143" t="s">
        <v>167</v>
      </c>
      <c r="C155" s="28" t="s">
        <v>29</v>
      </c>
      <c r="D155" s="29">
        <v>1</v>
      </c>
      <c r="E155" s="181">
        <v>18413869</v>
      </c>
      <c r="F155" s="181">
        <f t="shared" si="14"/>
        <v>18413869</v>
      </c>
      <c r="H155" s="245"/>
      <c r="I155" s="250">
        <v>0</v>
      </c>
      <c r="J155" s="250"/>
      <c r="K155" s="251">
        <f t="shared" si="15"/>
        <v>0</v>
      </c>
      <c r="L155" s="50">
        <f t="shared" si="16"/>
        <v>0</v>
      </c>
      <c r="M155" s="50">
        <f t="shared" si="17"/>
        <v>0</v>
      </c>
      <c r="N155" s="50">
        <f t="shared" si="18"/>
        <v>0</v>
      </c>
    </row>
    <row r="156" spans="1:14" ht="12.75" customHeight="1" x14ac:dyDescent="0.3">
      <c r="A156" s="100">
        <v>19.11</v>
      </c>
      <c r="B156" s="145" t="s">
        <v>168</v>
      </c>
      <c r="C156" s="138" t="s">
        <v>29</v>
      </c>
      <c r="D156" s="139">
        <v>1</v>
      </c>
      <c r="E156" s="189">
        <v>6223474</v>
      </c>
      <c r="F156" s="189">
        <f t="shared" si="14"/>
        <v>6223474</v>
      </c>
      <c r="H156" s="245"/>
      <c r="I156" s="250">
        <v>0</v>
      </c>
      <c r="J156" s="250"/>
      <c r="K156" s="251">
        <f t="shared" si="15"/>
        <v>0</v>
      </c>
      <c r="L156" s="50">
        <f t="shared" si="16"/>
        <v>0</v>
      </c>
      <c r="M156" s="50">
        <f t="shared" si="17"/>
        <v>0</v>
      </c>
      <c r="N156" s="50">
        <f t="shared" si="18"/>
        <v>0</v>
      </c>
    </row>
    <row r="157" spans="1:14" ht="12.75" customHeight="1" x14ac:dyDescent="0.3">
      <c r="A157" s="13"/>
      <c r="B157" s="40" t="s">
        <v>169</v>
      </c>
      <c r="C157" s="18"/>
      <c r="D157" s="19"/>
      <c r="E157" s="19"/>
      <c r="F157" s="19"/>
      <c r="G157" s="192">
        <f>+SUM(F158)</f>
        <v>2637801</v>
      </c>
      <c r="H157" s="245">
        <f>+G157/$G$195</f>
        <v>3.1222297885257206E-3</v>
      </c>
      <c r="I157" s="246"/>
      <c r="J157" s="247"/>
      <c r="K157" s="247"/>
      <c r="L157" s="178"/>
      <c r="M157" s="178"/>
      <c r="N157" s="179"/>
    </row>
    <row r="158" spans="1:14" ht="12.75" customHeight="1" x14ac:dyDescent="0.3">
      <c r="A158" s="24">
        <v>19.12</v>
      </c>
      <c r="B158" s="36" t="s">
        <v>170</v>
      </c>
      <c r="C158" s="28" t="s">
        <v>29</v>
      </c>
      <c r="D158" s="29">
        <v>1</v>
      </c>
      <c r="E158" s="181">
        <v>2637801</v>
      </c>
      <c r="F158" s="181">
        <f t="shared" si="14"/>
        <v>2637801</v>
      </c>
      <c r="H158" s="245"/>
      <c r="I158" s="250">
        <v>0</v>
      </c>
      <c r="J158" s="250"/>
      <c r="K158" s="251">
        <f t="shared" si="15"/>
        <v>0</v>
      </c>
      <c r="L158" s="50">
        <f t="shared" si="16"/>
        <v>0</v>
      </c>
      <c r="M158" s="50">
        <f t="shared" si="17"/>
        <v>0</v>
      </c>
      <c r="N158" s="50">
        <f t="shared" si="18"/>
        <v>0</v>
      </c>
    </row>
    <row r="159" spans="1:14" ht="12.75" customHeight="1" x14ac:dyDescent="0.3">
      <c r="A159" s="13"/>
      <c r="B159" s="40" t="s">
        <v>171</v>
      </c>
      <c r="C159" s="18"/>
      <c r="D159" s="19"/>
      <c r="E159" s="19"/>
      <c r="F159" s="19"/>
      <c r="G159" s="192">
        <f>+SUM(F160:F161)</f>
        <v>39784561</v>
      </c>
      <c r="H159" s="245">
        <f>+G159/$G$195</f>
        <v>4.7090944873255651E-2</v>
      </c>
      <c r="I159" s="246"/>
      <c r="J159" s="247"/>
      <c r="K159" s="247"/>
      <c r="L159" s="178"/>
      <c r="M159" s="178"/>
      <c r="N159" s="179"/>
    </row>
    <row r="160" spans="1:14" ht="12.75" customHeight="1" x14ac:dyDescent="0.3">
      <c r="A160" s="20">
        <v>19.13</v>
      </c>
      <c r="B160" s="136" t="s">
        <v>172</v>
      </c>
      <c r="C160" s="122" t="s">
        <v>29</v>
      </c>
      <c r="D160" s="123">
        <v>1</v>
      </c>
      <c r="E160" s="181">
        <v>36002858</v>
      </c>
      <c r="F160" s="181">
        <f t="shared" si="14"/>
        <v>36002858</v>
      </c>
      <c r="H160" s="245"/>
      <c r="I160" s="250">
        <v>0</v>
      </c>
      <c r="J160" s="250"/>
      <c r="K160" s="251">
        <f t="shared" si="15"/>
        <v>0</v>
      </c>
      <c r="L160" s="50">
        <f t="shared" si="16"/>
        <v>0</v>
      </c>
      <c r="M160" s="50">
        <f t="shared" si="17"/>
        <v>0</v>
      </c>
      <c r="N160" s="50">
        <f t="shared" si="18"/>
        <v>0</v>
      </c>
    </row>
    <row r="161" spans="1:14" ht="12.75" customHeight="1" x14ac:dyDescent="0.3">
      <c r="A161" s="33">
        <v>19.14</v>
      </c>
      <c r="B161" s="137" t="s">
        <v>173</v>
      </c>
      <c r="C161" s="138" t="s">
        <v>29</v>
      </c>
      <c r="D161" s="139">
        <v>1</v>
      </c>
      <c r="E161" s="181">
        <v>3781703</v>
      </c>
      <c r="F161" s="181">
        <f t="shared" si="14"/>
        <v>3781703</v>
      </c>
      <c r="H161" s="245"/>
      <c r="I161" s="250">
        <v>0</v>
      </c>
      <c r="J161" s="250"/>
      <c r="K161" s="251">
        <f t="shared" si="15"/>
        <v>0</v>
      </c>
      <c r="L161" s="50">
        <f t="shared" si="16"/>
        <v>0</v>
      </c>
      <c r="M161" s="50">
        <f t="shared" si="17"/>
        <v>0</v>
      </c>
      <c r="N161" s="50">
        <f t="shared" si="18"/>
        <v>0</v>
      </c>
    </row>
    <row r="162" spans="1:14" ht="12.75" customHeight="1" x14ac:dyDescent="0.3">
      <c r="A162" s="13"/>
      <c r="B162" s="40" t="s">
        <v>174</v>
      </c>
      <c r="C162" s="18"/>
      <c r="D162" s="19"/>
      <c r="E162" s="19"/>
      <c r="F162" s="19"/>
      <c r="G162" s="192">
        <f>+SUM(F163)</f>
        <v>6439007</v>
      </c>
      <c r="H162" s="245">
        <f>+G162/$G$195</f>
        <v>7.6215224211097178E-3</v>
      </c>
      <c r="I162" s="246"/>
      <c r="J162" s="247"/>
      <c r="K162" s="247"/>
      <c r="L162" s="178"/>
      <c r="M162" s="178"/>
      <c r="N162" s="179"/>
    </row>
    <row r="163" spans="1:14" ht="12.75" customHeight="1" x14ac:dyDescent="0.3">
      <c r="A163" s="24">
        <v>19.149999999999999</v>
      </c>
      <c r="B163" s="98" t="s">
        <v>175</v>
      </c>
      <c r="C163" s="28" t="s">
        <v>29</v>
      </c>
      <c r="D163" s="29">
        <v>1</v>
      </c>
      <c r="E163" s="181">
        <v>6439007</v>
      </c>
      <c r="F163" s="181">
        <f t="shared" si="14"/>
        <v>6439007</v>
      </c>
      <c r="H163" s="245"/>
      <c r="I163" s="250">
        <v>0</v>
      </c>
      <c r="J163" s="250"/>
      <c r="K163" s="251">
        <f t="shared" si="15"/>
        <v>0</v>
      </c>
      <c r="L163" s="50">
        <f t="shared" si="16"/>
        <v>0</v>
      </c>
      <c r="M163" s="50">
        <f t="shared" si="17"/>
        <v>0</v>
      </c>
      <c r="N163" s="50">
        <f t="shared" si="18"/>
        <v>0</v>
      </c>
    </row>
    <row r="164" spans="1:14" ht="12.75" customHeight="1" x14ac:dyDescent="0.3">
      <c r="A164" s="13"/>
      <c r="B164" s="40" t="s">
        <v>176</v>
      </c>
      <c r="C164" s="18"/>
      <c r="D164" s="19"/>
      <c r="E164" s="19"/>
      <c r="F164" s="19"/>
      <c r="G164" s="192">
        <f>+SUM(F165:F168)</f>
        <v>33172785</v>
      </c>
      <c r="H164" s="245">
        <f t="shared" ref="H164:H192" si="19">+G164/$G$195</f>
        <v>3.9264924645702685E-2</v>
      </c>
      <c r="I164" s="246"/>
      <c r="J164" s="247"/>
      <c r="K164" s="247"/>
      <c r="L164" s="178"/>
      <c r="M164" s="178"/>
      <c r="N164" s="179"/>
    </row>
    <row r="165" spans="1:14" ht="12.75" customHeight="1" x14ac:dyDescent="0.3">
      <c r="A165" s="24">
        <v>19.16</v>
      </c>
      <c r="B165" s="143" t="s">
        <v>177</v>
      </c>
      <c r="C165" s="28" t="s">
        <v>29</v>
      </c>
      <c r="D165" s="29">
        <v>1</v>
      </c>
      <c r="E165" s="181">
        <v>27794007</v>
      </c>
      <c r="F165" s="181">
        <f t="shared" si="14"/>
        <v>27794007</v>
      </c>
      <c r="H165" s="245"/>
      <c r="I165" s="250">
        <v>0</v>
      </c>
      <c r="J165" s="250"/>
      <c r="K165" s="251">
        <f t="shared" si="15"/>
        <v>0</v>
      </c>
      <c r="L165" s="50">
        <f t="shared" si="16"/>
        <v>0</v>
      </c>
      <c r="M165" s="50">
        <f t="shared" si="17"/>
        <v>0</v>
      </c>
      <c r="N165" s="50">
        <f t="shared" si="18"/>
        <v>0</v>
      </c>
    </row>
    <row r="166" spans="1:14" ht="12.75" customHeight="1" x14ac:dyDescent="0.3">
      <c r="A166" s="24">
        <v>19.170000000000002</v>
      </c>
      <c r="B166" s="146" t="s">
        <v>178</v>
      </c>
      <c r="C166" s="147" t="s">
        <v>33</v>
      </c>
      <c r="D166" s="148">
        <v>8</v>
      </c>
      <c r="E166" s="181">
        <v>59973</v>
      </c>
      <c r="F166" s="181">
        <f t="shared" si="14"/>
        <v>479784</v>
      </c>
      <c r="H166" s="245"/>
      <c r="I166" s="250">
        <v>0</v>
      </c>
      <c r="J166" s="250"/>
      <c r="K166" s="251">
        <f t="shared" si="15"/>
        <v>0</v>
      </c>
      <c r="L166" s="50">
        <f t="shared" si="16"/>
        <v>0</v>
      </c>
      <c r="M166" s="50">
        <f t="shared" si="17"/>
        <v>0</v>
      </c>
      <c r="N166" s="50">
        <f t="shared" si="18"/>
        <v>0</v>
      </c>
    </row>
    <row r="167" spans="1:14" ht="12.75" customHeight="1" x14ac:dyDescent="0.3">
      <c r="A167" s="24">
        <v>19.18</v>
      </c>
      <c r="B167" s="146" t="s">
        <v>179</v>
      </c>
      <c r="C167" s="147" t="s">
        <v>29</v>
      </c>
      <c r="D167" s="148">
        <v>8</v>
      </c>
      <c r="E167" s="181">
        <v>27640</v>
      </c>
      <c r="F167" s="181">
        <f t="shared" si="14"/>
        <v>221120</v>
      </c>
      <c r="H167" s="245"/>
      <c r="I167" s="250">
        <v>0</v>
      </c>
      <c r="J167" s="250"/>
      <c r="K167" s="251">
        <f t="shared" si="15"/>
        <v>0</v>
      </c>
      <c r="L167" s="50">
        <f t="shared" si="16"/>
        <v>0</v>
      </c>
      <c r="M167" s="50">
        <f t="shared" si="17"/>
        <v>0</v>
      </c>
      <c r="N167" s="50">
        <f t="shared" si="18"/>
        <v>0</v>
      </c>
    </row>
    <row r="168" spans="1:14" ht="12.75" customHeight="1" x14ac:dyDescent="0.3">
      <c r="A168" s="100">
        <v>19.190000000000001</v>
      </c>
      <c r="B168" s="145" t="s">
        <v>180</v>
      </c>
      <c r="C168" s="138" t="s">
        <v>29</v>
      </c>
      <c r="D168" s="139">
        <v>1</v>
      </c>
      <c r="E168" s="181">
        <v>4677874</v>
      </c>
      <c r="F168" s="181">
        <f t="shared" si="14"/>
        <v>4677874</v>
      </c>
      <c r="H168" s="245"/>
      <c r="I168" s="250">
        <v>0</v>
      </c>
      <c r="J168" s="250"/>
      <c r="K168" s="251">
        <f t="shared" si="15"/>
        <v>0</v>
      </c>
      <c r="L168" s="50">
        <f t="shared" si="16"/>
        <v>0</v>
      </c>
      <c r="M168" s="50">
        <f t="shared" si="17"/>
        <v>0</v>
      </c>
      <c r="N168" s="50">
        <f t="shared" si="18"/>
        <v>0</v>
      </c>
    </row>
    <row r="169" spans="1:14" ht="12.75" customHeight="1" x14ac:dyDescent="0.3">
      <c r="A169" s="13">
        <v>20</v>
      </c>
      <c r="B169" s="40" t="s">
        <v>181</v>
      </c>
      <c r="C169" s="18"/>
      <c r="D169" s="19"/>
      <c r="E169" s="19"/>
      <c r="F169" s="19"/>
      <c r="G169" s="192">
        <f>+SUM(F170:F171)</f>
        <v>0</v>
      </c>
      <c r="H169" s="245">
        <f t="shared" si="19"/>
        <v>0</v>
      </c>
      <c r="I169" s="246"/>
      <c r="J169" s="247"/>
      <c r="K169" s="247"/>
      <c r="L169" s="178"/>
      <c r="M169" s="178"/>
      <c r="N169" s="179"/>
    </row>
    <row r="170" spans="1:14" ht="12.75" customHeight="1" x14ac:dyDescent="0.3">
      <c r="A170" s="106">
        <v>20.010000000000002</v>
      </c>
      <c r="B170" s="107" t="s">
        <v>182</v>
      </c>
      <c r="C170" s="120" t="s">
        <v>33</v>
      </c>
      <c r="D170" s="121">
        <v>0</v>
      </c>
      <c r="E170" s="183">
        <v>0</v>
      </c>
      <c r="F170" s="183">
        <f t="shared" si="14"/>
        <v>0</v>
      </c>
      <c r="H170" s="245"/>
      <c r="I170" s="250">
        <v>0</v>
      </c>
      <c r="J170" s="250"/>
      <c r="K170" s="251">
        <f t="shared" si="15"/>
        <v>0</v>
      </c>
      <c r="L170" s="50">
        <f t="shared" si="16"/>
        <v>0</v>
      </c>
      <c r="M170" s="50">
        <f t="shared" si="17"/>
        <v>0</v>
      </c>
      <c r="N170" s="50">
        <f t="shared" si="18"/>
        <v>0</v>
      </c>
    </row>
    <row r="171" spans="1:14" ht="12.75" customHeight="1" x14ac:dyDescent="0.3">
      <c r="A171" s="24">
        <v>20.02</v>
      </c>
      <c r="B171" s="25" t="s">
        <v>183</v>
      </c>
      <c r="C171" s="112" t="s">
        <v>33</v>
      </c>
      <c r="D171" s="27">
        <v>0</v>
      </c>
      <c r="E171" s="181">
        <v>0</v>
      </c>
      <c r="F171" s="181">
        <f t="shared" si="14"/>
        <v>0</v>
      </c>
      <c r="H171" s="245"/>
      <c r="I171" s="250">
        <v>0</v>
      </c>
      <c r="J171" s="250"/>
      <c r="K171" s="251">
        <f t="shared" si="15"/>
        <v>0</v>
      </c>
      <c r="L171" s="50">
        <f t="shared" si="16"/>
        <v>0</v>
      </c>
      <c r="M171" s="50">
        <f t="shared" si="17"/>
        <v>0</v>
      </c>
      <c r="N171" s="50">
        <f t="shared" si="18"/>
        <v>0</v>
      </c>
    </row>
    <row r="172" spans="1:14" ht="12.75" customHeight="1" x14ac:dyDescent="0.3">
      <c r="A172" s="13">
        <v>21</v>
      </c>
      <c r="B172" s="40" t="s">
        <v>184</v>
      </c>
      <c r="C172" s="18"/>
      <c r="D172" s="19"/>
      <c r="E172" s="19"/>
      <c r="F172" s="19"/>
      <c r="G172" s="192">
        <f>+SUM(F173)</f>
        <v>0</v>
      </c>
      <c r="H172" s="245">
        <f t="shared" si="19"/>
        <v>0</v>
      </c>
      <c r="I172" s="246"/>
      <c r="J172" s="247"/>
      <c r="K172" s="247"/>
      <c r="L172" s="178"/>
      <c r="M172" s="178"/>
      <c r="N172" s="179"/>
    </row>
    <row r="173" spans="1:14" ht="12.75" customHeight="1" x14ac:dyDescent="0.3">
      <c r="A173" s="149">
        <v>21.01</v>
      </c>
      <c r="B173" s="150" t="s">
        <v>185</v>
      </c>
      <c r="C173" s="151" t="s">
        <v>29</v>
      </c>
      <c r="D173" s="152">
        <v>1</v>
      </c>
      <c r="E173" s="184">
        <v>0</v>
      </c>
      <c r="F173" s="181">
        <f t="shared" si="14"/>
        <v>0</v>
      </c>
      <c r="G173" s="182"/>
      <c r="H173" s="245"/>
      <c r="I173" s="250">
        <v>0</v>
      </c>
      <c r="J173" s="250"/>
      <c r="K173" s="251">
        <f t="shared" si="15"/>
        <v>0</v>
      </c>
      <c r="L173" s="50">
        <f t="shared" si="16"/>
        <v>0</v>
      </c>
      <c r="M173" s="50">
        <f t="shared" si="17"/>
        <v>0</v>
      </c>
      <c r="N173" s="50">
        <f t="shared" si="18"/>
        <v>0</v>
      </c>
    </row>
    <row r="174" spans="1:14" ht="12.75" customHeight="1" x14ac:dyDescent="0.3">
      <c r="A174" s="13">
        <v>22</v>
      </c>
      <c r="B174" s="40" t="s">
        <v>186</v>
      </c>
      <c r="C174" s="18"/>
      <c r="D174" s="19"/>
      <c r="E174" s="19"/>
      <c r="F174" s="19"/>
      <c r="G174" s="192">
        <f>+SUM(F175:F176)</f>
        <v>2934560</v>
      </c>
      <c r="H174" s="245">
        <f t="shared" si="19"/>
        <v>3.4734882002910904E-3</v>
      </c>
      <c r="I174" s="246"/>
      <c r="J174" s="247"/>
      <c r="K174" s="247"/>
      <c r="L174" s="178"/>
      <c r="M174" s="178"/>
      <c r="N174" s="179"/>
    </row>
    <row r="175" spans="1:14" ht="12.75" customHeight="1" x14ac:dyDescent="0.3">
      <c r="A175" s="115">
        <v>22.01</v>
      </c>
      <c r="B175" s="131" t="s">
        <v>187</v>
      </c>
      <c r="C175" s="132" t="s">
        <v>33</v>
      </c>
      <c r="D175" s="153">
        <v>8</v>
      </c>
      <c r="E175" s="184">
        <v>91705</v>
      </c>
      <c r="F175" s="183">
        <f t="shared" si="14"/>
        <v>733640</v>
      </c>
      <c r="H175" s="245"/>
      <c r="I175" s="250">
        <v>0</v>
      </c>
      <c r="J175" s="250"/>
      <c r="K175" s="251">
        <f t="shared" si="15"/>
        <v>0</v>
      </c>
      <c r="L175" s="50">
        <f t="shared" si="16"/>
        <v>0</v>
      </c>
      <c r="M175" s="50">
        <f t="shared" si="17"/>
        <v>0</v>
      </c>
      <c r="N175" s="50">
        <f t="shared" si="18"/>
        <v>0</v>
      </c>
    </row>
    <row r="176" spans="1:14" ht="12.75" customHeight="1" x14ac:dyDescent="0.3">
      <c r="A176" s="100">
        <v>22.02</v>
      </c>
      <c r="B176" s="98" t="s">
        <v>188</v>
      </c>
      <c r="C176" s="133" t="s">
        <v>33</v>
      </c>
      <c r="D176" s="153">
        <v>24</v>
      </c>
      <c r="E176" s="184">
        <v>91705</v>
      </c>
      <c r="F176" s="183">
        <f t="shared" si="14"/>
        <v>2200920</v>
      </c>
      <c r="H176" s="245"/>
      <c r="I176" s="250">
        <v>0</v>
      </c>
      <c r="J176" s="250"/>
      <c r="K176" s="251">
        <f t="shared" si="15"/>
        <v>0</v>
      </c>
      <c r="L176" s="50">
        <f t="shared" si="16"/>
        <v>0</v>
      </c>
      <c r="M176" s="50">
        <f t="shared" si="17"/>
        <v>0</v>
      </c>
      <c r="N176" s="50">
        <f t="shared" si="18"/>
        <v>0</v>
      </c>
    </row>
    <row r="177" spans="1:14" ht="12.75" customHeight="1" x14ac:dyDescent="0.3">
      <c r="A177" s="13">
        <v>23</v>
      </c>
      <c r="B177" s="40" t="s">
        <v>189</v>
      </c>
      <c r="C177" s="18"/>
      <c r="D177" s="19"/>
      <c r="E177" s="19"/>
      <c r="F177" s="19"/>
      <c r="G177" s="192">
        <f>+SUM(F178:F181)</f>
        <v>19050437</v>
      </c>
      <c r="H177" s="245">
        <f t="shared" si="19"/>
        <v>2.2549025451818604E-2</v>
      </c>
      <c r="I177" s="246"/>
      <c r="J177" s="247"/>
      <c r="K177" s="247"/>
      <c r="L177" s="178"/>
      <c r="M177" s="178"/>
      <c r="N177" s="179"/>
    </row>
    <row r="178" spans="1:14" ht="12.75" customHeight="1" x14ac:dyDescent="0.3">
      <c r="A178" s="115">
        <v>23.01</v>
      </c>
      <c r="B178" s="21" t="s">
        <v>190</v>
      </c>
      <c r="C178" s="93" t="s">
        <v>29</v>
      </c>
      <c r="D178" s="94">
        <v>6</v>
      </c>
      <c r="E178" s="180">
        <v>259063</v>
      </c>
      <c r="F178" s="180">
        <f t="shared" si="14"/>
        <v>1554378</v>
      </c>
      <c r="G178" s="182"/>
      <c r="H178" s="245"/>
      <c r="I178" s="250">
        <v>0</v>
      </c>
      <c r="J178" s="250"/>
      <c r="K178" s="251">
        <f t="shared" si="15"/>
        <v>0</v>
      </c>
      <c r="L178" s="50">
        <f t="shared" si="16"/>
        <v>0</v>
      </c>
      <c r="M178" s="50">
        <f t="shared" si="17"/>
        <v>0</v>
      </c>
      <c r="N178" s="50">
        <f t="shared" si="18"/>
        <v>0</v>
      </c>
    </row>
    <row r="179" spans="1:14" ht="12.75" customHeight="1" x14ac:dyDescent="0.3">
      <c r="A179" s="100">
        <v>23.02</v>
      </c>
      <c r="B179" s="25" t="s">
        <v>191</v>
      </c>
      <c r="C179" s="30" t="s">
        <v>29</v>
      </c>
      <c r="D179" s="31">
        <v>1</v>
      </c>
      <c r="E179" s="181">
        <v>793947</v>
      </c>
      <c r="F179" s="181">
        <f t="shared" si="14"/>
        <v>793947</v>
      </c>
      <c r="H179" s="245"/>
      <c r="I179" s="250">
        <v>0</v>
      </c>
      <c r="J179" s="250"/>
      <c r="K179" s="251">
        <f t="shared" si="15"/>
        <v>0</v>
      </c>
      <c r="L179" s="50">
        <f t="shared" si="16"/>
        <v>0</v>
      </c>
      <c r="M179" s="50">
        <f t="shared" si="17"/>
        <v>0</v>
      </c>
      <c r="N179" s="50">
        <f t="shared" si="18"/>
        <v>0</v>
      </c>
    </row>
    <row r="180" spans="1:14" ht="12.75" customHeight="1" x14ac:dyDescent="0.3">
      <c r="A180" s="100">
        <v>23.03</v>
      </c>
      <c r="B180" s="25" t="s">
        <v>192</v>
      </c>
      <c r="C180" s="30" t="s">
        <v>19</v>
      </c>
      <c r="D180" s="31">
        <v>26</v>
      </c>
      <c r="E180" s="181">
        <v>27076</v>
      </c>
      <c r="F180" s="181">
        <f t="shared" si="14"/>
        <v>703976</v>
      </c>
      <c r="H180" s="245"/>
      <c r="I180" s="250">
        <v>0</v>
      </c>
      <c r="J180" s="250"/>
      <c r="K180" s="251">
        <f t="shared" si="15"/>
        <v>0</v>
      </c>
      <c r="L180" s="50">
        <f t="shared" si="16"/>
        <v>0</v>
      </c>
      <c r="M180" s="50">
        <f t="shared" si="17"/>
        <v>0</v>
      </c>
      <c r="N180" s="50">
        <f t="shared" si="18"/>
        <v>0</v>
      </c>
    </row>
    <row r="181" spans="1:14" ht="12.75" customHeight="1" x14ac:dyDescent="0.3">
      <c r="A181" s="130">
        <v>23.04</v>
      </c>
      <c r="B181" s="154" t="s">
        <v>193</v>
      </c>
      <c r="C181" s="155" t="s">
        <v>19</v>
      </c>
      <c r="D181" s="102">
        <v>231</v>
      </c>
      <c r="E181" s="189">
        <v>69256</v>
      </c>
      <c r="F181" s="189">
        <f t="shared" si="14"/>
        <v>15998136</v>
      </c>
      <c r="H181" s="245"/>
      <c r="I181" s="250">
        <v>0</v>
      </c>
      <c r="J181" s="250"/>
      <c r="K181" s="251">
        <f t="shared" si="15"/>
        <v>0</v>
      </c>
      <c r="L181" s="50">
        <f t="shared" si="16"/>
        <v>0</v>
      </c>
      <c r="M181" s="50">
        <f t="shared" si="17"/>
        <v>0</v>
      </c>
      <c r="N181" s="50">
        <f t="shared" si="18"/>
        <v>0</v>
      </c>
    </row>
    <row r="182" spans="1:14" ht="12.75" customHeight="1" x14ac:dyDescent="0.3">
      <c r="A182" s="13">
        <v>24</v>
      </c>
      <c r="B182" s="40" t="s">
        <v>194</v>
      </c>
      <c r="C182" s="18"/>
      <c r="D182" s="19"/>
      <c r="E182" s="19"/>
      <c r="F182" s="19"/>
      <c r="G182" s="192">
        <f>+SUM(F183:F191)</f>
        <v>76903896</v>
      </c>
      <c r="H182" s="245">
        <f t="shared" si="19"/>
        <v>9.1027198391722505E-2</v>
      </c>
      <c r="I182" s="246"/>
      <c r="J182" s="247"/>
      <c r="K182" s="247"/>
      <c r="L182" s="178"/>
      <c r="M182" s="178"/>
      <c r="N182" s="179"/>
    </row>
    <row r="183" spans="1:14" ht="12.75" customHeight="1" x14ac:dyDescent="0.3">
      <c r="A183" s="20">
        <v>24.01</v>
      </c>
      <c r="B183" s="156" t="s">
        <v>195</v>
      </c>
      <c r="C183" s="22" t="s">
        <v>196</v>
      </c>
      <c r="D183" s="94">
        <v>17</v>
      </c>
      <c r="E183" s="181">
        <v>973327</v>
      </c>
      <c r="F183" s="181">
        <f t="shared" si="14"/>
        <v>16546559</v>
      </c>
      <c r="H183" s="245"/>
      <c r="I183" s="250">
        <v>0.39999999999999997</v>
      </c>
      <c r="J183" s="250">
        <v>0.05</v>
      </c>
      <c r="K183" s="251">
        <f t="shared" si="15"/>
        <v>0.44999999999999996</v>
      </c>
      <c r="L183" s="50">
        <f t="shared" si="16"/>
        <v>6618623.5999999996</v>
      </c>
      <c r="M183" s="50">
        <f t="shared" si="17"/>
        <v>827327.95000000007</v>
      </c>
      <c r="N183" s="50">
        <f t="shared" si="18"/>
        <v>7445951.5499999989</v>
      </c>
    </row>
    <row r="184" spans="1:14" ht="12.75" customHeight="1" x14ac:dyDescent="0.3">
      <c r="A184" s="24">
        <v>24.02</v>
      </c>
      <c r="B184" s="157" t="s">
        <v>197</v>
      </c>
      <c r="C184" s="26" t="s">
        <v>196</v>
      </c>
      <c r="D184" s="31">
        <v>4</v>
      </c>
      <c r="E184" s="181">
        <v>2005316</v>
      </c>
      <c r="F184" s="181">
        <f t="shared" si="14"/>
        <v>8021264</v>
      </c>
      <c r="H184" s="245"/>
      <c r="I184" s="250">
        <v>1</v>
      </c>
      <c r="J184" s="250"/>
      <c r="K184" s="251">
        <f t="shared" si="15"/>
        <v>1</v>
      </c>
      <c r="L184" s="50">
        <f t="shared" si="16"/>
        <v>8021264</v>
      </c>
      <c r="M184" s="50">
        <f t="shared" si="17"/>
        <v>0</v>
      </c>
      <c r="N184" s="50">
        <f t="shared" si="18"/>
        <v>8021264</v>
      </c>
    </row>
    <row r="185" spans="1:14" ht="12.75" customHeight="1" x14ac:dyDescent="0.3">
      <c r="A185" s="24">
        <v>24.03</v>
      </c>
      <c r="B185" s="158" t="s">
        <v>198</v>
      </c>
      <c r="C185" s="26" t="s">
        <v>196</v>
      </c>
      <c r="D185" s="31">
        <v>17</v>
      </c>
      <c r="E185" s="181">
        <v>199910</v>
      </c>
      <c r="F185" s="181">
        <f t="shared" si="14"/>
        <v>3398470</v>
      </c>
      <c r="H185" s="245"/>
      <c r="I185" s="250">
        <v>0.39999999999999997</v>
      </c>
      <c r="J185" s="250">
        <v>0.05</v>
      </c>
      <c r="K185" s="251">
        <f t="shared" si="15"/>
        <v>0.44999999999999996</v>
      </c>
      <c r="L185" s="50">
        <f t="shared" si="16"/>
        <v>1359388</v>
      </c>
      <c r="M185" s="50">
        <f t="shared" si="17"/>
        <v>169923.5</v>
      </c>
      <c r="N185" s="50">
        <f t="shared" si="18"/>
        <v>1529311.4999999998</v>
      </c>
    </row>
    <row r="186" spans="1:14" ht="12.75" customHeight="1" x14ac:dyDescent="0.3">
      <c r="A186" s="24">
        <v>24.04</v>
      </c>
      <c r="B186" s="158" t="s">
        <v>199</v>
      </c>
      <c r="C186" s="26" t="s">
        <v>29</v>
      </c>
      <c r="D186" s="27">
        <v>1</v>
      </c>
      <c r="E186" s="181">
        <v>6284456</v>
      </c>
      <c r="F186" s="181">
        <f t="shared" si="14"/>
        <v>6284456</v>
      </c>
      <c r="H186" s="245"/>
      <c r="I186" s="250">
        <v>0.6</v>
      </c>
      <c r="J186" s="274">
        <v>0.15</v>
      </c>
      <c r="K186" s="251">
        <f t="shared" si="15"/>
        <v>0.75</v>
      </c>
      <c r="L186" s="50">
        <f t="shared" si="16"/>
        <v>3770673.6</v>
      </c>
      <c r="M186" s="50">
        <f t="shared" si="17"/>
        <v>942668.4</v>
      </c>
      <c r="N186" s="50">
        <f t="shared" si="18"/>
        <v>4713342</v>
      </c>
    </row>
    <row r="187" spans="1:14" ht="12.75" customHeight="1" x14ac:dyDescent="0.3">
      <c r="A187" s="24">
        <v>24.05</v>
      </c>
      <c r="B187" s="158" t="s">
        <v>200</v>
      </c>
      <c r="C187" s="159" t="s">
        <v>196</v>
      </c>
      <c r="D187" s="31">
        <v>17</v>
      </c>
      <c r="E187" s="181">
        <v>873895</v>
      </c>
      <c r="F187" s="181">
        <f t="shared" si="14"/>
        <v>14856215</v>
      </c>
      <c r="G187" s="194"/>
      <c r="H187" s="245"/>
      <c r="I187" s="250">
        <v>0.3</v>
      </c>
      <c r="J187" s="250">
        <v>0.05</v>
      </c>
      <c r="K187" s="251">
        <f t="shared" si="15"/>
        <v>0.35</v>
      </c>
      <c r="L187" s="50">
        <f t="shared" si="16"/>
        <v>4456864.5</v>
      </c>
      <c r="M187" s="50">
        <f t="shared" si="17"/>
        <v>742810.75</v>
      </c>
      <c r="N187" s="50">
        <f t="shared" si="18"/>
        <v>5199675.25</v>
      </c>
    </row>
    <row r="188" spans="1:14" ht="12.75" customHeight="1" x14ac:dyDescent="0.3">
      <c r="A188" s="24">
        <v>24.06</v>
      </c>
      <c r="B188" s="158" t="s">
        <v>201</v>
      </c>
      <c r="C188" s="159" t="s">
        <v>196</v>
      </c>
      <c r="D188" s="31">
        <v>17</v>
      </c>
      <c r="E188" s="181">
        <v>577178</v>
      </c>
      <c r="F188" s="181">
        <f t="shared" si="14"/>
        <v>9812026</v>
      </c>
      <c r="G188" s="194"/>
      <c r="H188" s="245"/>
      <c r="I188" s="250">
        <v>0.3</v>
      </c>
      <c r="J188" s="250">
        <v>0.05</v>
      </c>
      <c r="K188" s="251">
        <f t="shared" si="15"/>
        <v>0.35</v>
      </c>
      <c r="L188" s="50">
        <f t="shared" si="16"/>
        <v>2943607.8</v>
      </c>
      <c r="M188" s="50">
        <f t="shared" si="17"/>
        <v>490601.30000000005</v>
      </c>
      <c r="N188" s="50">
        <f t="shared" si="18"/>
        <v>3434209.0999999996</v>
      </c>
    </row>
    <row r="189" spans="1:14" ht="12.75" customHeight="1" x14ac:dyDescent="0.3">
      <c r="A189" s="24">
        <v>24.07</v>
      </c>
      <c r="B189" s="158" t="s">
        <v>202</v>
      </c>
      <c r="C189" s="159" t="s">
        <v>29</v>
      </c>
      <c r="D189" s="27">
        <v>1</v>
      </c>
      <c r="E189" s="181">
        <v>5277814</v>
      </c>
      <c r="F189" s="181">
        <f t="shared" si="14"/>
        <v>5277814</v>
      </c>
      <c r="G189" s="194"/>
      <c r="H189" s="245"/>
      <c r="I189" s="250">
        <v>0</v>
      </c>
      <c r="J189" s="250"/>
      <c r="K189" s="251">
        <f t="shared" si="15"/>
        <v>0</v>
      </c>
      <c r="L189" s="50">
        <f t="shared" si="16"/>
        <v>0</v>
      </c>
      <c r="M189" s="50">
        <f t="shared" si="17"/>
        <v>0</v>
      </c>
      <c r="N189" s="50">
        <f t="shared" si="18"/>
        <v>0</v>
      </c>
    </row>
    <row r="190" spans="1:14" ht="12.75" customHeight="1" x14ac:dyDescent="0.3">
      <c r="A190" s="24">
        <v>24.08</v>
      </c>
      <c r="B190" s="158" t="s">
        <v>203</v>
      </c>
      <c r="C190" s="159" t="s">
        <v>196</v>
      </c>
      <c r="D190" s="31">
        <v>17</v>
      </c>
      <c r="E190" s="181">
        <v>399819</v>
      </c>
      <c r="F190" s="181">
        <f t="shared" si="14"/>
        <v>6796923</v>
      </c>
      <c r="G190" s="194"/>
      <c r="H190" s="245"/>
      <c r="I190" s="250">
        <v>0.35</v>
      </c>
      <c r="J190" s="250">
        <v>0.05</v>
      </c>
      <c r="K190" s="251">
        <f t="shared" si="15"/>
        <v>0.39999999999999997</v>
      </c>
      <c r="L190" s="50">
        <f t="shared" si="16"/>
        <v>2378923.0499999998</v>
      </c>
      <c r="M190" s="50">
        <f t="shared" si="17"/>
        <v>339846.15</v>
      </c>
      <c r="N190" s="50">
        <f t="shared" si="18"/>
        <v>2718769.1999999997</v>
      </c>
    </row>
    <row r="191" spans="1:14" ht="12.75" customHeight="1" x14ac:dyDescent="0.3">
      <c r="A191" s="24">
        <v>24.09</v>
      </c>
      <c r="B191" s="160" t="s">
        <v>204</v>
      </c>
      <c r="C191" s="161" t="s">
        <v>196</v>
      </c>
      <c r="D191" s="31">
        <v>17</v>
      </c>
      <c r="E191" s="189">
        <v>347657</v>
      </c>
      <c r="F191" s="189">
        <f t="shared" si="14"/>
        <v>5910169</v>
      </c>
      <c r="G191" s="194"/>
      <c r="H191" s="245"/>
      <c r="I191" s="250">
        <v>0.27999999999999997</v>
      </c>
      <c r="J191" s="250">
        <v>0.05</v>
      </c>
      <c r="K191" s="251">
        <f t="shared" si="15"/>
        <v>0.32999999999999996</v>
      </c>
      <c r="L191" s="50">
        <f t="shared" si="16"/>
        <v>1654847.3199999998</v>
      </c>
      <c r="M191" s="50">
        <f t="shared" si="17"/>
        <v>295508.45</v>
      </c>
      <c r="N191" s="50">
        <f t="shared" si="18"/>
        <v>1950355.7699999998</v>
      </c>
    </row>
    <row r="192" spans="1:14" ht="12.75" customHeight="1" x14ac:dyDescent="0.3">
      <c r="A192" s="13">
        <v>25</v>
      </c>
      <c r="B192" s="40" t="s">
        <v>205</v>
      </c>
      <c r="C192" s="18"/>
      <c r="D192" s="19"/>
      <c r="E192" s="19"/>
      <c r="F192" s="19"/>
      <c r="G192" s="192">
        <f>+SUM(F193:F194)</f>
        <v>110386593</v>
      </c>
      <c r="H192" s="245">
        <f t="shared" si="19"/>
        <v>0.13065894998086086</v>
      </c>
      <c r="I192" s="246"/>
      <c r="J192" s="247"/>
      <c r="K192" s="247"/>
      <c r="L192" s="178"/>
      <c r="M192" s="178"/>
      <c r="N192" s="179"/>
    </row>
    <row r="193" spans="1:14" ht="12.75" customHeight="1" x14ac:dyDescent="0.3">
      <c r="A193" s="20">
        <v>25.01</v>
      </c>
      <c r="B193" s="21" t="s">
        <v>206</v>
      </c>
      <c r="C193" s="93" t="s">
        <v>196</v>
      </c>
      <c r="D193" s="94">
        <v>17</v>
      </c>
      <c r="E193" s="184">
        <v>5826965</v>
      </c>
      <c r="F193" s="183">
        <f t="shared" si="14"/>
        <v>99058405</v>
      </c>
      <c r="G193" s="195"/>
      <c r="H193" s="245"/>
      <c r="I193" s="250">
        <v>0.39999999999999997</v>
      </c>
      <c r="J193" s="250">
        <v>0.05</v>
      </c>
      <c r="K193" s="251">
        <f t="shared" si="15"/>
        <v>0.44999999999999996</v>
      </c>
      <c r="L193" s="50">
        <f t="shared" si="16"/>
        <v>39623362</v>
      </c>
      <c r="M193" s="50">
        <f t="shared" si="17"/>
        <v>4952920.25</v>
      </c>
      <c r="N193" s="50">
        <f t="shared" si="18"/>
        <v>44576282.249999993</v>
      </c>
    </row>
    <row r="194" spans="1:14" ht="12.75" customHeight="1" x14ac:dyDescent="0.3">
      <c r="A194" s="33">
        <v>25.02</v>
      </c>
      <c r="B194" s="38" t="s">
        <v>207</v>
      </c>
      <c r="C194" s="34" t="s">
        <v>196</v>
      </c>
      <c r="D194" s="35">
        <v>17</v>
      </c>
      <c r="E194" s="184">
        <v>666364</v>
      </c>
      <c r="F194" s="181">
        <f t="shared" si="14"/>
        <v>11328188</v>
      </c>
      <c r="G194" s="196"/>
      <c r="H194" s="245"/>
      <c r="I194" s="255">
        <v>0.39999999999999997</v>
      </c>
      <c r="J194" s="255">
        <v>0.05</v>
      </c>
      <c r="K194" s="256">
        <f t="shared" si="15"/>
        <v>0.44999999999999996</v>
      </c>
      <c r="L194" s="257">
        <f t="shared" si="16"/>
        <v>4531275.1999999993</v>
      </c>
      <c r="M194" s="257">
        <f t="shared" si="17"/>
        <v>566409.4</v>
      </c>
      <c r="N194" s="257">
        <f t="shared" si="18"/>
        <v>5097684.5999999996</v>
      </c>
    </row>
    <row r="195" spans="1:14" ht="12.75" customHeight="1" x14ac:dyDescent="0.3">
      <c r="A195" s="13"/>
      <c r="B195" s="40" t="s">
        <v>208</v>
      </c>
      <c r="C195" s="18"/>
      <c r="D195" s="19"/>
      <c r="E195" s="19"/>
      <c r="F195" s="197">
        <f>SUM(F9:F194)</f>
        <v>844845248</v>
      </c>
      <c r="G195" s="192">
        <f>SUM(G9:G194)</f>
        <v>844845248</v>
      </c>
      <c r="H195" s="245">
        <f>+SUM(H9:H194)</f>
        <v>0.99999999999999978</v>
      </c>
      <c r="I195" s="258"/>
      <c r="J195" s="259"/>
      <c r="K195" s="259"/>
      <c r="L195" s="260">
        <f>+SUM(L10:L194)</f>
        <v>86343127.589999989</v>
      </c>
      <c r="M195" s="260">
        <f>+SUM(M10:M194)</f>
        <v>19301175.311999999</v>
      </c>
      <c r="N195" s="261">
        <f>+SUM(N10:N194)</f>
        <v>105644302.902</v>
      </c>
    </row>
    <row r="196" spans="1:14" s="41" customFormat="1" ht="13" x14ac:dyDescent="0.3">
      <c r="A196" s="43"/>
      <c r="B196" s="44"/>
      <c r="C196" s="45"/>
      <c r="D196" s="46"/>
      <c r="E196" s="198"/>
      <c r="F196" s="198"/>
      <c r="G196" s="199"/>
      <c r="H196" s="177"/>
      <c r="I196" s="200"/>
      <c r="J196" s="200"/>
      <c r="K196" s="200"/>
      <c r="L196" s="200"/>
      <c r="M196" s="287">
        <f>+M195/G195</f>
        <v>2.2845811534942785E-2</v>
      </c>
      <c r="N196" s="254">
        <f>+N195/G195</f>
        <v>0.12504574435624924</v>
      </c>
    </row>
    <row r="197" spans="1:14" s="41" customFormat="1" ht="13" x14ac:dyDescent="0.3">
      <c r="A197" s="42"/>
      <c r="B197" s="88"/>
      <c r="C197" s="89"/>
      <c r="D197" s="9"/>
      <c r="E197" s="201"/>
      <c r="F197" s="201"/>
      <c r="G197" s="166"/>
      <c r="H197" s="177"/>
      <c r="I197" s="200"/>
      <c r="J197" s="200"/>
      <c r="K197" s="200"/>
      <c r="L197" s="200"/>
      <c r="M197" s="51"/>
      <c r="N197" s="51"/>
    </row>
    <row r="198" spans="1:14" ht="12.75" customHeight="1" x14ac:dyDescent="0.3">
      <c r="A198" s="39"/>
      <c r="B198" s="47"/>
      <c r="D198" s="48"/>
      <c r="E198" s="9"/>
      <c r="F198" s="9"/>
      <c r="G198" s="202"/>
      <c r="I198" s="200"/>
      <c r="J198" s="200"/>
      <c r="K198" s="200"/>
      <c r="L198" s="200"/>
      <c r="M198" s="51"/>
      <c r="N198" s="51"/>
    </row>
    <row r="199" spans="1:14" ht="12.75" customHeight="1" x14ac:dyDescent="0.3">
      <c r="A199" s="52"/>
      <c r="B199" s="53" t="s">
        <v>209</v>
      </c>
      <c r="C199" s="54"/>
      <c r="D199" s="55"/>
      <c r="E199" s="203"/>
      <c r="F199" s="204"/>
      <c r="G199" s="205"/>
      <c r="H199" s="205"/>
      <c r="I199" s="204"/>
      <c r="J199" s="206"/>
      <c r="K199" s="207" t="s">
        <v>210</v>
      </c>
      <c r="L199" s="208">
        <f>+J5</f>
        <v>9</v>
      </c>
      <c r="M199" s="209"/>
      <c r="N199" s="57">
        <f>+N5</f>
        <v>45988</v>
      </c>
    </row>
    <row r="200" spans="1:14" ht="12.75" customHeight="1" x14ac:dyDescent="0.3">
      <c r="A200" s="58"/>
      <c r="B200" s="53" t="s">
        <v>9</v>
      </c>
      <c r="C200" s="56"/>
      <c r="D200" s="59"/>
      <c r="E200" s="211"/>
      <c r="F200" s="205"/>
      <c r="G200" s="205"/>
      <c r="H200" s="205"/>
      <c r="I200" s="205"/>
      <c r="J200" s="209"/>
      <c r="K200" s="205"/>
      <c r="L200" s="205"/>
      <c r="M200" s="209" t="s">
        <v>211</v>
      </c>
      <c r="N200" s="210" t="s">
        <v>212</v>
      </c>
    </row>
    <row r="201" spans="1:14" ht="12.75" customHeight="1" x14ac:dyDescent="0.3">
      <c r="A201" s="275" t="s">
        <v>213</v>
      </c>
      <c r="B201" s="61" t="s">
        <v>214</v>
      </c>
      <c r="C201" s="60"/>
      <c r="D201" s="62"/>
      <c r="E201" s="212"/>
      <c r="F201" s="213"/>
      <c r="G201" s="214"/>
      <c r="H201" s="214"/>
      <c r="I201" s="213"/>
      <c r="J201" s="215"/>
      <c r="K201" s="213"/>
      <c r="L201" s="213"/>
      <c r="M201" s="213"/>
      <c r="N201" s="63">
        <f>+G195</f>
        <v>844845248</v>
      </c>
    </row>
    <row r="202" spans="1:14" ht="12.75" customHeight="1" x14ac:dyDescent="0.3">
      <c r="A202" s="64" t="s">
        <v>215</v>
      </c>
      <c r="B202" s="65" t="s">
        <v>216</v>
      </c>
      <c r="C202" s="66"/>
      <c r="D202" s="67"/>
      <c r="E202" s="216"/>
      <c r="F202" s="217"/>
      <c r="G202" s="218"/>
      <c r="H202" s="218"/>
      <c r="I202" s="217"/>
      <c r="J202" s="219"/>
      <c r="K202" s="217"/>
      <c r="L202" s="217"/>
      <c r="M202" s="236">
        <v>0.1</v>
      </c>
      <c r="N202" s="220">
        <f>+M202*N201</f>
        <v>84484524.800000012</v>
      </c>
    </row>
    <row r="203" spans="1:14" ht="12.75" customHeight="1" x14ac:dyDescent="0.3">
      <c r="A203" s="276" t="s">
        <v>217</v>
      </c>
      <c r="B203" s="69" t="s">
        <v>218</v>
      </c>
      <c r="C203" s="70"/>
      <c r="D203" s="71"/>
      <c r="E203" s="221"/>
      <c r="F203" s="222"/>
      <c r="G203" s="223"/>
      <c r="H203" s="223"/>
      <c r="I203" s="222"/>
      <c r="J203" s="224"/>
      <c r="K203" s="222"/>
      <c r="L203" s="222"/>
      <c r="M203" s="237"/>
      <c r="N203" s="225">
        <f>+M195</f>
        <v>19301175.311999999</v>
      </c>
    </row>
    <row r="204" spans="1:14" ht="12.75" customHeight="1" x14ac:dyDescent="0.3">
      <c r="A204" s="264" t="s">
        <v>219</v>
      </c>
      <c r="B204" s="265" t="s">
        <v>220</v>
      </c>
      <c r="C204" s="266"/>
      <c r="D204" s="267"/>
      <c r="E204" s="268"/>
      <c r="F204" s="269"/>
      <c r="G204" s="270"/>
      <c r="H204" s="270"/>
      <c r="I204" s="269"/>
      <c r="J204" s="271"/>
      <c r="K204" s="269"/>
      <c r="L204" s="269"/>
      <c r="M204" s="272">
        <f>-M202</f>
        <v>-0.1</v>
      </c>
      <c r="N204" s="273">
        <f>+M204*N203</f>
        <v>-1930117.5312000001</v>
      </c>
    </row>
    <row r="205" spans="1:14" ht="12.75" customHeight="1" x14ac:dyDescent="0.3">
      <c r="A205" s="277" t="s">
        <v>221</v>
      </c>
      <c r="B205" s="278" t="s">
        <v>222</v>
      </c>
      <c r="C205" s="279"/>
      <c r="D205" s="280"/>
      <c r="E205" s="281"/>
      <c r="F205" s="282"/>
      <c r="G205" s="282"/>
      <c r="H205" s="282"/>
      <c r="I205" s="282"/>
      <c r="J205" s="283"/>
      <c r="K205" s="282"/>
      <c r="L205" s="282"/>
      <c r="M205" s="284"/>
      <c r="N205" s="285">
        <f>+N203+N204</f>
        <v>17371057.7808</v>
      </c>
    </row>
  </sheetData>
  <mergeCells count="2">
    <mergeCell ref="I7:K7"/>
    <mergeCell ref="L7:N7"/>
  </mergeCells>
  <conditionalFormatting sqref="C3:C197">
    <cfRule type="cellIs" dxfId="39" priority="2" operator="equal">
      <formula>"x"</formula>
    </cfRule>
  </conditionalFormatting>
  <conditionalFormatting sqref="K10:K23 K25:K31 K33 K35:K40 K42:K49 K51:K53 K55:K58 K60:K70 K72:K74 K76:K79 K81:K87 K89:K100 K102 K104:K107 K109:K141 K144:K146 K148:K150 K152:K156 K158 K160:K161 K163 K165:K168 K170:K171 K173 K175:K176 K178:K181 K183:K191 K193:K194">
    <cfRule type="cellIs" dxfId="38" priority="1" operator="lessThan">
      <formula>1</formula>
    </cfRule>
  </conditionalFormatting>
  <pageMargins left="0.45" right="0.25" top="0.63" bottom="0.55118110236220474" header="0.31496062992125984" footer="0.31496062992125984"/>
  <pageSetup paperSize="9" scale="85" fitToHeight="8" orientation="landscape" r:id="rId1"/>
  <headerFooter>
    <oddFooter>&amp;C&amp;P de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9B33A-A675-4FB9-BF04-60EABA2359D2}">
  <dimension ref="A1:S207"/>
  <sheetViews>
    <sheetView topLeftCell="E180" zoomScaleNormal="100" zoomScaleSheetLayoutView="100" workbookViewId="0">
      <selection activeCell="N202" sqref="N202"/>
    </sheetView>
  </sheetViews>
  <sheetFormatPr defaultColWidth="11.54296875" defaultRowHeight="12.75" customHeight="1" x14ac:dyDescent="0.3"/>
  <cols>
    <col min="1" max="1" width="9" style="1" bestFit="1" customWidth="1"/>
    <col min="2" max="2" width="98.453125" style="2" customWidth="1"/>
    <col min="3" max="3" width="4.08984375" style="3" bestFit="1" customWidth="1"/>
    <col min="4" max="4" width="7" style="4" bestFit="1" customWidth="1"/>
    <col min="5" max="5" width="14.36328125" style="86" bestFit="1" customWidth="1"/>
    <col min="6" max="6" width="15.6328125" style="86" bestFit="1" customWidth="1"/>
    <col min="7" max="7" width="14.6328125" style="87" bestFit="1" customWidth="1"/>
    <col min="8" max="8" width="8.54296875" style="92" bestFit="1" customWidth="1"/>
    <col min="9" max="9" width="17.36328125" style="92" bestFit="1" customWidth="1"/>
    <col min="10" max="10" width="16" style="92" bestFit="1" customWidth="1"/>
    <col min="11" max="11" width="11.36328125" style="92" bestFit="1" customWidth="1"/>
    <col min="12" max="12" width="15.90625" style="92" bestFit="1" customWidth="1"/>
    <col min="13" max="13" width="14.90625" style="92" bestFit="1" customWidth="1"/>
    <col min="14" max="14" width="18.453125" style="92" bestFit="1" customWidth="1"/>
    <col min="15" max="15" width="12.08984375" style="5" customWidth="1"/>
    <col min="16" max="16384" width="11.54296875" style="5"/>
  </cols>
  <sheetData>
    <row r="1" spans="1:18" ht="12.75" customHeight="1" x14ac:dyDescent="0.3">
      <c r="F1" s="162" t="s">
        <v>0</v>
      </c>
      <c r="G1" s="162" t="s">
        <v>1</v>
      </c>
    </row>
    <row r="2" spans="1:18" ht="13" x14ac:dyDescent="0.3">
      <c r="F2" s="163">
        <v>1066.5</v>
      </c>
      <c r="G2" s="163">
        <v>1170</v>
      </c>
    </row>
    <row r="3" spans="1:18" s="10" customFormat="1" ht="13" x14ac:dyDescent="0.25">
      <c r="A3" s="6"/>
      <c r="B3" s="7"/>
      <c r="C3" s="8"/>
      <c r="D3" s="9"/>
      <c r="E3" s="9"/>
      <c r="F3" s="9"/>
      <c r="G3" s="164"/>
      <c r="H3" s="165"/>
      <c r="I3" s="165"/>
      <c r="J3" s="165"/>
      <c r="K3" s="165"/>
      <c r="L3" s="165"/>
      <c r="M3" s="165"/>
      <c r="N3" s="165"/>
    </row>
    <row r="4" spans="1:18" s="10" customFormat="1" ht="13" x14ac:dyDescent="0.25">
      <c r="A4" s="6"/>
      <c r="B4" s="7"/>
      <c r="C4" s="8"/>
      <c r="D4" s="9"/>
      <c r="E4" s="9"/>
      <c r="F4" s="286">
        <v>45667</v>
      </c>
      <c r="G4" s="164"/>
      <c r="H4" s="165"/>
      <c r="I4" s="165"/>
      <c r="J4" s="165"/>
      <c r="K4" s="165"/>
      <c r="L4" s="165"/>
      <c r="M4" s="165"/>
      <c r="N4" s="165"/>
    </row>
    <row r="5" spans="1:18" s="10" customFormat="1" ht="13" x14ac:dyDescent="0.3">
      <c r="A5" s="6"/>
      <c r="B5" s="90" t="s">
        <v>2</v>
      </c>
      <c r="C5" s="8"/>
      <c r="D5" s="9"/>
      <c r="E5" s="167"/>
      <c r="F5" s="167"/>
      <c r="G5" s="164"/>
      <c r="H5" s="165"/>
      <c r="I5" s="168" t="s">
        <v>3</v>
      </c>
      <c r="J5" s="169">
        <v>10</v>
      </c>
      <c r="K5" s="170"/>
      <c r="L5" s="170"/>
      <c r="M5" s="171"/>
      <c r="N5" s="49">
        <v>46017</v>
      </c>
    </row>
    <row r="6" spans="1:18" s="10" customFormat="1" ht="13" x14ac:dyDescent="0.25">
      <c r="A6" s="6"/>
      <c r="B6" s="90" t="s">
        <v>4</v>
      </c>
      <c r="C6" s="8"/>
      <c r="D6" s="9"/>
      <c r="E6" s="172"/>
      <c r="F6" s="172"/>
      <c r="G6" s="164"/>
      <c r="H6" s="165"/>
      <c r="I6" s="165"/>
      <c r="J6" s="165"/>
      <c r="K6" s="165"/>
      <c r="L6" s="165"/>
      <c r="M6" s="165"/>
      <c r="N6" s="165"/>
    </row>
    <row r="7" spans="1:18" s="10" customFormat="1" ht="13" x14ac:dyDescent="0.25">
      <c r="A7" s="6"/>
      <c r="B7" s="91" t="s">
        <v>5</v>
      </c>
      <c r="C7" s="11"/>
      <c r="D7" s="12"/>
      <c r="E7" s="173"/>
      <c r="F7" s="172"/>
      <c r="G7" s="164"/>
      <c r="H7" s="165"/>
      <c r="I7" s="330" t="s">
        <v>6</v>
      </c>
      <c r="J7" s="330"/>
      <c r="K7" s="330"/>
      <c r="L7" s="330" t="s">
        <v>7</v>
      </c>
      <c r="M7" s="330"/>
      <c r="N7" s="330"/>
    </row>
    <row r="8" spans="1:18" ht="13" x14ac:dyDescent="0.3">
      <c r="A8" s="13" t="s">
        <v>8</v>
      </c>
      <c r="B8" s="14" t="s">
        <v>9</v>
      </c>
      <c r="C8" s="15" t="s">
        <v>10</v>
      </c>
      <c r="D8" s="16" t="s">
        <v>11</v>
      </c>
      <c r="E8" s="175" t="s">
        <v>12</v>
      </c>
      <c r="F8" s="175" t="s">
        <v>13</v>
      </c>
      <c r="I8" s="174" t="s">
        <v>14</v>
      </c>
      <c r="J8" s="174" t="s">
        <v>15</v>
      </c>
      <c r="K8" s="174" t="s">
        <v>16</v>
      </c>
      <c r="L8" s="174" t="s">
        <v>14</v>
      </c>
      <c r="M8" s="174" t="s">
        <v>15</v>
      </c>
      <c r="N8" s="174" t="s">
        <v>16</v>
      </c>
    </row>
    <row r="9" spans="1:18" ht="12.75" customHeight="1" x14ac:dyDescent="0.3">
      <c r="A9" s="13">
        <v>4</v>
      </c>
      <c r="B9" s="17" t="s">
        <v>17</v>
      </c>
      <c r="C9" s="18"/>
      <c r="D9" s="19"/>
      <c r="E9" s="19"/>
      <c r="F9" s="19"/>
      <c r="G9" s="176">
        <f>+SUM(F10:F23)</f>
        <v>51045774</v>
      </c>
      <c r="H9" s="245">
        <f>+G9/$G$195</f>
        <v>6.0420265274428106E-2</v>
      </c>
      <c r="I9" s="246"/>
      <c r="J9" s="247"/>
      <c r="K9" s="247"/>
      <c r="L9" s="178"/>
      <c r="M9" s="178"/>
      <c r="N9" s="179"/>
    </row>
    <row r="10" spans="1:18" ht="12.75" customHeight="1" x14ac:dyDescent="0.3">
      <c r="A10" s="20">
        <v>4.01</v>
      </c>
      <c r="B10" s="21" t="s">
        <v>18</v>
      </c>
      <c r="C10" s="93" t="s">
        <v>19</v>
      </c>
      <c r="D10" s="94">
        <v>621</v>
      </c>
      <c r="E10" s="180">
        <v>22140</v>
      </c>
      <c r="F10" s="181">
        <f t="shared" ref="F10:F73" si="0">+E10*D10</f>
        <v>13748940</v>
      </c>
      <c r="G10" s="182"/>
      <c r="H10" s="245"/>
      <c r="I10" s="248">
        <f>+'GDR 3760_Pto. 02_Cert. 09)'!K10</f>
        <v>0.15</v>
      </c>
      <c r="J10" s="248">
        <v>0.44</v>
      </c>
      <c r="K10" s="292">
        <f t="shared" ref="K10:K73" si="1">+I10+J10</f>
        <v>0.59</v>
      </c>
      <c r="L10" s="50">
        <f t="shared" ref="L10:L73" si="2">+F10*I10</f>
        <v>2062341</v>
      </c>
      <c r="M10" s="50">
        <f t="shared" ref="M10:M73" si="3">+F10*J10</f>
        <v>6049533.5999999996</v>
      </c>
      <c r="N10" s="50">
        <f t="shared" ref="N10:N73" si="4">+F10*K10</f>
        <v>8111874.5999999996</v>
      </c>
      <c r="P10" s="92"/>
      <c r="R10" s="245"/>
    </row>
    <row r="11" spans="1:18" ht="12.75" customHeight="1" x14ac:dyDescent="0.3">
      <c r="A11" s="24">
        <v>4.0199999999999996</v>
      </c>
      <c r="B11" s="95" t="s">
        <v>20</v>
      </c>
      <c r="C11" s="30" t="s">
        <v>19</v>
      </c>
      <c r="D11" s="31">
        <v>780</v>
      </c>
      <c r="E11" s="183">
        <v>24437</v>
      </c>
      <c r="F11" s="181">
        <f t="shared" si="0"/>
        <v>19060860</v>
      </c>
      <c r="G11" s="182"/>
      <c r="H11" s="245"/>
      <c r="I11" s="250">
        <f>+'GDR 3760_Pto. 02_Cert. 09)'!K11</f>
        <v>0.25</v>
      </c>
      <c r="J11" s="250">
        <v>0.26</v>
      </c>
      <c r="K11" s="293">
        <f t="shared" si="1"/>
        <v>0.51</v>
      </c>
      <c r="L11" s="50">
        <f t="shared" si="2"/>
        <v>4765215</v>
      </c>
      <c r="M11" s="50">
        <f t="shared" si="3"/>
        <v>4955823.6000000006</v>
      </c>
      <c r="N11" s="50">
        <f t="shared" si="4"/>
        <v>9721038.5999999996</v>
      </c>
      <c r="P11" s="92"/>
      <c r="R11" s="245"/>
    </row>
    <row r="12" spans="1:18" ht="12.75" customHeight="1" x14ac:dyDescent="0.3">
      <c r="A12" s="24">
        <v>4.03</v>
      </c>
      <c r="B12" s="25" t="s">
        <v>21</v>
      </c>
      <c r="C12" s="30" t="s">
        <v>19</v>
      </c>
      <c r="D12" s="31">
        <v>56</v>
      </c>
      <c r="E12" s="183">
        <v>23248</v>
      </c>
      <c r="F12" s="181">
        <f t="shared" si="0"/>
        <v>1301888</v>
      </c>
      <c r="G12" s="182"/>
      <c r="H12" s="245"/>
      <c r="I12" s="250">
        <f>+'GDR 3760_Pto. 02_Cert. 09)'!K12</f>
        <v>0</v>
      </c>
      <c r="J12" s="250">
        <v>0.5</v>
      </c>
      <c r="K12" s="293">
        <f t="shared" si="1"/>
        <v>0.5</v>
      </c>
      <c r="L12" s="50">
        <f t="shared" si="2"/>
        <v>0</v>
      </c>
      <c r="M12" s="50">
        <f t="shared" si="3"/>
        <v>650944</v>
      </c>
      <c r="N12" s="50">
        <f t="shared" si="4"/>
        <v>650944</v>
      </c>
      <c r="P12" s="92"/>
    </row>
    <row r="13" spans="1:18" ht="12.75" customHeight="1" x14ac:dyDescent="0.3">
      <c r="A13" s="24">
        <v>4.04</v>
      </c>
      <c r="B13" s="25" t="s">
        <v>22</v>
      </c>
      <c r="C13" s="30" t="s">
        <v>19</v>
      </c>
      <c r="D13" s="31">
        <v>42</v>
      </c>
      <c r="E13" s="183">
        <v>28746</v>
      </c>
      <c r="F13" s="181">
        <f t="shared" si="0"/>
        <v>1207332</v>
      </c>
      <c r="G13" s="182"/>
      <c r="H13" s="245"/>
      <c r="I13" s="250">
        <f>+'GDR 3760_Pto. 02_Cert. 09)'!K13</f>
        <v>0</v>
      </c>
      <c r="J13" s="250">
        <v>0.1</v>
      </c>
      <c r="K13" s="251">
        <f t="shared" si="1"/>
        <v>0.1</v>
      </c>
      <c r="L13" s="50">
        <f t="shared" si="2"/>
        <v>0</v>
      </c>
      <c r="M13" s="50">
        <f t="shared" si="3"/>
        <v>120733.20000000001</v>
      </c>
      <c r="N13" s="50">
        <f t="shared" si="4"/>
        <v>120733.20000000001</v>
      </c>
      <c r="P13" s="92"/>
    </row>
    <row r="14" spans="1:18" ht="12.75" customHeight="1" x14ac:dyDescent="0.3">
      <c r="A14" s="24">
        <v>4.05</v>
      </c>
      <c r="B14" s="25" t="s">
        <v>23</v>
      </c>
      <c r="C14" s="30" t="s">
        <v>19</v>
      </c>
      <c r="D14" s="31">
        <v>70</v>
      </c>
      <c r="E14" s="183">
        <v>36933</v>
      </c>
      <c r="F14" s="181">
        <f t="shared" si="0"/>
        <v>2585310</v>
      </c>
      <c r="G14" s="182"/>
      <c r="H14" s="245"/>
      <c r="I14" s="250">
        <f>+'GDR 3760_Pto. 02_Cert. 09)'!K14</f>
        <v>0</v>
      </c>
      <c r="J14" s="250">
        <v>0.1</v>
      </c>
      <c r="K14" s="251">
        <f t="shared" si="1"/>
        <v>0.1</v>
      </c>
      <c r="L14" s="50">
        <f t="shared" si="2"/>
        <v>0</v>
      </c>
      <c r="M14" s="50">
        <f t="shared" si="3"/>
        <v>258531</v>
      </c>
      <c r="N14" s="50">
        <f t="shared" si="4"/>
        <v>258531</v>
      </c>
    </row>
    <row r="15" spans="1:18" ht="12.75" customHeight="1" x14ac:dyDescent="0.3">
      <c r="A15" s="24">
        <v>4.0599999999999996</v>
      </c>
      <c r="B15" s="25" t="s">
        <v>24</v>
      </c>
      <c r="C15" s="30" t="s">
        <v>19</v>
      </c>
      <c r="D15" s="31">
        <v>5</v>
      </c>
      <c r="E15" s="183">
        <v>28672</v>
      </c>
      <c r="F15" s="181">
        <f t="shared" si="0"/>
        <v>143360</v>
      </c>
      <c r="G15" s="182"/>
      <c r="H15" s="245"/>
      <c r="I15" s="250">
        <f>+'GDR 3760_Pto. 02_Cert. 09)'!K15</f>
        <v>0</v>
      </c>
      <c r="J15" s="250">
        <v>0.1</v>
      </c>
      <c r="K15" s="251">
        <f t="shared" si="1"/>
        <v>0.1</v>
      </c>
      <c r="L15" s="50">
        <f t="shared" si="2"/>
        <v>0</v>
      </c>
      <c r="M15" s="50">
        <f t="shared" si="3"/>
        <v>14336</v>
      </c>
      <c r="N15" s="50">
        <f t="shared" si="4"/>
        <v>14336</v>
      </c>
    </row>
    <row r="16" spans="1:18" ht="12.75" customHeight="1" x14ac:dyDescent="0.3">
      <c r="A16" s="24">
        <v>4.07</v>
      </c>
      <c r="B16" s="25" t="s">
        <v>25</v>
      </c>
      <c r="C16" s="30" t="s">
        <v>19</v>
      </c>
      <c r="D16" s="37">
        <v>193</v>
      </c>
      <c r="E16" s="183">
        <v>18611</v>
      </c>
      <c r="F16" s="181">
        <f t="shared" si="0"/>
        <v>3591923</v>
      </c>
      <c r="G16" s="182"/>
      <c r="H16" s="245"/>
      <c r="I16" s="250">
        <f>+'GDR 3760_Pto. 02_Cert. 09)'!K16</f>
        <v>0</v>
      </c>
      <c r="J16" s="250"/>
      <c r="K16" s="251">
        <f t="shared" si="1"/>
        <v>0</v>
      </c>
      <c r="L16" s="50">
        <f t="shared" si="2"/>
        <v>0</v>
      </c>
      <c r="M16" s="50">
        <f t="shared" si="3"/>
        <v>0</v>
      </c>
      <c r="N16" s="50">
        <f t="shared" si="4"/>
        <v>0</v>
      </c>
    </row>
    <row r="17" spans="1:14" ht="12.75" customHeight="1" x14ac:dyDescent="0.3">
      <c r="A17" s="24">
        <v>4.08</v>
      </c>
      <c r="B17" s="25" t="s">
        <v>26</v>
      </c>
      <c r="C17" s="30" t="s">
        <v>27</v>
      </c>
      <c r="D17" s="37">
        <v>61</v>
      </c>
      <c r="E17" s="183">
        <v>28578</v>
      </c>
      <c r="F17" s="181">
        <f t="shared" si="0"/>
        <v>1743258</v>
      </c>
      <c r="G17" s="182"/>
      <c r="H17" s="245"/>
      <c r="I17" s="250">
        <f>+'GDR 3760_Pto. 02_Cert. 09)'!K17</f>
        <v>0</v>
      </c>
      <c r="J17" s="250"/>
      <c r="K17" s="251">
        <f t="shared" si="1"/>
        <v>0</v>
      </c>
      <c r="L17" s="50">
        <f t="shared" si="2"/>
        <v>0</v>
      </c>
      <c r="M17" s="50">
        <f t="shared" si="3"/>
        <v>0</v>
      </c>
      <c r="N17" s="50">
        <f t="shared" si="4"/>
        <v>0</v>
      </c>
    </row>
    <row r="18" spans="1:14" ht="12.75" customHeight="1" x14ac:dyDescent="0.3">
      <c r="A18" s="24">
        <v>4.09</v>
      </c>
      <c r="B18" s="25" t="s">
        <v>28</v>
      </c>
      <c r="C18" s="30" t="s">
        <v>29</v>
      </c>
      <c r="D18" s="37">
        <v>1</v>
      </c>
      <c r="E18" s="183">
        <v>280823</v>
      </c>
      <c r="F18" s="181">
        <f t="shared" si="0"/>
        <v>280823</v>
      </c>
      <c r="G18" s="182"/>
      <c r="H18" s="245"/>
      <c r="I18" s="250">
        <f>+'GDR 3760_Pto. 02_Cert. 09)'!K18</f>
        <v>0</v>
      </c>
      <c r="J18" s="250"/>
      <c r="K18" s="251">
        <f t="shared" si="1"/>
        <v>0</v>
      </c>
      <c r="L18" s="50">
        <f t="shared" si="2"/>
        <v>0</v>
      </c>
      <c r="M18" s="50">
        <f t="shared" si="3"/>
        <v>0</v>
      </c>
      <c r="N18" s="50">
        <f t="shared" si="4"/>
        <v>0</v>
      </c>
    </row>
    <row r="19" spans="1:14" ht="12.75" customHeight="1" x14ac:dyDescent="0.3">
      <c r="A19" s="24">
        <v>4.0999999999999996</v>
      </c>
      <c r="B19" s="25" t="s">
        <v>30</v>
      </c>
      <c r="C19" s="30" t="s">
        <v>29</v>
      </c>
      <c r="D19" s="37">
        <v>1</v>
      </c>
      <c r="E19" s="183">
        <v>801214</v>
      </c>
      <c r="F19" s="181">
        <f t="shared" si="0"/>
        <v>801214</v>
      </c>
      <c r="G19" s="182"/>
      <c r="H19" s="245"/>
      <c r="I19" s="250">
        <f>+'GDR 3760_Pto. 02_Cert. 09)'!K19</f>
        <v>0</v>
      </c>
      <c r="J19" s="250"/>
      <c r="K19" s="251">
        <f t="shared" si="1"/>
        <v>0</v>
      </c>
      <c r="L19" s="50">
        <f t="shared" si="2"/>
        <v>0</v>
      </c>
      <c r="M19" s="50">
        <f t="shared" si="3"/>
        <v>0</v>
      </c>
      <c r="N19" s="50">
        <f t="shared" si="4"/>
        <v>0</v>
      </c>
    </row>
    <row r="20" spans="1:14" ht="12.75" customHeight="1" x14ac:dyDescent="0.3">
      <c r="A20" s="24">
        <v>4.1100000000000003</v>
      </c>
      <c r="B20" s="25" t="s">
        <v>31</v>
      </c>
      <c r="C20" s="30" t="s">
        <v>29</v>
      </c>
      <c r="D20" s="37">
        <v>1</v>
      </c>
      <c r="E20" s="183">
        <v>525234</v>
      </c>
      <c r="F20" s="181">
        <f t="shared" si="0"/>
        <v>525234</v>
      </c>
      <c r="G20" s="182"/>
      <c r="H20" s="245"/>
      <c r="I20" s="250">
        <f>+'GDR 3760_Pto. 02_Cert. 09)'!K20</f>
        <v>0</v>
      </c>
      <c r="J20" s="250"/>
      <c r="K20" s="251">
        <f t="shared" si="1"/>
        <v>0</v>
      </c>
      <c r="L20" s="50">
        <f t="shared" si="2"/>
        <v>0</v>
      </c>
      <c r="M20" s="50">
        <f t="shared" si="3"/>
        <v>0</v>
      </c>
      <c r="N20" s="50">
        <f t="shared" si="4"/>
        <v>0</v>
      </c>
    </row>
    <row r="21" spans="1:14" ht="12.75" customHeight="1" x14ac:dyDescent="0.3">
      <c r="A21" s="24">
        <v>4.12</v>
      </c>
      <c r="B21" s="25" t="s">
        <v>32</v>
      </c>
      <c r="C21" s="30" t="s">
        <v>33</v>
      </c>
      <c r="D21" s="37">
        <v>3</v>
      </c>
      <c r="E21" s="183">
        <v>237784</v>
      </c>
      <c r="F21" s="181">
        <f t="shared" si="0"/>
        <v>713352</v>
      </c>
      <c r="G21" s="182"/>
      <c r="H21" s="245"/>
      <c r="I21" s="250">
        <f>+'GDR 3760_Pto. 02_Cert. 09)'!K21</f>
        <v>0</v>
      </c>
      <c r="J21" s="250"/>
      <c r="K21" s="251">
        <f t="shared" si="1"/>
        <v>0</v>
      </c>
      <c r="L21" s="50">
        <f t="shared" si="2"/>
        <v>0</v>
      </c>
      <c r="M21" s="50">
        <f t="shared" si="3"/>
        <v>0</v>
      </c>
      <c r="N21" s="50">
        <f t="shared" si="4"/>
        <v>0</v>
      </c>
    </row>
    <row r="22" spans="1:14" ht="12.75" customHeight="1" x14ac:dyDescent="0.3">
      <c r="A22" s="24">
        <v>4.13</v>
      </c>
      <c r="B22" s="25" t="s">
        <v>34</v>
      </c>
      <c r="C22" s="30" t="s">
        <v>27</v>
      </c>
      <c r="D22" s="37">
        <v>40</v>
      </c>
      <c r="E22" s="183">
        <v>98026</v>
      </c>
      <c r="F22" s="181">
        <f t="shared" si="0"/>
        <v>3921040</v>
      </c>
      <c r="G22" s="182"/>
      <c r="H22" s="245"/>
      <c r="I22" s="250">
        <f>+'GDR 3760_Pto. 02_Cert. 09)'!K22</f>
        <v>0</v>
      </c>
      <c r="J22" s="250"/>
      <c r="K22" s="251">
        <f t="shared" si="1"/>
        <v>0</v>
      </c>
      <c r="L22" s="50">
        <f t="shared" si="2"/>
        <v>0</v>
      </c>
      <c r="M22" s="50">
        <f t="shared" si="3"/>
        <v>0</v>
      </c>
      <c r="N22" s="50">
        <f t="shared" si="4"/>
        <v>0</v>
      </c>
    </row>
    <row r="23" spans="1:14" ht="12.75" customHeight="1" x14ac:dyDescent="0.3">
      <c r="A23" s="24">
        <v>4.1399999999999997</v>
      </c>
      <c r="B23" s="38" t="s">
        <v>35</v>
      </c>
      <c r="C23" s="34" t="s">
        <v>33</v>
      </c>
      <c r="D23" s="96">
        <v>8</v>
      </c>
      <c r="E23" s="183">
        <v>177655</v>
      </c>
      <c r="F23" s="181">
        <f t="shared" si="0"/>
        <v>1421240</v>
      </c>
      <c r="G23" s="182"/>
      <c r="H23" s="245"/>
      <c r="I23" s="250">
        <f>+'GDR 3760_Pto. 02_Cert. 09)'!K23</f>
        <v>0</v>
      </c>
      <c r="J23" s="250"/>
      <c r="K23" s="251">
        <f t="shared" si="1"/>
        <v>0</v>
      </c>
      <c r="L23" s="50">
        <f t="shared" si="2"/>
        <v>0</v>
      </c>
      <c r="M23" s="50">
        <f t="shared" si="3"/>
        <v>0</v>
      </c>
      <c r="N23" s="50">
        <f t="shared" si="4"/>
        <v>0</v>
      </c>
    </row>
    <row r="24" spans="1:14" ht="12.75" customHeight="1" x14ac:dyDescent="0.3">
      <c r="A24" s="13">
        <v>5</v>
      </c>
      <c r="B24" s="40" t="s">
        <v>36</v>
      </c>
      <c r="C24" s="18"/>
      <c r="D24" s="19"/>
      <c r="E24" s="19"/>
      <c r="F24" s="19"/>
      <c r="G24" s="176">
        <f>+SUM(F25:F31)</f>
        <v>19239698</v>
      </c>
      <c r="H24" s="245">
        <f>+G24/$G$195</f>
        <v>2.2773043993022494E-2</v>
      </c>
      <c r="I24" s="246"/>
      <c r="J24" s="247"/>
      <c r="K24" s="247"/>
      <c r="L24" s="178"/>
      <c r="M24" s="178"/>
      <c r="N24" s="179"/>
    </row>
    <row r="25" spans="1:14" ht="12.75" customHeight="1" x14ac:dyDescent="0.3">
      <c r="A25" s="20">
        <v>5.01</v>
      </c>
      <c r="B25" s="21" t="s">
        <v>37</v>
      </c>
      <c r="C25" s="93" t="s">
        <v>27</v>
      </c>
      <c r="D25" s="97">
        <v>136</v>
      </c>
      <c r="E25" s="183">
        <v>6496</v>
      </c>
      <c r="F25" s="181">
        <f t="shared" si="0"/>
        <v>883456</v>
      </c>
      <c r="G25" s="182"/>
      <c r="H25" s="245"/>
      <c r="I25" s="250">
        <f>+'GDR 3760_Pto. 02_Cert. 09)'!K25</f>
        <v>0</v>
      </c>
      <c r="J25" s="250"/>
      <c r="K25" s="251">
        <f t="shared" si="1"/>
        <v>0</v>
      </c>
      <c r="L25" s="50">
        <f t="shared" si="2"/>
        <v>0</v>
      </c>
      <c r="M25" s="50">
        <f t="shared" si="3"/>
        <v>0</v>
      </c>
      <c r="N25" s="50">
        <f t="shared" si="4"/>
        <v>0</v>
      </c>
    </row>
    <row r="26" spans="1:14" ht="12.75" customHeight="1" x14ac:dyDescent="0.3">
      <c r="A26" s="24">
        <v>5.0199999999999996</v>
      </c>
      <c r="B26" s="98" t="s">
        <v>38</v>
      </c>
      <c r="C26" s="30" t="s">
        <v>19</v>
      </c>
      <c r="D26" s="31">
        <v>77</v>
      </c>
      <c r="E26" s="184">
        <v>33270</v>
      </c>
      <c r="F26" s="183">
        <f t="shared" si="0"/>
        <v>2561790</v>
      </c>
      <c r="G26" s="182"/>
      <c r="H26" s="245"/>
      <c r="I26" s="250">
        <f>+'GDR 3760_Pto. 02_Cert. 09)'!K26</f>
        <v>0</v>
      </c>
      <c r="J26" s="250"/>
      <c r="K26" s="251">
        <f t="shared" si="1"/>
        <v>0</v>
      </c>
      <c r="L26" s="50">
        <f t="shared" si="2"/>
        <v>0</v>
      </c>
      <c r="M26" s="50">
        <f t="shared" si="3"/>
        <v>0</v>
      </c>
      <c r="N26" s="50">
        <f t="shared" si="4"/>
        <v>0</v>
      </c>
    </row>
    <row r="27" spans="1:14" ht="12.75" customHeight="1" x14ac:dyDescent="0.3">
      <c r="A27" s="24">
        <v>5.03</v>
      </c>
      <c r="B27" s="25" t="s">
        <v>39</v>
      </c>
      <c r="C27" s="30" t="s">
        <v>19</v>
      </c>
      <c r="D27" s="31">
        <v>107</v>
      </c>
      <c r="E27" s="184">
        <v>6496</v>
      </c>
      <c r="F27" s="181">
        <f t="shared" si="0"/>
        <v>695072</v>
      </c>
      <c r="G27" s="182"/>
      <c r="H27" s="245"/>
      <c r="I27" s="250">
        <f>+'GDR 3760_Pto. 02_Cert. 09)'!K27</f>
        <v>0</v>
      </c>
      <c r="J27" s="250"/>
      <c r="K27" s="251">
        <f t="shared" si="1"/>
        <v>0</v>
      </c>
      <c r="L27" s="50">
        <f t="shared" si="2"/>
        <v>0</v>
      </c>
      <c r="M27" s="50">
        <f t="shared" si="3"/>
        <v>0</v>
      </c>
      <c r="N27" s="50">
        <f t="shared" si="4"/>
        <v>0</v>
      </c>
    </row>
    <row r="28" spans="1:14" ht="12.75" customHeight="1" x14ac:dyDescent="0.3">
      <c r="A28" s="24">
        <v>5.04</v>
      </c>
      <c r="B28" s="25" t="s">
        <v>40</v>
      </c>
      <c r="C28" s="30" t="s">
        <v>19</v>
      </c>
      <c r="D28" s="31">
        <v>186</v>
      </c>
      <c r="E28" s="184">
        <v>4832</v>
      </c>
      <c r="F28" s="181">
        <f t="shared" si="0"/>
        <v>898752</v>
      </c>
      <c r="G28" s="182"/>
      <c r="H28" s="245"/>
      <c r="I28" s="250">
        <f>+'GDR 3760_Pto. 02_Cert. 09)'!K28</f>
        <v>0</v>
      </c>
      <c r="J28" s="250"/>
      <c r="K28" s="251">
        <f t="shared" si="1"/>
        <v>0</v>
      </c>
      <c r="L28" s="50">
        <f t="shared" si="2"/>
        <v>0</v>
      </c>
      <c r="M28" s="50">
        <f t="shared" si="3"/>
        <v>0</v>
      </c>
      <c r="N28" s="50">
        <f t="shared" si="4"/>
        <v>0</v>
      </c>
    </row>
    <row r="29" spans="1:14" ht="12.75" customHeight="1" x14ac:dyDescent="0.3">
      <c r="A29" s="24">
        <v>5.05</v>
      </c>
      <c r="B29" s="25" t="s">
        <v>41</v>
      </c>
      <c r="C29" s="30" t="s">
        <v>19</v>
      </c>
      <c r="D29" s="31">
        <v>186</v>
      </c>
      <c r="E29" s="184">
        <v>4134</v>
      </c>
      <c r="F29" s="181">
        <f t="shared" si="0"/>
        <v>768924</v>
      </c>
      <c r="G29" s="182"/>
      <c r="H29" s="245"/>
      <c r="I29" s="250">
        <f>+'GDR 3760_Pto. 02_Cert. 09)'!K29</f>
        <v>0</v>
      </c>
      <c r="J29" s="250"/>
      <c r="K29" s="251">
        <f t="shared" si="1"/>
        <v>0</v>
      </c>
      <c r="L29" s="50">
        <f t="shared" si="2"/>
        <v>0</v>
      </c>
      <c r="M29" s="50">
        <f t="shared" si="3"/>
        <v>0</v>
      </c>
      <c r="N29" s="50">
        <f t="shared" si="4"/>
        <v>0</v>
      </c>
    </row>
    <row r="30" spans="1:14" ht="12.75" customHeight="1" x14ac:dyDescent="0.3">
      <c r="A30" s="24">
        <v>5.0599999999999996</v>
      </c>
      <c r="B30" s="25" t="s">
        <v>42</v>
      </c>
      <c r="C30" s="99" t="s">
        <v>19</v>
      </c>
      <c r="D30" s="31">
        <v>390</v>
      </c>
      <c r="E30" s="184">
        <v>28187</v>
      </c>
      <c r="F30" s="181">
        <f t="shared" si="0"/>
        <v>10992930</v>
      </c>
      <c r="G30" s="185"/>
      <c r="H30" s="245"/>
      <c r="I30" s="250">
        <f>+'GDR 3760_Pto. 02_Cert. 09)'!K30</f>
        <v>0</v>
      </c>
      <c r="J30" s="250"/>
      <c r="K30" s="251">
        <f t="shared" si="1"/>
        <v>0</v>
      </c>
      <c r="L30" s="50">
        <f t="shared" si="2"/>
        <v>0</v>
      </c>
      <c r="M30" s="50">
        <f t="shared" si="3"/>
        <v>0</v>
      </c>
      <c r="N30" s="50">
        <f t="shared" si="4"/>
        <v>0</v>
      </c>
    </row>
    <row r="31" spans="1:14" ht="12.75" customHeight="1" x14ac:dyDescent="0.3">
      <c r="A31" s="24">
        <v>5.07</v>
      </c>
      <c r="B31" s="25" t="s">
        <v>43</v>
      </c>
      <c r="C31" s="99" t="s">
        <v>29</v>
      </c>
      <c r="D31" s="31">
        <v>1</v>
      </c>
      <c r="E31" s="184">
        <v>2438774</v>
      </c>
      <c r="F31" s="181">
        <f t="shared" si="0"/>
        <v>2438774</v>
      </c>
      <c r="G31" s="186"/>
      <c r="H31" s="245"/>
      <c r="I31" s="250">
        <f>+'GDR 3760_Pto. 02_Cert. 09)'!K31</f>
        <v>0</v>
      </c>
      <c r="J31" s="250"/>
      <c r="K31" s="251">
        <f t="shared" si="1"/>
        <v>0</v>
      </c>
      <c r="L31" s="50">
        <f t="shared" si="2"/>
        <v>0</v>
      </c>
      <c r="M31" s="50">
        <f t="shared" si="3"/>
        <v>0</v>
      </c>
      <c r="N31" s="50">
        <f t="shared" si="4"/>
        <v>0</v>
      </c>
    </row>
    <row r="32" spans="1:14" ht="12.75" customHeight="1" x14ac:dyDescent="0.3">
      <c r="A32" s="13">
        <v>6</v>
      </c>
      <c r="B32" s="17" t="s">
        <v>44</v>
      </c>
      <c r="C32" s="18"/>
      <c r="D32" s="19"/>
      <c r="E32" s="19"/>
      <c r="F32" s="19"/>
      <c r="G32" s="176">
        <f>+SUM(F33)</f>
        <v>1722875</v>
      </c>
      <c r="H32" s="245">
        <f>+G32/$G$195</f>
        <v>2.0392787958251023E-3</v>
      </c>
      <c r="I32" s="246"/>
      <c r="J32" s="247"/>
      <c r="K32" s="247"/>
      <c r="L32" s="178"/>
      <c r="M32" s="178"/>
      <c r="N32" s="179"/>
    </row>
    <row r="33" spans="1:14" ht="12.75" customHeight="1" x14ac:dyDescent="0.3">
      <c r="A33" s="100">
        <v>6.02</v>
      </c>
      <c r="B33" s="38" t="s">
        <v>45</v>
      </c>
      <c r="C33" s="101" t="s">
        <v>27</v>
      </c>
      <c r="D33" s="102">
        <v>55</v>
      </c>
      <c r="E33" s="181">
        <v>31325</v>
      </c>
      <c r="F33" s="181">
        <f t="shared" si="0"/>
        <v>1722875</v>
      </c>
      <c r="G33" s="185"/>
      <c r="H33" s="245"/>
      <c r="I33" s="250">
        <f>+'GDR 3760_Pto. 02_Cert. 09)'!K33</f>
        <v>0</v>
      </c>
      <c r="J33" s="250"/>
      <c r="K33" s="251">
        <f t="shared" si="1"/>
        <v>0</v>
      </c>
      <c r="L33" s="50">
        <f t="shared" si="2"/>
        <v>0</v>
      </c>
      <c r="M33" s="50">
        <f t="shared" si="3"/>
        <v>0</v>
      </c>
      <c r="N33" s="50">
        <f t="shared" si="4"/>
        <v>0</v>
      </c>
    </row>
    <row r="34" spans="1:14" ht="12.75" customHeight="1" x14ac:dyDescent="0.3">
      <c r="A34" s="13">
        <v>7</v>
      </c>
      <c r="B34" s="40" t="s">
        <v>46</v>
      </c>
      <c r="C34" s="18"/>
      <c r="D34" s="19"/>
      <c r="E34" s="19"/>
      <c r="F34" s="19"/>
      <c r="G34" s="176">
        <f>+SUM(F35:F40)</f>
        <v>92324467</v>
      </c>
      <c r="H34" s="245">
        <f>+G34/$G$195</f>
        <v>0.10927973758337338</v>
      </c>
      <c r="I34" s="246"/>
      <c r="J34" s="247"/>
      <c r="K34" s="247"/>
      <c r="L34" s="178"/>
      <c r="M34" s="178"/>
      <c r="N34" s="179"/>
    </row>
    <row r="35" spans="1:14" ht="12.75" customHeight="1" x14ac:dyDescent="0.3">
      <c r="A35" s="20">
        <v>7.01</v>
      </c>
      <c r="B35" s="103" t="s">
        <v>47</v>
      </c>
      <c r="C35" s="93" t="s">
        <v>19</v>
      </c>
      <c r="D35" s="94">
        <v>879</v>
      </c>
      <c r="E35" s="180">
        <v>19943</v>
      </c>
      <c r="F35" s="180">
        <f t="shared" si="0"/>
        <v>17529897</v>
      </c>
      <c r="G35" s="187"/>
      <c r="H35" s="245"/>
      <c r="I35" s="250">
        <f>+'GDR 3760_Pto. 02_Cert. 09)'!K35</f>
        <v>0</v>
      </c>
      <c r="J35" s="250"/>
      <c r="K35" s="251">
        <f t="shared" si="1"/>
        <v>0</v>
      </c>
      <c r="L35" s="50">
        <f t="shared" si="2"/>
        <v>0</v>
      </c>
      <c r="M35" s="50">
        <f t="shared" si="3"/>
        <v>0</v>
      </c>
      <c r="N35" s="50">
        <f t="shared" si="4"/>
        <v>0</v>
      </c>
    </row>
    <row r="36" spans="1:14" ht="12.75" customHeight="1" x14ac:dyDescent="0.3">
      <c r="A36" s="24">
        <v>7.02</v>
      </c>
      <c r="B36" s="104" t="s">
        <v>48</v>
      </c>
      <c r="C36" s="30" t="s">
        <v>19</v>
      </c>
      <c r="D36" s="31">
        <v>716</v>
      </c>
      <c r="E36" s="181">
        <v>26767</v>
      </c>
      <c r="F36" s="181">
        <f t="shared" si="0"/>
        <v>19165172</v>
      </c>
      <c r="G36" s="185"/>
      <c r="H36" s="245"/>
      <c r="I36" s="250">
        <f>+'GDR 3760_Pto. 02_Cert. 09)'!K36</f>
        <v>0</v>
      </c>
      <c r="J36" s="250"/>
      <c r="K36" s="251">
        <f t="shared" si="1"/>
        <v>0</v>
      </c>
      <c r="L36" s="50">
        <f t="shared" si="2"/>
        <v>0</v>
      </c>
      <c r="M36" s="50">
        <f t="shared" si="3"/>
        <v>0</v>
      </c>
      <c r="N36" s="50">
        <f t="shared" si="4"/>
        <v>0</v>
      </c>
    </row>
    <row r="37" spans="1:14" ht="12.75" customHeight="1" x14ac:dyDescent="0.3">
      <c r="A37" s="24">
        <v>7.03</v>
      </c>
      <c r="B37" s="25" t="s">
        <v>49</v>
      </c>
      <c r="C37" s="30" t="s">
        <v>19</v>
      </c>
      <c r="D37" s="31">
        <v>1439</v>
      </c>
      <c r="E37" s="181">
        <v>22963</v>
      </c>
      <c r="F37" s="181">
        <f t="shared" si="0"/>
        <v>33043757</v>
      </c>
      <c r="G37" s="185"/>
      <c r="H37" s="245"/>
      <c r="I37" s="250">
        <f>+'GDR 3760_Pto. 02_Cert. 09)'!K37</f>
        <v>0</v>
      </c>
      <c r="J37" s="250"/>
      <c r="K37" s="251">
        <f t="shared" si="1"/>
        <v>0</v>
      </c>
      <c r="L37" s="50">
        <f t="shared" si="2"/>
        <v>0</v>
      </c>
      <c r="M37" s="50">
        <f t="shared" si="3"/>
        <v>0</v>
      </c>
      <c r="N37" s="50">
        <f t="shared" si="4"/>
        <v>0</v>
      </c>
    </row>
    <row r="38" spans="1:14" ht="12.75" customHeight="1" x14ac:dyDescent="0.3">
      <c r="A38" s="100">
        <v>7.04</v>
      </c>
      <c r="B38" s="105" t="s">
        <v>50</v>
      </c>
      <c r="C38" s="30" t="s">
        <v>27</v>
      </c>
      <c r="D38" s="31">
        <v>347</v>
      </c>
      <c r="E38" s="181">
        <v>16909</v>
      </c>
      <c r="F38" s="181">
        <f t="shared" si="0"/>
        <v>5867423</v>
      </c>
      <c r="G38" s="185"/>
      <c r="H38" s="245"/>
      <c r="I38" s="250">
        <f>+'GDR 3760_Pto. 02_Cert. 09)'!K38</f>
        <v>0</v>
      </c>
      <c r="J38" s="250"/>
      <c r="K38" s="251">
        <f t="shared" si="1"/>
        <v>0</v>
      </c>
      <c r="L38" s="50">
        <f t="shared" si="2"/>
        <v>0</v>
      </c>
      <c r="M38" s="50">
        <f t="shared" si="3"/>
        <v>0</v>
      </c>
      <c r="N38" s="50">
        <f t="shared" si="4"/>
        <v>0</v>
      </c>
    </row>
    <row r="39" spans="1:14" ht="12.75" customHeight="1" x14ac:dyDescent="0.3">
      <c r="A39" s="24">
        <v>7.05</v>
      </c>
      <c r="B39" s="105" t="s">
        <v>51</v>
      </c>
      <c r="C39" s="30" t="s">
        <v>52</v>
      </c>
      <c r="D39" s="31">
        <v>132</v>
      </c>
      <c r="E39" s="181">
        <v>19384</v>
      </c>
      <c r="F39" s="181">
        <f t="shared" si="0"/>
        <v>2558688</v>
      </c>
      <c r="G39" s="185"/>
      <c r="H39" s="245"/>
      <c r="I39" s="250">
        <f>+'GDR 3760_Pto. 02_Cert. 09)'!K39</f>
        <v>0</v>
      </c>
      <c r="J39" s="250"/>
      <c r="K39" s="251">
        <f t="shared" si="1"/>
        <v>0</v>
      </c>
      <c r="L39" s="50">
        <f t="shared" si="2"/>
        <v>0</v>
      </c>
      <c r="M39" s="50">
        <f t="shared" si="3"/>
        <v>0</v>
      </c>
      <c r="N39" s="50">
        <f t="shared" si="4"/>
        <v>0</v>
      </c>
    </row>
    <row r="40" spans="1:14" ht="12.75" customHeight="1" x14ac:dyDescent="0.3">
      <c r="A40" s="100">
        <v>7.06</v>
      </c>
      <c r="B40" s="25" t="s">
        <v>53</v>
      </c>
      <c r="C40" s="30" t="s">
        <v>19</v>
      </c>
      <c r="D40" s="31">
        <v>710</v>
      </c>
      <c r="E40" s="181">
        <v>19943</v>
      </c>
      <c r="F40" s="181">
        <f t="shared" si="0"/>
        <v>14159530</v>
      </c>
      <c r="G40" s="185"/>
      <c r="H40" s="245"/>
      <c r="I40" s="250">
        <f>+'GDR 3760_Pto. 02_Cert. 09)'!K40</f>
        <v>0</v>
      </c>
      <c r="J40" s="250"/>
      <c r="K40" s="251">
        <f t="shared" si="1"/>
        <v>0</v>
      </c>
      <c r="L40" s="50">
        <f t="shared" si="2"/>
        <v>0</v>
      </c>
      <c r="M40" s="50">
        <f t="shared" si="3"/>
        <v>0</v>
      </c>
      <c r="N40" s="50">
        <f t="shared" si="4"/>
        <v>0</v>
      </c>
    </row>
    <row r="41" spans="1:14" ht="12.75" customHeight="1" x14ac:dyDescent="0.3">
      <c r="A41" s="13">
        <v>8</v>
      </c>
      <c r="B41" s="17" t="s">
        <v>54</v>
      </c>
      <c r="C41" s="18"/>
      <c r="D41" s="19"/>
      <c r="E41" s="19"/>
      <c r="F41" s="19"/>
      <c r="G41" s="176">
        <f>+SUM(F42:F49)</f>
        <v>49520833</v>
      </c>
      <c r="H41" s="245">
        <f>+G41/$G$195</f>
        <v>5.8615270805192479E-2</v>
      </c>
      <c r="I41" s="246"/>
      <c r="J41" s="247"/>
      <c r="K41" s="247"/>
      <c r="L41" s="178"/>
      <c r="M41" s="178"/>
      <c r="N41" s="179"/>
    </row>
    <row r="42" spans="1:14" ht="12.75" customHeight="1" x14ac:dyDescent="0.3">
      <c r="A42" s="20">
        <v>8.01</v>
      </c>
      <c r="B42" s="21" t="s">
        <v>55</v>
      </c>
      <c r="C42" s="93" t="s">
        <v>19</v>
      </c>
      <c r="D42" s="94">
        <v>107</v>
      </c>
      <c r="E42" s="183">
        <v>58580</v>
      </c>
      <c r="F42" s="183">
        <f t="shared" si="0"/>
        <v>6268060</v>
      </c>
      <c r="G42" s="182"/>
      <c r="H42" s="245"/>
      <c r="I42" s="250">
        <f>+'GDR 3760_Pto. 02_Cert. 09)'!K42</f>
        <v>0</v>
      </c>
      <c r="J42" s="250"/>
      <c r="K42" s="251">
        <f t="shared" si="1"/>
        <v>0</v>
      </c>
      <c r="L42" s="50">
        <f t="shared" si="2"/>
        <v>0</v>
      </c>
      <c r="M42" s="50">
        <f t="shared" si="3"/>
        <v>0</v>
      </c>
      <c r="N42" s="50">
        <f t="shared" si="4"/>
        <v>0</v>
      </c>
    </row>
    <row r="43" spans="1:14" ht="12.75" customHeight="1" x14ac:dyDescent="0.3">
      <c r="A43" s="106">
        <v>8.02</v>
      </c>
      <c r="B43" s="107" t="s">
        <v>56</v>
      </c>
      <c r="C43" s="108" t="s">
        <v>19</v>
      </c>
      <c r="D43" s="32">
        <v>258</v>
      </c>
      <c r="E43" s="183">
        <v>38729</v>
      </c>
      <c r="F43" s="183">
        <f t="shared" si="0"/>
        <v>9992082</v>
      </c>
      <c r="G43" s="182"/>
      <c r="H43" s="245"/>
      <c r="I43" s="250">
        <f>+'GDR 3760_Pto. 02_Cert. 09)'!K43</f>
        <v>0</v>
      </c>
      <c r="J43" s="250"/>
      <c r="K43" s="251">
        <f t="shared" si="1"/>
        <v>0</v>
      </c>
      <c r="L43" s="50">
        <f t="shared" si="2"/>
        <v>0</v>
      </c>
      <c r="M43" s="50">
        <f t="shared" si="3"/>
        <v>0</v>
      </c>
      <c r="N43" s="50">
        <f t="shared" si="4"/>
        <v>0</v>
      </c>
    </row>
    <row r="44" spans="1:14" ht="12.75" customHeight="1" x14ac:dyDescent="0.3">
      <c r="A44" s="24">
        <v>8.0299999999999994</v>
      </c>
      <c r="B44" s="25" t="s">
        <v>57</v>
      </c>
      <c r="C44" s="30" t="s">
        <v>19</v>
      </c>
      <c r="D44" s="31">
        <v>425</v>
      </c>
      <c r="E44" s="183">
        <v>22943</v>
      </c>
      <c r="F44" s="183">
        <f t="shared" si="0"/>
        <v>9750775</v>
      </c>
      <c r="G44" s="182"/>
      <c r="H44" s="245"/>
      <c r="I44" s="250">
        <f>+'GDR 3760_Pto. 02_Cert. 09)'!K44</f>
        <v>0</v>
      </c>
      <c r="J44" s="250"/>
      <c r="K44" s="251">
        <f t="shared" si="1"/>
        <v>0</v>
      </c>
      <c r="L44" s="50">
        <f t="shared" si="2"/>
        <v>0</v>
      </c>
      <c r="M44" s="50">
        <f t="shared" si="3"/>
        <v>0</v>
      </c>
      <c r="N44" s="50">
        <f t="shared" si="4"/>
        <v>0</v>
      </c>
    </row>
    <row r="45" spans="1:14" ht="12.75" customHeight="1" x14ac:dyDescent="0.3">
      <c r="A45" s="106">
        <v>8.0399999999999991</v>
      </c>
      <c r="B45" s="25" t="s">
        <v>58</v>
      </c>
      <c r="C45" s="30" t="s">
        <v>19</v>
      </c>
      <c r="D45" s="31">
        <v>200</v>
      </c>
      <c r="E45" s="183">
        <v>40355</v>
      </c>
      <c r="F45" s="183">
        <f t="shared" si="0"/>
        <v>8071000</v>
      </c>
      <c r="G45" s="182"/>
      <c r="H45" s="245"/>
      <c r="I45" s="250">
        <f>+'GDR 3760_Pto. 02_Cert. 09)'!K45</f>
        <v>0</v>
      </c>
      <c r="J45" s="250"/>
      <c r="K45" s="251">
        <f t="shared" si="1"/>
        <v>0</v>
      </c>
      <c r="L45" s="50">
        <f t="shared" si="2"/>
        <v>0</v>
      </c>
      <c r="M45" s="50">
        <f t="shared" si="3"/>
        <v>0</v>
      </c>
      <c r="N45" s="50">
        <f t="shared" si="4"/>
        <v>0</v>
      </c>
    </row>
    <row r="46" spans="1:14" ht="12.75" customHeight="1" x14ac:dyDescent="0.3">
      <c r="A46" s="24">
        <v>8.0500000000000007</v>
      </c>
      <c r="B46" s="25" t="s">
        <v>59</v>
      </c>
      <c r="C46" s="30" t="s">
        <v>19</v>
      </c>
      <c r="D46" s="31">
        <v>77</v>
      </c>
      <c r="E46" s="183">
        <v>31515</v>
      </c>
      <c r="F46" s="183">
        <f t="shared" si="0"/>
        <v>2426655</v>
      </c>
      <c r="G46" s="182"/>
      <c r="H46" s="245"/>
      <c r="I46" s="250">
        <f>+'GDR 3760_Pto. 02_Cert. 09)'!K46</f>
        <v>0</v>
      </c>
      <c r="J46" s="250"/>
      <c r="K46" s="251">
        <f t="shared" si="1"/>
        <v>0</v>
      </c>
      <c r="L46" s="50">
        <f t="shared" si="2"/>
        <v>0</v>
      </c>
      <c r="M46" s="50">
        <f t="shared" si="3"/>
        <v>0</v>
      </c>
      <c r="N46" s="50">
        <f t="shared" si="4"/>
        <v>0</v>
      </c>
    </row>
    <row r="47" spans="1:14" ht="12.75" customHeight="1" x14ac:dyDescent="0.3">
      <c r="A47" s="106">
        <v>8.06</v>
      </c>
      <c r="B47" s="25" t="s">
        <v>60</v>
      </c>
      <c r="C47" s="30" t="s">
        <v>19</v>
      </c>
      <c r="D47" s="31">
        <v>77</v>
      </c>
      <c r="E47" s="183">
        <v>19683</v>
      </c>
      <c r="F47" s="183">
        <f t="shared" si="0"/>
        <v>1515591</v>
      </c>
      <c r="G47" s="182"/>
      <c r="H47" s="245"/>
      <c r="I47" s="250">
        <f>+'GDR 3760_Pto. 02_Cert. 09)'!K47</f>
        <v>0</v>
      </c>
      <c r="J47" s="250"/>
      <c r="K47" s="251">
        <f t="shared" si="1"/>
        <v>0</v>
      </c>
      <c r="L47" s="50">
        <f t="shared" si="2"/>
        <v>0</v>
      </c>
      <c r="M47" s="50">
        <f t="shared" si="3"/>
        <v>0</v>
      </c>
      <c r="N47" s="50">
        <f t="shared" si="4"/>
        <v>0</v>
      </c>
    </row>
    <row r="48" spans="1:14" ht="12.75" customHeight="1" x14ac:dyDescent="0.3">
      <c r="A48" s="24">
        <v>8.07</v>
      </c>
      <c r="B48" s="25" t="s">
        <v>61</v>
      </c>
      <c r="C48" s="30" t="s">
        <v>19</v>
      </c>
      <c r="D48" s="31">
        <v>442</v>
      </c>
      <c r="E48" s="183">
        <v>14335</v>
      </c>
      <c r="F48" s="183">
        <f t="shared" si="0"/>
        <v>6336070</v>
      </c>
      <c r="G48" s="182"/>
      <c r="H48" s="245"/>
      <c r="I48" s="250">
        <f>+'GDR 3760_Pto. 02_Cert. 09)'!K48</f>
        <v>0</v>
      </c>
      <c r="J48" s="250"/>
      <c r="K48" s="251">
        <f t="shared" si="1"/>
        <v>0</v>
      </c>
      <c r="L48" s="50">
        <f t="shared" si="2"/>
        <v>0</v>
      </c>
      <c r="M48" s="50">
        <f t="shared" si="3"/>
        <v>0</v>
      </c>
      <c r="N48" s="50">
        <f t="shared" si="4"/>
        <v>0</v>
      </c>
    </row>
    <row r="49" spans="1:14" ht="12.75" customHeight="1" x14ac:dyDescent="0.3">
      <c r="A49" s="106">
        <v>8.08</v>
      </c>
      <c r="B49" s="25" t="s">
        <v>62</v>
      </c>
      <c r="C49" s="30" t="s">
        <v>19</v>
      </c>
      <c r="D49" s="31">
        <v>360</v>
      </c>
      <c r="E49" s="183">
        <v>14335</v>
      </c>
      <c r="F49" s="183">
        <f t="shared" si="0"/>
        <v>5160600</v>
      </c>
      <c r="G49" s="182"/>
      <c r="H49" s="245"/>
      <c r="I49" s="250">
        <f>+'GDR 3760_Pto. 02_Cert. 09)'!K49</f>
        <v>0</v>
      </c>
      <c r="J49" s="250"/>
      <c r="K49" s="251">
        <f t="shared" si="1"/>
        <v>0</v>
      </c>
      <c r="L49" s="50">
        <f t="shared" si="2"/>
        <v>0</v>
      </c>
      <c r="M49" s="50">
        <f t="shared" si="3"/>
        <v>0</v>
      </c>
      <c r="N49" s="50">
        <f t="shared" si="4"/>
        <v>0</v>
      </c>
    </row>
    <row r="50" spans="1:14" ht="12.75" customHeight="1" x14ac:dyDescent="0.3">
      <c r="A50" s="13">
        <v>9</v>
      </c>
      <c r="B50" s="17" t="s">
        <v>63</v>
      </c>
      <c r="C50" s="18"/>
      <c r="D50" s="19"/>
      <c r="E50" s="19"/>
      <c r="F50" s="19"/>
      <c r="G50" s="176">
        <f>+SUM(F51:F53)</f>
        <v>4852846</v>
      </c>
      <c r="H50" s="245">
        <f>+G50/$G$195</f>
        <v>5.7440649769743392E-3</v>
      </c>
      <c r="I50" s="246"/>
      <c r="J50" s="247"/>
      <c r="K50" s="247"/>
      <c r="L50" s="178"/>
      <c r="M50" s="178"/>
      <c r="N50" s="179"/>
    </row>
    <row r="51" spans="1:14" ht="12.75" customHeight="1" x14ac:dyDescent="0.3">
      <c r="A51" s="20">
        <v>9.01</v>
      </c>
      <c r="B51" s="21" t="s">
        <v>64</v>
      </c>
      <c r="C51" s="109" t="s">
        <v>29</v>
      </c>
      <c r="D51" s="94">
        <v>1</v>
      </c>
      <c r="E51" s="181">
        <v>2109310</v>
      </c>
      <c r="F51" s="181">
        <f t="shared" si="0"/>
        <v>2109310</v>
      </c>
      <c r="G51" s="186"/>
      <c r="H51" s="245"/>
      <c r="I51" s="250">
        <f>+'GDR 3760_Pto. 02_Cert. 09)'!K51</f>
        <v>0</v>
      </c>
      <c r="J51" s="250"/>
      <c r="K51" s="251">
        <f t="shared" si="1"/>
        <v>0</v>
      </c>
      <c r="L51" s="50">
        <f t="shared" si="2"/>
        <v>0</v>
      </c>
      <c r="M51" s="50">
        <f t="shared" si="3"/>
        <v>0</v>
      </c>
      <c r="N51" s="50">
        <f t="shared" si="4"/>
        <v>0</v>
      </c>
    </row>
    <row r="52" spans="1:14" ht="12.75" customHeight="1" x14ac:dyDescent="0.3">
      <c r="A52" s="24">
        <v>9.02</v>
      </c>
      <c r="B52" s="25" t="s">
        <v>65</v>
      </c>
      <c r="C52" s="110" t="s">
        <v>52</v>
      </c>
      <c r="D52" s="31">
        <v>81</v>
      </c>
      <c r="E52" s="181">
        <v>28022</v>
      </c>
      <c r="F52" s="181">
        <f t="shared" si="0"/>
        <v>2269782</v>
      </c>
      <c r="G52" s="186"/>
      <c r="H52" s="252"/>
      <c r="I52" s="250">
        <f>+'GDR 3760_Pto. 02_Cert. 09)'!K52</f>
        <v>0</v>
      </c>
      <c r="J52" s="250"/>
      <c r="K52" s="251">
        <f t="shared" si="1"/>
        <v>0</v>
      </c>
      <c r="L52" s="50">
        <f t="shared" si="2"/>
        <v>0</v>
      </c>
      <c r="M52" s="50">
        <f t="shared" si="3"/>
        <v>0</v>
      </c>
      <c r="N52" s="50">
        <f t="shared" si="4"/>
        <v>0</v>
      </c>
    </row>
    <row r="53" spans="1:14" ht="12.75" customHeight="1" x14ac:dyDescent="0.3">
      <c r="A53" s="33">
        <v>9.0299999999999994</v>
      </c>
      <c r="B53" s="38" t="s">
        <v>66</v>
      </c>
      <c r="C53" s="111" t="s">
        <v>27</v>
      </c>
      <c r="D53" s="35">
        <v>46</v>
      </c>
      <c r="E53" s="181">
        <v>10299</v>
      </c>
      <c r="F53" s="181">
        <f t="shared" si="0"/>
        <v>473754</v>
      </c>
      <c r="G53" s="186"/>
      <c r="H53" s="252"/>
      <c r="I53" s="250">
        <f>+'GDR 3760_Pto. 02_Cert. 09)'!K53</f>
        <v>0</v>
      </c>
      <c r="J53" s="250"/>
      <c r="K53" s="251">
        <f t="shared" si="1"/>
        <v>0</v>
      </c>
      <c r="L53" s="50">
        <f t="shared" si="2"/>
        <v>0</v>
      </c>
      <c r="M53" s="50">
        <f t="shared" si="3"/>
        <v>0</v>
      </c>
      <c r="N53" s="50">
        <f t="shared" si="4"/>
        <v>0</v>
      </c>
    </row>
    <row r="54" spans="1:14" ht="12.75" customHeight="1" x14ac:dyDescent="0.3">
      <c r="A54" s="13">
        <v>10</v>
      </c>
      <c r="B54" s="40" t="s">
        <v>67</v>
      </c>
      <c r="C54" s="18"/>
      <c r="D54" s="19"/>
      <c r="E54" s="19"/>
      <c r="F54" s="19"/>
      <c r="G54" s="176">
        <f>+SUM(F55:F58)</f>
        <v>4184652</v>
      </c>
      <c r="H54" s="245">
        <f>+G54/$G$195</f>
        <v>4.9531580013100814E-3</v>
      </c>
      <c r="I54" s="246"/>
      <c r="J54" s="247"/>
      <c r="K54" s="247"/>
      <c r="L54" s="178"/>
      <c r="M54" s="178"/>
      <c r="N54" s="179"/>
    </row>
    <row r="55" spans="1:14" ht="12.75" customHeight="1" x14ac:dyDescent="0.3">
      <c r="A55" s="24">
        <v>10.01</v>
      </c>
      <c r="B55" s="25" t="s">
        <v>68</v>
      </c>
      <c r="C55" s="112" t="s">
        <v>29</v>
      </c>
      <c r="D55" s="27">
        <v>1</v>
      </c>
      <c r="E55" s="181">
        <v>1844532</v>
      </c>
      <c r="F55" s="181">
        <f t="shared" si="0"/>
        <v>1844532</v>
      </c>
      <c r="G55" s="188"/>
      <c r="H55" s="245"/>
      <c r="I55" s="250">
        <f>+'GDR 3760_Pto. 02_Cert. 09)'!K55</f>
        <v>0</v>
      </c>
      <c r="J55" s="250"/>
      <c r="K55" s="251">
        <f t="shared" si="1"/>
        <v>0</v>
      </c>
      <c r="L55" s="50">
        <f t="shared" si="2"/>
        <v>0</v>
      </c>
      <c r="M55" s="50">
        <f t="shared" si="3"/>
        <v>0</v>
      </c>
      <c r="N55" s="50">
        <f t="shared" si="4"/>
        <v>0</v>
      </c>
    </row>
    <row r="56" spans="1:14" ht="12.75" customHeight="1" x14ac:dyDescent="0.3">
      <c r="A56" s="24">
        <v>10.02</v>
      </c>
      <c r="B56" s="25" t="s">
        <v>69</v>
      </c>
      <c r="C56" s="112" t="s">
        <v>29</v>
      </c>
      <c r="D56" s="27">
        <v>1</v>
      </c>
      <c r="E56" s="181">
        <v>1214937</v>
      </c>
      <c r="F56" s="181">
        <f t="shared" si="0"/>
        <v>1214937</v>
      </c>
      <c r="H56" s="245"/>
      <c r="I56" s="250">
        <f>+'GDR 3760_Pto. 02_Cert. 09)'!K56</f>
        <v>0</v>
      </c>
      <c r="J56" s="250"/>
      <c r="K56" s="251">
        <f t="shared" si="1"/>
        <v>0</v>
      </c>
      <c r="L56" s="50">
        <f t="shared" si="2"/>
        <v>0</v>
      </c>
      <c r="M56" s="50">
        <f t="shared" si="3"/>
        <v>0</v>
      </c>
      <c r="N56" s="50">
        <f t="shared" si="4"/>
        <v>0</v>
      </c>
    </row>
    <row r="57" spans="1:14" ht="12.75" customHeight="1" x14ac:dyDescent="0.3">
      <c r="A57" s="24">
        <v>10.029999999999999</v>
      </c>
      <c r="B57" s="25" t="s">
        <v>70</v>
      </c>
      <c r="C57" s="112" t="s">
        <v>29</v>
      </c>
      <c r="D57" s="27">
        <v>1</v>
      </c>
      <c r="E57" s="181">
        <v>539833</v>
      </c>
      <c r="F57" s="181">
        <f t="shared" si="0"/>
        <v>539833</v>
      </c>
      <c r="H57" s="245"/>
      <c r="I57" s="250">
        <f>+'GDR 3760_Pto. 02_Cert. 09)'!K57</f>
        <v>0</v>
      </c>
      <c r="J57" s="250"/>
      <c r="K57" s="251">
        <f t="shared" si="1"/>
        <v>0</v>
      </c>
      <c r="L57" s="50">
        <f t="shared" si="2"/>
        <v>0</v>
      </c>
      <c r="M57" s="50">
        <f t="shared" si="3"/>
        <v>0</v>
      </c>
      <c r="N57" s="50">
        <f t="shared" si="4"/>
        <v>0</v>
      </c>
    </row>
    <row r="58" spans="1:14" ht="12.75" customHeight="1" x14ac:dyDescent="0.3">
      <c r="A58" s="24">
        <v>10.039999999999999</v>
      </c>
      <c r="B58" s="25" t="s">
        <v>71</v>
      </c>
      <c r="C58" s="30" t="s">
        <v>33</v>
      </c>
      <c r="D58" s="31">
        <v>10</v>
      </c>
      <c r="E58" s="181">
        <v>58535</v>
      </c>
      <c r="F58" s="181">
        <f t="shared" si="0"/>
        <v>585350</v>
      </c>
      <c r="G58" s="182"/>
      <c r="H58" s="245"/>
      <c r="I58" s="250">
        <f>+'GDR 3760_Pto. 02_Cert. 09)'!K58</f>
        <v>0</v>
      </c>
      <c r="J58" s="250"/>
      <c r="K58" s="251">
        <f t="shared" si="1"/>
        <v>0</v>
      </c>
      <c r="L58" s="50">
        <f t="shared" si="2"/>
        <v>0</v>
      </c>
      <c r="M58" s="50">
        <f t="shared" si="3"/>
        <v>0</v>
      </c>
      <c r="N58" s="50">
        <f t="shared" si="4"/>
        <v>0</v>
      </c>
    </row>
    <row r="59" spans="1:14" ht="12.75" customHeight="1" x14ac:dyDescent="0.3">
      <c r="A59" s="13">
        <v>11</v>
      </c>
      <c r="B59" s="17" t="s">
        <v>72</v>
      </c>
      <c r="C59" s="18"/>
      <c r="D59" s="19"/>
      <c r="E59" s="19"/>
      <c r="F59" s="19"/>
      <c r="G59" s="176">
        <f>+SUM(F60:F70)</f>
        <v>31170783</v>
      </c>
      <c r="H59" s="245">
        <f>+G59/$G$195</f>
        <v>3.6895257532418527E-2</v>
      </c>
      <c r="I59" s="246"/>
      <c r="J59" s="247"/>
      <c r="K59" s="247"/>
      <c r="L59" s="178"/>
      <c r="M59" s="178"/>
      <c r="N59" s="179"/>
    </row>
    <row r="60" spans="1:14" ht="12.75" customHeight="1" x14ac:dyDescent="0.3">
      <c r="A60" s="20">
        <v>11.01</v>
      </c>
      <c r="B60" s="21" t="s">
        <v>73</v>
      </c>
      <c r="C60" s="109" t="s">
        <v>19</v>
      </c>
      <c r="D60" s="94">
        <v>0</v>
      </c>
      <c r="E60" s="181">
        <v>0</v>
      </c>
      <c r="F60" s="181">
        <f t="shared" si="0"/>
        <v>0</v>
      </c>
      <c r="G60" s="185"/>
      <c r="H60" s="252"/>
      <c r="I60" s="250">
        <f>+'GDR 3760_Pto. 02_Cert. 09)'!K60</f>
        <v>0</v>
      </c>
      <c r="J60" s="250"/>
      <c r="K60" s="251">
        <f t="shared" si="1"/>
        <v>0</v>
      </c>
      <c r="L60" s="50">
        <f t="shared" si="2"/>
        <v>0</v>
      </c>
      <c r="M60" s="50">
        <f t="shared" si="3"/>
        <v>0</v>
      </c>
      <c r="N60" s="50">
        <f t="shared" si="4"/>
        <v>0</v>
      </c>
    </row>
    <row r="61" spans="1:14" ht="12.75" customHeight="1" x14ac:dyDescent="0.3">
      <c r="A61" s="24">
        <v>11.02</v>
      </c>
      <c r="B61" s="25" t="s">
        <v>74</v>
      </c>
      <c r="C61" s="110" t="s">
        <v>19</v>
      </c>
      <c r="D61" s="31">
        <v>39</v>
      </c>
      <c r="E61" s="181">
        <v>19280</v>
      </c>
      <c r="F61" s="181">
        <f t="shared" si="0"/>
        <v>751920</v>
      </c>
      <c r="G61" s="186"/>
      <c r="H61" s="252"/>
      <c r="I61" s="250">
        <f>+'GDR 3760_Pto. 02_Cert. 09)'!K61</f>
        <v>0</v>
      </c>
      <c r="J61" s="250"/>
      <c r="K61" s="251">
        <f t="shared" si="1"/>
        <v>0</v>
      </c>
      <c r="L61" s="50">
        <f t="shared" si="2"/>
        <v>0</v>
      </c>
      <c r="M61" s="50">
        <f t="shared" si="3"/>
        <v>0</v>
      </c>
      <c r="N61" s="50">
        <f t="shared" si="4"/>
        <v>0</v>
      </c>
    </row>
    <row r="62" spans="1:14" ht="12.75" customHeight="1" x14ac:dyDescent="0.3">
      <c r="A62" s="24">
        <v>11.03</v>
      </c>
      <c r="B62" s="25" t="s">
        <v>75</v>
      </c>
      <c r="C62" s="110" t="s">
        <v>19</v>
      </c>
      <c r="D62" s="31">
        <v>48</v>
      </c>
      <c r="E62" s="181">
        <v>25362</v>
      </c>
      <c r="F62" s="181">
        <f t="shared" si="0"/>
        <v>1217376</v>
      </c>
      <c r="G62" s="186"/>
      <c r="H62" s="252"/>
      <c r="I62" s="250">
        <f>+'GDR 3760_Pto. 02_Cert. 09)'!K62</f>
        <v>0</v>
      </c>
      <c r="J62" s="250"/>
      <c r="K62" s="251">
        <f t="shared" si="1"/>
        <v>0</v>
      </c>
      <c r="L62" s="50">
        <f t="shared" si="2"/>
        <v>0</v>
      </c>
      <c r="M62" s="50">
        <f t="shared" si="3"/>
        <v>0</v>
      </c>
      <c r="N62" s="50">
        <f t="shared" si="4"/>
        <v>0</v>
      </c>
    </row>
    <row r="63" spans="1:14" ht="12.75" customHeight="1" x14ac:dyDescent="0.3">
      <c r="A63" s="24">
        <v>11.04</v>
      </c>
      <c r="B63" s="25" t="s">
        <v>76</v>
      </c>
      <c r="C63" s="30" t="s">
        <v>19</v>
      </c>
      <c r="D63" s="31">
        <v>174</v>
      </c>
      <c r="E63" s="181">
        <v>19164</v>
      </c>
      <c r="F63" s="181">
        <f t="shared" si="0"/>
        <v>3334536</v>
      </c>
      <c r="G63" s="182"/>
      <c r="H63" s="245"/>
      <c r="I63" s="250">
        <f>+'GDR 3760_Pto. 02_Cert. 09)'!K63</f>
        <v>0</v>
      </c>
      <c r="J63" s="250"/>
      <c r="K63" s="251">
        <f t="shared" si="1"/>
        <v>0</v>
      </c>
      <c r="L63" s="50">
        <f t="shared" si="2"/>
        <v>0</v>
      </c>
      <c r="M63" s="50">
        <f t="shared" si="3"/>
        <v>0</v>
      </c>
      <c r="N63" s="50">
        <f t="shared" si="4"/>
        <v>0</v>
      </c>
    </row>
    <row r="64" spans="1:14" ht="12.75" customHeight="1" x14ac:dyDescent="0.3">
      <c r="A64" s="24">
        <v>11.05</v>
      </c>
      <c r="B64" s="25" t="s">
        <v>77</v>
      </c>
      <c r="C64" s="110" t="s">
        <v>19</v>
      </c>
      <c r="D64" s="31">
        <v>92</v>
      </c>
      <c r="E64" s="181">
        <v>19164</v>
      </c>
      <c r="F64" s="181">
        <f t="shared" si="0"/>
        <v>1763088</v>
      </c>
      <c r="G64" s="185"/>
      <c r="H64" s="252"/>
      <c r="I64" s="250">
        <f>+'GDR 3760_Pto. 02_Cert. 09)'!K64</f>
        <v>0</v>
      </c>
      <c r="J64" s="250"/>
      <c r="K64" s="251">
        <f t="shared" si="1"/>
        <v>0</v>
      </c>
      <c r="L64" s="50">
        <f t="shared" si="2"/>
        <v>0</v>
      </c>
      <c r="M64" s="50">
        <f t="shared" si="3"/>
        <v>0</v>
      </c>
      <c r="N64" s="50">
        <f t="shared" si="4"/>
        <v>0</v>
      </c>
    </row>
    <row r="65" spans="1:14" ht="12.75" customHeight="1" x14ac:dyDescent="0.3">
      <c r="A65" s="24">
        <v>11.06</v>
      </c>
      <c r="B65" s="25" t="s">
        <v>78</v>
      </c>
      <c r="C65" s="30" t="s">
        <v>19</v>
      </c>
      <c r="D65" s="31">
        <v>8</v>
      </c>
      <c r="E65" s="181">
        <v>14043</v>
      </c>
      <c r="F65" s="181">
        <f t="shared" si="0"/>
        <v>112344</v>
      </c>
      <c r="G65" s="182"/>
      <c r="H65" s="245"/>
      <c r="I65" s="250">
        <f>+'GDR 3760_Pto. 02_Cert. 09)'!K65</f>
        <v>0</v>
      </c>
      <c r="J65" s="250"/>
      <c r="K65" s="251">
        <f t="shared" si="1"/>
        <v>0</v>
      </c>
      <c r="L65" s="50">
        <f t="shared" si="2"/>
        <v>0</v>
      </c>
      <c r="M65" s="50">
        <f t="shared" si="3"/>
        <v>0</v>
      </c>
      <c r="N65" s="50">
        <f t="shared" si="4"/>
        <v>0</v>
      </c>
    </row>
    <row r="66" spans="1:14" ht="12.75" customHeight="1" x14ac:dyDescent="0.3">
      <c r="A66" s="24">
        <v>11.07</v>
      </c>
      <c r="B66" s="25" t="s">
        <v>79</v>
      </c>
      <c r="C66" s="110" t="s">
        <v>19</v>
      </c>
      <c r="D66" s="31">
        <v>46</v>
      </c>
      <c r="E66" s="181">
        <v>26630</v>
      </c>
      <c r="F66" s="181">
        <f t="shared" si="0"/>
        <v>1224980</v>
      </c>
      <c r="G66" s="186"/>
      <c r="H66" s="252"/>
      <c r="I66" s="250">
        <f>+'GDR 3760_Pto. 02_Cert. 09)'!K66</f>
        <v>0</v>
      </c>
      <c r="J66" s="250"/>
      <c r="K66" s="251">
        <f t="shared" si="1"/>
        <v>0</v>
      </c>
      <c r="L66" s="50">
        <f t="shared" si="2"/>
        <v>0</v>
      </c>
      <c r="M66" s="50">
        <f t="shared" si="3"/>
        <v>0</v>
      </c>
      <c r="N66" s="50">
        <f t="shared" si="4"/>
        <v>0</v>
      </c>
    </row>
    <row r="67" spans="1:14" ht="12.75" customHeight="1" x14ac:dyDescent="0.3">
      <c r="A67" s="24">
        <v>11.08</v>
      </c>
      <c r="B67" s="25" t="s">
        <v>80</v>
      </c>
      <c r="C67" s="110" t="s">
        <v>19</v>
      </c>
      <c r="D67" s="31">
        <v>562</v>
      </c>
      <c r="E67" s="181">
        <v>25362</v>
      </c>
      <c r="F67" s="181">
        <f t="shared" si="0"/>
        <v>14253444</v>
      </c>
      <c r="G67" s="186"/>
      <c r="H67" s="252"/>
      <c r="I67" s="250">
        <f>+'GDR 3760_Pto. 02_Cert. 09)'!K67</f>
        <v>0</v>
      </c>
      <c r="J67" s="250"/>
      <c r="K67" s="251">
        <f t="shared" si="1"/>
        <v>0</v>
      </c>
      <c r="L67" s="50">
        <f t="shared" si="2"/>
        <v>0</v>
      </c>
      <c r="M67" s="50">
        <f t="shared" si="3"/>
        <v>0</v>
      </c>
      <c r="N67" s="50">
        <f t="shared" si="4"/>
        <v>0</v>
      </c>
    </row>
    <row r="68" spans="1:14" ht="12.75" customHeight="1" x14ac:dyDescent="0.3">
      <c r="A68" s="24">
        <v>11.09</v>
      </c>
      <c r="B68" s="25" t="s">
        <v>81</v>
      </c>
      <c r="C68" s="113" t="s">
        <v>19</v>
      </c>
      <c r="D68" s="32">
        <v>73</v>
      </c>
      <c r="E68" s="181">
        <v>30109</v>
      </c>
      <c r="F68" s="181">
        <f t="shared" si="0"/>
        <v>2197957</v>
      </c>
      <c r="G68" s="186"/>
      <c r="H68" s="252"/>
      <c r="I68" s="250">
        <f>+'GDR 3760_Pto. 02_Cert. 09)'!K68</f>
        <v>0</v>
      </c>
      <c r="J68" s="250"/>
      <c r="K68" s="251">
        <f t="shared" si="1"/>
        <v>0</v>
      </c>
      <c r="L68" s="50">
        <f t="shared" si="2"/>
        <v>0</v>
      </c>
      <c r="M68" s="50">
        <f t="shared" si="3"/>
        <v>0</v>
      </c>
      <c r="N68" s="50">
        <f t="shared" si="4"/>
        <v>0</v>
      </c>
    </row>
    <row r="69" spans="1:14" ht="12.75" customHeight="1" x14ac:dyDescent="0.3">
      <c r="A69" s="24">
        <v>11.1</v>
      </c>
      <c r="B69" s="25" t="s">
        <v>82</v>
      </c>
      <c r="C69" s="113" t="s">
        <v>19</v>
      </c>
      <c r="D69" s="32">
        <v>143</v>
      </c>
      <c r="E69" s="181">
        <v>25362</v>
      </c>
      <c r="F69" s="181">
        <f t="shared" si="0"/>
        <v>3626766</v>
      </c>
      <c r="G69" s="186"/>
      <c r="H69" s="252"/>
      <c r="I69" s="250">
        <f>+'GDR 3760_Pto. 02_Cert. 09)'!K69</f>
        <v>0</v>
      </c>
      <c r="J69" s="250"/>
      <c r="K69" s="251">
        <f t="shared" si="1"/>
        <v>0</v>
      </c>
      <c r="L69" s="50">
        <f t="shared" si="2"/>
        <v>0</v>
      </c>
      <c r="M69" s="50">
        <f t="shared" si="3"/>
        <v>0</v>
      </c>
      <c r="N69" s="50">
        <f t="shared" si="4"/>
        <v>0</v>
      </c>
    </row>
    <row r="70" spans="1:14" ht="12.75" customHeight="1" x14ac:dyDescent="0.3">
      <c r="A70" s="24">
        <v>11.11</v>
      </c>
      <c r="B70" s="25" t="s">
        <v>83</v>
      </c>
      <c r="C70" s="111" t="s">
        <v>19</v>
      </c>
      <c r="D70" s="35">
        <v>106</v>
      </c>
      <c r="E70" s="181">
        <v>25362</v>
      </c>
      <c r="F70" s="181">
        <f t="shared" si="0"/>
        <v>2688372</v>
      </c>
      <c r="G70" s="186"/>
      <c r="H70" s="252"/>
      <c r="I70" s="250">
        <f>+'GDR 3760_Pto. 02_Cert. 09)'!K70</f>
        <v>0</v>
      </c>
      <c r="J70" s="250"/>
      <c r="K70" s="251">
        <f t="shared" si="1"/>
        <v>0</v>
      </c>
      <c r="L70" s="50">
        <f t="shared" si="2"/>
        <v>0</v>
      </c>
      <c r="M70" s="50">
        <f t="shared" si="3"/>
        <v>0</v>
      </c>
      <c r="N70" s="50">
        <f t="shared" si="4"/>
        <v>0</v>
      </c>
    </row>
    <row r="71" spans="1:14" ht="12.75" customHeight="1" x14ac:dyDescent="0.3">
      <c r="A71" s="13">
        <v>12</v>
      </c>
      <c r="B71" s="17" t="s">
        <v>84</v>
      </c>
      <c r="C71" s="18"/>
      <c r="D71" s="19"/>
      <c r="E71" s="19"/>
      <c r="F71" s="19"/>
      <c r="G71" s="176">
        <f>+SUM(F72:F74)</f>
        <v>8990052</v>
      </c>
      <c r="H71" s="245">
        <f>+G71/$G$195</f>
        <v>1.0641063580912749E-2</v>
      </c>
      <c r="I71" s="246"/>
      <c r="J71" s="247"/>
      <c r="K71" s="247"/>
      <c r="L71" s="178"/>
      <c r="M71" s="178"/>
      <c r="N71" s="179"/>
    </row>
    <row r="72" spans="1:14" ht="12.75" customHeight="1" x14ac:dyDescent="0.3">
      <c r="A72" s="20">
        <f>+A71+0.01</f>
        <v>12.01</v>
      </c>
      <c r="B72" s="21" t="s">
        <v>85</v>
      </c>
      <c r="C72" s="109" t="s">
        <v>27</v>
      </c>
      <c r="D72" s="94">
        <v>19</v>
      </c>
      <c r="E72" s="181">
        <v>6496</v>
      </c>
      <c r="F72" s="181">
        <f t="shared" si="0"/>
        <v>123424</v>
      </c>
      <c r="H72" s="245"/>
      <c r="I72" s="250">
        <f>+'GDR 3760_Pto. 02_Cert. 09)'!K72</f>
        <v>0</v>
      </c>
      <c r="J72" s="250"/>
      <c r="K72" s="251">
        <f t="shared" si="1"/>
        <v>0</v>
      </c>
      <c r="L72" s="50">
        <f t="shared" si="2"/>
        <v>0</v>
      </c>
      <c r="M72" s="50">
        <f t="shared" si="3"/>
        <v>0</v>
      </c>
      <c r="N72" s="50">
        <f t="shared" si="4"/>
        <v>0</v>
      </c>
    </row>
    <row r="73" spans="1:14" ht="12.75" customHeight="1" x14ac:dyDescent="0.3">
      <c r="A73" s="106">
        <v>12.02</v>
      </c>
      <c r="B73" s="25" t="s">
        <v>86</v>
      </c>
      <c r="C73" s="114" t="s">
        <v>27</v>
      </c>
      <c r="D73" s="31">
        <v>626</v>
      </c>
      <c r="E73" s="181">
        <v>9059</v>
      </c>
      <c r="F73" s="181">
        <f t="shared" si="0"/>
        <v>5670934</v>
      </c>
      <c r="H73" s="245"/>
      <c r="I73" s="250">
        <f>+'GDR 3760_Pto. 02_Cert. 09)'!K73</f>
        <v>0</v>
      </c>
      <c r="J73" s="250"/>
      <c r="K73" s="251">
        <f t="shared" si="1"/>
        <v>0</v>
      </c>
      <c r="L73" s="50">
        <f t="shared" si="2"/>
        <v>0</v>
      </c>
      <c r="M73" s="50">
        <f t="shared" si="3"/>
        <v>0</v>
      </c>
      <c r="N73" s="50">
        <f t="shared" si="4"/>
        <v>0</v>
      </c>
    </row>
    <row r="74" spans="1:14" ht="12.75" customHeight="1" x14ac:dyDescent="0.3">
      <c r="A74" s="106">
        <v>12.03</v>
      </c>
      <c r="B74" s="107" t="s">
        <v>87</v>
      </c>
      <c r="C74" s="114" t="s">
        <v>27</v>
      </c>
      <c r="D74" s="35">
        <v>386</v>
      </c>
      <c r="E74" s="181">
        <v>8279</v>
      </c>
      <c r="F74" s="181">
        <f t="shared" ref="F74:F137" si="5">+E74*D74</f>
        <v>3195694</v>
      </c>
      <c r="H74" s="245"/>
      <c r="I74" s="250">
        <f>+'GDR 3760_Pto. 02_Cert. 09)'!K74</f>
        <v>0</v>
      </c>
      <c r="J74" s="250"/>
      <c r="K74" s="251">
        <f t="shared" ref="K74" si="6">+I74+J74</f>
        <v>0</v>
      </c>
      <c r="L74" s="50">
        <f t="shared" ref="L74" si="7">+F74*I74</f>
        <v>0</v>
      </c>
      <c r="M74" s="50">
        <f t="shared" ref="M74" si="8">+F74*J74</f>
        <v>0</v>
      </c>
      <c r="N74" s="50">
        <f t="shared" ref="N74" si="9">+F74*K74</f>
        <v>0</v>
      </c>
    </row>
    <row r="75" spans="1:14" ht="12.75" customHeight="1" x14ac:dyDescent="0.3">
      <c r="A75" s="13">
        <v>13</v>
      </c>
      <c r="B75" s="17" t="s">
        <v>88</v>
      </c>
      <c r="C75" s="18"/>
      <c r="D75" s="19"/>
      <c r="E75" s="19"/>
      <c r="F75" s="19"/>
      <c r="G75" s="176">
        <f>+SUM(F76:F79)</f>
        <v>14836279</v>
      </c>
      <c r="H75" s="245">
        <f>+G75/$G$195</f>
        <v>1.7560942711250239E-2</v>
      </c>
      <c r="I75" s="246"/>
      <c r="J75" s="247"/>
      <c r="K75" s="247"/>
      <c r="L75" s="178"/>
      <c r="M75" s="178"/>
      <c r="N75" s="179"/>
    </row>
    <row r="76" spans="1:14" ht="12.75" customHeight="1" x14ac:dyDescent="0.3">
      <c r="A76" s="115">
        <v>13.01</v>
      </c>
      <c r="B76" s="116" t="s">
        <v>89</v>
      </c>
      <c r="C76" s="117" t="s">
        <v>19</v>
      </c>
      <c r="D76" s="23">
        <v>413</v>
      </c>
      <c r="E76" s="181">
        <v>30109</v>
      </c>
      <c r="F76" s="181">
        <f t="shared" si="5"/>
        <v>12435017</v>
      </c>
      <c r="H76" s="245"/>
      <c r="I76" s="250">
        <f>+'GDR 3760_Pto. 02_Cert. 09)'!K76</f>
        <v>0</v>
      </c>
      <c r="J76" s="250"/>
      <c r="K76" s="251">
        <f t="shared" ref="K76:K139" si="10">+I76+J76</f>
        <v>0</v>
      </c>
      <c r="L76" s="50">
        <f t="shared" ref="L76:L139" si="11">+F76*I76</f>
        <v>0</v>
      </c>
      <c r="M76" s="50">
        <f t="shared" ref="M76:M139" si="12">+F76*J76</f>
        <v>0</v>
      </c>
      <c r="N76" s="50">
        <f t="shared" ref="N76:N139" si="13">+F76*K76</f>
        <v>0</v>
      </c>
    </row>
    <row r="77" spans="1:14" ht="12.75" customHeight="1" x14ac:dyDescent="0.3">
      <c r="A77" s="118">
        <v>13.02</v>
      </c>
      <c r="B77" s="119" t="s">
        <v>90</v>
      </c>
      <c r="C77" s="120" t="s">
        <v>19</v>
      </c>
      <c r="D77" s="121">
        <v>18</v>
      </c>
      <c r="E77" s="181">
        <v>30109</v>
      </c>
      <c r="F77" s="181">
        <f t="shared" si="5"/>
        <v>541962</v>
      </c>
      <c r="H77" s="245"/>
      <c r="I77" s="250">
        <f>+'GDR 3760_Pto. 02_Cert. 09)'!K77</f>
        <v>0</v>
      </c>
      <c r="J77" s="250"/>
      <c r="K77" s="251">
        <f t="shared" si="10"/>
        <v>0</v>
      </c>
      <c r="L77" s="50">
        <f t="shared" si="11"/>
        <v>0</v>
      </c>
      <c r="M77" s="50">
        <f t="shared" si="12"/>
        <v>0</v>
      </c>
      <c r="N77" s="50">
        <f t="shared" si="13"/>
        <v>0</v>
      </c>
    </row>
    <row r="78" spans="1:14" ht="12.75" customHeight="1" x14ac:dyDescent="0.3">
      <c r="A78" s="100">
        <v>13.03</v>
      </c>
      <c r="B78" s="119" t="s">
        <v>91</v>
      </c>
      <c r="C78" s="110" t="s">
        <v>19</v>
      </c>
      <c r="D78" s="31">
        <v>20</v>
      </c>
      <c r="E78" s="181">
        <v>92965</v>
      </c>
      <c r="F78" s="181">
        <f t="shared" si="5"/>
        <v>1859300</v>
      </c>
      <c r="G78" s="186"/>
      <c r="H78" s="252"/>
      <c r="I78" s="250">
        <f>+'GDR 3760_Pto. 02_Cert. 09)'!K78</f>
        <v>0</v>
      </c>
      <c r="J78" s="250"/>
      <c r="K78" s="251">
        <f t="shared" si="10"/>
        <v>0</v>
      </c>
      <c r="L78" s="50">
        <f t="shared" si="11"/>
        <v>0</v>
      </c>
      <c r="M78" s="50">
        <f t="shared" si="12"/>
        <v>0</v>
      </c>
      <c r="N78" s="50">
        <f t="shared" si="13"/>
        <v>0</v>
      </c>
    </row>
    <row r="79" spans="1:14" ht="12.75" customHeight="1" x14ac:dyDescent="0.3">
      <c r="A79" s="100">
        <v>13.04</v>
      </c>
      <c r="B79" s="25" t="s">
        <v>92</v>
      </c>
      <c r="C79" s="110" t="s">
        <v>19</v>
      </c>
      <c r="D79" s="31">
        <v>0</v>
      </c>
      <c r="E79" s="181">
        <v>0</v>
      </c>
      <c r="F79" s="181">
        <f t="shared" si="5"/>
        <v>0</v>
      </c>
      <c r="G79" s="186"/>
      <c r="H79" s="252"/>
      <c r="I79" s="250">
        <f>+'GDR 3760_Pto. 02_Cert. 09)'!K79</f>
        <v>0</v>
      </c>
      <c r="J79" s="250"/>
      <c r="K79" s="251">
        <f t="shared" si="10"/>
        <v>0</v>
      </c>
      <c r="L79" s="50">
        <f t="shared" si="11"/>
        <v>0</v>
      </c>
      <c r="M79" s="50">
        <f t="shared" si="12"/>
        <v>0</v>
      </c>
      <c r="N79" s="50">
        <f t="shared" si="13"/>
        <v>0</v>
      </c>
    </row>
    <row r="80" spans="1:14" ht="12.75" customHeight="1" x14ac:dyDescent="0.3">
      <c r="A80" s="13">
        <v>14</v>
      </c>
      <c r="B80" s="17" t="s">
        <v>93</v>
      </c>
      <c r="C80" s="18"/>
      <c r="D80" s="19"/>
      <c r="E80" s="19"/>
      <c r="F80" s="19"/>
      <c r="G80" s="176">
        <f>+SUM(F81:F87)</f>
        <v>33813897</v>
      </c>
      <c r="H80" s="245">
        <f>+G80/$G$195</f>
        <v>4.0023776046616291E-2</v>
      </c>
      <c r="I80" s="246"/>
      <c r="J80" s="247"/>
      <c r="K80" s="247"/>
      <c r="L80" s="178"/>
      <c r="M80" s="178"/>
      <c r="N80" s="179"/>
    </row>
    <row r="81" spans="1:14" ht="12.75" customHeight="1" x14ac:dyDescent="0.3">
      <c r="A81" s="20">
        <f>+A80+0.01</f>
        <v>14.01</v>
      </c>
      <c r="B81" s="21" t="s">
        <v>94</v>
      </c>
      <c r="C81" s="117" t="s">
        <v>19</v>
      </c>
      <c r="D81" s="23">
        <v>460</v>
      </c>
      <c r="E81" s="181">
        <v>23624</v>
      </c>
      <c r="F81" s="181">
        <f t="shared" si="5"/>
        <v>10867040</v>
      </c>
      <c r="H81" s="245"/>
      <c r="I81" s="250">
        <f>+'GDR 3760_Pto. 02_Cert. 09)'!K81</f>
        <v>0</v>
      </c>
      <c r="J81" s="250"/>
      <c r="K81" s="251">
        <f t="shared" si="10"/>
        <v>0</v>
      </c>
      <c r="L81" s="50">
        <f t="shared" si="11"/>
        <v>0</v>
      </c>
      <c r="M81" s="50">
        <f t="shared" si="12"/>
        <v>0</v>
      </c>
      <c r="N81" s="50">
        <f t="shared" si="13"/>
        <v>0</v>
      </c>
    </row>
    <row r="82" spans="1:14" ht="12.75" customHeight="1" x14ac:dyDescent="0.3">
      <c r="A82" s="106">
        <v>14.02</v>
      </c>
      <c r="B82" s="107" t="s">
        <v>95</v>
      </c>
      <c r="C82" s="120" t="s">
        <v>27</v>
      </c>
      <c r="D82" s="121">
        <v>434</v>
      </c>
      <c r="E82" s="181">
        <v>16659</v>
      </c>
      <c r="F82" s="181">
        <f t="shared" si="5"/>
        <v>7230006</v>
      </c>
      <c r="H82" s="245"/>
      <c r="I82" s="250">
        <f>+'GDR 3760_Pto. 02_Cert. 09)'!K82</f>
        <v>0</v>
      </c>
      <c r="J82" s="250"/>
      <c r="K82" s="251">
        <f t="shared" si="10"/>
        <v>0</v>
      </c>
      <c r="L82" s="50">
        <f t="shared" si="11"/>
        <v>0</v>
      </c>
      <c r="M82" s="50">
        <f t="shared" si="12"/>
        <v>0</v>
      </c>
      <c r="N82" s="50">
        <f t="shared" si="13"/>
        <v>0</v>
      </c>
    </row>
    <row r="83" spans="1:14" ht="12.75" customHeight="1" x14ac:dyDescent="0.3">
      <c r="A83" s="24">
        <v>14.03</v>
      </c>
      <c r="B83" s="25" t="s">
        <v>96</v>
      </c>
      <c r="C83" s="112" t="s">
        <v>19</v>
      </c>
      <c r="D83" s="27">
        <v>115</v>
      </c>
      <c r="E83" s="181">
        <v>35817</v>
      </c>
      <c r="F83" s="181">
        <f t="shared" si="5"/>
        <v>4118955</v>
      </c>
      <c r="H83" s="245"/>
      <c r="I83" s="250">
        <f>+'GDR 3760_Pto. 02_Cert. 09)'!K83</f>
        <v>0</v>
      </c>
      <c r="J83" s="250"/>
      <c r="K83" s="251">
        <f t="shared" si="10"/>
        <v>0</v>
      </c>
      <c r="L83" s="50">
        <f t="shared" si="11"/>
        <v>0</v>
      </c>
      <c r="M83" s="50">
        <f t="shared" si="12"/>
        <v>0</v>
      </c>
      <c r="N83" s="50">
        <f t="shared" si="13"/>
        <v>0</v>
      </c>
    </row>
    <row r="84" spans="1:14" ht="12.75" customHeight="1" x14ac:dyDescent="0.3">
      <c r="A84" s="106">
        <v>14.04</v>
      </c>
      <c r="B84" s="25" t="s">
        <v>97</v>
      </c>
      <c r="C84" s="112" t="s">
        <v>19</v>
      </c>
      <c r="D84" s="27">
        <v>89</v>
      </c>
      <c r="E84" s="181">
        <v>41132</v>
      </c>
      <c r="F84" s="181">
        <f t="shared" si="5"/>
        <v>3660748</v>
      </c>
      <c r="H84" s="245"/>
      <c r="I84" s="250">
        <f>+'GDR 3760_Pto. 02_Cert. 09)'!K84</f>
        <v>0</v>
      </c>
      <c r="J84" s="250"/>
      <c r="K84" s="251">
        <f t="shared" si="10"/>
        <v>0</v>
      </c>
      <c r="L84" s="50">
        <f t="shared" si="11"/>
        <v>0</v>
      </c>
      <c r="M84" s="50">
        <f t="shared" si="12"/>
        <v>0</v>
      </c>
      <c r="N84" s="50">
        <f t="shared" si="13"/>
        <v>0</v>
      </c>
    </row>
    <row r="85" spans="1:14" ht="12.75" customHeight="1" x14ac:dyDescent="0.3">
      <c r="A85" s="24">
        <v>14.05</v>
      </c>
      <c r="B85" s="25" t="s">
        <v>98</v>
      </c>
      <c r="C85" s="112" t="s">
        <v>27</v>
      </c>
      <c r="D85" s="27">
        <v>530</v>
      </c>
      <c r="E85" s="181">
        <v>9274</v>
      </c>
      <c r="F85" s="181">
        <f t="shared" si="5"/>
        <v>4915220</v>
      </c>
      <c r="H85" s="245"/>
      <c r="I85" s="250">
        <f>+'GDR 3760_Pto. 02_Cert. 09)'!K85</f>
        <v>0</v>
      </c>
      <c r="J85" s="250"/>
      <c r="K85" s="251">
        <f t="shared" si="10"/>
        <v>0</v>
      </c>
      <c r="L85" s="50">
        <f t="shared" si="11"/>
        <v>0</v>
      </c>
      <c r="M85" s="50">
        <f t="shared" si="12"/>
        <v>0</v>
      </c>
      <c r="N85" s="50">
        <f t="shared" si="13"/>
        <v>0</v>
      </c>
    </row>
    <row r="86" spans="1:14" ht="12.75" customHeight="1" x14ac:dyDescent="0.3">
      <c r="A86" s="106">
        <v>14.06</v>
      </c>
      <c r="B86" s="25" t="s">
        <v>99</v>
      </c>
      <c r="C86" s="112" t="s">
        <v>27</v>
      </c>
      <c r="D86" s="27">
        <v>56</v>
      </c>
      <c r="E86" s="181">
        <v>9274</v>
      </c>
      <c r="F86" s="181">
        <f t="shared" si="5"/>
        <v>519344</v>
      </c>
      <c r="H86" s="245"/>
      <c r="I86" s="250">
        <f>+'GDR 3760_Pto. 02_Cert. 09)'!K86</f>
        <v>0</v>
      </c>
      <c r="J86" s="250"/>
      <c r="K86" s="251">
        <f t="shared" si="10"/>
        <v>0</v>
      </c>
      <c r="L86" s="50">
        <f t="shared" si="11"/>
        <v>0</v>
      </c>
      <c r="M86" s="50">
        <f t="shared" si="12"/>
        <v>0</v>
      </c>
      <c r="N86" s="50">
        <f t="shared" si="13"/>
        <v>0</v>
      </c>
    </row>
    <row r="87" spans="1:14" ht="12.75" customHeight="1" x14ac:dyDescent="0.3">
      <c r="A87" s="24">
        <v>14.07</v>
      </c>
      <c r="B87" s="25" t="s">
        <v>100</v>
      </c>
      <c r="C87" s="112" t="s">
        <v>19</v>
      </c>
      <c r="D87" s="27">
        <v>469</v>
      </c>
      <c r="E87" s="181">
        <v>5336</v>
      </c>
      <c r="F87" s="181">
        <f t="shared" si="5"/>
        <v>2502584</v>
      </c>
      <c r="H87" s="245"/>
      <c r="I87" s="250">
        <f>+'GDR 3760_Pto. 02_Cert. 09)'!K87</f>
        <v>0</v>
      </c>
      <c r="J87" s="250"/>
      <c r="K87" s="251">
        <f t="shared" si="10"/>
        <v>0</v>
      </c>
      <c r="L87" s="50">
        <f t="shared" si="11"/>
        <v>0</v>
      </c>
      <c r="M87" s="50">
        <f t="shared" si="12"/>
        <v>0</v>
      </c>
      <c r="N87" s="50">
        <f t="shared" si="13"/>
        <v>0</v>
      </c>
    </row>
    <row r="88" spans="1:14" ht="12.75" customHeight="1" x14ac:dyDescent="0.3">
      <c r="A88" s="13">
        <v>15</v>
      </c>
      <c r="B88" s="17" t="s">
        <v>101</v>
      </c>
      <c r="C88" s="18"/>
      <c r="D88" s="19"/>
      <c r="E88" s="19"/>
      <c r="F88" s="19"/>
      <c r="G88" s="176">
        <f>+SUM(F89:F100)</f>
        <v>81675029</v>
      </c>
      <c r="H88" s="245">
        <f>+G88/$G$195</f>
        <v>9.667454388049064E-2</v>
      </c>
      <c r="I88" s="246"/>
      <c r="J88" s="247"/>
      <c r="K88" s="247"/>
      <c r="L88" s="178"/>
      <c r="M88" s="178"/>
      <c r="N88" s="179"/>
    </row>
    <row r="89" spans="1:14" ht="12.75" customHeight="1" x14ac:dyDescent="0.3">
      <c r="A89" s="115">
        <v>15.01</v>
      </c>
      <c r="B89" s="116" t="s">
        <v>102</v>
      </c>
      <c r="C89" s="122" t="s">
        <v>19</v>
      </c>
      <c r="D89" s="123">
        <v>739</v>
      </c>
      <c r="E89" s="181">
        <v>22075</v>
      </c>
      <c r="F89" s="181">
        <f t="shared" si="5"/>
        <v>16313425</v>
      </c>
      <c r="G89" s="186"/>
      <c r="H89" s="253"/>
      <c r="I89" s="250">
        <f>+'GDR 3760_Pto. 02_Cert. 09)'!K89</f>
        <v>0</v>
      </c>
      <c r="J89" s="250"/>
      <c r="K89" s="251">
        <f t="shared" si="10"/>
        <v>0</v>
      </c>
      <c r="L89" s="50">
        <f t="shared" si="11"/>
        <v>0</v>
      </c>
      <c r="M89" s="50">
        <f t="shared" si="12"/>
        <v>0</v>
      </c>
      <c r="N89" s="50">
        <f t="shared" si="13"/>
        <v>0</v>
      </c>
    </row>
    <row r="90" spans="1:14" ht="12.75" customHeight="1" x14ac:dyDescent="0.3">
      <c r="A90" s="100">
        <v>15.02</v>
      </c>
      <c r="B90" s="25" t="s">
        <v>103</v>
      </c>
      <c r="C90" s="110" t="s">
        <v>19</v>
      </c>
      <c r="D90" s="29">
        <v>1439</v>
      </c>
      <c r="E90" s="181">
        <v>8883</v>
      </c>
      <c r="F90" s="181">
        <f t="shared" si="5"/>
        <v>12782637</v>
      </c>
      <c r="G90" s="186"/>
      <c r="H90" s="253"/>
      <c r="I90" s="250">
        <f>+'GDR 3760_Pto. 02_Cert. 09)'!K90</f>
        <v>0</v>
      </c>
      <c r="J90" s="250"/>
      <c r="K90" s="251">
        <f t="shared" si="10"/>
        <v>0</v>
      </c>
      <c r="L90" s="50">
        <f t="shared" si="11"/>
        <v>0</v>
      </c>
      <c r="M90" s="50">
        <f t="shared" si="12"/>
        <v>0</v>
      </c>
      <c r="N90" s="50">
        <f t="shared" si="13"/>
        <v>0</v>
      </c>
    </row>
    <row r="91" spans="1:14" ht="12.75" customHeight="1" x14ac:dyDescent="0.3">
      <c r="A91" s="100">
        <v>15.03</v>
      </c>
      <c r="B91" s="25" t="s">
        <v>104</v>
      </c>
      <c r="C91" s="110" t="s">
        <v>19</v>
      </c>
      <c r="D91" s="29">
        <v>462</v>
      </c>
      <c r="E91" s="181">
        <v>14295</v>
      </c>
      <c r="F91" s="181">
        <f t="shared" si="5"/>
        <v>6604290</v>
      </c>
      <c r="G91" s="186"/>
      <c r="H91" s="253"/>
      <c r="I91" s="250">
        <f>+'GDR 3760_Pto. 02_Cert. 09)'!K91</f>
        <v>0</v>
      </c>
      <c r="J91" s="250"/>
      <c r="K91" s="251">
        <f t="shared" si="10"/>
        <v>0</v>
      </c>
      <c r="L91" s="50">
        <f t="shared" si="11"/>
        <v>0</v>
      </c>
      <c r="M91" s="50">
        <f t="shared" si="12"/>
        <v>0</v>
      </c>
      <c r="N91" s="50">
        <f t="shared" si="13"/>
        <v>0</v>
      </c>
    </row>
    <row r="92" spans="1:14" ht="12.75" customHeight="1" x14ac:dyDescent="0.3">
      <c r="A92" s="100">
        <v>15.04</v>
      </c>
      <c r="B92" s="25" t="s">
        <v>105</v>
      </c>
      <c r="C92" s="110" t="s">
        <v>19</v>
      </c>
      <c r="D92" s="29">
        <v>144</v>
      </c>
      <c r="E92" s="181">
        <v>7538</v>
      </c>
      <c r="F92" s="181">
        <f t="shared" si="5"/>
        <v>1085472</v>
      </c>
      <c r="G92" s="186"/>
      <c r="H92" s="253"/>
      <c r="I92" s="250">
        <f>+'GDR 3760_Pto. 02_Cert. 09)'!K92</f>
        <v>0</v>
      </c>
      <c r="J92" s="250"/>
      <c r="K92" s="251">
        <f t="shared" si="10"/>
        <v>0</v>
      </c>
      <c r="L92" s="50">
        <f t="shared" si="11"/>
        <v>0</v>
      </c>
      <c r="M92" s="50">
        <f t="shared" si="12"/>
        <v>0</v>
      </c>
      <c r="N92" s="50">
        <f t="shared" si="13"/>
        <v>0</v>
      </c>
    </row>
    <row r="93" spans="1:14" ht="12.75" customHeight="1" x14ac:dyDescent="0.3">
      <c r="A93" s="100">
        <v>15.05</v>
      </c>
      <c r="B93" s="25" t="s">
        <v>106</v>
      </c>
      <c r="C93" s="110" t="s">
        <v>19</v>
      </c>
      <c r="D93" s="29">
        <v>460</v>
      </c>
      <c r="E93" s="181">
        <v>8883</v>
      </c>
      <c r="F93" s="181">
        <f t="shared" si="5"/>
        <v>4086180</v>
      </c>
      <c r="G93" s="186"/>
      <c r="H93" s="253"/>
      <c r="I93" s="250">
        <f>+'GDR 3760_Pto. 02_Cert. 09)'!K93</f>
        <v>0</v>
      </c>
      <c r="J93" s="250"/>
      <c r="K93" s="251">
        <f t="shared" si="10"/>
        <v>0</v>
      </c>
      <c r="L93" s="50">
        <f t="shared" si="11"/>
        <v>0</v>
      </c>
      <c r="M93" s="50">
        <f t="shared" si="12"/>
        <v>0</v>
      </c>
      <c r="N93" s="50">
        <f t="shared" si="13"/>
        <v>0</v>
      </c>
    </row>
    <row r="94" spans="1:14" ht="12.75" customHeight="1" x14ac:dyDescent="0.3">
      <c r="A94" s="100">
        <v>15.06</v>
      </c>
      <c r="B94" s="25" t="s">
        <v>107</v>
      </c>
      <c r="C94" s="110" t="s">
        <v>19</v>
      </c>
      <c r="D94" s="29">
        <v>204</v>
      </c>
      <c r="E94" s="181">
        <v>15750</v>
      </c>
      <c r="F94" s="181">
        <f t="shared" si="5"/>
        <v>3213000</v>
      </c>
      <c r="G94" s="186"/>
      <c r="H94" s="253"/>
      <c r="I94" s="250">
        <f>+'GDR 3760_Pto. 02_Cert. 09)'!K94</f>
        <v>0</v>
      </c>
      <c r="J94" s="250"/>
      <c r="K94" s="251">
        <f t="shared" si="10"/>
        <v>0</v>
      </c>
      <c r="L94" s="50">
        <f t="shared" si="11"/>
        <v>0</v>
      </c>
      <c r="M94" s="50">
        <f t="shared" si="12"/>
        <v>0</v>
      </c>
      <c r="N94" s="50">
        <f t="shared" si="13"/>
        <v>0</v>
      </c>
    </row>
    <row r="95" spans="1:14" ht="12.75" customHeight="1" x14ac:dyDescent="0.3">
      <c r="A95" s="100">
        <v>15.07</v>
      </c>
      <c r="B95" s="25" t="s">
        <v>108</v>
      </c>
      <c r="C95" s="28" t="s">
        <v>19</v>
      </c>
      <c r="D95" s="29">
        <v>262</v>
      </c>
      <c r="E95" s="181">
        <v>17154</v>
      </c>
      <c r="F95" s="181">
        <f t="shared" si="5"/>
        <v>4494348</v>
      </c>
      <c r="G95" s="186"/>
      <c r="H95" s="245"/>
      <c r="I95" s="250">
        <f>+'GDR 3760_Pto. 02_Cert. 09)'!K95</f>
        <v>0</v>
      </c>
      <c r="J95" s="250"/>
      <c r="K95" s="251">
        <f t="shared" si="10"/>
        <v>0</v>
      </c>
      <c r="L95" s="50">
        <f t="shared" si="11"/>
        <v>0</v>
      </c>
      <c r="M95" s="50">
        <f t="shared" si="12"/>
        <v>0</v>
      </c>
      <c r="N95" s="50">
        <f t="shared" si="13"/>
        <v>0</v>
      </c>
    </row>
    <row r="96" spans="1:14" ht="12.75" customHeight="1" x14ac:dyDescent="0.3">
      <c r="A96" s="100">
        <v>15.08</v>
      </c>
      <c r="B96" s="25" t="s">
        <v>109</v>
      </c>
      <c r="C96" s="110" t="s">
        <v>19</v>
      </c>
      <c r="D96" s="31">
        <v>756</v>
      </c>
      <c r="E96" s="181">
        <v>26534</v>
      </c>
      <c r="F96" s="181">
        <f t="shared" si="5"/>
        <v>20059704</v>
      </c>
      <c r="G96" s="186"/>
      <c r="H96" s="252"/>
      <c r="I96" s="250">
        <f>+'GDR 3760_Pto. 02_Cert. 09)'!K96</f>
        <v>0</v>
      </c>
      <c r="J96" s="250"/>
      <c r="K96" s="251">
        <f t="shared" si="10"/>
        <v>0</v>
      </c>
      <c r="L96" s="50">
        <f t="shared" si="11"/>
        <v>0</v>
      </c>
      <c r="M96" s="50">
        <f t="shared" si="12"/>
        <v>0</v>
      </c>
      <c r="N96" s="50">
        <f t="shared" si="13"/>
        <v>0</v>
      </c>
    </row>
    <row r="97" spans="1:19" ht="12.75" customHeight="1" x14ac:dyDescent="0.3">
      <c r="A97" s="100">
        <v>15.09</v>
      </c>
      <c r="B97" s="25" t="s">
        <v>110</v>
      </c>
      <c r="C97" s="110" t="s">
        <v>19</v>
      </c>
      <c r="D97" s="31">
        <v>56</v>
      </c>
      <c r="E97" s="181">
        <v>31737</v>
      </c>
      <c r="F97" s="181">
        <f t="shared" si="5"/>
        <v>1777272</v>
      </c>
      <c r="G97" s="186"/>
      <c r="H97" s="252"/>
      <c r="I97" s="250">
        <f>+'GDR 3760_Pto. 02_Cert. 09)'!K97</f>
        <v>0</v>
      </c>
      <c r="J97" s="250"/>
      <c r="K97" s="251">
        <f t="shared" si="10"/>
        <v>0</v>
      </c>
      <c r="L97" s="50">
        <f t="shared" si="11"/>
        <v>0</v>
      </c>
      <c r="M97" s="50">
        <f t="shared" si="12"/>
        <v>0</v>
      </c>
      <c r="N97" s="50">
        <f t="shared" si="13"/>
        <v>0</v>
      </c>
    </row>
    <row r="98" spans="1:19" ht="12.75" customHeight="1" x14ac:dyDescent="0.3">
      <c r="A98" s="100">
        <v>15.1</v>
      </c>
      <c r="B98" s="25" t="s">
        <v>111</v>
      </c>
      <c r="C98" s="110" t="s">
        <v>29</v>
      </c>
      <c r="D98" s="31">
        <v>1</v>
      </c>
      <c r="E98" s="181">
        <v>885031</v>
      </c>
      <c r="F98" s="181">
        <f t="shared" si="5"/>
        <v>885031</v>
      </c>
      <c r="H98" s="245"/>
      <c r="I98" s="250">
        <f>+'GDR 3760_Pto. 02_Cert. 09)'!K98</f>
        <v>0</v>
      </c>
      <c r="J98" s="250"/>
      <c r="K98" s="251">
        <f t="shared" si="10"/>
        <v>0</v>
      </c>
      <c r="L98" s="50">
        <f t="shared" si="11"/>
        <v>0</v>
      </c>
      <c r="M98" s="50">
        <f t="shared" si="12"/>
        <v>0</v>
      </c>
      <c r="N98" s="50">
        <f t="shared" si="13"/>
        <v>0</v>
      </c>
    </row>
    <row r="99" spans="1:19" ht="12.75" customHeight="1" x14ac:dyDescent="0.3">
      <c r="A99" s="100">
        <v>15.11</v>
      </c>
      <c r="B99" s="25" t="s">
        <v>112</v>
      </c>
      <c r="C99" s="110" t="s">
        <v>52</v>
      </c>
      <c r="D99" s="31">
        <v>73</v>
      </c>
      <c r="E99" s="181">
        <v>83386</v>
      </c>
      <c r="F99" s="181">
        <f t="shared" si="5"/>
        <v>6087178</v>
      </c>
      <c r="H99" s="245"/>
      <c r="I99" s="250">
        <f>+'GDR 3760_Pto. 02_Cert. 09)'!K99</f>
        <v>0</v>
      </c>
      <c r="J99" s="250"/>
      <c r="K99" s="251">
        <f t="shared" si="10"/>
        <v>0</v>
      </c>
      <c r="L99" s="50">
        <f t="shared" si="11"/>
        <v>0</v>
      </c>
      <c r="M99" s="50">
        <f t="shared" si="12"/>
        <v>0</v>
      </c>
      <c r="N99" s="50">
        <f t="shared" si="13"/>
        <v>0</v>
      </c>
    </row>
    <row r="100" spans="1:19" ht="12.75" customHeight="1" x14ac:dyDescent="0.3">
      <c r="A100" s="100">
        <v>15.12</v>
      </c>
      <c r="B100" s="124" t="s">
        <v>113</v>
      </c>
      <c r="C100" s="111" t="s">
        <v>29</v>
      </c>
      <c r="D100" s="35">
        <v>1</v>
      </c>
      <c r="E100" s="181">
        <v>4286492</v>
      </c>
      <c r="F100" s="181">
        <f t="shared" si="5"/>
        <v>4286492</v>
      </c>
      <c r="H100" s="245"/>
      <c r="I100" s="250">
        <f>+'GDR 3760_Pto. 02_Cert. 09)'!K100</f>
        <v>0</v>
      </c>
      <c r="J100" s="250"/>
      <c r="K100" s="251">
        <f t="shared" si="10"/>
        <v>0</v>
      </c>
      <c r="L100" s="50">
        <f t="shared" si="11"/>
        <v>0</v>
      </c>
      <c r="M100" s="50">
        <f t="shared" si="12"/>
        <v>0</v>
      </c>
      <c r="N100" s="50">
        <f t="shared" si="13"/>
        <v>0</v>
      </c>
    </row>
    <row r="101" spans="1:19" ht="12.75" customHeight="1" x14ac:dyDescent="0.3">
      <c r="A101" s="13">
        <v>16</v>
      </c>
      <c r="B101" s="125" t="s">
        <v>114</v>
      </c>
      <c r="C101" s="18"/>
      <c r="D101" s="19"/>
      <c r="E101" s="19"/>
      <c r="F101" s="19"/>
      <c r="G101" s="176">
        <f>+SUM(F102)</f>
        <v>0</v>
      </c>
      <c r="H101" s="245">
        <f>+G101/$G$195</f>
        <v>0</v>
      </c>
      <c r="I101" s="246"/>
      <c r="J101" s="247"/>
      <c r="K101" s="247"/>
      <c r="L101" s="178"/>
      <c r="M101" s="178"/>
      <c r="N101" s="179"/>
    </row>
    <row r="102" spans="1:19" ht="12.75" customHeight="1" x14ac:dyDescent="0.3">
      <c r="A102" s="20"/>
      <c r="B102" s="21"/>
      <c r="C102" s="93"/>
      <c r="D102" s="94"/>
      <c r="E102" s="184">
        <v>0</v>
      </c>
      <c r="F102" s="183">
        <f t="shared" si="5"/>
        <v>0</v>
      </c>
      <c r="G102" s="185"/>
      <c r="H102" s="252"/>
      <c r="I102" s="250">
        <f>+'GDR 3760_Pto. 02_Cert. 09)'!K102</f>
        <v>0</v>
      </c>
      <c r="J102" s="250"/>
      <c r="K102" s="251">
        <f t="shared" si="10"/>
        <v>0</v>
      </c>
      <c r="L102" s="50">
        <f t="shared" si="11"/>
        <v>0</v>
      </c>
      <c r="M102" s="50">
        <f t="shared" si="12"/>
        <v>0</v>
      </c>
      <c r="N102" s="50">
        <f t="shared" si="13"/>
        <v>0</v>
      </c>
    </row>
    <row r="103" spans="1:19" ht="12.75" customHeight="1" x14ac:dyDescent="0.3">
      <c r="A103" s="13">
        <v>17</v>
      </c>
      <c r="B103" s="17" t="s">
        <v>115</v>
      </c>
      <c r="C103" s="18"/>
      <c r="D103" s="19"/>
      <c r="E103" s="19"/>
      <c r="F103" s="19"/>
      <c r="G103" s="176">
        <f>+SUM(F104:F107)</f>
        <v>9415299</v>
      </c>
      <c r="H103" s="245">
        <f>+G103/$G$195</f>
        <v>1.1144406649962005E-2</v>
      </c>
      <c r="I103" s="246"/>
      <c r="J103" s="247"/>
      <c r="K103" s="247"/>
      <c r="L103" s="178"/>
      <c r="M103" s="178"/>
      <c r="N103" s="179"/>
    </row>
    <row r="104" spans="1:19" ht="12.75" customHeight="1" x14ac:dyDescent="0.3">
      <c r="A104" s="20">
        <f>+A103+0.01</f>
        <v>17.010000000000002</v>
      </c>
      <c r="B104" s="126" t="s">
        <v>116</v>
      </c>
      <c r="C104" s="127" t="s">
        <v>33</v>
      </c>
      <c r="D104" s="94">
        <v>57</v>
      </c>
      <c r="E104" s="180">
        <v>79321</v>
      </c>
      <c r="F104" s="180">
        <f t="shared" si="5"/>
        <v>4521297</v>
      </c>
      <c r="G104" s="182"/>
      <c r="H104" s="245"/>
      <c r="I104" s="250">
        <f>+'GDR 3760_Pto. 02_Cert. 09)'!K104</f>
        <v>0</v>
      </c>
      <c r="J104" s="250"/>
      <c r="K104" s="251">
        <f t="shared" si="10"/>
        <v>0</v>
      </c>
      <c r="L104" s="50">
        <f t="shared" si="11"/>
        <v>0</v>
      </c>
      <c r="M104" s="50">
        <f t="shared" si="12"/>
        <v>0</v>
      </c>
      <c r="N104" s="50">
        <f t="shared" si="13"/>
        <v>0</v>
      </c>
    </row>
    <row r="105" spans="1:19" ht="12.75" customHeight="1" x14ac:dyDescent="0.3">
      <c r="A105" s="24">
        <v>17.02</v>
      </c>
      <c r="B105" s="128" t="s">
        <v>117</v>
      </c>
      <c r="C105" s="129" t="s">
        <v>33</v>
      </c>
      <c r="D105" s="31">
        <v>11</v>
      </c>
      <c r="E105" s="181">
        <v>79321</v>
      </c>
      <c r="F105" s="181">
        <f t="shared" si="5"/>
        <v>872531</v>
      </c>
      <c r="G105" s="182"/>
      <c r="H105" s="245"/>
      <c r="I105" s="250">
        <f>+'GDR 3760_Pto. 02_Cert. 09)'!K105</f>
        <v>0</v>
      </c>
      <c r="J105" s="250"/>
      <c r="K105" s="251">
        <f t="shared" si="10"/>
        <v>0</v>
      </c>
      <c r="L105" s="50">
        <f t="shared" si="11"/>
        <v>0</v>
      </c>
      <c r="M105" s="50">
        <f t="shared" si="12"/>
        <v>0</v>
      </c>
      <c r="N105" s="50">
        <f t="shared" si="13"/>
        <v>0</v>
      </c>
    </row>
    <row r="106" spans="1:19" ht="12.75" customHeight="1" x14ac:dyDescent="0.3">
      <c r="A106" s="24">
        <v>17.03</v>
      </c>
      <c r="B106" s="128" t="s">
        <v>118</v>
      </c>
      <c r="C106" s="129" t="s">
        <v>33</v>
      </c>
      <c r="D106" s="31">
        <v>65</v>
      </c>
      <c r="E106" s="181">
        <v>51161</v>
      </c>
      <c r="F106" s="181">
        <f t="shared" si="5"/>
        <v>3325465</v>
      </c>
      <c r="G106" s="182"/>
      <c r="H106" s="245"/>
      <c r="I106" s="250">
        <f>+'GDR 3760_Pto. 02_Cert. 09)'!K106</f>
        <v>0</v>
      </c>
      <c r="J106" s="250"/>
      <c r="K106" s="251">
        <f t="shared" si="10"/>
        <v>0</v>
      </c>
      <c r="L106" s="50">
        <f t="shared" si="11"/>
        <v>0</v>
      </c>
      <c r="M106" s="50">
        <f t="shared" si="12"/>
        <v>0</v>
      </c>
      <c r="N106" s="50">
        <f t="shared" si="13"/>
        <v>0</v>
      </c>
    </row>
    <row r="107" spans="1:19" ht="12.75" customHeight="1" x14ac:dyDescent="0.3">
      <c r="A107" s="130">
        <v>17.04</v>
      </c>
      <c r="B107" s="38" t="s">
        <v>119</v>
      </c>
      <c r="C107" s="34" t="s">
        <v>33</v>
      </c>
      <c r="D107" s="35">
        <v>6</v>
      </c>
      <c r="E107" s="189">
        <v>116001</v>
      </c>
      <c r="F107" s="189">
        <f t="shared" si="5"/>
        <v>696006</v>
      </c>
      <c r="G107" s="182"/>
      <c r="H107" s="245"/>
      <c r="I107" s="250">
        <f>+'GDR 3760_Pto. 02_Cert. 09)'!K107</f>
        <v>0</v>
      </c>
      <c r="J107" s="250"/>
      <c r="K107" s="251">
        <f t="shared" si="10"/>
        <v>0</v>
      </c>
      <c r="L107" s="50">
        <f t="shared" si="11"/>
        <v>0</v>
      </c>
      <c r="M107" s="50">
        <f t="shared" si="12"/>
        <v>0</v>
      </c>
      <c r="N107" s="50">
        <f t="shared" si="13"/>
        <v>0</v>
      </c>
    </row>
    <row r="108" spans="1:19" ht="12.75" customHeight="1" x14ac:dyDescent="0.3">
      <c r="A108" s="13">
        <v>18</v>
      </c>
      <c r="B108" s="40" t="s">
        <v>120</v>
      </c>
      <c r="C108" s="18"/>
      <c r="D108" s="19"/>
      <c r="E108" s="19"/>
      <c r="F108" s="19"/>
      <c r="G108" s="176">
        <f>+SUM(F109:F141)</f>
        <v>87609553</v>
      </c>
      <c r="H108" s="245">
        <f>+G108/$G$195</f>
        <v>0.10369893564223492</v>
      </c>
      <c r="I108" s="246"/>
      <c r="J108" s="247"/>
      <c r="K108" s="247"/>
      <c r="L108" s="178"/>
      <c r="M108" s="178"/>
      <c r="N108" s="179"/>
    </row>
    <row r="109" spans="1:19" ht="12.75" customHeight="1" x14ac:dyDescent="0.3">
      <c r="A109" s="115">
        <f>+A108+0.01</f>
        <v>18.010000000000002</v>
      </c>
      <c r="B109" s="131" t="s">
        <v>121</v>
      </c>
      <c r="C109" s="132" t="s">
        <v>33</v>
      </c>
      <c r="D109" s="94">
        <v>260</v>
      </c>
      <c r="E109" s="180">
        <v>76531</v>
      </c>
      <c r="F109" s="180">
        <f t="shared" si="5"/>
        <v>19898060</v>
      </c>
      <c r="H109" s="245"/>
      <c r="I109" s="250">
        <f>+'GDR 3760_Pto. 02_Cert. 09)'!K109</f>
        <v>0.255</v>
      </c>
      <c r="J109" s="250">
        <v>0.1</v>
      </c>
      <c r="K109" s="251">
        <f t="shared" si="10"/>
        <v>0.35499999999999998</v>
      </c>
      <c r="L109" s="50">
        <f t="shared" si="11"/>
        <v>5074005.3</v>
      </c>
      <c r="M109" s="50">
        <f t="shared" si="12"/>
        <v>1989806</v>
      </c>
      <c r="N109" s="50">
        <f t="shared" si="13"/>
        <v>7063811.2999999998</v>
      </c>
      <c r="Q109" s="263"/>
      <c r="S109" s="262"/>
    </row>
    <row r="110" spans="1:19" ht="12.75" customHeight="1" x14ac:dyDescent="0.3">
      <c r="A110" s="100">
        <v>18.02</v>
      </c>
      <c r="B110" s="98" t="s">
        <v>122</v>
      </c>
      <c r="C110" s="133" t="s">
        <v>33</v>
      </c>
      <c r="D110" s="31">
        <v>62</v>
      </c>
      <c r="E110" s="181">
        <v>73235</v>
      </c>
      <c r="F110" s="181">
        <f t="shared" si="5"/>
        <v>4540570</v>
      </c>
      <c r="H110" s="245"/>
      <c r="I110" s="250">
        <f>+'GDR 3760_Pto. 02_Cert. 09)'!K110</f>
        <v>0.315</v>
      </c>
      <c r="J110" s="250"/>
      <c r="K110" s="251">
        <f t="shared" si="10"/>
        <v>0.315</v>
      </c>
      <c r="L110" s="50">
        <f t="shared" si="11"/>
        <v>1430279.55</v>
      </c>
      <c r="M110" s="50">
        <f t="shared" si="12"/>
        <v>0</v>
      </c>
      <c r="N110" s="50">
        <f t="shared" si="13"/>
        <v>1430279.55</v>
      </c>
      <c r="Q110" s="263"/>
      <c r="S110" s="262"/>
    </row>
    <row r="111" spans="1:19" ht="12.75" customHeight="1" x14ac:dyDescent="0.3">
      <c r="A111" s="100">
        <v>18.03</v>
      </c>
      <c r="B111" s="98" t="s">
        <v>123</v>
      </c>
      <c r="C111" s="133" t="s">
        <v>33</v>
      </c>
      <c r="D111" s="31">
        <v>12</v>
      </c>
      <c r="E111" s="181">
        <v>73235</v>
      </c>
      <c r="F111" s="181">
        <f t="shared" si="5"/>
        <v>878820</v>
      </c>
      <c r="H111" s="245"/>
      <c r="I111" s="250">
        <f>+'GDR 3760_Pto. 02_Cert. 09)'!K111</f>
        <v>0.65499999999999992</v>
      </c>
      <c r="J111" s="250"/>
      <c r="K111" s="251">
        <f t="shared" si="10"/>
        <v>0.65499999999999992</v>
      </c>
      <c r="L111" s="50">
        <f t="shared" si="11"/>
        <v>575627.1</v>
      </c>
      <c r="M111" s="50">
        <f t="shared" si="12"/>
        <v>0</v>
      </c>
      <c r="N111" s="50">
        <f t="shared" si="13"/>
        <v>575627.1</v>
      </c>
      <c r="Q111" s="263"/>
      <c r="S111" s="262"/>
    </row>
    <row r="112" spans="1:19" ht="12.75" customHeight="1" x14ac:dyDescent="0.3">
      <c r="A112" s="100">
        <v>18.04</v>
      </c>
      <c r="B112" s="98" t="s">
        <v>124</v>
      </c>
      <c r="C112" s="133" t="s">
        <v>33</v>
      </c>
      <c r="D112" s="31">
        <v>16</v>
      </c>
      <c r="E112" s="181">
        <v>73235</v>
      </c>
      <c r="F112" s="181">
        <f t="shared" si="5"/>
        <v>1171760</v>
      </c>
      <c r="H112" s="245"/>
      <c r="I112" s="250">
        <f>+'GDR 3760_Pto. 02_Cert. 09)'!K112</f>
        <v>0.55499999999999994</v>
      </c>
      <c r="J112" s="250"/>
      <c r="K112" s="251">
        <f t="shared" si="10"/>
        <v>0.55499999999999994</v>
      </c>
      <c r="L112" s="50">
        <f t="shared" si="11"/>
        <v>650326.79999999993</v>
      </c>
      <c r="M112" s="50">
        <f t="shared" si="12"/>
        <v>0</v>
      </c>
      <c r="N112" s="50">
        <f t="shared" si="13"/>
        <v>650326.79999999993</v>
      </c>
      <c r="Q112" s="263"/>
      <c r="S112" s="262"/>
    </row>
    <row r="113" spans="1:19" ht="12.75" customHeight="1" x14ac:dyDescent="0.3">
      <c r="A113" s="100">
        <v>18.05</v>
      </c>
      <c r="B113" s="98" t="s">
        <v>125</v>
      </c>
      <c r="C113" s="133" t="s">
        <v>33</v>
      </c>
      <c r="D113" s="31">
        <v>1</v>
      </c>
      <c r="E113" s="181">
        <v>73235</v>
      </c>
      <c r="F113" s="181">
        <f t="shared" si="5"/>
        <v>73235</v>
      </c>
      <c r="H113" s="245"/>
      <c r="I113" s="250">
        <f>+'GDR 3760_Pto. 02_Cert. 09)'!K113</f>
        <v>0.4</v>
      </c>
      <c r="J113" s="250"/>
      <c r="K113" s="251">
        <f t="shared" si="10"/>
        <v>0.4</v>
      </c>
      <c r="L113" s="50">
        <f t="shared" si="11"/>
        <v>29294</v>
      </c>
      <c r="M113" s="50">
        <f t="shared" si="12"/>
        <v>0</v>
      </c>
      <c r="N113" s="50">
        <f t="shared" si="13"/>
        <v>29294</v>
      </c>
    </row>
    <row r="114" spans="1:19" ht="12.75" customHeight="1" x14ac:dyDescent="0.3">
      <c r="A114" s="100">
        <v>18.059999999999999</v>
      </c>
      <c r="B114" s="98" t="s">
        <v>126</v>
      </c>
      <c r="C114" s="133" t="s">
        <v>33</v>
      </c>
      <c r="D114" s="31">
        <v>24</v>
      </c>
      <c r="E114" s="181">
        <v>73235</v>
      </c>
      <c r="F114" s="181">
        <f t="shared" si="5"/>
        <v>1757640</v>
      </c>
      <c r="H114" s="245"/>
      <c r="I114" s="250">
        <f>+'GDR 3760_Pto. 02_Cert. 09)'!K114</f>
        <v>0.4</v>
      </c>
      <c r="J114" s="250"/>
      <c r="K114" s="251">
        <f t="shared" si="10"/>
        <v>0.4</v>
      </c>
      <c r="L114" s="50">
        <f t="shared" si="11"/>
        <v>703056</v>
      </c>
      <c r="M114" s="50">
        <f t="shared" si="12"/>
        <v>0</v>
      </c>
      <c r="N114" s="50">
        <f t="shared" si="13"/>
        <v>703056</v>
      </c>
      <c r="P114" s="262"/>
    </row>
    <row r="115" spans="1:19" ht="12.75" customHeight="1" x14ac:dyDescent="0.3">
      <c r="A115" s="100">
        <v>18.07</v>
      </c>
      <c r="B115" s="98" t="s">
        <v>127</v>
      </c>
      <c r="C115" s="133" t="s">
        <v>33</v>
      </c>
      <c r="D115" s="31">
        <v>226</v>
      </c>
      <c r="E115" s="181">
        <v>69154</v>
      </c>
      <c r="F115" s="181">
        <f t="shared" si="5"/>
        <v>15628804</v>
      </c>
      <c r="H115" s="245"/>
      <c r="I115" s="250">
        <f>+'GDR 3760_Pto. 02_Cert. 09)'!K115</f>
        <v>0.23299999999999998</v>
      </c>
      <c r="J115" s="250">
        <v>7.0000000000000007E-2</v>
      </c>
      <c r="K115" s="251">
        <f t="shared" si="10"/>
        <v>0.30299999999999999</v>
      </c>
      <c r="L115" s="50">
        <f t="shared" si="11"/>
        <v>3641511.3319999999</v>
      </c>
      <c r="M115" s="50">
        <f t="shared" si="12"/>
        <v>1094016.28</v>
      </c>
      <c r="N115" s="50">
        <f t="shared" si="13"/>
        <v>4735527.6119999997</v>
      </c>
      <c r="Q115" s="263"/>
    </row>
    <row r="116" spans="1:19" ht="12.75" customHeight="1" x14ac:dyDescent="0.3">
      <c r="A116" s="100">
        <v>18.079999999999998</v>
      </c>
      <c r="B116" s="98" t="s">
        <v>128</v>
      </c>
      <c r="C116" s="133" t="s">
        <v>33</v>
      </c>
      <c r="D116" s="31">
        <v>32</v>
      </c>
      <c r="E116" s="181">
        <v>95308</v>
      </c>
      <c r="F116" s="181">
        <f t="shared" si="5"/>
        <v>3049856</v>
      </c>
      <c r="H116" s="245"/>
      <c r="I116" s="250">
        <f>+'GDR 3760_Pto. 02_Cert. 09)'!K116</f>
        <v>0.2</v>
      </c>
      <c r="J116" s="250">
        <v>0.1</v>
      </c>
      <c r="K116" s="251">
        <f t="shared" si="10"/>
        <v>0.30000000000000004</v>
      </c>
      <c r="L116" s="50">
        <f t="shared" si="11"/>
        <v>609971.20000000007</v>
      </c>
      <c r="M116" s="50">
        <f t="shared" si="12"/>
        <v>304985.60000000003</v>
      </c>
      <c r="N116" s="50">
        <f t="shared" si="13"/>
        <v>914956.80000000016</v>
      </c>
    </row>
    <row r="117" spans="1:19" ht="12.75" customHeight="1" x14ac:dyDescent="0.3">
      <c r="A117" s="100">
        <v>18.09</v>
      </c>
      <c r="B117" s="98" t="s">
        <v>129</v>
      </c>
      <c r="C117" s="133" t="s">
        <v>33</v>
      </c>
      <c r="D117" s="31">
        <v>8</v>
      </c>
      <c r="E117" s="181">
        <v>69154</v>
      </c>
      <c r="F117" s="181">
        <f t="shared" si="5"/>
        <v>553232</v>
      </c>
      <c r="H117" s="245"/>
      <c r="I117" s="250">
        <f>+'GDR 3760_Pto. 02_Cert. 09)'!K117</f>
        <v>0</v>
      </c>
      <c r="J117" s="250"/>
      <c r="K117" s="251">
        <f t="shared" si="10"/>
        <v>0</v>
      </c>
      <c r="L117" s="50">
        <f t="shared" si="11"/>
        <v>0</v>
      </c>
      <c r="M117" s="50">
        <f t="shared" si="12"/>
        <v>0</v>
      </c>
      <c r="N117" s="50">
        <f t="shared" si="13"/>
        <v>0</v>
      </c>
    </row>
    <row r="118" spans="1:19" ht="12.75" customHeight="1" x14ac:dyDescent="0.3">
      <c r="A118" s="100">
        <v>18.100000000000001</v>
      </c>
      <c r="B118" s="98" t="s">
        <v>130</v>
      </c>
      <c r="C118" s="133" t="s">
        <v>33</v>
      </c>
      <c r="D118" s="31">
        <v>8</v>
      </c>
      <c r="E118" s="181">
        <v>69154</v>
      </c>
      <c r="F118" s="181">
        <f t="shared" si="5"/>
        <v>553232</v>
      </c>
      <c r="H118" s="245"/>
      <c r="I118" s="250">
        <f>+'GDR 3760_Pto. 02_Cert. 09)'!K118</f>
        <v>0.4</v>
      </c>
      <c r="J118" s="250">
        <v>0.05</v>
      </c>
      <c r="K118" s="251">
        <f t="shared" si="10"/>
        <v>0.45</v>
      </c>
      <c r="L118" s="50">
        <f t="shared" si="11"/>
        <v>221292.80000000002</v>
      </c>
      <c r="M118" s="50">
        <f t="shared" si="12"/>
        <v>27661.600000000002</v>
      </c>
      <c r="N118" s="50">
        <f t="shared" si="13"/>
        <v>248954.4</v>
      </c>
    </row>
    <row r="119" spans="1:19" ht="12.75" customHeight="1" x14ac:dyDescent="0.3">
      <c r="A119" s="100">
        <v>18.11</v>
      </c>
      <c r="B119" s="98" t="s">
        <v>131</v>
      </c>
      <c r="C119" s="133" t="s">
        <v>33</v>
      </c>
      <c r="D119" s="31">
        <v>26</v>
      </c>
      <c r="E119" s="181">
        <v>50616</v>
      </c>
      <c r="F119" s="181">
        <f t="shared" si="5"/>
        <v>1316016</v>
      </c>
      <c r="H119" s="245"/>
      <c r="I119" s="250">
        <f>+'GDR 3760_Pto. 02_Cert. 09)'!K119</f>
        <v>0</v>
      </c>
      <c r="J119" s="250"/>
      <c r="K119" s="251">
        <f t="shared" si="10"/>
        <v>0</v>
      </c>
      <c r="L119" s="50">
        <f t="shared" si="11"/>
        <v>0</v>
      </c>
      <c r="M119" s="50">
        <f t="shared" si="12"/>
        <v>0</v>
      </c>
      <c r="N119" s="50">
        <f t="shared" si="13"/>
        <v>0</v>
      </c>
    </row>
    <row r="120" spans="1:19" ht="12.75" customHeight="1" x14ac:dyDescent="0.3">
      <c r="A120" s="100">
        <v>18.12</v>
      </c>
      <c r="B120" s="98" t="s">
        <v>132</v>
      </c>
      <c r="C120" s="133" t="s">
        <v>33</v>
      </c>
      <c r="D120" s="31">
        <v>27</v>
      </c>
      <c r="E120" s="181">
        <v>50616</v>
      </c>
      <c r="F120" s="181">
        <f t="shared" si="5"/>
        <v>1366632</v>
      </c>
      <c r="H120" s="245"/>
      <c r="I120" s="250">
        <f>+'GDR 3760_Pto. 02_Cert. 09)'!K120</f>
        <v>0.4</v>
      </c>
      <c r="J120" s="250">
        <v>0.05</v>
      </c>
      <c r="K120" s="251">
        <f t="shared" si="10"/>
        <v>0.45</v>
      </c>
      <c r="L120" s="50">
        <f t="shared" si="11"/>
        <v>546652.80000000005</v>
      </c>
      <c r="M120" s="50">
        <f t="shared" si="12"/>
        <v>68331.600000000006</v>
      </c>
      <c r="N120" s="50">
        <f t="shared" si="13"/>
        <v>614984.4</v>
      </c>
    </row>
    <row r="121" spans="1:19" ht="12.75" customHeight="1" x14ac:dyDescent="0.3">
      <c r="A121" s="100">
        <v>18.13</v>
      </c>
      <c r="B121" s="98" t="s">
        <v>133</v>
      </c>
      <c r="C121" s="133" t="s">
        <v>33</v>
      </c>
      <c r="D121" s="31">
        <v>9</v>
      </c>
      <c r="E121" s="181">
        <v>50616</v>
      </c>
      <c r="F121" s="181">
        <f t="shared" si="5"/>
        <v>455544</v>
      </c>
      <c r="H121" s="245"/>
      <c r="I121" s="250">
        <f>+'GDR 3760_Pto. 02_Cert. 09)'!K121</f>
        <v>0</v>
      </c>
      <c r="J121" s="250"/>
      <c r="K121" s="251">
        <f t="shared" si="10"/>
        <v>0</v>
      </c>
      <c r="L121" s="50">
        <f t="shared" si="11"/>
        <v>0</v>
      </c>
      <c r="M121" s="50">
        <f t="shared" si="12"/>
        <v>0</v>
      </c>
      <c r="N121" s="50">
        <f t="shared" si="13"/>
        <v>0</v>
      </c>
    </row>
    <row r="122" spans="1:19" ht="12.75" customHeight="1" x14ac:dyDescent="0.3">
      <c r="A122" s="100">
        <v>18.14</v>
      </c>
      <c r="B122" s="98" t="s">
        <v>134</v>
      </c>
      <c r="C122" s="133" t="s">
        <v>33</v>
      </c>
      <c r="D122" s="31">
        <v>29</v>
      </c>
      <c r="E122" s="181">
        <v>50616</v>
      </c>
      <c r="F122" s="181">
        <f t="shared" si="5"/>
        <v>1467864</v>
      </c>
      <c r="H122" s="245"/>
      <c r="I122" s="250">
        <f>+'GDR 3760_Pto. 02_Cert. 09)'!K122</f>
        <v>0.4</v>
      </c>
      <c r="J122" s="250">
        <v>0.05</v>
      </c>
      <c r="K122" s="251">
        <f t="shared" si="10"/>
        <v>0.45</v>
      </c>
      <c r="L122" s="50">
        <f t="shared" si="11"/>
        <v>587145.6</v>
      </c>
      <c r="M122" s="50">
        <f t="shared" si="12"/>
        <v>73393.2</v>
      </c>
      <c r="N122" s="50">
        <f t="shared" si="13"/>
        <v>660538.80000000005</v>
      </c>
    </row>
    <row r="123" spans="1:19" ht="12.75" customHeight="1" x14ac:dyDescent="0.3">
      <c r="A123" s="100">
        <v>18.149999999999999</v>
      </c>
      <c r="B123" s="98" t="s">
        <v>135</v>
      </c>
      <c r="C123" s="133" t="s">
        <v>33</v>
      </c>
      <c r="D123" s="31">
        <v>3</v>
      </c>
      <c r="E123" s="181">
        <v>50616</v>
      </c>
      <c r="F123" s="181">
        <f t="shared" si="5"/>
        <v>151848</v>
      </c>
      <c r="H123" s="245"/>
      <c r="I123" s="250">
        <f>+'GDR 3760_Pto. 02_Cert. 09)'!K123</f>
        <v>0.4</v>
      </c>
      <c r="J123" s="250"/>
      <c r="K123" s="251">
        <f t="shared" si="10"/>
        <v>0.4</v>
      </c>
      <c r="L123" s="50">
        <f t="shared" si="11"/>
        <v>60739.200000000004</v>
      </c>
      <c r="M123" s="50">
        <f t="shared" si="12"/>
        <v>0</v>
      </c>
      <c r="N123" s="50">
        <f t="shared" si="13"/>
        <v>60739.200000000004</v>
      </c>
      <c r="Q123" s="263"/>
      <c r="S123" s="262"/>
    </row>
    <row r="124" spans="1:19" ht="12.75" customHeight="1" x14ac:dyDescent="0.3">
      <c r="A124" s="100">
        <v>18.16</v>
      </c>
      <c r="B124" s="98" t="s">
        <v>136</v>
      </c>
      <c r="C124" s="133" t="s">
        <v>33</v>
      </c>
      <c r="D124" s="31">
        <v>1</v>
      </c>
      <c r="E124" s="181">
        <v>2245770</v>
      </c>
      <c r="F124" s="181">
        <f t="shared" si="5"/>
        <v>2245770</v>
      </c>
      <c r="H124" s="245"/>
      <c r="I124" s="250">
        <f>+'GDR 3760_Pto. 02_Cert. 09)'!K124</f>
        <v>0</v>
      </c>
      <c r="J124" s="250"/>
      <c r="K124" s="251">
        <f t="shared" si="10"/>
        <v>0</v>
      </c>
      <c r="L124" s="50">
        <f t="shared" si="11"/>
        <v>0</v>
      </c>
      <c r="M124" s="50">
        <f t="shared" si="12"/>
        <v>0</v>
      </c>
      <c r="N124" s="50">
        <f t="shared" si="13"/>
        <v>0</v>
      </c>
    </row>
    <row r="125" spans="1:19" ht="12.75" customHeight="1" x14ac:dyDescent="0.3">
      <c r="A125" s="100">
        <v>18.170000000000002</v>
      </c>
      <c r="B125" s="98" t="s">
        <v>137</v>
      </c>
      <c r="C125" s="133" t="s">
        <v>33</v>
      </c>
      <c r="D125" s="31">
        <v>1</v>
      </c>
      <c r="E125" s="181">
        <v>1116033</v>
      </c>
      <c r="F125" s="181">
        <f t="shared" si="5"/>
        <v>1116033</v>
      </c>
      <c r="H125" s="245"/>
      <c r="I125" s="250">
        <f>+'GDR 3760_Pto. 02_Cert. 09)'!K125</f>
        <v>0</v>
      </c>
      <c r="J125" s="250"/>
      <c r="K125" s="251">
        <f t="shared" si="10"/>
        <v>0</v>
      </c>
      <c r="L125" s="50">
        <f t="shared" si="11"/>
        <v>0</v>
      </c>
      <c r="M125" s="50">
        <f t="shared" si="12"/>
        <v>0</v>
      </c>
      <c r="N125" s="50">
        <f t="shared" si="13"/>
        <v>0</v>
      </c>
    </row>
    <row r="126" spans="1:19" ht="12.75" customHeight="1" x14ac:dyDescent="0.3">
      <c r="A126" s="100">
        <v>18.18</v>
      </c>
      <c r="B126" s="98" t="s">
        <v>138</v>
      </c>
      <c r="C126" s="133" t="s">
        <v>33</v>
      </c>
      <c r="D126" s="31">
        <v>2</v>
      </c>
      <c r="E126" s="181">
        <v>530996</v>
      </c>
      <c r="F126" s="181">
        <f t="shared" si="5"/>
        <v>1061992</v>
      </c>
      <c r="H126" s="245"/>
      <c r="I126" s="250">
        <f>+'GDR 3760_Pto. 02_Cert. 09)'!K126</f>
        <v>0</v>
      </c>
      <c r="J126" s="250"/>
      <c r="K126" s="251">
        <f t="shared" si="10"/>
        <v>0</v>
      </c>
      <c r="L126" s="50">
        <f t="shared" si="11"/>
        <v>0</v>
      </c>
      <c r="M126" s="50">
        <f t="shared" si="12"/>
        <v>0</v>
      </c>
      <c r="N126" s="50">
        <f t="shared" si="13"/>
        <v>0</v>
      </c>
    </row>
    <row r="127" spans="1:19" ht="12.75" customHeight="1" x14ac:dyDescent="0.3">
      <c r="A127" s="100">
        <v>18.190000000000001</v>
      </c>
      <c r="B127" s="98" t="s">
        <v>139</v>
      </c>
      <c r="C127" s="133" t="s">
        <v>33</v>
      </c>
      <c r="D127" s="31">
        <v>9</v>
      </c>
      <c r="E127" s="181">
        <v>595409</v>
      </c>
      <c r="F127" s="181">
        <f t="shared" si="5"/>
        <v>5358681</v>
      </c>
      <c r="H127" s="245"/>
      <c r="I127" s="250">
        <f>+'GDR 3760_Pto. 02_Cert. 09)'!K127</f>
        <v>0</v>
      </c>
      <c r="J127" s="250"/>
      <c r="K127" s="251">
        <f t="shared" si="10"/>
        <v>0</v>
      </c>
      <c r="L127" s="50">
        <f t="shared" si="11"/>
        <v>0</v>
      </c>
      <c r="M127" s="50">
        <f t="shared" si="12"/>
        <v>0</v>
      </c>
      <c r="N127" s="50">
        <f t="shared" si="13"/>
        <v>0</v>
      </c>
    </row>
    <row r="128" spans="1:19" ht="12.75" customHeight="1" x14ac:dyDescent="0.3">
      <c r="A128" s="100">
        <v>18.2</v>
      </c>
      <c r="B128" s="98" t="s">
        <v>140</v>
      </c>
      <c r="C128" s="133" t="s">
        <v>29</v>
      </c>
      <c r="D128" s="31">
        <v>1</v>
      </c>
      <c r="E128" s="181">
        <v>6378278</v>
      </c>
      <c r="F128" s="181">
        <f t="shared" si="5"/>
        <v>6378278</v>
      </c>
      <c r="H128" s="245"/>
      <c r="I128" s="250">
        <f>+'GDR 3760_Pto. 02_Cert. 09)'!K128</f>
        <v>0</v>
      </c>
      <c r="J128" s="250"/>
      <c r="K128" s="251">
        <f t="shared" si="10"/>
        <v>0</v>
      </c>
      <c r="L128" s="50">
        <f t="shared" si="11"/>
        <v>0</v>
      </c>
      <c r="M128" s="50">
        <f t="shared" si="12"/>
        <v>0</v>
      </c>
      <c r="N128" s="50">
        <f t="shared" si="13"/>
        <v>0</v>
      </c>
    </row>
    <row r="129" spans="1:14" ht="12.75" customHeight="1" x14ac:dyDescent="0.3">
      <c r="A129" s="100">
        <v>18.21</v>
      </c>
      <c r="B129" s="98" t="s">
        <v>141</v>
      </c>
      <c r="C129" s="133" t="s">
        <v>29</v>
      </c>
      <c r="D129" s="31">
        <v>1</v>
      </c>
      <c r="E129" s="181">
        <v>1695726</v>
      </c>
      <c r="F129" s="181">
        <f t="shared" si="5"/>
        <v>1695726</v>
      </c>
      <c r="H129" s="245"/>
      <c r="I129" s="250">
        <f>+'GDR 3760_Pto. 02_Cert. 09)'!K129</f>
        <v>0</v>
      </c>
      <c r="J129" s="250"/>
      <c r="K129" s="251">
        <f t="shared" si="10"/>
        <v>0</v>
      </c>
      <c r="L129" s="50">
        <f t="shared" si="11"/>
        <v>0</v>
      </c>
      <c r="M129" s="50">
        <f t="shared" si="12"/>
        <v>0</v>
      </c>
      <c r="N129" s="50">
        <f t="shared" si="13"/>
        <v>0</v>
      </c>
    </row>
    <row r="130" spans="1:14" ht="12.75" customHeight="1" x14ac:dyDescent="0.3">
      <c r="A130" s="100">
        <v>18.22</v>
      </c>
      <c r="B130" s="98" t="s">
        <v>142</v>
      </c>
      <c r="C130" s="133" t="s">
        <v>29</v>
      </c>
      <c r="D130" s="31">
        <v>1</v>
      </c>
      <c r="E130" s="181">
        <v>1695726</v>
      </c>
      <c r="F130" s="181">
        <f t="shared" si="5"/>
        <v>1695726</v>
      </c>
      <c r="H130" s="245"/>
      <c r="I130" s="250">
        <f>+'GDR 3760_Pto. 02_Cert. 09)'!K130</f>
        <v>0</v>
      </c>
      <c r="J130" s="250"/>
      <c r="K130" s="251">
        <f t="shared" si="10"/>
        <v>0</v>
      </c>
      <c r="L130" s="50">
        <f t="shared" si="11"/>
        <v>0</v>
      </c>
      <c r="M130" s="50">
        <f t="shared" si="12"/>
        <v>0</v>
      </c>
      <c r="N130" s="50">
        <f t="shared" si="13"/>
        <v>0</v>
      </c>
    </row>
    <row r="131" spans="1:14" ht="12.75" customHeight="1" x14ac:dyDescent="0.3">
      <c r="A131" s="100">
        <v>18.23</v>
      </c>
      <c r="B131" s="98" t="s">
        <v>143</v>
      </c>
      <c r="C131" s="133" t="s">
        <v>33</v>
      </c>
      <c r="D131" s="31">
        <v>16</v>
      </c>
      <c r="E131" s="181">
        <v>15984</v>
      </c>
      <c r="F131" s="181">
        <f t="shared" si="5"/>
        <v>255744</v>
      </c>
      <c r="H131" s="245"/>
      <c r="I131" s="250">
        <f>+'GDR 3760_Pto. 02_Cert. 09)'!K131</f>
        <v>0</v>
      </c>
      <c r="J131" s="250"/>
      <c r="K131" s="251">
        <f t="shared" si="10"/>
        <v>0</v>
      </c>
      <c r="L131" s="50">
        <f t="shared" si="11"/>
        <v>0</v>
      </c>
      <c r="M131" s="50">
        <f t="shared" si="12"/>
        <v>0</v>
      </c>
      <c r="N131" s="50">
        <f t="shared" si="13"/>
        <v>0</v>
      </c>
    </row>
    <row r="132" spans="1:14" ht="12.75" customHeight="1" x14ac:dyDescent="0.3">
      <c r="A132" s="100">
        <v>18.239999999999998</v>
      </c>
      <c r="B132" s="98" t="s">
        <v>144</v>
      </c>
      <c r="C132" s="133" t="s">
        <v>33</v>
      </c>
      <c r="D132" s="31">
        <v>140</v>
      </c>
      <c r="E132" s="181">
        <v>10416</v>
      </c>
      <c r="F132" s="181">
        <f t="shared" si="5"/>
        <v>1458240</v>
      </c>
      <c r="H132" s="245"/>
      <c r="I132" s="250">
        <f>+'GDR 3760_Pto. 02_Cert. 09)'!K132</f>
        <v>0</v>
      </c>
      <c r="J132" s="250"/>
      <c r="K132" s="251">
        <f t="shared" si="10"/>
        <v>0</v>
      </c>
      <c r="L132" s="50">
        <f t="shared" si="11"/>
        <v>0</v>
      </c>
      <c r="M132" s="50">
        <f t="shared" si="12"/>
        <v>0</v>
      </c>
      <c r="N132" s="50">
        <f t="shared" si="13"/>
        <v>0</v>
      </c>
    </row>
    <row r="133" spans="1:14" ht="12.75" customHeight="1" x14ac:dyDescent="0.3">
      <c r="A133" s="100">
        <v>18.25</v>
      </c>
      <c r="B133" s="98" t="s">
        <v>145</v>
      </c>
      <c r="C133" s="133" t="s">
        <v>33</v>
      </c>
      <c r="D133" s="31">
        <v>226</v>
      </c>
      <c r="E133" s="181">
        <v>10416</v>
      </c>
      <c r="F133" s="181">
        <f t="shared" si="5"/>
        <v>2354016</v>
      </c>
      <c r="H133" s="245"/>
      <c r="I133" s="250">
        <f>+'GDR 3760_Pto. 02_Cert. 09)'!K133</f>
        <v>0</v>
      </c>
      <c r="J133" s="250"/>
      <c r="K133" s="251">
        <f t="shared" si="10"/>
        <v>0</v>
      </c>
      <c r="L133" s="50">
        <f t="shared" si="11"/>
        <v>0</v>
      </c>
      <c r="M133" s="50">
        <f t="shared" si="12"/>
        <v>0</v>
      </c>
      <c r="N133" s="50">
        <f t="shared" si="13"/>
        <v>0</v>
      </c>
    </row>
    <row r="134" spans="1:14" ht="12.75" customHeight="1" x14ac:dyDescent="0.3">
      <c r="A134" s="100">
        <v>18.260000000000002</v>
      </c>
      <c r="B134" s="98" t="s">
        <v>146</v>
      </c>
      <c r="C134" s="133" t="s">
        <v>33</v>
      </c>
      <c r="D134" s="31">
        <v>8</v>
      </c>
      <c r="E134" s="181">
        <v>25377</v>
      </c>
      <c r="F134" s="181">
        <f t="shared" si="5"/>
        <v>203016</v>
      </c>
      <c r="H134" s="245"/>
      <c r="I134" s="250">
        <f>+'GDR 3760_Pto. 02_Cert. 09)'!K134</f>
        <v>0</v>
      </c>
      <c r="J134" s="250"/>
      <c r="K134" s="251">
        <f t="shared" si="10"/>
        <v>0</v>
      </c>
      <c r="L134" s="50">
        <f t="shared" si="11"/>
        <v>0</v>
      </c>
      <c r="M134" s="50">
        <f t="shared" si="12"/>
        <v>0</v>
      </c>
      <c r="N134" s="50">
        <f t="shared" si="13"/>
        <v>0</v>
      </c>
    </row>
    <row r="135" spans="1:14" ht="12.75" customHeight="1" x14ac:dyDescent="0.3">
      <c r="A135" s="100">
        <v>18.27</v>
      </c>
      <c r="B135" s="98" t="s">
        <v>147</v>
      </c>
      <c r="C135" s="133" t="s">
        <v>33</v>
      </c>
      <c r="D135" s="31">
        <v>24</v>
      </c>
      <c r="E135" s="181">
        <v>93081</v>
      </c>
      <c r="F135" s="181">
        <f t="shared" si="5"/>
        <v>2233944</v>
      </c>
      <c r="H135" s="245"/>
      <c r="I135" s="250">
        <f>+'GDR 3760_Pto. 02_Cert. 09)'!K135</f>
        <v>0</v>
      </c>
      <c r="J135" s="250"/>
      <c r="K135" s="251">
        <f t="shared" si="10"/>
        <v>0</v>
      </c>
      <c r="L135" s="50">
        <f t="shared" si="11"/>
        <v>0</v>
      </c>
      <c r="M135" s="50">
        <f t="shared" si="12"/>
        <v>0</v>
      </c>
      <c r="N135" s="50">
        <f t="shared" si="13"/>
        <v>0</v>
      </c>
    </row>
    <row r="136" spans="1:14" ht="12.75" customHeight="1" x14ac:dyDescent="0.3">
      <c r="A136" s="100">
        <v>18.28</v>
      </c>
      <c r="B136" s="98" t="s">
        <v>148</v>
      </c>
      <c r="C136" s="133" t="s">
        <v>33</v>
      </c>
      <c r="D136" s="31">
        <v>12</v>
      </c>
      <c r="E136" s="181">
        <v>25377</v>
      </c>
      <c r="F136" s="181">
        <f t="shared" si="5"/>
        <v>304524</v>
      </c>
      <c r="H136" s="245"/>
      <c r="I136" s="250">
        <f>+'GDR 3760_Pto. 02_Cert. 09)'!K136</f>
        <v>0</v>
      </c>
      <c r="J136" s="250"/>
      <c r="K136" s="251">
        <f t="shared" si="10"/>
        <v>0</v>
      </c>
      <c r="L136" s="50">
        <f t="shared" si="11"/>
        <v>0</v>
      </c>
      <c r="M136" s="50">
        <f t="shared" si="12"/>
        <v>0</v>
      </c>
      <c r="N136" s="50">
        <f t="shared" si="13"/>
        <v>0</v>
      </c>
    </row>
    <row r="137" spans="1:14" ht="12.75" customHeight="1" x14ac:dyDescent="0.3">
      <c r="A137" s="100">
        <v>18.2899999999999</v>
      </c>
      <c r="B137" s="98" t="s">
        <v>149</v>
      </c>
      <c r="C137" s="133" t="s">
        <v>33</v>
      </c>
      <c r="D137" s="31">
        <v>1</v>
      </c>
      <c r="E137" s="181">
        <v>25377</v>
      </c>
      <c r="F137" s="181">
        <f t="shared" si="5"/>
        <v>25377</v>
      </c>
      <c r="H137" s="245"/>
      <c r="I137" s="250">
        <f>+'GDR 3760_Pto. 02_Cert. 09)'!K137</f>
        <v>0</v>
      </c>
      <c r="J137" s="250"/>
      <c r="K137" s="251">
        <f t="shared" si="10"/>
        <v>0</v>
      </c>
      <c r="L137" s="50">
        <f t="shared" si="11"/>
        <v>0</v>
      </c>
      <c r="M137" s="50">
        <f t="shared" si="12"/>
        <v>0</v>
      </c>
      <c r="N137" s="50">
        <f t="shared" si="13"/>
        <v>0</v>
      </c>
    </row>
    <row r="138" spans="1:14" ht="12.75" customHeight="1" x14ac:dyDescent="0.3">
      <c r="A138" s="100">
        <v>18.299999999999901</v>
      </c>
      <c r="B138" s="98" t="s">
        <v>150</v>
      </c>
      <c r="C138" s="133" t="s">
        <v>33</v>
      </c>
      <c r="D138" s="31">
        <v>109</v>
      </c>
      <c r="E138" s="181">
        <v>15984</v>
      </c>
      <c r="F138" s="181">
        <f t="shared" ref="F138:F194" si="14">+E138*D138</f>
        <v>1742256</v>
      </c>
      <c r="H138" s="245"/>
      <c r="I138" s="250">
        <f>+'GDR 3760_Pto. 02_Cert. 09)'!K138</f>
        <v>0</v>
      </c>
      <c r="J138" s="250"/>
      <c r="K138" s="251">
        <f t="shared" si="10"/>
        <v>0</v>
      </c>
      <c r="L138" s="50">
        <f t="shared" si="11"/>
        <v>0</v>
      </c>
      <c r="M138" s="50">
        <f t="shared" si="12"/>
        <v>0</v>
      </c>
      <c r="N138" s="50">
        <f t="shared" si="13"/>
        <v>0</v>
      </c>
    </row>
    <row r="139" spans="1:14" ht="12.75" customHeight="1" x14ac:dyDescent="0.3">
      <c r="A139" s="100">
        <v>18.309999999999899</v>
      </c>
      <c r="B139" s="98" t="s">
        <v>151</v>
      </c>
      <c r="C139" s="133" t="s">
        <v>29</v>
      </c>
      <c r="D139" s="31">
        <v>1</v>
      </c>
      <c r="E139" s="181">
        <v>5516929</v>
      </c>
      <c r="F139" s="181">
        <f t="shared" si="14"/>
        <v>5516929</v>
      </c>
      <c r="H139" s="245"/>
      <c r="I139" s="250">
        <f>+'GDR 3760_Pto. 02_Cert. 09)'!K139</f>
        <v>0</v>
      </c>
      <c r="J139" s="250"/>
      <c r="K139" s="251">
        <f t="shared" si="10"/>
        <v>0</v>
      </c>
      <c r="L139" s="50">
        <f t="shared" si="11"/>
        <v>0</v>
      </c>
      <c r="M139" s="50">
        <f t="shared" si="12"/>
        <v>0</v>
      </c>
      <c r="N139" s="50">
        <f t="shared" si="13"/>
        <v>0</v>
      </c>
    </row>
    <row r="140" spans="1:14" ht="12.75" customHeight="1" x14ac:dyDescent="0.3">
      <c r="A140" s="100">
        <v>18.319999999999901</v>
      </c>
      <c r="B140" s="294" t="s">
        <v>152</v>
      </c>
      <c r="C140" s="133" t="s">
        <v>29</v>
      </c>
      <c r="D140" s="31">
        <v>1</v>
      </c>
      <c r="E140" s="181">
        <v>957554</v>
      </c>
      <c r="F140" s="181">
        <f t="shared" si="14"/>
        <v>957554</v>
      </c>
      <c r="H140" s="245"/>
      <c r="I140" s="250">
        <f>+'GDR 3760_Pto. 02_Cert. 09)'!K140</f>
        <v>0</v>
      </c>
      <c r="J140" s="250"/>
      <c r="K140" s="251">
        <f t="shared" ref="K140:K194" si="15">+I140+J140</f>
        <v>0</v>
      </c>
      <c r="L140" s="50">
        <f t="shared" ref="L140:L194" si="16">+F140*I140</f>
        <v>0</v>
      </c>
      <c r="M140" s="50">
        <f t="shared" ref="M140:M194" si="17">+F140*J140</f>
        <v>0</v>
      </c>
      <c r="N140" s="50">
        <f t="shared" ref="N140:N194" si="18">+F140*K140</f>
        <v>0</v>
      </c>
    </row>
    <row r="141" spans="1:14" ht="12.75" customHeight="1" x14ac:dyDescent="0.3">
      <c r="A141" s="100">
        <v>18.329999999999899</v>
      </c>
      <c r="B141" s="134" t="s">
        <v>153</v>
      </c>
      <c r="C141" s="135" t="s">
        <v>29</v>
      </c>
      <c r="D141" s="35">
        <v>1</v>
      </c>
      <c r="E141" s="181">
        <v>142634</v>
      </c>
      <c r="F141" s="181">
        <f t="shared" si="14"/>
        <v>142634</v>
      </c>
      <c r="H141" s="245"/>
      <c r="I141" s="250">
        <f>+'GDR 3760_Pto. 02_Cert. 09)'!K141</f>
        <v>0</v>
      </c>
      <c r="J141" s="250"/>
      <c r="K141" s="251">
        <f t="shared" si="15"/>
        <v>0</v>
      </c>
      <c r="L141" s="50">
        <f t="shared" si="16"/>
        <v>0</v>
      </c>
      <c r="M141" s="50">
        <f t="shared" si="17"/>
        <v>0</v>
      </c>
      <c r="N141" s="50">
        <f t="shared" si="18"/>
        <v>0</v>
      </c>
    </row>
    <row r="142" spans="1:14" ht="12.75" customHeight="1" x14ac:dyDescent="0.3">
      <c r="A142" s="13">
        <v>19</v>
      </c>
      <c r="B142" s="40" t="s">
        <v>154</v>
      </c>
      <c r="C142" s="18"/>
      <c r="D142" s="19"/>
      <c r="E142" s="190"/>
      <c r="F142" s="190"/>
      <c r="G142" s="191"/>
      <c r="H142" s="245"/>
      <c r="I142" s="246"/>
      <c r="J142" s="247"/>
      <c r="K142" s="247"/>
      <c r="L142" s="178"/>
      <c r="M142" s="178"/>
      <c r="N142" s="179"/>
    </row>
    <row r="143" spans="1:14" ht="12.75" customHeight="1" x14ac:dyDescent="0.3">
      <c r="A143" s="13"/>
      <c r="B143" s="40" t="s">
        <v>155</v>
      </c>
      <c r="C143" s="18"/>
      <c r="D143" s="19"/>
      <c r="E143" s="19"/>
      <c r="F143" s="19"/>
      <c r="G143" s="192">
        <f>+SUM(F144:F146)</f>
        <v>21227962</v>
      </c>
      <c r="H143" s="245">
        <f>+G143/$G$195</f>
        <v>2.5126450140132647E-2</v>
      </c>
      <c r="I143" s="246"/>
      <c r="J143" s="247"/>
      <c r="K143" s="247"/>
      <c r="L143" s="178"/>
      <c r="M143" s="178"/>
      <c r="N143" s="179"/>
    </row>
    <row r="144" spans="1:14" ht="12.75" customHeight="1" x14ac:dyDescent="0.3">
      <c r="A144" s="20">
        <v>19.010000000000002</v>
      </c>
      <c r="B144" s="136" t="s">
        <v>156</v>
      </c>
      <c r="C144" s="122" t="s">
        <v>29</v>
      </c>
      <c r="D144" s="123">
        <v>1</v>
      </c>
      <c r="E144" s="183">
        <v>6793844</v>
      </c>
      <c r="F144" s="183">
        <f t="shared" si="14"/>
        <v>6793844</v>
      </c>
      <c r="H144" s="245"/>
      <c r="I144" s="250">
        <f>+'GDR 3760_Pto. 02_Cert. 09)'!K144</f>
        <v>0</v>
      </c>
      <c r="J144" s="250"/>
      <c r="K144" s="251">
        <f t="shared" si="15"/>
        <v>0</v>
      </c>
      <c r="L144" s="50">
        <f t="shared" si="16"/>
        <v>0</v>
      </c>
      <c r="M144" s="50">
        <f t="shared" si="17"/>
        <v>0</v>
      </c>
      <c r="N144" s="50">
        <f t="shared" si="18"/>
        <v>0</v>
      </c>
    </row>
    <row r="145" spans="1:14" ht="12.75" customHeight="1" x14ac:dyDescent="0.3">
      <c r="A145" s="24">
        <v>19.02</v>
      </c>
      <c r="B145" s="36" t="s">
        <v>157</v>
      </c>
      <c r="C145" s="28" t="s">
        <v>29</v>
      </c>
      <c r="D145" s="29">
        <v>1</v>
      </c>
      <c r="E145" s="181">
        <v>9552583</v>
      </c>
      <c r="F145" s="181">
        <f t="shared" si="14"/>
        <v>9552583</v>
      </c>
      <c r="H145" s="245"/>
      <c r="I145" s="250">
        <f>+'GDR 3760_Pto. 02_Cert. 09)'!K145</f>
        <v>0</v>
      </c>
      <c r="J145" s="250">
        <v>0.15</v>
      </c>
      <c r="K145" s="251">
        <f t="shared" si="15"/>
        <v>0.15</v>
      </c>
      <c r="L145" s="50">
        <f t="shared" si="16"/>
        <v>0</v>
      </c>
      <c r="M145" s="50">
        <f t="shared" si="17"/>
        <v>1432887.45</v>
      </c>
      <c r="N145" s="50">
        <f t="shared" si="18"/>
        <v>1432887.45</v>
      </c>
    </row>
    <row r="146" spans="1:14" ht="12.75" customHeight="1" x14ac:dyDescent="0.3">
      <c r="A146" s="33">
        <v>19.03</v>
      </c>
      <c r="B146" s="137" t="s">
        <v>158</v>
      </c>
      <c r="C146" s="138" t="s">
        <v>29</v>
      </c>
      <c r="D146" s="139">
        <v>1</v>
      </c>
      <c r="E146" s="181">
        <v>4881535</v>
      </c>
      <c r="F146" s="181">
        <f t="shared" si="14"/>
        <v>4881535</v>
      </c>
      <c r="H146" s="245"/>
      <c r="I146" s="250">
        <f>+'GDR 3760_Pto. 02_Cert. 09)'!K146</f>
        <v>0</v>
      </c>
      <c r="J146" s="250">
        <v>0.1</v>
      </c>
      <c r="K146" s="251">
        <f t="shared" si="15"/>
        <v>0.1</v>
      </c>
      <c r="L146" s="50">
        <f t="shared" si="16"/>
        <v>0</v>
      </c>
      <c r="M146" s="50">
        <f t="shared" si="17"/>
        <v>488153.5</v>
      </c>
      <c r="N146" s="50">
        <f t="shared" si="18"/>
        <v>488153.5</v>
      </c>
    </row>
    <row r="147" spans="1:14" ht="12.75" customHeight="1" x14ac:dyDescent="0.3">
      <c r="A147" s="140"/>
      <c r="B147" s="141" t="s">
        <v>159</v>
      </c>
      <c r="C147" s="11"/>
      <c r="D147" s="12"/>
      <c r="E147" s="19"/>
      <c r="F147" s="19"/>
      <c r="G147" s="192">
        <f>+SUM(F148:F150)</f>
        <v>7075989</v>
      </c>
      <c r="H147" s="245">
        <f>+G147/$G$195</f>
        <v>8.3754853527920892E-3</v>
      </c>
      <c r="I147" s="246"/>
      <c r="J147" s="247"/>
      <c r="K147" s="247"/>
      <c r="L147" s="178"/>
      <c r="M147" s="178"/>
      <c r="N147" s="179"/>
    </row>
    <row r="148" spans="1:14" ht="12.75" customHeight="1" x14ac:dyDescent="0.3">
      <c r="A148" s="20">
        <v>19.04</v>
      </c>
      <c r="B148" s="136" t="s">
        <v>160</v>
      </c>
      <c r="C148" s="122" t="s">
        <v>29</v>
      </c>
      <c r="D148" s="123">
        <v>1</v>
      </c>
      <c r="E148" s="181">
        <v>2476596</v>
      </c>
      <c r="F148" s="181">
        <f t="shared" si="14"/>
        <v>2476596</v>
      </c>
      <c r="H148" s="245"/>
      <c r="I148" s="250">
        <f>+'GDR 3760_Pto. 02_Cert. 09)'!K148</f>
        <v>0</v>
      </c>
      <c r="J148" s="250"/>
      <c r="K148" s="251">
        <f t="shared" si="15"/>
        <v>0</v>
      </c>
      <c r="L148" s="50">
        <f t="shared" si="16"/>
        <v>0</v>
      </c>
      <c r="M148" s="50">
        <f t="shared" si="17"/>
        <v>0</v>
      </c>
      <c r="N148" s="50">
        <f t="shared" si="18"/>
        <v>0</v>
      </c>
    </row>
    <row r="149" spans="1:14" ht="12.75" customHeight="1" x14ac:dyDescent="0.3">
      <c r="A149" s="24">
        <v>19.05</v>
      </c>
      <c r="B149" s="36" t="s">
        <v>161</v>
      </c>
      <c r="C149" s="28" t="s">
        <v>29</v>
      </c>
      <c r="D149" s="29">
        <v>1</v>
      </c>
      <c r="E149" s="181">
        <v>3537994</v>
      </c>
      <c r="F149" s="181">
        <f t="shared" si="14"/>
        <v>3537994</v>
      </c>
      <c r="H149" s="245"/>
      <c r="I149" s="250">
        <f>+'GDR 3760_Pto. 02_Cert. 09)'!K149</f>
        <v>0</v>
      </c>
      <c r="J149" s="250">
        <v>0.2</v>
      </c>
      <c r="K149" s="251">
        <f t="shared" si="15"/>
        <v>0.2</v>
      </c>
      <c r="L149" s="50">
        <f t="shared" si="16"/>
        <v>0</v>
      </c>
      <c r="M149" s="50">
        <f t="shared" si="17"/>
        <v>707598.8</v>
      </c>
      <c r="N149" s="50">
        <f t="shared" si="18"/>
        <v>707598.8</v>
      </c>
    </row>
    <row r="150" spans="1:14" ht="12.75" customHeight="1" x14ac:dyDescent="0.3">
      <c r="A150" s="33">
        <v>19.059999999999999</v>
      </c>
      <c r="B150" s="137" t="s">
        <v>162</v>
      </c>
      <c r="C150" s="138" t="s">
        <v>29</v>
      </c>
      <c r="D150" s="139">
        <v>1</v>
      </c>
      <c r="E150" s="181">
        <v>1061399</v>
      </c>
      <c r="F150" s="181">
        <f t="shared" si="14"/>
        <v>1061399</v>
      </c>
      <c r="H150" s="245"/>
      <c r="I150" s="250">
        <f>+'GDR 3760_Pto. 02_Cert. 09)'!K150</f>
        <v>0</v>
      </c>
      <c r="J150" s="250"/>
      <c r="K150" s="251">
        <f t="shared" si="15"/>
        <v>0</v>
      </c>
      <c r="L150" s="50">
        <f t="shared" si="16"/>
        <v>0</v>
      </c>
      <c r="M150" s="50">
        <f t="shared" si="17"/>
        <v>0</v>
      </c>
      <c r="N150" s="50">
        <f t="shared" si="18"/>
        <v>0</v>
      </c>
    </row>
    <row r="151" spans="1:14" ht="12.75" customHeight="1" x14ac:dyDescent="0.3">
      <c r="A151" s="13"/>
      <c r="B151" s="40" t="s">
        <v>163</v>
      </c>
      <c r="C151" s="18"/>
      <c r="D151" s="19"/>
      <c r="E151" s="19"/>
      <c r="F151" s="19"/>
      <c r="G151" s="192">
        <f>+SUM(F152:F156)</f>
        <v>34829620</v>
      </c>
      <c r="H151" s="245">
        <f>+G151/$G$195</f>
        <v>4.1226035279777064E-2</v>
      </c>
      <c r="I151" s="246"/>
      <c r="J151" s="247"/>
      <c r="K151" s="247"/>
      <c r="L151" s="178"/>
      <c r="M151" s="178"/>
      <c r="N151" s="179"/>
    </row>
    <row r="152" spans="1:14" ht="12.75" customHeight="1" x14ac:dyDescent="0.3">
      <c r="A152" s="115">
        <v>19.07</v>
      </c>
      <c r="B152" s="142" t="s">
        <v>164</v>
      </c>
      <c r="C152" s="122" t="s">
        <v>29</v>
      </c>
      <c r="D152" s="123">
        <v>1</v>
      </c>
      <c r="E152" s="180">
        <v>3263223</v>
      </c>
      <c r="F152" s="180">
        <f t="shared" si="14"/>
        <v>3263223</v>
      </c>
      <c r="H152" s="245"/>
      <c r="I152" s="250">
        <f>+'GDR 3760_Pto. 02_Cert. 09)'!K152</f>
        <v>0</v>
      </c>
      <c r="J152" s="250"/>
      <c r="K152" s="251">
        <f t="shared" si="15"/>
        <v>0</v>
      </c>
      <c r="L152" s="50">
        <f t="shared" si="16"/>
        <v>0</v>
      </c>
      <c r="M152" s="50">
        <f t="shared" si="17"/>
        <v>0</v>
      </c>
      <c r="N152" s="50">
        <f t="shared" si="18"/>
        <v>0</v>
      </c>
    </row>
    <row r="153" spans="1:14" ht="12.75" customHeight="1" x14ac:dyDescent="0.3">
      <c r="A153" s="100">
        <v>19.079999999999998</v>
      </c>
      <c r="B153" s="143" t="s">
        <v>165</v>
      </c>
      <c r="C153" s="28" t="s">
        <v>29</v>
      </c>
      <c r="D153" s="29">
        <v>1</v>
      </c>
      <c r="E153" s="181">
        <v>3665831</v>
      </c>
      <c r="F153" s="181">
        <f t="shared" si="14"/>
        <v>3665831</v>
      </c>
      <c r="H153" s="245"/>
      <c r="I153" s="250">
        <f>+'GDR 3760_Pto. 02_Cert. 09)'!K153</f>
        <v>0</v>
      </c>
      <c r="J153" s="250"/>
      <c r="K153" s="251">
        <f t="shared" si="15"/>
        <v>0</v>
      </c>
      <c r="L153" s="50">
        <f t="shared" si="16"/>
        <v>0</v>
      </c>
      <c r="M153" s="50">
        <f t="shared" si="17"/>
        <v>0</v>
      </c>
      <c r="N153" s="50">
        <f t="shared" si="18"/>
        <v>0</v>
      </c>
    </row>
    <row r="154" spans="1:14" ht="12.75" customHeight="1" x14ac:dyDescent="0.3">
      <c r="A154" s="100">
        <v>19.09</v>
      </c>
      <c r="B154" s="144" t="s">
        <v>166</v>
      </c>
      <c r="C154" s="28" t="s">
        <v>29</v>
      </c>
      <c r="D154" s="29">
        <v>1</v>
      </c>
      <c r="E154" s="181">
        <v>3263223</v>
      </c>
      <c r="F154" s="181">
        <f t="shared" si="14"/>
        <v>3263223</v>
      </c>
      <c r="H154" s="245"/>
      <c r="I154" s="250">
        <f>+'GDR 3760_Pto. 02_Cert. 09)'!K154</f>
        <v>0</v>
      </c>
      <c r="J154" s="250"/>
      <c r="K154" s="251">
        <f t="shared" si="15"/>
        <v>0</v>
      </c>
      <c r="L154" s="50">
        <f t="shared" si="16"/>
        <v>0</v>
      </c>
      <c r="M154" s="50">
        <f t="shared" si="17"/>
        <v>0</v>
      </c>
      <c r="N154" s="50">
        <f t="shared" si="18"/>
        <v>0</v>
      </c>
    </row>
    <row r="155" spans="1:14" ht="12.75" customHeight="1" x14ac:dyDescent="0.3">
      <c r="A155" s="100">
        <v>19.100000000000001</v>
      </c>
      <c r="B155" s="143" t="s">
        <v>167</v>
      </c>
      <c r="C155" s="28" t="s">
        <v>29</v>
      </c>
      <c r="D155" s="29">
        <v>1</v>
      </c>
      <c r="E155" s="181">
        <v>18413869</v>
      </c>
      <c r="F155" s="181">
        <f t="shared" si="14"/>
        <v>18413869</v>
      </c>
      <c r="H155" s="245"/>
      <c r="I155" s="250">
        <f>+'GDR 3760_Pto. 02_Cert. 09)'!K155</f>
        <v>0</v>
      </c>
      <c r="J155" s="250">
        <v>0.25</v>
      </c>
      <c r="K155" s="251">
        <f t="shared" si="15"/>
        <v>0.25</v>
      </c>
      <c r="L155" s="50">
        <f t="shared" si="16"/>
        <v>0</v>
      </c>
      <c r="M155" s="50">
        <f t="shared" si="17"/>
        <v>4603467.25</v>
      </c>
      <c r="N155" s="50">
        <f t="shared" si="18"/>
        <v>4603467.25</v>
      </c>
    </row>
    <row r="156" spans="1:14" ht="12.75" customHeight="1" x14ac:dyDescent="0.3">
      <c r="A156" s="100">
        <v>19.11</v>
      </c>
      <c r="B156" s="145" t="s">
        <v>168</v>
      </c>
      <c r="C156" s="138" t="s">
        <v>29</v>
      </c>
      <c r="D156" s="139">
        <v>1</v>
      </c>
      <c r="E156" s="189">
        <v>6223474</v>
      </c>
      <c r="F156" s="189">
        <f t="shared" si="14"/>
        <v>6223474</v>
      </c>
      <c r="H156" s="245"/>
      <c r="I156" s="250">
        <f>+'GDR 3760_Pto. 02_Cert. 09)'!K156</f>
        <v>0</v>
      </c>
      <c r="J156" s="250"/>
      <c r="K156" s="251">
        <f t="shared" si="15"/>
        <v>0</v>
      </c>
      <c r="L156" s="50">
        <f t="shared" si="16"/>
        <v>0</v>
      </c>
      <c r="M156" s="50">
        <f t="shared" si="17"/>
        <v>0</v>
      </c>
      <c r="N156" s="50">
        <f t="shared" si="18"/>
        <v>0</v>
      </c>
    </row>
    <row r="157" spans="1:14" ht="12.75" customHeight="1" x14ac:dyDescent="0.3">
      <c r="A157" s="13"/>
      <c r="B157" s="40" t="s">
        <v>169</v>
      </c>
      <c r="C157" s="18"/>
      <c r="D157" s="19"/>
      <c r="E157" s="19"/>
      <c r="F157" s="19"/>
      <c r="G157" s="192">
        <f>+SUM(F158)</f>
        <v>2637801</v>
      </c>
      <c r="H157" s="245">
        <f>+G157/$G$195</f>
        <v>3.1222297885257206E-3</v>
      </c>
      <c r="I157" s="246"/>
      <c r="J157" s="247"/>
      <c r="K157" s="247"/>
      <c r="L157" s="178"/>
      <c r="M157" s="178"/>
      <c r="N157" s="179"/>
    </row>
    <row r="158" spans="1:14" ht="12.75" customHeight="1" x14ac:dyDescent="0.3">
      <c r="A158" s="24">
        <v>19.12</v>
      </c>
      <c r="B158" s="36" t="s">
        <v>170</v>
      </c>
      <c r="C158" s="28" t="s">
        <v>29</v>
      </c>
      <c r="D158" s="29">
        <v>1</v>
      </c>
      <c r="E158" s="181">
        <v>2637801</v>
      </c>
      <c r="F158" s="181">
        <f t="shared" si="14"/>
        <v>2637801</v>
      </c>
      <c r="H158" s="245"/>
      <c r="I158" s="250">
        <f>+'GDR 3760_Pto. 02_Cert. 09)'!K158</f>
        <v>0</v>
      </c>
      <c r="J158" s="250">
        <v>0.1</v>
      </c>
      <c r="K158" s="251">
        <f t="shared" si="15"/>
        <v>0.1</v>
      </c>
      <c r="L158" s="50">
        <f t="shared" si="16"/>
        <v>0</v>
      </c>
      <c r="M158" s="50">
        <f t="shared" si="17"/>
        <v>263780.10000000003</v>
      </c>
      <c r="N158" s="50">
        <f t="shared" si="18"/>
        <v>263780.10000000003</v>
      </c>
    </row>
    <row r="159" spans="1:14" ht="12.75" customHeight="1" x14ac:dyDescent="0.3">
      <c r="A159" s="13"/>
      <c r="B159" s="40" t="s">
        <v>171</v>
      </c>
      <c r="C159" s="18"/>
      <c r="D159" s="19"/>
      <c r="E159" s="19"/>
      <c r="F159" s="19"/>
      <c r="G159" s="192">
        <f>+SUM(F160:F161)</f>
        <v>39784561</v>
      </c>
      <c r="H159" s="245">
        <f>+G159/$G$195</f>
        <v>4.7090944873255651E-2</v>
      </c>
      <c r="I159" s="246"/>
      <c r="J159" s="247"/>
      <c r="K159" s="247"/>
      <c r="L159" s="178"/>
      <c r="M159" s="178"/>
      <c r="N159" s="179"/>
    </row>
    <row r="160" spans="1:14" ht="12.75" customHeight="1" x14ac:dyDescent="0.3">
      <c r="A160" s="20">
        <v>19.13</v>
      </c>
      <c r="B160" s="136" t="s">
        <v>172</v>
      </c>
      <c r="C160" s="122" t="s">
        <v>29</v>
      </c>
      <c r="D160" s="123">
        <v>1</v>
      </c>
      <c r="E160" s="181">
        <v>36002858</v>
      </c>
      <c r="F160" s="181">
        <f t="shared" si="14"/>
        <v>36002858</v>
      </c>
      <c r="H160" s="245"/>
      <c r="I160" s="250">
        <f>+'GDR 3760_Pto. 02_Cert. 09)'!K160</f>
        <v>0</v>
      </c>
      <c r="J160" s="250">
        <v>0.1</v>
      </c>
      <c r="K160" s="251">
        <f t="shared" si="15"/>
        <v>0.1</v>
      </c>
      <c r="L160" s="50">
        <f t="shared" si="16"/>
        <v>0</v>
      </c>
      <c r="M160" s="50">
        <f t="shared" si="17"/>
        <v>3600285.8000000003</v>
      </c>
      <c r="N160" s="50">
        <f t="shared" si="18"/>
        <v>3600285.8000000003</v>
      </c>
    </row>
    <row r="161" spans="1:14" ht="12.75" customHeight="1" x14ac:dyDescent="0.3">
      <c r="A161" s="33">
        <v>19.14</v>
      </c>
      <c r="B161" s="137" t="s">
        <v>173</v>
      </c>
      <c r="C161" s="138" t="s">
        <v>29</v>
      </c>
      <c r="D161" s="139">
        <v>1</v>
      </c>
      <c r="E161" s="181">
        <v>3781703</v>
      </c>
      <c r="F161" s="181">
        <f t="shared" si="14"/>
        <v>3781703</v>
      </c>
      <c r="H161" s="245"/>
      <c r="I161" s="250">
        <f>+'GDR 3760_Pto. 02_Cert. 09)'!K161</f>
        <v>0</v>
      </c>
      <c r="J161" s="250"/>
      <c r="K161" s="251">
        <f t="shared" si="15"/>
        <v>0</v>
      </c>
      <c r="L161" s="50">
        <f t="shared" si="16"/>
        <v>0</v>
      </c>
      <c r="M161" s="50">
        <f t="shared" si="17"/>
        <v>0</v>
      </c>
      <c r="N161" s="50">
        <f t="shared" si="18"/>
        <v>0</v>
      </c>
    </row>
    <row r="162" spans="1:14" ht="12.75" customHeight="1" x14ac:dyDescent="0.3">
      <c r="A162" s="13"/>
      <c r="B162" s="40" t="s">
        <v>174</v>
      </c>
      <c r="C162" s="18"/>
      <c r="D162" s="19"/>
      <c r="E162" s="19"/>
      <c r="F162" s="19"/>
      <c r="G162" s="192">
        <f>+SUM(F163)</f>
        <v>6439007</v>
      </c>
      <c r="H162" s="245">
        <f>+G162/$G$195</f>
        <v>7.6215224211097178E-3</v>
      </c>
      <c r="I162" s="246"/>
      <c r="J162" s="247"/>
      <c r="K162" s="247"/>
      <c r="L162" s="178"/>
      <c r="M162" s="178"/>
      <c r="N162" s="179"/>
    </row>
    <row r="163" spans="1:14" ht="12.75" customHeight="1" x14ac:dyDescent="0.3">
      <c r="A163" s="24">
        <v>19.149999999999999</v>
      </c>
      <c r="B163" s="98" t="s">
        <v>175</v>
      </c>
      <c r="C163" s="28" t="s">
        <v>29</v>
      </c>
      <c r="D163" s="29">
        <v>1</v>
      </c>
      <c r="E163" s="181">
        <v>6439007</v>
      </c>
      <c r="F163" s="181">
        <f t="shared" si="14"/>
        <v>6439007</v>
      </c>
      <c r="H163" s="245"/>
      <c r="I163" s="250">
        <f>+'GDR 3760_Pto. 02_Cert. 09)'!K163</f>
        <v>0</v>
      </c>
      <c r="J163" s="250"/>
      <c r="K163" s="251">
        <f t="shared" si="15"/>
        <v>0</v>
      </c>
      <c r="L163" s="50">
        <f t="shared" si="16"/>
        <v>0</v>
      </c>
      <c r="M163" s="50">
        <f t="shared" si="17"/>
        <v>0</v>
      </c>
      <c r="N163" s="50">
        <f t="shared" si="18"/>
        <v>0</v>
      </c>
    </row>
    <row r="164" spans="1:14" ht="12.75" customHeight="1" x14ac:dyDescent="0.3">
      <c r="A164" s="13"/>
      <c r="B164" s="40" t="s">
        <v>176</v>
      </c>
      <c r="C164" s="18"/>
      <c r="D164" s="19"/>
      <c r="E164" s="19"/>
      <c r="F164" s="19"/>
      <c r="G164" s="192">
        <f>+SUM(F165:F168)</f>
        <v>33172785</v>
      </c>
      <c r="H164" s="245">
        <f t="shared" ref="H164:H192" si="19">+G164/$G$195</f>
        <v>3.9264924645702685E-2</v>
      </c>
      <c r="I164" s="246"/>
      <c r="J164" s="247"/>
      <c r="K164" s="247"/>
      <c r="L164" s="178"/>
      <c r="M164" s="178"/>
      <c r="N164" s="179"/>
    </row>
    <row r="165" spans="1:14" ht="12.75" customHeight="1" x14ac:dyDescent="0.3">
      <c r="A165" s="24">
        <v>19.16</v>
      </c>
      <c r="B165" s="143" t="s">
        <v>177</v>
      </c>
      <c r="C165" s="28" t="s">
        <v>29</v>
      </c>
      <c r="D165" s="29">
        <v>1</v>
      </c>
      <c r="E165" s="181">
        <v>27794007</v>
      </c>
      <c r="F165" s="181">
        <f t="shared" si="14"/>
        <v>27794007</v>
      </c>
      <c r="H165" s="245"/>
      <c r="I165" s="250">
        <f>+'GDR 3760_Pto. 02_Cert. 09)'!K165</f>
        <v>0</v>
      </c>
      <c r="J165" s="250"/>
      <c r="K165" s="251">
        <f t="shared" si="15"/>
        <v>0</v>
      </c>
      <c r="L165" s="50">
        <f t="shared" si="16"/>
        <v>0</v>
      </c>
      <c r="M165" s="50">
        <f t="shared" si="17"/>
        <v>0</v>
      </c>
      <c r="N165" s="50">
        <f t="shared" si="18"/>
        <v>0</v>
      </c>
    </row>
    <row r="166" spans="1:14" ht="12.75" customHeight="1" x14ac:dyDescent="0.3">
      <c r="A166" s="24">
        <v>19.170000000000002</v>
      </c>
      <c r="B166" s="146" t="s">
        <v>178</v>
      </c>
      <c r="C166" s="147" t="s">
        <v>33</v>
      </c>
      <c r="D166" s="148">
        <v>8</v>
      </c>
      <c r="E166" s="181">
        <v>59973</v>
      </c>
      <c r="F166" s="181">
        <f t="shared" si="14"/>
        <v>479784</v>
      </c>
      <c r="H166" s="245"/>
      <c r="I166" s="250">
        <f>+'GDR 3760_Pto. 02_Cert. 09)'!K166</f>
        <v>0</v>
      </c>
      <c r="J166" s="250"/>
      <c r="K166" s="251">
        <f t="shared" si="15"/>
        <v>0</v>
      </c>
      <c r="L166" s="50">
        <f t="shared" si="16"/>
        <v>0</v>
      </c>
      <c r="M166" s="50">
        <f t="shared" si="17"/>
        <v>0</v>
      </c>
      <c r="N166" s="50">
        <f t="shared" si="18"/>
        <v>0</v>
      </c>
    </row>
    <row r="167" spans="1:14" ht="12.75" customHeight="1" x14ac:dyDescent="0.3">
      <c r="A167" s="24">
        <v>19.18</v>
      </c>
      <c r="B167" s="146" t="s">
        <v>179</v>
      </c>
      <c r="C167" s="147" t="s">
        <v>29</v>
      </c>
      <c r="D167" s="148">
        <v>8</v>
      </c>
      <c r="E167" s="181">
        <v>27640</v>
      </c>
      <c r="F167" s="181">
        <f t="shared" si="14"/>
        <v>221120</v>
      </c>
      <c r="H167" s="245"/>
      <c r="I167" s="250">
        <f>+'GDR 3760_Pto. 02_Cert. 09)'!K167</f>
        <v>0</v>
      </c>
      <c r="J167" s="250"/>
      <c r="K167" s="251">
        <f t="shared" si="15"/>
        <v>0</v>
      </c>
      <c r="L167" s="50">
        <f t="shared" si="16"/>
        <v>0</v>
      </c>
      <c r="M167" s="50">
        <f t="shared" si="17"/>
        <v>0</v>
      </c>
      <c r="N167" s="50">
        <f t="shared" si="18"/>
        <v>0</v>
      </c>
    </row>
    <row r="168" spans="1:14" ht="12.75" customHeight="1" x14ac:dyDescent="0.3">
      <c r="A168" s="100">
        <v>19.190000000000001</v>
      </c>
      <c r="B168" s="145" t="s">
        <v>180</v>
      </c>
      <c r="C168" s="138" t="s">
        <v>29</v>
      </c>
      <c r="D168" s="139">
        <v>1</v>
      </c>
      <c r="E168" s="181">
        <v>4677874</v>
      </c>
      <c r="F168" s="181">
        <f t="shared" si="14"/>
        <v>4677874</v>
      </c>
      <c r="H168" s="245"/>
      <c r="I168" s="250">
        <f>+'GDR 3760_Pto. 02_Cert. 09)'!K168</f>
        <v>0</v>
      </c>
      <c r="J168" s="250"/>
      <c r="K168" s="251">
        <f t="shared" si="15"/>
        <v>0</v>
      </c>
      <c r="L168" s="50">
        <f t="shared" si="16"/>
        <v>0</v>
      </c>
      <c r="M168" s="50">
        <f t="shared" si="17"/>
        <v>0</v>
      </c>
      <c r="N168" s="50">
        <f t="shared" si="18"/>
        <v>0</v>
      </c>
    </row>
    <row r="169" spans="1:14" ht="12.75" customHeight="1" x14ac:dyDescent="0.3">
      <c r="A169" s="13">
        <v>20</v>
      </c>
      <c r="B169" s="40" t="s">
        <v>181</v>
      </c>
      <c r="C169" s="18"/>
      <c r="D169" s="19"/>
      <c r="E169" s="19"/>
      <c r="F169" s="19"/>
      <c r="G169" s="192">
        <f>+SUM(F170:F171)</f>
        <v>0</v>
      </c>
      <c r="H169" s="245">
        <f t="shared" si="19"/>
        <v>0</v>
      </c>
      <c r="I169" s="246"/>
      <c r="J169" s="247"/>
      <c r="K169" s="247"/>
      <c r="L169" s="178"/>
      <c r="M169" s="178"/>
      <c r="N169" s="179"/>
    </row>
    <row r="170" spans="1:14" ht="12.75" customHeight="1" x14ac:dyDescent="0.3">
      <c r="A170" s="106">
        <v>20.010000000000002</v>
      </c>
      <c r="B170" s="107" t="s">
        <v>182</v>
      </c>
      <c r="C170" s="120" t="s">
        <v>33</v>
      </c>
      <c r="D170" s="121">
        <v>0</v>
      </c>
      <c r="E170" s="183">
        <v>0</v>
      </c>
      <c r="F170" s="183">
        <f t="shared" si="14"/>
        <v>0</v>
      </c>
      <c r="H170" s="245"/>
      <c r="I170" s="250">
        <f>+'GDR 3760_Pto. 02_Cert. 09)'!K170</f>
        <v>0</v>
      </c>
      <c r="J170" s="250"/>
      <c r="K170" s="251">
        <f t="shared" si="15"/>
        <v>0</v>
      </c>
      <c r="L170" s="50">
        <f t="shared" si="16"/>
        <v>0</v>
      </c>
      <c r="M170" s="50">
        <f t="shared" si="17"/>
        <v>0</v>
      </c>
      <c r="N170" s="50">
        <f t="shared" si="18"/>
        <v>0</v>
      </c>
    </row>
    <row r="171" spans="1:14" ht="12.75" customHeight="1" x14ac:dyDescent="0.3">
      <c r="A171" s="24">
        <v>20.02</v>
      </c>
      <c r="B171" s="25" t="s">
        <v>183</v>
      </c>
      <c r="C171" s="112" t="s">
        <v>33</v>
      </c>
      <c r="D171" s="27">
        <v>0</v>
      </c>
      <c r="E171" s="181">
        <v>0</v>
      </c>
      <c r="F171" s="181">
        <f t="shared" si="14"/>
        <v>0</v>
      </c>
      <c r="H171" s="245"/>
      <c r="I171" s="250">
        <f>+'GDR 3760_Pto. 02_Cert. 09)'!K171</f>
        <v>0</v>
      </c>
      <c r="J171" s="250"/>
      <c r="K171" s="251">
        <f t="shared" si="15"/>
        <v>0</v>
      </c>
      <c r="L171" s="50">
        <f t="shared" si="16"/>
        <v>0</v>
      </c>
      <c r="M171" s="50">
        <f t="shared" si="17"/>
        <v>0</v>
      </c>
      <c r="N171" s="50">
        <f t="shared" si="18"/>
        <v>0</v>
      </c>
    </row>
    <row r="172" spans="1:14" ht="12.75" customHeight="1" x14ac:dyDescent="0.3">
      <c r="A172" s="13">
        <v>21</v>
      </c>
      <c r="B172" s="40" t="s">
        <v>184</v>
      </c>
      <c r="C172" s="18"/>
      <c r="D172" s="19"/>
      <c r="E172" s="19"/>
      <c r="F172" s="19"/>
      <c r="G172" s="192">
        <f>+SUM(F173)</f>
        <v>0</v>
      </c>
      <c r="H172" s="245">
        <f t="shared" si="19"/>
        <v>0</v>
      </c>
      <c r="I172" s="246"/>
      <c r="J172" s="247"/>
      <c r="K172" s="247"/>
      <c r="L172" s="178"/>
      <c r="M172" s="178"/>
      <c r="N172" s="179"/>
    </row>
    <row r="173" spans="1:14" ht="12.75" customHeight="1" x14ac:dyDescent="0.3">
      <c r="A173" s="149">
        <v>21.01</v>
      </c>
      <c r="B173" s="150" t="s">
        <v>185</v>
      </c>
      <c r="C173" s="151" t="s">
        <v>29</v>
      </c>
      <c r="D173" s="152">
        <v>1</v>
      </c>
      <c r="E173" s="184">
        <v>0</v>
      </c>
      <c r="F173" s="181">
        <f t="shared" si="14"/>
        <v>0</v>
      </c>
      <c r="G173" s="182"/>
      <c r="H173" s="245"/>
      <c r="I173" s="250">
        <f>+'GDR 3760_Pto. 02_Cert. 09)'!K173</f>
        <v>0</v>
      </c>
      <c r="J173" s="250"/>
      <c r="K173" s="251">
        <f t="shared" si="15"/>
        <v>0</v>
      </c>
      <c r="L173" s="50">
        <f t="shared" si="16"/>
        <v>0</v>
      </c>
      <c r="M173" s="50">
        <f t="shared" si="17"/>
        <v>0</v>
      </c>
      <c r="N173" s="50">
        <f t="shared" si="18"/>
        <v>0</v>
      </c>
    </row>
    <row r="174" spans="1:14" ht="12.75" customHeight="1" x14ac:dyDescent="0.3">
      <c r="A174" s="13">
        <v>22</v>
      </c>
      <c r="B174" s="40" t="s">
        <v>186</v>
      </c>
      <c r="C174" s="18"/>
      <c r="D174" s="19"/>
      <c r="E174" s="19"/>
      <c r="F174" s="19"/>
      <c r="G174" s="192">
        <f>+SUM(F175:F176)</f>
        <v>2934560</v>
      </c>
      <c r="H174" s="245">
        <f t="shared" si="19"/>
        <v>3.4734882002910904E-3</v>
      </c>
      <c r="I174" s="246"/>
      <c r="J174" s="247"/>
      <c r="K174" s="247"/>
      <c r="L174" s="178"/>
      <c r="M174" s="178"/>
      <c r="N174" s="179"/>
    </row>
    <row r="175" spans="1:14" ht="12.75" customHeight="1" x14ac:dyDescent="0.3">
      <c r="A175" s="115">
        <v>22.01</v>
      </c>
      <c r="B175" s="131" t="s">
        <v>187</v>
      </c>
      <c r="C175" s="132" t="s">
        <v>33</v>
      </c>
      <c r="D175" s="153">
        <v>8</v>
      </c>
      <c r="E175" s="184">
        <v>91705</v>
      </c>
      <c r="F175" s="183">
        <f t="shared" si="14"/>
        <v>733640</v>
      </c>
      <c r="H175" s="245"/>
      <c r="I175" s="250">
        <f>+'GDR 3760_Pto. 02_Cert. 09)'!K175</f>
        <v>0</v>
      </c>
      <c r="J175" s="250"/>
      <c r="K175" s="251">
        <f t="shared" si="15"/>
        <v>0</v>
      </c>
      <c r="L175" s="50">
        <f t="shared" si="16"/>
        <v>0</v>
      </c>
      <c r="M175" s="50">
        <f t="shared" si="17"/>
        <v>0</v>
      </c>
      <c r="N175" s="50">
        <f t="shared" si="18"/>
        <v>0</v>
      </c>
    </row>
    <row r="176" spans="1:14" ht="12.75" customHeight="1" x14ac:dyDescent="0.3">
      <c r="A176" s="100">
        <v>22.02</v>
      </c>
      <c r="B176" s="98" t="s">
        <v>188</v>
      </c>
      <c r="C176" s="133" t="s">
        <v>33</v>
      </c>
      <c r="D176" s="153">
        <v>24</v>
      </c>
      <c r="E176" s="184">
        <v>91705</v>
      </c>
      <c r="F176" s="183">
        <f t="shared" si="14"/>
        <v>2200920</v>
      </c>
      <c r="H176" s="245"/>
      <c r="I176" s="250">
        <f>+'GDR 3760_Pto. 02_Cert. 09)'!K176</f>
        <v>0</v>
      </c>
      <c r="J176" s="250"/>
      <c r="K176" s="251">
        <f t="shared" si="15"/>
        <v>0</v>
      </c>
      <c r="L176" s="50">
        <f t="shared" si="16"/>
        <v>0</v>
      </c>
      <c r="M176" s="50">
        <f t="shared" si="17"/>
        <v>0</v>
      </c>
      <c r="N176" s="50">
        <f t="shared" si="18"/>
        <v>0</v>
      </c>
    </row>
    <row r="177" spans="1:14" ht="12.75" customHeight="1" x14ac:dyDescent="0.3">
      <c r="A177" s="13">
        <v>23</v>
      </c>
      <c r="B177" s="40" t="s">
        <v>189</v>
      </c>
      <c r="C177" s="18"/>
      <c r="D177" s="19"/>
      <c r="E177" s="19"/>
      <c r="F177" s="19"/>
      <c r="G177" s="192">
        <f>+SUM(F178:F181)</f>
        <v>19050437</v>
      </c>
      <c r="H177" s="245">
        <f t="shared" si="19"/>
        <v>2.2549025451818604E-2</v>
      </c>
      <c r="I177" s="246"/>
      <c r="J177" s="247"/>
      <c r="K177" s="247"/>
      <c r="L177" s="178"/>
      <c r="M177" s="178"/>
      <c r="N177" s="179"/>
    </row>
    <row r="178" spans="1:14" ht="12.75" customHeight="1" x14ac:dyDescent="0.3">
      <c r="A178" s="115">
        <v>23.01</v>
      </c>
      <c r="B178" s="21" t="s">
        <v>190</v>
      </c>
      <c r="C178" s="93" t="s">
        <v>29</v>
      </c>
      <c r="D178" s="94">
        <v>6</v>
      </c>
      <c r="E178" s="180">
        <v>259063</v>
      </c>
      <c r="F178" s="180">
        <f t="shared" si="14"/>
        <v>1554378</v>
      </c>
      <c r="G178" s="182"/>
      <c r="H178" s="245"/>
      <c r="I178" s="250">
        <f>+'GDR 3760_Pto. 02_Cert. 09)'!K178</f>
        <v>0</v>
      </c>
      <c r="J178" s="250"/>
      <c r="K178" s="251">
        <f t="shared" si="15"/>
        <v>0</v>
      </c>
      <c r="L178" s="50">
        <f t="shared" si="16"/>
        <v>0</v>
      </c>
      <c r="M178" s="50">
        <f t="shared" si="17"/>
        <v>0</v>
      </c>
      <c r="N178" s="50">
        <f t="shared" si="18"/>
        <v>0</v>
      </c>
    </row>
    <row r="179" spans="1:14" ht="12.75" customHeight="1" x14ac:dyDescent="0.3">
      <c r="A179" s="100">
        <v>23.02</v>
      </c>
      <c r="B179" s="25" t="s">
        <v>191</v>
      </c>
      <c r="C179" s="30" t="s">
        <v>29</v>
      </c>
      <c r="D179" s="31">
        <v>1</v>
      </c>
      <c r="E179" s="181">
        <v>793947</v>
      </c>
      <c r="F179" s="181">
        <f t="shared" si="14"/>
        <v>793947</v>
      </c>
      <c r="H179" s="245"/>
      <c r="I179" s="250">
        <f>+'GDR 3760_Pto. 02_Cert. 09)'!K179</f>
        <v>0</v>
      </c>
      <c r="J179" s="250"/>
      <c r="K179" s="251">
        <f t="shared" si="15"/>
        <v>0</v>
      </c>
      <c r="L179" s="50">
        <f t="shared" si="16"/>
        <v>0</v>
      </c>
      <c r="M179" s="50">
        <f t="shared" si="17"/>
        <v>0</v>
      </c>
      <c r="N179" s="50">
        <f t="shared" si="18"/>
        <v>0</v>
      </c>
    </row>
    <row r="180" spans="1:14" ht="12.75" customHeight="1" x14ac:dyDescent="0.3">
      <c r="A180" s="100">
        <v>23.03</v>
      </c>
      <c r="B180" s="25" t="s">
        <v>192</v>
      </c>
      <c r="C180" s="30" t="s">
        <v>19</v>
      </c>
      <c r="D180" s="31">
        <v>26</v>
      </c>
      <c r="E180" s="181">
        <v>27076</v>
      </c>
      <c r="F180" s="181">
        <f t="shared" si="14"/>
        <v>703976</v>
      </c>
      <c r="H180" s="245"/>
      <c r="I180" s="250">
        <f>+'GDR 3760_Pto. 02_Cert. 09)'!K180</f>
        <v>0</v>
      </c>
      <c r="J180" s="250"/>
      <c r="K180" s="251">
        <f t="shared" si="15"/>
        <v>0</v>
      </c>
      <c r="L180" s="50">
        <f t="shared" si="16"/>
        <v>0</v>
      </c>
      <c r="M180" s="50">
        <f t="shared" si="17"/>
        <v>0</v>
      </c>
      <c r="N180" s="50">
        <f t="shared" si="18"/>
        <v>0</v>
      </c>
    </row>
    <row r="181" spans="1:14" ht="12.75" customHeight="1" x14ac:dyDescent="0.3">
      <c r="A181" s="130">
        <v>23.04</v>
      </c>
      <c r="B181" s="154" t="s">
        <v>193</v>
      </c>
      <c r="C181" s="155" t="s">
        <v>19</v>
      </c>
      <c r="D181" s="102">
        <v>231</v>
      </c>
      <c r="E181" s="189">
        <v>69256</v>
      </c>
      <c r="F181" s="189">
        <f t="shared" si="14"/>
        <v>15998136</v>
      </c>
      <c r="H181" s="245"/>
      <c r="I181" s="250">
        <f>+'GDR 3760_Pto. 02_Cert. 09)'!K181</f>
        <v>0</v>
      </c>
      <c r="J181" s="250"/>
      <c r="K181" s="251">
        <f t="shared" si="15"/>
        <v>0</v>
      </c>
      <c r="L181" s="50">
        <f t="shared" si="16"/>
        <v>0</v>
      </c>
      <c r="M181" s="50">
        <f t="shared" si="17"/>
        <v>0</v>
      </c>
      <c r="N181" s="50">
        <f t="shared" si="18"/>
        <v>0</v>
      </c>
    </row>
    <row r="182" spans="1:14" ht="12.75" customHeight="1" x14ac:dyDescent="0.3">
      <c r="A182" s="13">
        <v>24</v>
      </c>
      <c r="B182" s="40" t="s">
        <v>194</v>
      </c>
      <c r="C182" s="18"/>
      <c r="D182" s="19"/>
      <c r="E182" s="19"/>
      <c r="F182" s="19"/>
      <c r="G182" s="192">
        <f>+SUM(F183:F191)</f>
        <v>76903896</v>
      </c>
      <c r="H182" s="245">
        <f t="shared" si="19"/>
        <v>9.1027198391722505E-2</v>
      </c>
      <c r="I182" s="246"/>
      <c r="J182" s="247"/>
      <c r="K182" s="247"/>
      <c r="L182" s="178"/>
      <c r="M182" s="178"/>
      <c r="N182" s="179"/>
    </row>
    <row r="183" spans="1:14" ht="12.75" customHeight="1" x14ac:dyDescent="0.3">
      <c r="A183" s="20">
        <v>24.01</v>
      </c>
      <c r="B183" s="156" t="s">
        <v>195</v>
      </c>
      <c r="C183" s="22" t="s">
        <v>196</v>
      </c>
      <c r="D183" s="94">
        <v>17</v>
      </c>
      <c r="E183" s="181">
        <v>973327</v>
      </c>
      <c r="F183" s="181">
        <f t="shared" si="14"/>
        <v>16546559</v>
      </c>
      <c r="H183" s="245"/>
      <c r="I183" s="250">
        <f>+'GDR 3760_Pto. 02_Cert. 09)'!K183</f>
        <v>0.44999999999999996</v>
      </c>
      <c r="J183" s="250">
        <v>0.05</v>
      </c>
      <c r="K183" s="251">
        <f t="shared" si="15"/>
        <v>0.49999999999999994</v>
      </c>
      <c r="L183" s="50">
        <f t="shared" si="16"/>
        <v>7445951.5499999989</v>
      </c>
      <c r="M183" s="50">
        <f t="shared" si="17"/>
        <v>827327.95000000007</v>
      </c>
      <c r="N183" s="50">
        <f t="shared" si="18"/>
        <v>8273279.4999999991</v>
      </c>
    </row>
    <row r="184" spans="1:14" ht="12.75" customHeight="1" x14ac:dyDescent="0.3">
      <c r="A184" s="24">
        <v>24.02</v>
      </c>
      <c r="B184" s="157" t="s">
        <v>197</v>
      </c>
      <c r="C184" s="26" t="s">
        <v>196</v>
      </c>
      <c r="D184" s="31">
        <v>4</v>
      </c>
      <c r="E184" s="181">
        <v>2005316</v>
      </c>
      <c r="F184" s="181">
        <f t="shared" si="14"/>
        <v>8021264</v>
      </c>
      <c r="H184" s="245"/>
      <c r="I184" s="250">
        <f>+'GDR 3760_Pto. 02_Cert. 09)'!K184</f>
        <v>1</v>
      </c>
      <c r="J184" s="250"/>
      <c r="K184" s="251">
        <f t="shared" si="15"/>
        <v>1</v>
      </c>
      <c r="L184" s="50">
        <f t="shared" si="16"/>
        <v>8021264</v>
      </c>
      <c r="M184" s="50">
        <f t="shared" si="17"/>
        <v>0</v>
      </c>
      <c r="N184" s="50">
        <f t="shared" si="18"/>
        <v>8021264</v>
      </c>
    </row>
    <row r="185" spans="1:14" ht="12.75" customHeight="1" x14ac:dyDescent="0.3">
      <c r="A185" s="24">
        <v>24.03</v>
      </c>
      <c r="B185" s="158" t="s">
        <v>198</v>
      </c>
      <c r="C185" s="26" t="s">
        <v>196</v>
      </c>
      <c r="D185" s="31">
        <v>17</v>
      </c>
      <c r="E185" s="181">
        <v>199910</v>
      </c>
      <c r="F185" s="181">
        <f t="shared" si="14"/>
        <v>3398470</v>
      </c>
      <c r="H185" s="245"/>
      <c r="I185" s="250">
        <f>+'GDR 3760_Pto. 02_Cert. 09)'!K185</f>
        <v>0.44999999999999996</v>
      </c>
      <c r="J185" s="250">
        <v>0.05</v>
      </c>
      <c r="K185" s="251">
        <f t="shared" si="15"/>
        <v>0.49999999999999994</v>
      </c>
      <c r="L185" s="50">
        <f t="shared" si="16"/>
        <v>1529311.4999999998</v>
      </c>
      <c r="M185" s="50">
        <f t="shared" si="17"/>
        <v>169923.5</v>
      </c>
      <c r="N185" s="50">
        <f t="shared" si="18"/>
        <v>1699234.9999999998</v>
      </c>
    </row>
    <row r="186" spans="1:14" ht="12.75" customHeight="1" x14ac:dyDescent="0.3">
      <c r="A186" s="24">
        <v>24.04</v>
      </c>
      <c r="B186" s="158" t="s">
        <v>199</v>
      </c>
      <c r="C186" s="26" t="s">
        <v>29</v>
      </c>
      <c r="D186" s="27">
        <v>1</v>
      </c>
      <c r="E186" s="181">
        <v>6284456</v>
      </c>
      <c r="F186" s="181">
        <f t="shared" si="14"/>
        <v>6284456</v>
      </c>
      <c r="H186" s="245"/>
      <c r="I186" s="250">
        <f>+'GDR 3760_Pto. 02_Cert. 09)'!K186</f>
        <v>0.75</v>
      </c>
      <c r="J186" s="274">
        <v>0.25</v>
      </c>
      <c r="K186" s="251">
        <f t="shared" si="15"/>
        <v>1</v>
      </c>
      <c r="L186" s="50">
        <f t="shared" si="16"/>
        <v>4713342</v>
      </c>
      <c r="M186" s="50">
        <f t="shared" si="17"/>
        <v>1571114</v>
      </c>
      <c r="N186" s="50">
        <f t="shared" si="18"/>
        <v>6284456</v>
      </c>
    </row>
    <row r="187" spans="1:14" ht="12.75" customHeight="1" x14ac:dyDescent="0.3">
      <c r="A187" s="24">
        <v>24.05</v>
      </c>
      <c r="B187" s="158" t="s">
        <v>200</v>
      </c>
      <c r="C187" s="159" t="s">
        <v>196</v>
      </c>
      <c r="D187" s="31">
        <v>17</v>
      </c>
      <c r="E187" s="181">
        <v>873895</v>
      </c>
      <c r="F187" s="181">
        <f t="shared" si="14"/>
        <v>14856215</v>
      </c>
      <c r="G187" s="194"/>
      <c r="H187" s="245"/>
      <c r="I187" s="250">
        <f>+'GDR 3760_Pto. 02_Cert. 09)'!K187</f>
        <v>0.35</v>
      </c>
      <c r="J187" s="250">
        <v>0.05</v>
      </c>
      <c r="K187" s="251">
        <f t="shared" si="15"/>
        <v>0.39999999999999997</v>
      </c>
      <c r="L187" s="50">
        <f t="shared" si="16"/>
        <v>5199675.25</v>
      </c>
      <c r="M187" s="50">
        <f t="shared" si="17"/>
        <v>742810.75</v>
      </c>
      <c r="N187" s="50">
        <f t="shared" si="18"/>
        <v>5942485.9999999991</v>
      </c>
    </row>
    <row r="188" spans="1:14" ht="12.75" customHeight="1" x14ac:dyDescent="0.3">
      <c r="A188" s="24">
        <v>24.06</v>
      </c>
      <c r="B188" s="158" t="s">
        <v>201</v>
      </c>
      <c r="C188" s="159" t="s">
        <v>196</v>
      </c>
      <c r="D188" s="31">
        <v>17</v>
      </c>
      <c r="E188" s="181">
        <v>577178</v>
      </c>
      <c r="F188" s="181">
        <f t="shared" si="14"/>
        <v>9812026</v>
      </c>
      <c r="G188" s="194"/>
      <c r="H188" s="245"/>
      <c r="I188" s="250">
        <f>+'GDR 3760_Pto. 02_Cert. 09)'!K188</f>
        <v>0.35</v>
      </c>
      <c r="J188" s="250">
        <v>0.05</v>
      </c>
      <c r="K188" s="251">
        <f t="shared" si="15"/>
        <v>0.39999999999999997</v>
      </c>
      <c r="L188" s="50">
        <f t="shared" si="16"/>
        <v>3434209.0999999996</v>
      </c>
      <c r="M188" s="50">
        <f t="shared" si="17"/>
        <v>490601.30000000005</v>
      </c>
      <c r="N188" s="50">
        <f t="shared" si="18"/>
        <v>3924810.3999999994</v>
      </c>
    </row>
    <row r="189" spans="1:14" ht="12.75" customHeight="1" x14ac:dyDescent="0.3">
      <c r="A189" s="24">
        <v>24.07</v>
      </c>
      <c r="B189" s="158" t="s">
        <v>202</v>
      </c>
      <c r="C189" s="159" t="s">
        <v>29</v>
      </c>
      <c r="D189" s="27">
        <v>1</v>
      </c>
      <c r="E189" s="181">
        <v>5277814</v>
      </c>
      <c r="F189" s="181">
        <f t="shared" si="14"/>
        <v>5277814</v>
      </c>
      <c r="G189" s="194"/>
      <c r="H189" s="245"/>
      <c r="I189" s="250">
        <f>+'GDR 3760_Pto. 02_Cert. 09)'!K189</f>
        <v>0</v>
      </c>
      <c r="J189" s="250"/>
      <c r="K189" s="251">
        <f t="shared" si="15"/>
        <v>0</v>
      </c>
      <c r="L189" s="50">
        <f t="shared" si="16"/>
        <v>0</v>
      </c>
      <c r="M189" s="50">
        <f t="shared" si="17"/>
        <v>0</v>
      </c>
      <c r="N189" s="50">
        <f t="shared" si="18"/>
        <v>0</v>
      </c>
    </row>
    <row r="190" spans="1:14" ht="12.75" customHeight="1" x14ac:dyDescent="0.3">
      <c r="A190" s="24">
        <v>24.08</v>
      </c>
      <c r="B190" s="158" t="s">
        <v>203</v>
      </c>
      <c r="C190" s="159" t="s">
        <v>196</v>
      </c>
      <c r="D190" s="31">
        <v>17</v>
      </c>
      <c r="E190" s="181">
        <v>399819</v>
      </c>
      <c r="F190" s="181">
        <f t="shared" si="14"/>
        <v>6796923</v>
      </c>
      <c r="G190" s="194"/>
      <c r="H190" s="245"/>
      <c r="I190" s="250">
        <f>+'GDR 3760_Pto. 02_Cert. 09)'!K190</f>
        <v>0.39999999999999997</v>
      </c>
      <c r="J190" s="250">
        <v>0.05</v>
      </c>
      <c r="K190" s="251">
        <f t="shared" si="15"/>
        <v>0.44999999999999996</v>
      </c>
      <c r="L190" s="50">
        <f t="shared" si="16"/>
        <v>2718769.1999999997</v>
      </c>
      <c r="M190" s="50">
        <f t="shared" si="17"/>
        <v>339846.15</v>
      </c>
      <c r="N190" s="50">
        <f t="shared" si="18"/>
        <v>3058615.3499999996</v>
      </c>
    </row>
    <row r="191" spans="1:14" ht="12.75" customHeight="1" x14ac:dyDescent="0.3">
      <c r="A191" s="24">
        <v>24.09</v>
      </c>
      <c r="B191" s="160" t="s">
        <v>204</v>
      </c>
      <c r="C191" s="161" t="s">
        <v>196</v>
      </c>
      <c r="D191" s="31">
        <v>17</v>
      </c>
      <c r="E191" s="189">
        <v>347657</v>
      </c>
      <c r="F191" s="189">
        <f t="shared" si="14"/>
        <v>5910169</v>
      </c>
      <c r="G191" s="194"/>
      <c r="H191" s="245"/>
      <c r="I191" s="250">
        <f>+'GDR 3760_Pto. 02_Cert. 09)'!K191</f>
        <v>0.32999999999999996</v>
      </c>
      <c r="J191" s="250">
        <v>0.05</v>
      </c>
      <c r="K191" s="251">
        <f t="shared" si="15"/>
        <v>0.37999999999999995</v>
      </c>
      <c r="L191" s="50">
        <f t="shared" si="16"/>
        <v>1950355.7699999998</v>
      </c>
      <c r="M191" s="50">
        <f t="shared" si="17"/>
        <v>295508.45</v>
      </c>
      <c r="N191" s="50">
        <f t="shared" si="18"/>
        <v>2245864.2199999997</v>
      </c>
    </row>
    <row r="192" spans="1:14" ht="12.75" customHeight="1" x14ac:dyDescent="0.3">
      <c r="A192" s="13">
        <v>25</v>
      </c>
      <c r="B192" s="40" t="s">
        <v>205</v>
      </c>
      <c r="C192" s="18"/>
      <c r="D192" s="19"/>
      <c r="E192" s="19"/>
      <c r="F192" s="19"/>
      <c r="G192" s="192">
        <f>+SUM(F193:F194)</f>
        <v>110386593</v>
      </c>
      <c r="H192" s="245">
        <f t="shared" si="19"/>
        <v>0.13065894998086086</v>
      </c>
      <c r="I192" s="246"/>
      <c r="J192" s="247"/>
      <c r="K192" s="247"/>
      <c r="L192" s="178"/>
      <c r="M192" s="178"/>
      <c r="N192" s="179"/>
    </row>
    <row r="193" spans="1:14" ht="12.75" customHeight="1" x14ac:dyDescent="0.3">
      <c r="A193" s="20">
        <v>25.01</v>
      </c>
      <c r="B193" s="21" t="s">
        <v>206</v>
      </c>
      <c r="C193" s="93" t="s">
        <v>196</v>
      </c>
      <c r="D193" s="94">
        <v>17</v>
      </c>
      <c r="E193" s="184">
        <v>5826965</v>
      </c>
      <c r="F193" s="183">
        <f t="shared" si="14"/>
        <v>99058405</v>
      </c>
      <c r="G193" s="195"/>
      <c r="H193" s="245"/>
      <c r="I193" s="250">
        <f>+'GDR 3760_Pto. 02_Cert. 09)'!K193</f>
        <v>0.44999999999999996</v>
      </c>
      <c r="J193" s="250">
        <v>0.05</v>
      </c>
      <c r="K193" s="251">
        <f t="shared" si="15"/>
        <v>0.49999999999999994</v>
      </c>
      <c r="L193" s="50">
        <f t="shared" si="16"/>
        <v>44576282.249999993</v>
      </c>
      <c r="M193" s="50">
        <f t="shared" si="17"/>
        <v>4952920.25</v>
      </c>
      <c r="N193" s="50">
        <f t="shared" si="18"/>
        <v>49529202.499999993</v>
      </c>
    </row>
    <row r="194" spans="1:14" ht="12.75" customHeight="1" x14ac:dyDescent="0.3">
      <c r="A194" s="33">
        <v>25.02</v>
      </c>
      <c r="B194" s="38" t="s">
        <v>207</v>
      </c>
      <c r="C194" s="34" t="s">
        <v>196</v>
      </c>
      <c r="D194" s="35">
        <v>17</v>
      </c>
      <c r="E194" s="184">
        <v>666364</v>
      </c>
      <c r="F194" s="181">
        <f t="shared" si="14"/>
        <v>11328188</v>
      </c>
      <c r="G194" s="196"/>
      <c r="H194" s="245"/>
      <c r="I194" s="255">
        <f>+'GDR 3760_Pto. 02_Cert. 09)'!K194</f>
        <v>0.44999999999999996</v>
      </c>
      <c r="J194" s="255">
        <v>0.05</v>
      </c>
      <c r="K194" s="256">
        <f t="shared" si="15"/>
        <v>0.49999999999999994</v>
      </c>
      <c r="L194" s="257">
        <f t="shared" si="16"/>
        <v>5097684.5999999996</v>
      </c>
      <c r="M194" s="257">
        <f t="shared" si="17"/>
        <v>566409.4</v>
      </c>
      <c r="N194" s="257">
        <f t="shared" si="18"/>
        <v>5664093.9999999991</v>
      </c>
    </row>
    <row r="195" spans="1:14" ht="12.75" customHeight="1" x14ac:dyDescent="0.3">
      <c r="A195" s="13"/>
      <c r="B195" s="40" t="s">
        <v>208</v>
      </c>
      <c r="C195" s="18"/>
      <c r="D195" s="19"/>
      <c r="E195" s="19"/>
      <c r="F195" s="197">
        <f>SUM(F9:F194)</f>
        <v>844845248</v>
      </c>
      <c r="G195" s="192">
        <f>SUM(G9:G194)</f>
        <v>844845248</v>
      </c>
      <c r="H195" s="245">
        <f>+SUM(H9:H194)</f>
        <v>0.99999999999999978</v>
      </c>
      <c r="I195" s="258"/>
      <c r="J195" s="259"/>
      <c r="K195" s="259"/>
      <c r="L195" s="260">
        <f>+SUM(L10:L194)</f>
        <v>105644302.902</v>
      </c>
      <c r="M195" s="260">
        <f>+SUM(M10:M194)</f>
        <v>36660730.329999991</v>
      </c>
      <c r="N195" s="261">
        <f>+SUM(N10:N194)</f>
        <v>142305033.23199999</v>
      </c>
    </row>
    <row r="196" spans="1:14" s="41" customFormat="1" ht="13" x14ac:dyDescent="0.3">
      <c r="A196" s="43"/>
      <c r="B196" s="44"/>
      <c r="C196" s="45"/>
      <c r="D196" s="46"/>
      <c r="E196" s="198"/>
      <c r="F196" s="198"/>
      <c r="G196" s="199"/>
      <c r="H196" s="177"/>
      <c r="I196" s="200"/>
      <c r="J196" s="200"/>
      <c r="K196" s="200"/>
      <c r="L196" s="200"/>
      <c r="M196" s="287">
        <f>+M195/G195</f>
        <v>4.3393426685877493E-2</v>
      </c>
      <c r="N196" s="254">
        <f>+N195/G195</f>
        <v>0.16843917104212675</v>
      </c>
    </row>
    <row r="197" spans="1:14" s="41" customFormat="1" ht="13" x14ac:dyDescent="0.3">
      <c r="A197" s="42"/>
      <c r="B197" s="88"/>
      <c r="C197" s="89"/>
      <c r="D197" s="9"/>
      <c r="E197" s="201"/>
      <c r="F197" s="201"/>
      <c r="G197" s="166"/>
      <c r="H197" s="177"/>
      <c r="I197" s="200"/>
      <c r="J197" s="200"/>
      <c r="K197" s="200"/>
      <c r="L197" s="200"/>
      <c r="M197" s="51"/>
      <c r="N197" s="51"/>
    </row>
    <row r="198" spans="1:14" ht="12.75" customHeight="1" x14ac:dyDescent="0.3">
      <c r="A198" s="39"/>
      <c r="B198" s="47"/>
      <c r="D198" s="48"/>
      <c r="E198" s="9"/>
      <c r="F198" s="9"/>
      <c r="G198" s="202"/>
      <c r="I198" s="200"/>
      <c r="J198" s="200"/>
      <c r="K198" s="200"/>
      <c r="L198" s="200"/>
      <c r="M198" s="51"/>
      <c r="N198" s="51"/>
    </row>
    <row r="199" spans="1:14" ht="12.75" customHeight="1" x14ac:dyDescent="0.3">
      <c r="A199" s="52"/>
      <c r="B199" s="53" t="s">
        <v>209</v>
      </c>
      <c r="C199" s="54"/>
      <c r="D199" s="55"/>
      <c r="E199" s="203"/>
      <c r="F199" s="204"/>
      <c r="G199" s="205"/>
      <c r="H199" s="205"/>
      <c r="I199" s="204"/>
      <c r="J199" s="206"/>
      <c r="K199" s="207" t="s">
        <v>210</v>
      </c>
      <c r="L199" s="208">
        <f>+J5</f>
        <v>10</v>
      </c>
      <c r="M199" s="209"/>
      <c r="N199" s="57">
        <f>+N5</f>
        <v>46017</v>
      </c>
    </row>
    <row r="200" spans="1:14" ht="12.75" customHeight="1" x14ac:dyDescent="0.3">
      <c r="A200" s="58"/>
      <c r="B200" s="53" t="s">
        <v>9</v>
      </c>
      <c r="C200" s="56"/>
      <c r="D200" s="59"/>
      <c r="E200" s="211"/>
      <c r="F200" s="205"/>
      <c r="G200" s="205"/>
      <c r="H200" s="205"/>
      <c r="I200" s="205"/>
      <c r="J200" s="209"/>
      <c r="K200" s="205"/>
      <c r="L200" s="205"/>
      <c r="M200" s="209" t="s">
        <v>211</v>
      </c>
      <c r="N200" s="210" t="s">
        <v>212</v>
      </c>
    </row>
    <row r="201" spans="1:14" ht="12.75" customHeight="1" x14ac:dyDescent="0.3">
      <c r="A201" s="275" t="s">
        <v>213</v>
      </c>
      <c r="B201" s="61" t="s">
        <v>214</v>
      </c>
      <c r="C201" s="60"/>
      <c r="D201" s="62"/>
      <c r="E201" s="212"/>
      <c r="F201" s="213"/>
      <c r="G201" s="214"/>
      <c r="H201" s="214"/>
      <c r="I201" s="213"/>
      <c r="J201" s="215"/>
      <c r="K201" s="213"/>
      <c r="L201" s="213"/>
      <c r="M201" s="213"/>
      <c r="N201" s="63">
        <f>+G195</f>
        <v>844845248</v>
      </c>
    </row>
    <row r="202" spans="1:14" ht="12.75" customHeight="1" x14ac:dyDescent="0.3">
      <c r="A202" s="64" t="s">
        <v>215</v>
      </c>
      <c r="B202" s="65" t="s">
        <v>216</v>
      </c>
      <c r="C202" s="66"/>
      <c r="D202" s="67"/>
      <c r="E202" s="216"/>
      <c r="F202" s="217"/>
      <c r="G202" s="218"/>
      <c r="H202" s="218"/>
      <c r="I202" s="217"/>
      <c r="J202" s="219"/>
      <c r="K202" s="217"/>
      <c r="L202" s="217"/>
      <c r="M202" s="236">
        <v>0.1</v>
      </c>
      <c r="N202" s="220">
        <f>+M202*N201</f>
        <v>84484524.800000012</v>
      </c>
    </row>
    <row r="203" spans="1:14" ht="12.75" customHeight="1" x14ac:dyDescent="0.3">
      <c r="A203" s="276" t="s">
        <v>217</v>
      </c>
      <c r="B203" s="69" t="s">
        <v>218</v>
      </c>
      <c r="C203" s="70"/>
      <c r="D203" s="71"/>
      <c r="E203" s="221"/>
      <c r="F203" s="222"/>
      <c r="G203" s="223"/>
      <c r="H203" s="223"/>
      <c r="I203" s="222"/>
      <c r="J203" s="224"/>
      <c r="K203" s="222"/>
      <c r="L203" s="222"/>
      <c r="M203" s="237"/>
      <c r="N203" s="225">
        <f>+M195</f>
        <v>36660730.329999991</v>
      </c>
    </row>
    <row r="204" spans="1:14" ht="12.75" customHeight="1" x14ac:dyDescent="0.3">
      <c r="A204" s="264" t="s">
        <v>219</v>
      </c>
      <c r="B204" s="265" t="s">
        <v>220</v>
      </c>
      <c r="C204" s="266"/>
      <c r="D204" s="267"/>
      <c r="E204" s="268"/>
      <c r="F204" s="269"/>
      <c r="G204" s="270"/>
      <c r="H204" s="270"/>
      <c r="I204" s="269"/>
      <c r="J204" s="271"/>
      <c r="K204" s="269"/>
      <c r="L204" s="269"/>
      <c r="M204" s="272">
        <f>-M202</f>
        <v>-0.1</v>
      </c>
      <c r="N204" s="273">
        <f>+M204*N203</f>
        <v>-3666073.0329999994</v>
      </c>
    </row>
    <row r="205" spans="1:14" ht="12.75" customHeight="1" x14ac:dyDescent="0.3">
      <c r="A205" s="316" t="s">
        <v>221</v>
      </c>
      <c r="B205" s="317" t="s">
        <v>222</v>
      </c>
      <c r="C205" s="318"/>
      <c r="D205" s="319"/>
      <c r="E205" s="320"/>
      <c r="F205" s="321"/>
      <c r="G205" s="321"/>
      <c r="H205" s="321"/>
      <c r="I205" s="321"/>
      <c r="J205" s="322"/>
      <c r="K205" s="321"/>
      <c r="L205" s="321"/>
      <c r="M205" s="323"/>
      <c r="N205" s="244">
        <f>+N203+N204</f>
        <v>32994657.296999991</v>
      </c>
    </row>
    <row r="206" spans="1:14" ht="12.75" customHeight="1" x14ac:dyDescent="0.3">
      <c r="H206" s="245"/>
    </row>
    <row r="207" spans="1:14" ht="12.75" customHeight="1" x14ac:dyDescent="0.3">
      <c r="H207" s="245"/>
    </row>
  </sheetData>
  <mergeCells count="2">
    <mergeCell ref="I7:K7"/>
    <mergeCell ref="L7:N7"/>
  </mergeCells>
  <conditionalFormatting sqref="C3:C197">
    <cfRule type="cellIs" dxfId="37" priority="2" operator="equal">
      <formula>"x"</formula>
    </cfRule>
  </conditionalFormatting>
  <conditionalFormatting sqref="K10:K23 K25:K31 K33 K35:K40 K42:K49 K51:K53 K55:K58 K60:K70 K72:K74 K76:K79 K81:K87 K89:K100 K102 K104:K107 K144:K146 K148:K150 K152:K156 K158 K160:K161 K163 K165:K168 K170:K171 K173 K175:K176 K178:K181 K183:K191 K193:K194">
    <cfRule type="cellIs" dxfId="36" priority="3" operator="lessThan">
      <formula>1</formula>
    </cfRule>
  </conditionalFormatting>
  <conditionalFormatting sqref="K109:K141">
    <cfRule type="cellIs" dxfId="35" priority="1" operator="lessThan">
      <formula>1</formula>
    </cfRule>
  </conditionalFormatting>
  <pageMargins left="0.45" right="0.25" top="0.63" bottom="0.55118110236220474" header="0.31496062992125984" footer="0.31496062992125984"/>
  <pageSetup paperSize="9" scale="53" fitToHeight="8" orientation="landscape" r:id="rId1"/>
  <headerFooter>
    <oddFooter>&amp;C&amp;P de &amp;N</oddFooter>
  </headerFooter>
  <rowBreaks count="1" manualBreakCount="1">
    <brk id="139" max="13" man="1"/>
  </rowBreaks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4CCB28-E0A7-41E1-98CE-2AB1218B46A8}">
  <dimension ref="A1:S225"/>
  <sheetViews>
    <sheetView topLeftCell="B92" zoomScaleNormal="100" zoomScaleSheetLayoutView="100" workbookViewId="0">
      <selection activeCell="A12" sqref="A12"/>
    </sheetView>
  </sheetViews>
  <sheetFormatPr defaultColWidth="11.54296875" defaultRowHeight="12.75" customHeight="1" x14ac:dyDescent="0.3"/>
  <cols>
    <col min="1" max="1" width="7" style="1" bestFit="1" customWidth="1"/>
    <col min="2" max="2" width="98.453125" style="2" customWidth="1"/>
    <col min="3" max="3" width="5.36328125" style="3" bestFit="1" customWidth="1"/>
    <col min="4" max="4" width="6.54296875" style="4" bestFit="1" customWidth="1"/>
    <col min="5" max="5" width="11" style="86" bestFit="1" customWidth="1"/>
    <col min="6" max="6" width="12" style="86" bestFit="1" customWidth="1"/>
    <col min="7" max="7" width="12" style="87" bestFit="1" customWidth="1"/>
    <col min="8" max="8" width="5.36328125" style="92" bestFit="1" customWidth="1"/>
    <col min="9" max="11" width="13.81640625" style="92" customWidth="1"/>
    <col min="12" max="12" width="12.1796875" style="92" bestFit="1" customWidth="1"/>
    <col min="13" max="14" width="13.81640625" style="92" customWidth="1"/>
    <col min="15" max="15" width="12.08984375" style="5" customWidth="1"/>
    <col min="16" max="16384" width="11.54296875" style="5"/>
  </cols>
  <sheetData>
    <row r="1" spans="1:18" ht="12.75" customHeight="1" x14ac:dyDescent="0.3">
      <c r="F1" s="162" t="s">
        <v>0</v>
      </c>
      <c r="G1" s="162" t="s">
        <v>1</v>
      </c>
    </row>
    <row r="2" spans="1:18" ht="13" x14ac:dyDescent="0.3">
      <c r="F2" s="163">
        <v>1066.5</v>
      </c>
      <c r="G2" s="163">
        <v>1170</v>
      </c>
    </row>
    <row r="3" spans="1:18" s="10" customFormat="1" ht="13" x14ac:dyDescent="0.25">
      <c r="A3" s="6"/>
      <c r="B3" s="7"/>
      <c r="C3" s="8"/>
      <c r="D3" s="9"/>
      <c r="E3" s="9"/>
      <c r="F3" s="9"/>
      <c r="G3" s="164"/>
      <c r="H3" s="165"/>
      <c r="I3" s="165"/>
      <c r="J3" s="165"/>
      <c r="K3" s="165"/>
      <c r="L3" s="165"/>
      <c r="M3" s="165"/>
      <c r="N3" s="165"/>
    </row>
    <row r="4" spans="1:18" s="10" customFormat="1" ht="13" x14ac:dyDescent="0.25">
      <c r="A4" s="6"/>
      <c r="B4" s="7"/>
      <c r="C4" s="8"/>
      <c r="D4" s="9"/>
      <c r="E4" s="9"/>
      <c r="F4" s="286">
        <v>45667</v>
      </c>
      <c r="G4" s="164"/>
      <c r="H4" s="165"/>
      <c r="I4" s="165"/>
      <c r="J4" s="165"/>
      <c r="K4" s="165"/>
      <c r="L4" s="165"/>
      <c r="M4" s="165"/>
      <c r="N4" s="165"/>
    </row>
    <row r="5" spans="1:18" s="10" customFormat="1" ht="13" x14ac:dyDescent="0.3">
      <c r="A5" s="6"/>
      <c r="B5" s="90" t="s">
        <v>2</v>
      </c>
      <c r="C5" s="8"/>
      <c r="D5" s="9"/>
      <c r="E5" s="167"/>
      <c r="F5" s="167"/>
      <c r="G5" s="164"/>
      <c r="H5" s="165"/>
      <c r="I5" s="168" t="s">
        <v>3</v>
      </c>
      <c r="J5" s="169">
        <v>11</v>
      </c>
      <c r="K5" s="170"/>
      <c r="L5" s="170"/>
      <c r="M5" s="171"/>
      <c r="N5" s="49">
        <v>46050</v>
      </c>
    </row>
    <row r="6" spans="1:18" s="10" customFormat="1" ht="13" x14ac:dyDescent="0.25">
      <c r="A6" s="6"/>
      <c r="B6" s="90" t="s">
        <v>4</v>
      </c>
      <c r="C6" s="8"/>
      <c r="D6" s="9"/>
      <c r="E6" s="172"/>
      <c r="F6" s="172"/>
      <c r="G6" s="164"/>
      <c r="H6" s="165"/>
      <c r="I6" s="165"/>
      <c r="J6" s="165"/>
      <c r="K6" s="165"/>
      <c r="L6" s="165"/>
      <c r="M6" s="165"/>
      <c r="N6" s="165"/>
    </row>
    <row r="7" spans="1:18" s="10" customFormat="1" ht="13" x14ac:dyDescent="0.25">
      <c r="A7" s="6"/>
      <c r="B7" s="91" t="s">
        <v>5</v>
      </c>
      <c r="C7" s="11"/>
      <c r="D7" s="12"/>
      <c r="E7" s="173"/>
      <c r="F7" s="172"/>
      <c r="G7" s="164"/>
      <c r="H7" s="165"/>
      <c r="I7" s="330" t="s">
        <v>6</v>
      </c>
      <c r="J7" s="330"/>
      <c r="K7" s="330"/>
      <c r="L7" s="330" t="s">
        <v>7</v>
      </c>
      <c r="M7" s="330"/>
      <c r="N7" s="330"/>
    </row>
    <row r="8" spans="1:18" ht="13" x14ac:dyDescent="0.3">
      <c r="A8" s="13" t="s">
        <v>8</v>
      </c>
      <c r="B8" s="14" t="s">
        <v>9</v>
      </c>
      <c r="C8" s="15" t="s">
        <v>10</v>
      </c>
      <c r="D8" s="16" t="s">
        <v>11</v>
      </c>
      <c r="E8" s="175" t="s">
        <v>12</v>
      </c>
      <c r="F8" s="175" t="s">
        <v>13</v>
      </c>
      <c r="I8" s="174" t="s">
        <v>14</v>
      </c>
      <c r="J8" s="174" t="s">
        <v>15</v>
      </c>
      <c r="K8" s="174" t="s">
        <v>16</v>
      </c>
      <c r="L8" s="174" t="s">
        <v>14</v>
      </c>
      <c r="M8" s="174" t="s">
        <v>15</v>
      </c>
      <c r="N8" s="174" t="s">
        <v>16</v>
      </c>
    </row>
    <row r="9" spans="1:18" ht="12.75" customHeight="1" x14ac:dyDescent="0.3">
      <c r="A9" s="13">
        <v>4</v>
      </c>
      <c r="B9" s="17" t="s">
        <v>17</v>
      </c>
      <c r="C9" s="18"/>
      <c r="D9" s="19"/>
      <c r="E9" s="19"/>
      <c r="F9" s="19"/>
      <c r="G9" s="176">
        <f>+SUM(F10:F23)</f>
        <v>51045774</v>
      </c>
      <c r="H9" s="245">
        <f>+G9/$G$195</f>
        <v>6.0420265274428106E-2</v>
      </c>
      <c r="I9" s="246"/>
      <c r="J9" s="247"/>
      <c r="K9" s="247"/>
      <c r="L9" s="178"/>
      <c r="M9" s="178"/>
      <c r="N9" s="179"/>
    </row>
    <row r="10" spans="1:18" ht="12.75" customHeight="1" x14ac:dyDescent="0.3">
      <c r="A10" s="20">
        <v>4.01</v>
      </c>
      <c r="B10" s="21" t="s">
        <v>18</v>
      </c>
      <c r="C10" s="93" t="s">
        <v>19</v>
      </c>
      <c r="D10" s="94">
        <v>621</v>
      </c>
      <c r="E10" s="180">
        <v>22140</v>
      </c>
      <c r="F10" s="181">
        <f t="shared" ref="F10:F73" si="0">+E10*D10</f>
        <v>13748940</v>
      </c>
      <c r="G10" s="182"/>
      <c r="H10" s="245"/>
      <c r="I10" s="248">
        <f>+'GDR 3760_Pto. 02_Cert. 10'!K10</f>
        <v>0.59</v>
      </c>
      <c r="J10" s="248">
        <v>0.21</v>
      </c>
      <c r="K10" s="292">
        <f t="shared" ref="K10:K73" si="1">+I10+J10</f>
        <v>0.79999999999999993</v>
      </c>
      <c r="L10" s="50">
        <f t="shared" ref="L10:L73" si="2">+F10*I10</f>
        <v>8111874.5999999996</v>
      </c>
      <c r="M10" s="50">
        <f t="shared" ref="M10:M73" si="3">+F10*J10</f>
        <v>2887277.4</v>
      </c>
      <c r="N10" s="50">
        <f t="shared" ref="N10:N73" si="4">+F10*K10</f>
        <v>10999152</v>
      </c>
      <c r="P10" s="92"/>
      <c r="R10" s="245"/>
    </row>
    <row r="11" spans="1:18" ht="12.75" customHeight="1" x14ac:dyDescent="0.3">
      <c r="A11" s="24">
        <v>4.0199999999999996</v>
      </c>
      <c r="B11" s="95" t="s">
        <v>20</v>
      </c>
      <c r="C11" s="30" t="s">
        <v>19</v>
      </c>
      <c r="D11" s="31">
        <v>780</v>
      </c>
      <c r="E11" s="183">
        <v>24437</v>
      </c>
      <c r="F11" s="181">
        <f t="shared" si="0"/>
        <v>19060860</v>
      </c>
      <c r="G11" s="182"/>
      <c r="H11" s="245"/>
      <c r="I11" s="250">
        <f>+'GDR 3760_Pto. 02_Cert. 10'!K11</f>
        <v>0.51</v>
      </c>
      <c r="J11" s="250">
        <v>0.24</v>
      </c>
      <c r="K11" s="293">
        <f t="shared" si="1"/>
        <v>0.75</v>
      </c>
      <c r="L11" s="50">
        <f t="shared" si="2"/>
        <v>9721038.5999999996</v>
      </c>
      <c r="M11" s="50">
        <f t="shared" si="3"/>
        <v>4574606.3999999994</v>
      </c>
      <c r="N11" s="50">
        <f t="shared" si="4"/>
        <v>14295645</v>
      </c>
      <c r="O11" s="304"/>
      <c r="P11" s="92"/>
      <c r="R11" s="245"/>
    </row>
    <row r="12" spans="1:18" ht="12.75" customHeight="1" x14ac:dyDescent="0.3">
      <c r="A12" s="24">
        <v>4.03</v>
      </c>
      <c r="B12" s="25" t="s">
        <v>21</v>
      </c>
      <c r="C12" s="30" t="s">
        <v>19</v>
      </c>
      <c r="D12" s="31">
        <v>56</v>
      </c>
      <c r="E12" s="183">
        <v>23248</v>
      </c>
      <c r="F12" s="181">
        <f t="shared" si="0"/>
        <v>1301888</v>
      </c>
      <c r="G12" s="182"/>
      <c r="H12" s="245"/>
      <c r="I12" s="250">
        <f>+'GDR 3760_Pto. 02_Cert. 10'!K12</f>
        <v>0.5</v>
      </c>
      <c r="J12" s="250">
        <v>0.4</v>
      </c>
      <c r="K12" s="293">
        <f t="shared" si="1"/>
        <v>0.9</v>
      </c>
      <c r="L12" s="50">
        <f t="shared" si="2"/>
        <v>650944</v>
      </c>
      <c r="M12" s="50">
        <f t="shared" si="3"/>
        <v>520755.20000000001</v>
      </c>
      <c r="N12" s="50">
        <f t="shared" si="4"/>
        <v>1171699.2</v>
      </c>
      <c r="O12" s="304"/>
      <c r="P12" s="92"/>
      <c r="R12" s="245"/>
    </row>
    <row r="13" spans="1:18" ht="12.75" customHeight="1" x14ac:dyDescent="0.3">
      <c r="A13" s="24">
        <v>4.04</v>
      </c>
      <c r="B13" s="25" t="s">
        <v>22</v>
      </c>
      <c r="C13" s="30" t="s">
        <v>19</v>
      </c>
      <c r="D13" s="31">
        <v>42</v>
      </c>
      <c r="E13" s="183">
        <v>28746</v>
      </c>
      <c r="F13" s="181">
        <f t="shared" si="0"/>
        <v>1207332</v>
      </c>
      <c r="G13" s="182"/>
      <c r="H13" s="245"/>
      <c r="I13" s="250">
        <f>+'GDR 3760_Pto. 02_Cert. 10'!K13</f>
        <v>0.1</v>
      </c>
      <c r="J13" s="250"/>
      <c r="K13" s="251">
        <f t="shared" si="1"/>
        <v>0.1</v>
      </c>
      <c r="L13" s="50">
        <f t="shared" si="2"/>
        <v>120733.20000000001</v>
      </c>
      <c r="M13" s="50">
        <f t="shared" si="3"/>
        <v>0</v>
      </c>
      <c r="N13" s="50">
        <f t="shared" si="4"/>
        <v>120733.20000000001</v>
      </c>
      <c r="O13" s="304"/>
      <c r="P13" s="92"/>
    </row>
    <row r="14" spans="1:18" ht="12.75" customHeight="1" x14ac:dyDescent="0.3">
      <c r="A14" s="24">
        <v>4.05</v>
      </c>
      <c r="B14" s="25" t="s">
        <v>23</v>
      </c>
      <c r="C14" s="30" t="s">
        <v>19</v>
      </c>
      <c r="D14" s="31">
        <v>70</v>
      </c>
      <c r="E14" s="183">
        <v>36933</v>
      </c>
      <c r="F14" s="181">
        <f t="shared" si="0"/>
        <v>2585310</v>
      </c>
      <c r="G14" s="182"/>
      <c r="H14" s="245"/>
      <c r="I14" s="250">
        <f>+'GDR 3760_Pto. 02_Cert. 10'!K14</f>
        <v>0.1</v>
      </c>
      <c r="J14" s="250"/>
      <c r="K14" s="251">
        <f t="shared" si="1"/>
        <v>0.1</v>
      </c>
      <c r="L14" s="50">
        <f t="shared" si="2"/>
        <v>258531</v>
      </c>
      <c r="M14" s="50">
        <f t="shared" si="3"/>
        <v>0</v>
      </c>
      <c r="N14" s="50">
        <f t="shared" si="4"/>
        <v>258531</v>
      </c>
      <c r="O14" s="304"/>
      <c r="P14" s="92"/>
    </row>
    <row r="15" spans="1:18" ht="12.75" customHeight="1" x14ac:dyDescent="0.3">
      <c r="A15" s="24">
        <v>4.0599999999999996</v>
      </c>
      <c r="B15" s="25" t="s">
        <v>24</v>
      </c>
      <c r="C15" s="30" t="s">
        <v>19</v>
      </c>
      <c r="D15" s="31">
        <v>5</v>
      </c>
      <c r="E15" s="183">
        <v>28672</v>
      </c>
      <c r="F15" s="181">
        <f t="shared" si="0"/>
        <v>143360</v>
      </c>
      <c r="G15" s="182"/>
      <c r="H15" s="245"/>
      <c r="I15" s="250">
        <f>+'GDR 3760_Pto. 02_Cert. 10'!K15</f>
        <v>0.1</v>
      </c>
      <c r="J15" s="250"/>
      <c r="K15" s="251">
        <f t="shared" si="1"/>
        <v>0.1</v>
      </c>
      <c r="L15" s="50">
        <f t="shared" si="2"/>
        <v>14336</v>
      </c>
      <c r="M15" s="50">
        <f t="shared" si="3"/>
        <v>0</v>
      </c>
      <c r="N15" s="50">
        <f t="shared" si="4"/>
        <v>14336</v>
      </c>
      <c r="O15" s="304"/>
    </row>
    <row r="16" spans="1:18" ht="12.75" customHeight="1" x14ac:dyDescent="0.3">
      <c r="A16" s="24">
        <v>4.07</v>
      </c>
      <c r="B16" s="25" t="s">
        <v>25</v>
      </c>
      <c r="C16" s="30" t="s">
        <v>19</v>
      </c>
      <c r="D16" s="37">
        <v>193</v>
      </c>
      <c r="E16" s="183">
        <v>18611</v>
      </c>
      <c r="F16" s="181">
        <f t="shared" si="0"/>
        <v>3591923</v>
      </c>
      <c r="G16" s="182"/>
      <c r="H16" s="245"/>
      <c r="I16" s="250">
        <f>+'GDR 3760_Pto. 02_Cert. 10'!K16</f>
        <v>0</v>
      </c>
      <c r="J16" s="250"/>
      <c r="K16" s="251">
        <f t="shared" si="1"/>
        <v>0</v>
      </c>
      <c r="L16" s="50">
        <f t="shared" si="2"/>
        <v>0</v>
      </c>
      <c r="M16" s="50">
        <f t="shared" si="3"/>
        <v>0</v>
      </c>
      <c r="N16" s="50">
        <f t="shared" si="4"/>
        <v>0</v>
      </c>
      <c r="O16" s="304"/>
    </row>
    <row r="17" spans="1:15" ht="12.75" customHeight="1" x14ac:dyDescent="0.3">
      <c r="A17" s="24">
        <v>4.08</v>
      </c>
      <c r="B17" s="25" t="s">
        <v>26</v>
      </c>
      <c r="C17" s="30" t="s">
        <v>27</v>
      </c>
      <c r="D17" s="37">
        <v>61</v>
      </c>
      <c r="E17" s="183">
        <v>28578</v>
      </c>
      <c r="F17" s="181">
        <f t="shared" si="0"/>
        <v>1743258</v>
      </c>
      <c r="G17" s="182"/>
      <c r="H17" s="245"/>
      <c r="I17" s="250">
        <f>+'GDR 3760_Pto. 02_Cert. 10'!K17</f>
        <v>0</v>
      </c>
      <c r="J17" s="274">
        <v>0.4</v>
      </c>
      <c r="K17" s="251">
        <f t="shared" si="1"/>
        <v>0.4</v>
      </c>
      <c r="L17" s="50">
        <f t="shared" si="2"/>
        <v>0</v>
      </c>
      <c r="M17" s="50">
        <f t="shared" si="3"/>
        <v>697303.20000000007</v>
      </c>
      <c r="N17" s="50">
        <f t="shared" si="4"/>
        <v>697303.20000000007</v>
      </c>
      <c r="O17" s="304"/>
    </row>
    <row r="18" spans="1:15" ht="12.75" customHeight="1" x14ac:dyDescent="0.3">
      <c r="A18" s="24">
        <v>4.09</v>
      </c>
      <c r="B18" s="25" t="s">
        <v>28</v>
      </c>
      <c r="C18" s="30" t="s">
        <v>29</v>
      </c>
      <c r="D18" s="37">
        <v>1</v>
      </c>
      <c r="E18" s="183">
        <v>280823</v>
      </c>
      <c r="F18" s="181">
        <f t="shared" si="0"/>
        <v>280823</v>
      </c>
      <c r="G18" s="182"/>
      <c r="H18" s="245"/>
      <c r="I18" s="250">
        <f>+'GDR 3760_Pto. 02_Cert. 10'!K18</f>
        <v>0</v>
      </c>
      <c r="J18" s="250"/>
      <c r="K18" s="251">
        <f t="shared" si="1"/>
        <v>0</v>
      </c>
      <c r="L18" s="50">
        <f t="shared" si="2"/>
        <v>0</v>
      </c>
      <c r="M18" s="50">
        <f t="shared" si="3"/>
        <v>0</v>
      </c>
      <c r="N18" s="50">
        <f t="shared" si="4"/>
        <v>0</v>
      </c>
    </row>
    <row r="19" spans="1:15" ht="12.75" customHeight="1" x14ac:dyDescent="0.3">
      <c r="A19" s="24">
        <v>4.0999999999999996</v>
      </c>
      <c r="B19" s="25" t="s">
        <v>30</v>
      </c>
      <c r="C19" s="30" t="s">
        <v>29</v>
      </c>
      <c r="D19" s="37">
        <v>1</v>
      </c>
      <c r="E19" s="183">
        <v>801214</v>
      </c>
      <c r="F19" s="181">
        <f t="shared" si="0"/>
        <v>801214</v>
      </c>
      <c r="G19" s="182"/>
      <c r="H19" s="245"/>
      <c r="I19" s="250">
        <f>+'GDR 3760_Pto. 02_Cert. 10'!K19</f>
        <v>0</v>
      </c>
      <c r="J19" s="250"/>
      <c r="K19" s="251">
        <f t="shared" si="1"/>
        <v>0</v>
      </c>
      <c r="L19" s="50">
        <f t="shared" si="2"/>
        <v>0</v>
      </c>
      <c r="M19" s="50">
        <f t="shared" si="3"/>
        <v>0</v>
      </c>
      <c r="N19" s="50">
        <f t="shared" si="4"/>
        <v>0</v>
      </c>
    </row>
    <row r="20" spans="1:15" ht="12.75" customHeight="1" x14ac:dyDescent="0.3">
      <c r="A20" s="24">
        <v>4.1100000000000003</v>
      </c>
      <c r="B20" s="25" t="s">
        <v>31</v>
      </c>
      <c r="C20" s="30" t="s">
        <v>29</v>
      </c>
      <c r="D20" s="37">
        <v>1</v>
      </c>
      <c r="E20" s="183">
        <v>525234</v>
      </c>
      <c r="F20" s="181">
        <f t="shared" si="0"/>
        <v>525234</v>
      </c>
      <c r="G20" s="182"/>
      <c r="H20" s="245"/>
      <c r="I20" s="250">
        <f>+'GDR 3760_Pto. 02_Cert. 10'!K20</f>
        <v>0</v>
      </c>
      <c r="J20" s="250"/>
      <c r="K20" s="251">
        <f t="shared" si="1"/>
        <v>0</v>
      </c>
      <c r="L20" s="50">
        <f t="shared" si="2"/>
        <v>0</v>
      </c>
      <c r="M20" s="50">
        <f t="shared" si="3"/>
        <v>0</v>
      </c>
      <c r="N20" s="50">
        <f t="shared" si="4"/>
        <v>0</v>
      </c>
    </row>
    <row r="21" spans="1:15" ht="12.75" customHeight="1" x14ac:dyDescent="0.3">
      <c r="A21" s="24">
        <v>4.12</v>
      </c>
      <c r="B21" s="25" t="s">
        <v>32</v>
      </c>
      <c r="C21" s="30" t="s">
        <v>33</v>
      </c>
      <c r="D21" s="37">
        <v>3</v>
      </c>
      <c r="E21" s="183">
        <v>237784</v>
      </c>
      <c r="F21" s="181">
        <f t="shared" si="0"/>
        <v>713352</v>
      </c>
      <c r="G21" s="182"/>
      <c r="H21" s="245"/>
      <c r="I21" s="250">
        <f>+'GDR 3760_Pto. 02_Cert. 10'!K21</f>
        <v>0</v>
      </c>
      <c r="J21" s="250"/>
      <c r="K21" s="251">
        <f t="shared" si="1"/>
        <v>0</v>
      </c>
      <c r="L21" s="50">
        <f t="shared" si="2"/>
        <v>0</v>
      </c>
      <c r="M21" s="50">
        <f t="shared" si="3"/>
        <v>0</v>
      </c>
      <c r="N21" s="50">
        <f t="shared" si="4"/>
        <v>0</v>
      </c>
    </row>
    <row r="22" spans="1:15" ht="12.75" customHeight="1" x14ac:dyDescent="0.3">
      <c r="A22" s="24">
        <v>4.13</v>
      </c>
      <c r="B22" s="25" t="s">
        <v>34</v>
      </c>
      <c r="C22" s="30" t="s">
        <v>27</v>
      </c>
      <c r="D22" s="37">
        <v>40</v>
      </c>
      <c r="E22" s="183">
        <v>98026</v>
      </c>
      <c r="F22" s="181">
        <f t="shared" si="0"/>
        <v>3921040</v>
      </c>
      <c r="G22" s="182"/>
      <c r="H22" s="245"/>
      <c r="I22" s="250">
        <f>+'GDR 3760_Pto. 02_Cert. 10'!K22</f>
        <v>0</v>
      </c>
      <c r="J22" s="250"/>
      <c r="K22" s="251">
        <f t="shared" si="1"/>
        <v>0</v>
      </c>
      <c r="L22" s="50">
        <f t="shared" si="2"/>
        <v>0</v>
      </c>
      <c r="M22" s="50">
        <f t="shared" si="3"/>
        <v>0</v>
      </c>
      <c r="N22" s="50">
        <f t="shared" si="4"/>
        <v>0</v>
      </c>
    </row>
    <row r="23" spans="1:15" ht="12.75" customHeight="1" x14ac:dyDescent="0.3">
      <c r="A23" s="24">
        <v>4.1399999999999997</v>
      </c>
      <c r="B23" s="38" t="s">
        <v>35</v>
      </c>
      <c r="C23" s="34" t="s">
        <v>33</v>
      </c>
      <c r="D23" s="96">
        <v>8</v>
      </c>
      <c r="E23" s="183">
        <v>177655</v>
      </c>
      <c r="F23" s="181">
        <f t="shared" si="0"/>
        <v>1421240</v>
      </c>
      <c r="G23" s="182"/>
      <c r="H23" s="245"/>
      <c r="I23" s="250">
        <f>+'GDR 3760_Pto. 02_Cert. 10'!K23</f>
        <v>0</v>
      </c>
      <c r="J23" s="250"/>
      <c r="K23" s="251">
        <f t="shared" si="1"/>
        <v>0</v>
      </c>
      <c r="L23" s="50">
        <f t="shared" si="2"/>
        <v>0</v>
      </c>
      <c r="M23" s="50">
        <f t="shared" si="3"/>
        <v>0</v>
      </c>
      <c r="N23" s="50">
        <f t="shared" si="4"/>
        <v>0</v>
      </c>
    </row>
    <row r="24" spans="1:15" ht="12.75" customHeight="1" x14ac:dyDescent="0.3">
      <c r="A24" s="13">
        <v>5</v>
      </c>
      <c r="B24" s="40" t="s">
        <v>36</v>
      </c>
      <c r="C24" s="18"/>
      <c r="D24" s="19"/>
      <c r="E24" s="19"/>
      <c r="F24" s="19"/>
      <c r="G24" s="176">
        <f>+SUM(F25:F31)</f>
        <v>19239698</v>
      </c>
      <c r="H24" s="245">
        <f>+G24/$G$195</f>
        <v>2.2773043993022494E-2</v>
      </c>
      <c r="I24" s="246"/>
      <c r="J24" s="247"/>
      <c r="K24" s="247"/>
      <c r="L24" s="178"/>
      <c r="M24" s="178"/>
      <c r="N24" s="179"/>
    </row>
    <row r="25" spans="1:15" ht="12.75" customHeight="1" x14ac:dyDescent="0.3">
      <c r="A25" s="20">
        <v>5.01</v>
      </c>
      <c r="B25" s="21" t="s">
        <v>37</v>
      </c>
      <c r="C25" s="93" t="s">
        <v>27</v>
      </c>
      <c r="D25" s="97">
        <v>136</v>
      </c>
      <c r="E25" s="183">
        <v>6496</v>
      </c>
      <c r="F25" s="181">
        <f t="shared" si="0"/>
        <v>883456</v>
      </c>
      <c r="G25" s="182"/>
      <c r="H25" s="245"/>
      <c r="I25" s="250">
        <f>+'GDR 3760_Pto. 02_Cert. 10'!K25</f>
        <v>0</v>
      </c>
      <c r="J25" s="250"/>
      <c r="K25" s="251">
        <f t="shared" si="1"/>
        <v>0</v>
      </c>
      <c r="L25" s="50">
        <f t="shared" si="2"/>
        <v>0</v>
      </c>
      <c r="M25" s="50">
        <f t="shared" si="3"/>
        <v>0</v>
      </c>
      <c r="N25" s="50">
        <f t="shared" si="4"/>
        <v>0</v>
      </c>
    </row>
    <row r="26" spans="1:15" ht="12.75" customHeight="1" x14ac:dyDescent="0.3">
      <c r="A26" s="24">
        <v>5.0199999999999996</v>
      </c>
      <c r="B26" s="98" t="s">
        <v>38</v>
      </c>
      <c r="C26" s="30" t="s">
        <v>19</v>
      </c>
      <c r="D26" s="31">
        <v>77</v>
      </c>
      <c r="E26" s="184">
        <v>33270</v>
      </c>
      <c r="F26" s="183">
        <f t="shared" si="0"/>
        <v>2561790</v>
      </c>
      <c r="G26" s="182"/>
      <c r="H26" s="245"/>
      <c r="I26" s="250">
        <f>+'GDR 3760_Pto. 02_Cert. 10'!K26</f>
        <v>0</v>
      </c>
      <c r="J26" s="250"/>
      <c r="K26" s="251">
        <f t="shared" si="1"/>
        <v>0</v>
      </c>
      <c r="L26" s="50">
        <f t="shared" si="2"/>
        <v>0</v>
      </c>
      <c r="M26" s="50">
        <f t="shared" si="3"/>
        <v>0</v>
      </c>
      <c r="N26" s="50">
        <f t="shared" si="4"/>
        <v>0</v>
      </c>
    </row>
    <row r="27" spans="1:15" ht="12.75" customHeight="1" x14ac:dyDescent="0.3">
      <c r="A27" s="24">
        <v>5.03</v>
      </c>
      <c r="B27" s="25" t="s">
        <v>39</v>
      </c>
      <c r="C27" s="30" t="s">
        <v>19</v>
      </c>
      <c r="D27" s="31">
        <v>107</v>
      </c>
      <c r="E27" s="184">
        <v>6496</v>
      </c>
      <c r="F27" s="181">
        <f t="shared" si="0"/>
        <v>695072</v>
      </c>
      <c r="G27" s="182"/>
      <c r="H27" s="245"/>
      <c r="I27" s="250">
        <f>+'GDR 3760_Pto. 02_Cert. 10'!K27</f>
        <v>0</v>
      </c>
      <c r="J27" s="250"/>
      <c r="K27" s="251">
        <f t="shared" si="1"/>
        <v>0</v>
      </c>
      <c r="L27" s="50">
        <f t="shared" si="2"/>
        <v>0</v>
      </c>
      <c r="M27" s="50">
        <f t="shared" si="3"/>
        <v>0</v>
      </c>
      <c r="N27" s="50">
        <f t="shared" si="4"/>
        <v>0</v>
      </c>
    </row>
    <row r="28" spans="1:15" ht="12.75" customHeight="1" x14ac:dyDescent="0.3">
      <c r="A28" s="24">
        <v>5.04</v>
      </c>
      <c r="B28" s="25" t="s">
        <v>40</v>
      </c>
      <c r="C28" s="30" t="s">
        <v>19</v>
      </c>
      <c r="D28" s="31">
        <v>186</v>
      </c>
      <c r="E28" s="184">
        <v>4832</v>
      </c>
      <c r="F28" s="181">
        <f t="shared" si="0"/>
        <v>898752</v>
      </c>
      <c r="G28" s="182"/>
      <c r="H28" s="245"/>
      <c r="I28" s="250">
        <f>+'GDR 3760_Pto. 02_Cert. 10'!K28</f>
        <v>0</v>
      </c>
      <c r="J28" s="250"/>
      <c r="K28" s="251">
        <f t="shared" si="1"/>
        <v>0</v>
      </c>
      <c r="L28" s="50">
        <f t="shared" si="2"/>
        <v>0</v>
      </c>
      <c r="M28" s="50">
        <f t="shared" si="3"/>
        <v>0</v>
      </c>
      <c r="N28" s="50">
        <f t="shared" si="4"/>
        <v>0</v>
      </c>
    </row>
    <row r="29" spans="1:15" ht="12.75" customHeight="1" x14ac:dyDescent="0.3">
      <c r="A29" s="24">
        <v>5.05</v>
      </c>
      <c r="B29" s="25" t="s">
        <v>41</v>
      </c>
      <c r="C29" s="30" t="s">
        <v>19</v>
      </c>
      <c r="D29" s="31">
        <v>186</v>
      </c>
      <c r="E29" s="184">
        <v>4134</v>
      </c>
      <c r="F29" s="181">
        <f t="shared" si="0"/>
        <v>768924</v>
      </c>
      <c r="G29" s="182"/>
      <c r="H29" s="245"/>
      <c r="I29" s="250">
        <f>+'GDR 3760_Pto. 02_Cert. 10'!K29</f>
        <v>0</v>
      </c>
      <c r="J29" s="250">
        <v>1</v>
      </c>
      <c r="K29" s="251">
        <f t="shared" si="1"/>
        <v>1</v>
      </c>
      <c r="L29" s="50">
        <f t="shared" si="2"/>
        <v>0</v>
      </c>
      <c r="M29" s="50">
        <f t="shared" si="3"/>
        <v>768924</v>
      </c>
      <c r="N29" s="50">
        <f t="shared" si="4"/>
        <v>768924</v>
      </c>
    </row>
    <row r="30" spans="1:15" ht="12.75" customHeight="1" x14ac:dyDescent="0.3">
      <c r="A30" s="24">
        <v>5.0599999999999996</v>
      </c>
      <c r="B30" s="25" t="s">
        <v>42</v>
      </c>
      <c r="C30" s="99" t="s">
        <v>19</v>
      </c>
      <c r="D30" s="31">
        <v>390</v>
      </c>
      <c r="E30" s="184">
        <v>28187</v>
      </c>
      <c r="F30" s="181">
        <f t="shared" si="0"/>
        <v>10992930</v>
      </c>
      <c r="G30" s="185"/>
      <c r="H30" s="245"/>
      <c r="I30" s="250">
        <f>+'GDR 3760_Pto. 02_Cert. 10'!K30</f>
        <v>0</v>
      </c>
      <c r="J30" s="250"/>
      <c r="K30" s="251">
        <f t="shared" si="1"/>
        <v>0</v>
      </c>
      <c r="L30" s="50">
        <f t="shared" si="2"/>
        <v>0</v>
      </c>
      <c r="M30" s="50">
        <f t="shared" si="3"/>
        <v>0</v>
      </c>
      <c r="N30" s="50">
        <f t="shared" si="4"/>
        <v>0</v>
      </c>
    </row>
    <row r="31" spans="1:15" ht="12.75" customHeight="1" x14ac:dyDescent="0.3">
      <c r="A31" s="24">
        <v>5.07</v>
      </c>
      <c r="B31" s="25" t="s">
        <v>43</v>
      </c>
      <c r="C31" s="99" t="s">
        <v>29</v>
      </c>
      <c r="D31" s="31">
        <v>1</v>
      </c>
      <c r="E31" s="184">
        <v>2438774</v>
      </c>
      <c r="F31" s="181">
        <f t="shared" si="0"/>
        <v>2438774</v>
      </c>
      <c r="G31" s="186"/>
      <c r="H31" s="245"/>
      <c r="I31" s="250">
        <f>+'GDR 3760_Pto. 02_Cert. 10'!K31</f>
        <v>0</v>
      </c>
      <c r="J31" s="250"/>
      <c r="K31" s="251">
        <f t="shared" si="1"/>
        <v>0</v>
      </c>
      <c r="L31" s="50">
        <f t="shared" si="2"/>
        <v>0</v>
      </c>
      <c r="M31" s="50">
        <f t="shared" si="3"/>
        <v>0</v>
      </c>
      <c r="N31" s="50">
        <f t="shared" si="4"/>
        <v>0</v>
      </c>
    </row>
    <row r="32" spans="1:15" ht="12.75" customHeight="1" x14ac:dyDescent="0.3">
      <c r="A32" s="13">
        <v>6</v>
      </c>
      <c r="B32" s="17" t="s">
        <v>44</v>
      </c>
      <c r="C32" s="18"/>
      <c r="D32" s="19"/>
      <c r="E32" s="19"/>
      <c r="F32" s="19"/>
      <c r="G32" s="176">
        <f>+SUM(F33)</f>
        <v>1722875</v>
      </c>
      <c r="H32" s="245">
        <f>+G32/$G$195</f>
        <v>2.0392787958251023E-3</v>
      </c>
      <c r="I32" s="246"/>
      <c r="J32" s="247"/>
      <c r="K32" s="247"/>
      <c r="L32" s="178"/>
      <c r="M32" s="178"/>
      <c r="N32" s="179"/>
    </row>
    <row r="33" spans="1:14" ht="12.75" customHeight="1" x14ac:dyDescent="0.3">
      <c r="A33" s="100">
        <v>6.02</v>
      </c>
      <c r="B33" s="38" t="s">
        <v>45</v>
      </c>
      <c r="C33" s="101" t="s">
        <v>27</v>
      </c>
      <c r="D33" s="102">
        <v>55</v>
      </c>
      <c r="E33" s="181">
        <v>31325</v>
      </c>
      <c r="F33" s="181">
        <f t="shared" si="0"/>
        <v>1722875</v>
      </c>
      <c r="G33" s="185"/>
      <c r="H33" s="245"/>
      <c r="I33" s="250">
        <f>+'GDR 3760_Pto. 02_Cert. 10'!K33</f>
        <v>0</v>
      </c>
      <c r="J33" s="250"/>
      <c r="K33" s="251">
        <f t="shared" si="1"/>
        <v>0</v>
      </c>
      <c r="L33" s="50">
        <f t="shared" si="2"/>
        <v>0</v>
      </c>
      <c r="M33" s="50">
        <f t="shared" si="3"/>
        <v>0</v>
      </c>
      <c r="N33" s="50">
        <f t="shared" si="4"/>
        <v>0</v>
      </c>
    </row>
    <row r="34" spans="1:14" ht="12.75" customHeight="1" x14ac:dyDescent="0.3">
      <c r="A34" s="13">
        <v>7</v>
      </c>
      <c r="B34" s="40" t="s">
        <v>46</v>
      </c>
      <c r="C34" s="18"/>
      <c r="D34" s="19"/>
      <c r="E34" s="19"/>
      <c r="F34" s="19"/>
      <c r="G34" s="176">
        <f>+SUM(F35:F40)</f>
        <v>92324467</v>
      </c>
      <c r="H34" s="245">
        <f>+G34/$G$195</f>
        <v>0.10927973758337338</v>
      </c>
      <c r="I34" s="246"/>
      <c r="J34" s="247"/>
      <c r="K34" s="247"/>
      <c r="L34" s="178"/>
      <c r="M34" s="178"/>
      <c r="N34" s="179"/>
    </row>
    <row r="35" spans="1:14" ht="12.75" customHeight="1" x14ac:dyDescent="0.3">
      <c r="A35" s="20">
        <v>7.01</v>
      </c>
      <c r="B35" s="103" t="s">
        <v>47</v>
      </c>
      <c r="C35" s="93" t="s">
        <v>19</v>
      </c>
      <c r="D35" s="94">
        <v>879</v>
      </c>
      <c r="E35" s="180">
        <v>19943</v>
      </c>
      <c r="F35" s="180">
        <f t="shared" si="0"/>
        <v>17529897</v>
      </c>
      <c r="G35" s="187"/>
      <c r="H35" s="245"/>
      <c r="I35" s="250">
        <f>+'GDR 3760_Pto. 02_Cert. 10'!K35</f>
        <v>0</v>
      </c>
      <c r="J35" s="250"/>
      <c r="K35" s="251">
        <f t="shared" si="1"/>
        <v>0</v>
      </c>
      <c r="L35" s="50">
        <f t="shared" si="2"/>
        <v>0</v>
      </c>
      <c r="M35" s="50">
        <f t="shared" si="3"/>
        <v>0</v>
      </c>
      <c r="N35" s="50">
        <f t="shared" si="4"/>
        <v>0</v>
      </c>
    </row>
    <row r="36" spans="1:14" ht="12.75" customHeight="1" x14ac:dyDescent="0.3">
      <c r="A36" s="24">
        <v>7.02</v>
      </c>
      <c r="B36" s="104" t="s">
        <v>48</v>
      </c>
      <c r="C36" s="30" t="s">
        <v>19</v>
      </c>
      <c r="D36" s="31">
        <v>716</v>
      </c>
      <c r="E36" s="181">
        <v>26767</v>
      </c>
      <c r="F36" s="181">
        <f t="shared" si="0"/>
        <v>19165172</v>
      </c>
      <c r="G36" s="185"/>
      <c r="H36" s="245"/>
      <c r="I36" s="250">
        <f>+'GDR 3760_Pto. 02_Cert. 10'!K36</f>
        <v>0</v>
      </c>
      <c r="J36" s="274">
        <v>0.1</v>
      </c>
      <c r="K36" s="251">
        <f t="shared" si="1"/>
        <v>0.1</v>
      </c>
      <c r="L36" s="50">
        <f t="shared" si="2"/>
        <v>0</v>
      </c>
      <c r="M36" s="50">
        <f t="shared" si="3"/>
        <v>1916517.2000000002</v>
      </c>
      <c r="N36" s="50">
        <f t="shared" si="4"/>
        <v>1916517.2000000002</v>
      </c>
    </row>
    <row r="37" spans="1:14" ht="12.75" customHeight="1" x14ac:dyDescent="0.3">
      <c r="A37" s="24">
        <v>7.03</v>
      </c>
      <c r="B37" s="25" t="s">
        <v>49</v>
      </c>
      <c r="C37" s="30" t="s">
        <v>19</v>
      </c>
      <c r="D37" s="31">
        <v>1439</v>
      </c>
      <c r="E37" s="181">
        <v>22963</v>
      </c>
      <c r="F37" s="181">
        <f t="shared" si="0"/>
        <v>33043757</v>
      </c>
      <c r="G37" s="185"/>
      <c r="H37" s="245"/>
      <c r="I37" s="250">
        <f>+'GDR 3760_Pto. 02_Cert. 10'!K37</f>
        <v>0</v>
      </c>
      <c r="J37" s="274">
        <v>0.1</v>
      </c>
      <c r="K37" s="251">
        <f t="shared" si="1"/>
        <v>0.1</v>
      </c>
      <c r="L37" s="50">
        <f t="shared" si="2"/>
        <v>0</v>
      </c>
      <c r="M37" s="50">
        <f t="shared" si="3"/>
        <v>3304375.7</v>
      </c>
      <c r="N37" s="50">
        <f t="shared" si="4"/>
        <v>3304375.7</v>
      </c>
    </row>
    <row r="38" spans="1:14" ht="13" x14ac:dyDescent="0.3">
      <c r="A38" s="100">
        <v>7.04</v>
      </c>
      <c r="B38" s="105" t="s">
        <v>50</v>
      </c>
      <c r="C38" s="30" t="s">
        <v>27</v>
      </c>
      <c r="D38" s="31">
        <v>347</v>
      </c>
      <c r="E38" s="181">
        <v>16909</v>
      </c>
      <c r="F38" s="181">
        <f t="shared" si="0"/>
        <v>5867423</v>
      </c>
      <c r="G38" s="185"/>
      <c r="H38" s="245"/>
      <c r="I38" s="250">
        <f>+'GDR 3760_Pto. 02_Cert. 10'!K38</f>
        <v>0</v>
      </c>
      <c r="J38" s="274">
        <v>0.1</v>
      </c>
      <c r="K38" s="251">
        <f t="shared" si="1"/>
        <v>0.1</v>
      </c>
      <c r="L38" s="50">
        <f t="shared" si="2"/>
        <v>0</v>
      </c>
      <c r="M38" s="50">
        <f t="shared" si="3"/>
        <v>586742.30000000005</v>
      </c>
      <c r="N38" s="50">
        <f t="shared" si="4"/>
        <v>586742.30000000005</v>
      </c>
    </row>
    <row r="39" spans="1:14" ht="12.75" customHeight="1" x14ac:dyDescent="0.3">
      <c r="A39" s="24">
        <v>7.05</v>
      </c>
      <c r="B39" s="105" t="s">
        <v>51</v>
      </c>
      <c r="C39" s="30" t="s">
        <v>52</v>
      </c>
      <c r="D39" s="31">
        <v>132</v>
      </c>
      <c r="E39" s="181">
        <v>19384</v>
      </c>
      <c r="F39" s="181">
        <f t="shared" si="0"/>
        <v>2558688</v>
      </c>
      <c r="G39" s="185"/>
      <c r="H39" s="245"/>
      <c r="I39" s="250">
        <f>+'GDR 3760_Pto. 02_Cert. 10'!K39</f>
        <v>0</v>
      </c>
      <c r="J39" s="274">
        <v>0.1</v>
      </c>
      <c r="K39" s="251">
        <f t="shared" si="1"/>
        <v>0.1</v>
      </c>
      <c r="L39" s="50">
        <f t="shared" si="2"/>
        <v>0</v>
      </c>
      <c r="M39" s="50">
        <f t="shared" si="3"/>
        <v>255868.80000000002</v>
      </c>
      <c r="N39" s="50">
        <f t="shared" si="4"/>
        <v>255868.80000000002</v>
      </c>
    </row>
    <row r="40" spans="1:14" ht="12.75" customHeight="1" x14ac:dyDescent="0.3">
      <c r="A40" s="100">
        <v>7.06</v>
      </c>
      <c r="B40" s="25" t="s">
        <v>53</v>
      </c>
      <c r="C40" s="30" t="s">
        <v>19</v>
      </c>
      <c r="D40" s="31">
        <v>710</v>
      </c>
      <c r="E40" s="181">
        <v>19943</v>
      </c>
      <c r="F40" s="181">
        <f t="shared" si="0"/>
        <v>14159530</v>
      </c>
      <c r="G40" s="185"/>
      <c r="H40" s="245"/>
      <c r="I40" s="250">
        <f>+'GDR 3760_Pto. 02_Cert. 10'!K40</f>
        <v>0</v>
      </c>
      <c r="J40" s="250">
        <v>0.02</v>
      </c>
      <c r="K40" s="251">
        <f t="shared" si="1"/>
        <v>0.02</v>
      </c>
      <c r="L40" s="50">
        <f t="shared" si="2"/>
        <v>0</v>
      </c>
      <c r="M40" s="50">
        <f t="shared" si="3"/>
        <v>283190.60000000003</v>
      </c>
      <c r="N40" s="50">
        <f t="shared" si="4"/>
        <v>283190.60000000003</v>
      </c>
    </row>
    <row r="41" spans="1:14" ht="12.75" customHeight="1" x14ac:dyDescent="0.3">
      <c r="A41" s="13">
        <v>8</v>
      </c>
      <c r="B41" s="17" t="s">
        <v>54</v>
      </c>
      <c r="C41" s="18"/>
      <c r="D41" s="19"/>
      <c r="E41" s="19"/>
      <c r="F41" s="19"/>
      <c r="G41" s="176">
        <f>+SUM(F42:F49)</f>
        <v>49520833</v>
      </c>
      <c r="H41" s="245">
        <f>+G41/$G$195</f>
        <v>5.8615270805192479E-2</v>
      </c>
      <c r="I41" s="246"/>
      <c r="J41" s="247"/>
      <c r="K41" s="247"/>
      <c r="L41" s="178"/>
      <c r="M41" s="178"/>
      <c r="N41" s="179"/>
    </row>
    <row r="42" spans="1:14" ht="12.75" customHeight="1" x14ac:dyDescent="0.3">
      <c r="A42" s="20">
        <v>8.01</v>
      </c>
      <c r="B42" s="21" t="s">
        <v>55</v>
      </c>
      <c r="C42" s="93" t="s">
        <v>19</v>
      </c>
      <c r="D42" s="94">
        <v>107</v>
      </c>
      <c r="E42" s="183">
        <v>58580</v>
      </c>
      <c r="F42" s="183">
        <f t="shared" si="0"/>
        <v>6268060</v>
      </c>
      <c r="G42" s="182"/>
      <c r="H42" s="245"/>
      <c r="I42" s="250">
        <f>+'GDR 3760_Pto. 02_Cert. 10'!K42</f>
        <v>0</v>
      </c>
      <c r="J42" s="250"/>
      <c r="K42" s="251">
        <f t="shared" si="1"/>
        <v>0</v>
      </c>
      <c r="L42" s="50">
        <f t="shared" si="2"/>
        <v>0</v>
      </c>
      <c r="M42" s="50">
        <f t="shared" si="3"/>
        <v>0</v>
      </c>
      <c r="N42" s="50">
        <f t="shared" si="4"/>
        <v>0</v>
      </c>
    </row>
    <row r="43" spans="1:14" ht="12.75" customHeight="1" x14ac:dyDescent="0.3">
      <c r="A43" s="106">
        <v>8.02</v>
      </c>
      <c r="B43" s="107" t="s">
        <v>56</v>
      </c>
      <c r="C43" s="108" t="s">
        <v>19</v>
      </c>
      <c r="D43" s="32">
        <v>258</v>
      </c>
      <c r="E43" s="183">
        <v>38729</v>
      </c>
      <c r="F43" s="183">
        <f t="shared" si="0"/>
        <v>9992082</v>
      </c>
      <c r="G43" s="182"/>
      <c r="H43" s="245"/>
      <c r="I43" s="250">
        <f>+'GDR 3760_Pto. 02_Cert. 10'!K43</f>
        <v>0</v>
      </c>
      <c r="J43" s="250"/>
      <c r="K43" s="251">
        <f t="shared" si="1"/>
        <v>0</v>
      </c>
      <c r="L43" s="50">
        <f t="shared" si="2"/>
        <v>0</v>
      </c>
      <c r="M43" s="50">
        <f t="shared" si="3"/>
        <v>0</v>
      </c>
      <c r="N43" s="50">
        <f t="shared" si="4"/>
        <v>0</v>
      </c>
    </row>
    <row r="44" spans="1:14" ht="12.75" customHeight="1" x14ac:dyDescent="0.3">
      <c r="A44" s="24">
        <v>8.0299999999999994</v>
      </c>
      <c r="B44" s="25" t="s">
        <v>57</v>
      </c>
      <c r="C44" s="30" t="s">
        <v>19</v>
      </c>
      <c r="D44" s="31">
        <v>425</v>
      </c>
      <c r="E44" s="183">
        <v>22943</v>
      </c>
      <c r="F44" s="183">
        <f t="shared" si="0"/>
        <v>9750775</v>
      </c>
      <c r="G44" s="182"/>
      <c r="H44" s="245"/>
      <c r="I44" s="250">
        <f>+'GDR 3760_Pto. 02_Cert. 10'!K44</f>
        <v>0</v>
      </c>
      <c r="J44" s="250"/>
      <c r="K44" s="251">
        <f t="shared" si="1"/>
        <v>0</v>
      </c>
      <c r="L44" s="50">
        <f t="shared" si="2"/>
        <v>0</v>
      </c>
      <c r="M44" s="50">
        <f t="shared" si="3"/>
        <v>0</v>
      </c>
      <c r="N44" s="50">
        <f t="shared" si="4"/>
        <v>0</v>
      </c>
    </row>
    <row r="45" spans="1:14" ht="12.75" customHeight="1" x14ac:dyDescent="0.3">
      <c r="A45" s="106">
        <v>8.0399999999999991</v>
      </c>
      <c r="B45" s="25" t="s">
        <v>58</v>
      </c>
      <c r="C45" s="30" t="s">
        <v>19</v>
      </c>
      <c r="D45" s="31">
        <v>200</v>
      </c>
      <c r="E45" s="183">
        <v>40355</v>
      </c>
      <c r="F45" s="183">
        <f t="shared" si="0"/>
        <v>8071000</v>
      </c>
      <c r="G45" s="182"/>
      <c r="H45" s="245"/>
      <c r="I45" s="250">
        <f>+'GDR 3760_Pto. 02_Cert. 10'!K45</f>
        <v>0</v>
      </c>
      <c r="J45" s="250"/>
      <c r="K45" s="251">
        <f t="shared" si="1"/>
        <v>0</v>
      </c>
      <c r="L45" s="50">
        <f t="shared" si="2"/>
        <v>0</v>
      </c>
      <c r="M45" s="50">
        <f t="shared" si="3"/>
        <v>0</v>
      </c>
      <c r="N45" s="50">
        <f t="shared" si="4"/>
        <v>0</v>
      </c>
    </row>
    <row r="46" spans="1:14" ht="12.75" customHeight="1" x14ac:dyDescent="0.3">
      <c r="A46" s="24">
        <v>8.0500000000000007</v>
      </c>
      <c r="B46" s="25" t="s">
        <v>59</v>
      </c>
      <c r="C46" s="30" t="s">
        <v>19</v>
      </c>
      <c r="D46" s="31">
        <v>77</v>
      </c>
      <c r="E46" s="183">
        <v>31515</v>
      </c>
      <c r="F46" s="183">
        <f t="shared" si="0"/>
        <v>2426655</v>
      </c>
      <c r="G46" s="182"/>
      <c r="H46" s="245"/>
      <c r="I46" s="250">
        <f>+'GDR 3760_Pto. 02_Cert. 10'!K46</f>
        <v>0</v>
      </c>
      <c r="J46" s="250"/>
      <c r="K46" s="251">
        <f t="shared" si="1"/>
        <v>0</v>
      </c>
      <c r="L46" s="50">
        <f t="shared" si="2"/>
        <v>0</v>
      </c>
      <c r="M46" s="50">
        <f t="shared" si="3"/>
        <v>0</v>
      </c>
      <c r="N46" s="50">
        <f t="shared" si="4"/>
        <v>0</v>
      </c>
    </row>
    <row r="47" spans="1:14" ht="12.75" customHeight="1" x14ac:dyDescent="0.3">
      <c r="A47" s="106">
        <v>8.06</v>
      </c>
      <c r="B47" s="25" t="s">
        <v>60</v>
      </c>
      <c r="C47" s="30" t="s">
        <v>19</v>
      </c>
      <c r="D47" s="31">
        <v>77</v>
      </c>
      <c r="E47" s="183">
        <v>19683</v>
      </c>
      <c r="F47" s="183">
        <f t="shared" si="0"/>
        <v>1515591</v>
      </c>
      <c r="G47" s="182"/>
      <c r="H47" s="245"/>
      <c r="I47" s="250">
        <f>+'GDR 3760_Pto. 02_Cert. 10'!K47</f>
        <v>0</v>
      </c>
      <c r="J47" s="250"/>
      <c r="K47" s="251">
        <f t="shared" si="1"/>
        <v>0</v>
      </c>
      <c r="L47" s="50">
        <f t="shared" si="2"/>
        <v>0</v>
      </c>
      <c r="M47" s="50">
        <f t="shared" si="3"/>
        <v>0</v>
      </c>
      <c r="N47" s="50">
        <f t="shared" si="4"/>
        <v>0</v>
      </c>
    </row>
    <row r="48" spans="1:14" ht="12.75" customHeight="1" x14ac:dyDescent="0.3">
      <c r="A48" s="24">
        <v>8.07</v>
      </c>
      <c r="B48" s="25" t="s">
        <v>61</v>
      </c>
      <c r="C48" s="30" t="s">
        <v>19</v>
      </c>
      <c r="D48" s="31">
        <v>442</v>
      </c>
      <c r="E48" s="183">
        <v>14335</v>
      </c>
      <c r="F48" s="183">
        <f t="shared" si="0"/>
        <v>6336070</v>
      </c>
      <c r="G48" s="182"/>
      <c r="H48" s="245"/>
      <c r="I48" s="250">
        <f>+'GDR 3760_Pto. 02_Cert. 10'!K48</f>
        <v>0</v>
      </c>
      <c r="J48" s="250"/>
      <c r="K48" s="251">
        <f t="shared" si="1"/>
        <v>0</v>
      </c>
      <c r="L48" s="50">
        <f t="shared" si="2"/>
        <v>0</v>
      </c>
      <c r="M48" s="50">
        <f t="shared" si="3"/>
        <v>0</v>
      </c>
      <c r="N48" s="50">
        <f t="shared" si="4"/>
        <v>0</v>
      </c>
    </row>
    <row r="49" spans="1:14" ht="12.75" customHeight="1" x14ac:dyDescent="0.3">
      <c r="A49" s="106">
        <v>8.08</v>
      </c>
      <c r="B49" s="25" t="s">
        <v>62</v>
      </c>
      <c r="C49" s="30" t="s">
        <v>19</v>
      </c>
      <c r="D49" s="31">
        <v>360</v>
      </c>
      <c r="E49" s="183">
        <v>14335</v>
      </c>
      <c r="F49" s="183">
        <f t="shared" si="0"/>
        <v>5160600</v>
      </c>
      <c r="G49" s="182"/>
      <c r="H49" s="245"/>
      <c r="I49" s="250">
        <f>+'GDR 3760_Pto. 02_Cert. 10'!K49</f>
        <v>0</v>
      </c>
      <c r="J49" s="250"/>
      <c r="K49" s="251">
        <f t="shared" si="1"/>
        <v>0</v>
      </c>
      <c r="L49" s="50">
        <f t="shared" si="2"/>
        <v>0</v>
      </c>
      <c r="M49" s="50">
        <f t="shared" si="3"/>
        <v>0</v>
      </c>
      <c r="N49" s="50">
        <f t="shared" si="4"/>
        <v>0</v>
      </c>
    </row>
    <row r="50" spans="1:14" ht="12.75" customHeight="1" x14ac:dyDescent="0.3">
      <c r="A50" s="13">
        <v>9</v>
      </c>
      <c r="B50" s="17" t="s">
        <v>63</v>
      </c>
      <c r="C50" s="18"/>
      <c r="D50" s="19"/>
      <c r="E50" s="19"/>
      <c r="F50" s="19"/>
      <c r="G50" s="176">
        <f>+SUM(F51:F53)</f>
        <v>4852846</v>
      </c>
      <c r="H50" s="245">
        <f>+G50/$G$195</f>
        <v>5.7440649769743392E-3</v>
      </c>
      <c r="I50" s="246"/>
      <c r="J50" s="247"/>
      <c r="K50" s="247"/>
      <c r="L50" s="178"/>
      <c r="M50" s="178"/>
      <c r="N50" s="179"/>
    </row>
    <row r="51" spans="1:14" ht="12.75" customHeight="1" x14ac:dyDescent="0.3">
      <c r="A51" s="20">
        <v>9.01</v>
      </c>
      <c r="B51" s="21" t="s">
        <v>64</v>
      </c>
      <c r="C51" s="109" t="s">
        <v>29</v>
      </c>
      <c r="D51" s="94">
        <v>1</v>
      </c>
      <c r="E51" s="181">
        <v>2109310</v>
      </c>
      <c r="F51" s="181">
        <f t="shared" si="0"/>
        <v>2109310</v>
      </c>
      <c r="G51" s="186"/>
      <c r="H51" s="245"/>
      <c r="I51" s="250">
        <f>+'GDR 3760_Pto. 02_Cert. 10'!K51</f>
        <v>0</v>
      </c>
      <c r="J51" s="250"/>
      <c r="K51" s="251">
        <f t="shared" si="1"/>
        <v>0</v>
      </c>
      <c r="L51" s="50">
        <f t="shared" si="2"/>
        <v>0</v>
      </c>
      <c r="M51" s="50">
        <f t="shared" si="3"/>
        <v>0</v>
      </c>
      <c r="N51" s="50">
        <f t="shared" si="4"/>
        <v>0</v>
      </c>
    </row>
    <row r="52" spans="1:14" ht="12.75" customHeight="1" x14ac:dyDescent="0.3">
      <c r="A52" s="24">
        <v>9.02</v>
      </c>
      <c r="B52" s="25" t="s">
        <v>65</v>
      </c>
      <c r="C52" s="110" t="s">
        <v>52</v>
      </c>
      <c r="D52" s="31">
        <v>81</v>
      </c>
      <c r="E52" s="181">
        <v>28022</v>
      </c>
      <c r="F52" s="181">
        <f t="shared" si="0"/>
        <v>2269782</v>
      </c>
      <c r="G52" s="186"/>
      <c r="H52" s="252"/>
      <c r="I52" s="250">
        <f>+'GDR 3760_Pto. 02_Cert. 10'!K52</f>
        <v>0</v>
      </c>
      <c r="J52" s="250"/>
      <c r="K52" s="251">
        <f t="shared" si="1"/>
        <v>0</v>
      </c>
      <c r="L52" s="50">
        <f t="shared" si="2"/>
        <v>0</v>
      </c>
      <c r="M52" s="50">
        <f t="shared" si="3"/>
        <v>0</v>
      </c>
      <c r="N52" s="50">
        <f t="shared" si="4"/>
        <v>0</v>
      </c>
    </row>
    <row r="53" spans="1:14" ht="12.75" customHeight="1" x14ac:dyDescent="0.3">
      <c r="A53" s="33">
        <v>9.0299999999999994</v>
      </c>
      <c r="B53" s="38" t="s">
        <v>66</v>
      </c>
      <c r="C53" s="111" t="s">
        <v>27</v>
      </c>
      <c r="D53" s="35">
        <v>46</v>
      </c>
      <c r="E53" s="181">
        <v>10299</v>
      </c>
      <c r="F53" s="181">
        <f t="shared" si="0"/>
        <v>473754</v>
      </c>
      <c r="G53" s="186"/>
      <c r="H53" s="252"/>
      <c r="I53" s="250">
        <f>+'GDR 3760_Pto. 02_Cert. 10'!K53</f>
        <v>0</v>
      </c>
      <c r="J53" s="250"/>
      <c r="K53" s="251">
        <f t="shared" si="1"/>
        <v>0</v>
      </c>
      <c r="L53" s="50">
        <f t="shared" si="2"/>
        <v>0</v>
      </c>
      <c r="M53" s="50">
        <f t="shared" si="3"/>
        <v>0</v>
      </c>
      <c r="N53" s="50">
        <f t="shared" si="4"/>
        <v>0</v>
      </c>
    </row>
    <row r="54" spans="1:14" ht="12.75" customHeight="1" x14ac:dyDescent="0.3">
      <c r="A54" s="13">
        <v>10</v>
      </c>
      <c r="B54" s="40" t="s">
        <v>67</v>
      </c>
      <c r="C54" s="18"/>
      <c r="D54" s="19"/>
      <c r="E54" s="19"/>
      <c r="F54" s="19"/>
      <c r="G54" s="176">
        <f>+SUM(F55:F58)</f>
        <v>4184652</v>
      </c>
      <c r="H54" s="245">
        <f>+G54/$G$195</f>
        <v>4.9531580013100814E-3</v>
      </c>
      <c r="I54" s="246"/>
      <c r="J54" s="247"/>
      <c r="K54" s="247"/>
      <c r="L54" s="178"/>
      <c r="M54" s="178"/>
      <c r="N54" s="179"/>
    </row>
    <row r="55" spans="1:14" ht="12.75" customHeight="1" x14ac:dyDescent="0.3">
      <c r="A55" s="24">
        <v>10.01</v>
      </c>
      <c r="B55" s="25" t="s">
        <v>68</v>
      </c>
      <c r="C55" s="112" t="s">
        <v>29</v>
      </c>
      <c r="D55" s="27">
        <v>1</v>
      </c>
      <c r="E55" s="181">
        <v>1844532</v>
      </c>
      <c r="F55" s="181">
        <f t="shared" si="0"/>
        <v>1844532</v>
      </c>
      <c r="G55" s="188"/>
      <c r="H55" s="245"/>
      <c r="I55" s="250">
        <f>+'GDR 3760_Pto. 02_Cert. 10'!K55</f>
        <v>0</v>
      </c>
      <c r="J55" s="250"/>
      <c r="K55" s="251">
        <f t="shared" si="1"/>
        <v>0</v>
      </c>
      <c r="L55" s="50">
        <f t="shared" si="2"/>
        <v>0</v>
      </c>
      <c r="M55" s="50">
        <f t="shared" si="3"/>
        <v>0</v>
      </c>
      <c r="N55" s="50">
        <f t="shared" si="4"/>
        <v>0</v>
      </c>
    </row>
    <row r="56" spans="1:14" ht="12.75" customHeight="1" x14ac:dyDescent="0.3">
      <c r="A56" s="24">
        <v>10.02</v>
      </c>
      <c r="B56" s="25" t="s">
        <v>69</v>
      </c>
      <c r="C56" s="112" t="s">
        <v>29</v>
      </c>
      <c r="D56" s="27">
        <v>1</v>
      </c>
      <c r="E56" s="181">
        <v>1214937</v>
      </c>
      <c r="F56" s="181">
        <f t="shared" si="0"/>
        <v>1214937</v>
      </c>
      <c r="H56" s="245"/>
      <c r="I56" s="250">
        <f>+'GDR 3760_Pto. 02_Cert. 10'!K56</f>
        <v>0</v>
      </c>
      <c r="J56" s="250"/>
      <c r="K56" s="251">
        <f t="shared" si="1"/>
        <v>0</v>
      </c>
      <c r="L56" s="50">
        <f t="shared" si="2"/>
        <v>0</v>
      </c>
      <c r="M56" s="50">
        <f t="shared" si="3"/>
        <v>0</v>
      </c>
      <c r="N56" s="50">
        <f t="shared" si="4"/>
        <v>0</v>
      </c>
    </row>
    <row r="57" spans="1:14" ht="12.75" customHeight="1" x14ac:dyDescent="0.3">
      <c r="A57" s="24">
        <v>10.029999999999999</v>
      </c>
      <c r="B57" s="25" t="s">
        <v>70</v>
      </c>
      <c r="C57" s="112" t="s">
        <v>29</v>
      </c>
      <c r="D57" s="27">
        <v>1</v>
      </c>
      <c r="E57" s="181">
        <v>539833</v>
      </c>
      <c r="F57" s="181">
        <f t="shared" si="0"/>
        <v>539833</v>
      </c>
      <c r="H57" s="245"/>
      <c r="I57" s="250">
        <f>+'GDR 3760_Pto. 02_Cert. 10'!K57</f>
        <v>0</v>
      </c>
      <c r="J57" s="250"/>
      <c r="K57" s="251">
        <f t="shared" si="1"/>
        <v>0</v>
      </c>
      <c r="L57" s="50">
        <f t="shared" si="2"/>
        <v>0</v>
      </c>
      <c r="M57" s="50">
        <f t="shared" si="3"/>
        <v>0</v>
      </c>
      <c r="N57" s="50">
        <f t="shared" si="4"/>
        <v>0</v>
      </c>
    </row>
    <row r="58" spans="1:14" ht="12.75" customHeight="1" x14ac:dyDescent="0.3">
      <c r="A58" s="24">
        <v>10.039999999999999</v>
      </c>
      <c r="B58" s="25" t="s">
        <v>71</v>
      </c>
      <c r="C58" s="30" t="s">
        <v>33</v>
      </c>
      <c r="D58" s="31">
        <v>10</v>
      </c>
      <c r="E58" s="181">
        <v>58535</v>
      </c>
      <c r="F58" s="181">
        <f t="shared" si="0"/>
        <v>585350</v>
      </c>
      <c r="G58" s="182"/>
      <c r="H58" s="245"/>
      <c r="I58" s="250">
        <f>+'GDR 3760_Pto. 02_Cert. 10'!K58</f>
        <v>0</v>
      </c>
      <c r="J58" s="250"/>
      <c r="K58" s="251">
        <f t="shared" si="1"/>
        <v>0</v>
      </c>
      <c r="L58" s="50">
        <f t="shared" si="2"/>
        <v>0</v>
      </c>
      <c r="M58" s="50">
        <f t="shared" si="3"/>
        <v>0</v>
      </c>
      <c r="N58" s="50">
        <f t="shared" si="4"/>
        <v>0</v>
      </c>
    </row>
    <row r="59" spans="1:14" ht="12.75" customHeight="1" x14ac:dyDescent="0.3">
      <c r="A59" s="13">
        <v>11</v>
      </c>
      <c r="B59" s="17" t="s">
        <v>72</v>
      </c>
      <c r="C59" s="18"/>
      <c r="D59" s="19"/>
      <c r="E59" s="19"/>
      <c r="F59" s="19"/>
      <c r="G59" s="176">
        <f>+SUM(F60:F70)</f>
        <v>31170783</v>
      </c>
      <c r="H59" s="245">
        <f>+G59/$G$195</f>
        <v>3.6895257532418527E-2</v>
      </c>
      <c r="I59" s="246"/>
      <c r="J59" s="247"/>
      <c r="K59" s="247"/>
      <c r="L59" s="178"/>
      <c r="M59" s="178"/>
      <c r="N59" s="179"/>
    </row>
    <row r="60" spans="1:14" ht="12.75" customHeight="1" x14ac:dyDescent="0.3">
      <c r="A60" s="20">
        <v>11.01</v>
      </c>
      <c r="B60" s="21" t="s">
        <v>73</v>
      </c>
      <c r="C60" s="109" t="s">
        <v>19</v>
      </c>
      <c r="D60" s="94">
        <v>0</v>
      </c>
      <c r="E60" s="181">
        <v>0</v>
      </c>
      <c r="F60" s="181">
        <f t="shared" si="0"/>
        <v>0</v>
      </c>
      <c r="G60" s="185"/>
      <c r="H60" s="252"/>
      <c r="I60" s="250">
        <f>+'GDR 3760_Pto. 02_Cert. 10'!K60</f>
        <v>0</v>
      </c>
      <c r="J60" s="250"/>
      <c r="K60" s="251">
        <f t="shared" si="1"/>
        <v>0</v>
      </c>
      <c r="L60" s="50">
        <f t="shared" si="2"/>
        <v>0</v>
      </c>
      <c r="M60" s="50">
        <f t="shared" si="3"/>
        <v>0</v>
      </c>
      <c r="N60" s="50">
        <f t="shared" si="4"/>
        <v>0</v>
      </c>
    </row>
    <row r="61" spans="1:14" ht="12.75" customHeight="1" x14ac:dyDescent="0.3">
      <c r="A61" s="24">
        <v>11.02</v>
      </c>
      <c r="B61" s="25" t="s">
        <v>74</v>
      </c>
      <c r="C61" s="110" t="s">
        <v>19</v>
      </c>
      <c r="D61" s="31">
        <v>39</v>
      </c>
      <c r="E61" s="181">
        <v>19280</v>
      </c>
      <c r="F61" s="181">
        <f t="shared" si="0"/>
        <v>751920</v>
      </c>
      <c r="G61" s="186"/>
      <c r="H61" s="252"/>
      <c r="I61" s="250">
        <f>+'GDR 3760_Pto. 02_Cert. 10'!K61</f>
        <v>0</v>
      </c>
      <c r="J61" s="250"/>
      <c r="K61" s="251">
        <f t="shared" si="1"/>
        <v>0</v>
      </c>
      <c r="L61" s="50">
        <f t="shared" si="2"/>
        <v>0</v>
      </c>
      <c r="M61" s="50">
        <f t="shared" si="3"/>
        <v>0</v>
      </c>
      <c r="N61" s="50">
        <f t="shared" si="4"/>
        <v>0</v>
      </c>
    </row>
    <row r="62" spans="1:14" ht="12.75" customHeight="1" x14ac:dyDescent="0.3">
      <c r="A62" s="24">
        <v>11.03</v>
      </c>
      <c r="B62" s="25" t="s">
        <v>75</v>
      </c>
      <c r="C62" s="110" t="s">
        <v>19</v>
      </c>
      <c r="D62" s="31">
        <v>48</v>
      </c>
      <c r="E62" s="181">
        <v>25362</v>
      </c>
      <c r="F62" s="181">
        <f t="shared" si="0"/>
        <v>1217376</v>
      </c>
      <c r="G62" s="186"/>
      <c r="H62" s="252"/>
      <c r="I62" s="250">
        <f>+'GDR 3760_Pto. 02_Cert. 10'!K62</f>
        <v>0</v>
      </c>
      <c r="J62" s="250"/>
      <c r="K62" s="251">
        <f t="shared" si="1"/>
        <v>0</v>
      </c>
      <c r="L62" s="50">
        <f t="shared" si="2"/>
        <v>0</v>
      </c>
      <c r="M62" s="50">
        <f t="shared" si="3"/>
        <v>0</v>
      </c>
      <c r="N62" s="50">
        <f t="shared" si="4"/>
        <v>0</v>
      </c>
    </row>
    <row r="63" spans="1:14" ht="12.75" customHeight="1" x14ac:dyDescent="0.3">
      <c r="A63" s="24">
        <v>11.04</v>
      </c>
      <c r="B63" s="25" t="s">
        <v>76</v>
      </c>
      <c r="C63" s="30" t="s">
        <v>19</v>
      </c>
      <c r="D63" s="31">
        <v>174</v>
      </c>
      <c r="E63" s="181">
        <v>19164</v>
      </c>
      <c r="F63" s="181">
        <f t="shared" si="0"/>
        <v>3334536</v>
      </c>
      <c r="G63" s="182"/>
      <c r="H63" s="245"/>
      <c r="I63" s="250">
        <f>+'GDR 3760_Pto. 02_Cert. 10'!K63</f>
        <v>0</v>
      </c>
      <c r="J63" s="250"/>
      <c r="K63" s="251">
        <f t="shared" si="1"/>
        <v>0</v>
      </c>
      <c r="L63" s="50">
        <f t="shared" si="2"/>
        <v>0</v>
      </c>
      <c r="M63" s="50">
        <f t="shared" si="3"/>
        <v>0</v>
      </c>
      <c r="N63" s="50">
        <f t="shared" si="4"/>
        <v>0</v>
      </c>
    </row>
    <row r="64" spans="1:14" ht="12.75" customHeight="1" x14ac:dyDescent="0.3">
      <c r="A64" s="24">
        <v>11.05</v>
      </c>
      <c r="B64" s="25" t="s">
        <v>77</v>
      </c>
      <c r="C64" s="110" t="s">
        <v>19</v>
      </c>
      <c r="D64" s="31">
        <v>92</v>
      </c>
      <c r="E64" s="181">
        <v>19164</v>
      </c>
      <c r="F64" s="181">
        <f t="shared" si="0"/>
        <v>1763088</v>
      </c>
      <c r="G64" s="185"/>
      <c r="H64" s="252"/>
      <c r="I64" s="250">
        <f>+'GDR 3760_Pto. 02_Cert. 10'!K64</f>
        <v>0</v>
      </c>
      <c r="J64" s="250"/>
      <c r="K64" s="251">
        <f t="shared" si="1"/>
        <v>0</v>
      </c>
      <c r="L64" s="50">
        <f t="shared" si="2"/>
        <v>0</v>
      </c>
      <c r="M64" s="50">
        <f t="shared" si="3"/>
        <v>0</v>
      </c>
      <c r="N64" s="50">
        <f t="shared" si="4"/>
        <v>0</v>
      </c>
    </row>
    <row r="65" spans="1:14" ht="12.75" customHeight="1" x14ac:dyDescent="0.3">
      <c r="A65" s="24">
        <v>11.06</v>
      </c>
      <c r="B65" s="25" t="s">
        <v>78</v>
      </c>
      <c r="C65" s="30" t="s">
        <v>19</v>
      </c>
      <c r="D65" s="31">
        <v>8</v>
      </c>
      <c r="E65" s="181">
        <v>14043</v>
      </c>
      <c r="F65" s="181">
        <f t="shared" si="0"/>
        <v>112344</v>
      </c>
      <c r="G65" s="182"/>
      <c r="H65" s="245"/>
      <c r="I65" s="250">
        <f>+'GDR 3760_Pto. 02_Cert. 10'!K65</f>
        <v>0</v>
      </c>
      <c r="J65" s="250"/>
      <c r="K65" s="251">
        <f t="shared" si="1"/>
        <v>0</v>
      </c>
      <c r="L65" s="50">
        <f t="shared" si="2"/>
        <v>0</v>
      </c>
      <c r="M65" s="50">
        <f t="shared" si="3"/>
        <v>0</v>
      </c>
      <c r="N65" s="50">
        <f t="shared" si="4"/>
        <v>0</v>
      </c>
    </row>
    <row r="66" spans="1:14" ht="12.75" customHeight="1" x14ac:dyDescent="0.3">
      <c r="A66" s="24">
        <v>11.07</v>
      </c>
      <c r="B66" s="25" t="s">
        <v>79</v>
      </c>
      <c r="C66" s="110" t="s">
        <v>19</v>
      </c>
      <c r="D66" s="31">
        <v>46</v>
      </c>
      <c r="E66" s="181">
        <v>26630</v>
      </c>
      <c r="F66" s="181">
        <f t="shared" si="0"/>
        <v>1224980</v>
      </c>
      <c r="G66" s="186"/>
      <c r="H66" s="252"/>
      <c r="I66" s="250">
        <f>+'GDR 3760_Pto. 02_Cert. 10'!K66</f>
        <v>0</v>
      </c>
      <c r="J66" s="250"/>
      <c r="K66" s="251">
        <f t="shared" si="1"/>
        <v>0</v>
      </c>
      <c r="L66" s="50">
        <f t="shared" si="2"/>
        <v>0</v>
      </c>
      <c r="M66" s="50">
        <f t="shared" si="3"/>
        <v>0</v>
      </c>
      <c r="N66" s="50">
        <f t="shared" si="4"/>
        <v>0</v>
      </c>
    </row>
    <row r="67" spans="1:14" ht="12.75" customHeight="1" x14ac:dyDescent="0.3">
      <c r="A67" s="24">
        <v>11.08</v>
      </c>
      <c r="B67" s="25" t="s">
        <v>80</v>
      </c>
      <c r="C67" s="110" t="s">
        <v>19</v>
      </c>
      <c r="D67" s="31">
        <v>562</v>
      </c>
      <c r="E67" s="181">
        <v>25362</v>
      </c>
      <c r="F67" s="181">
        <f t="shared" si="0"/>
        <v>14253444</v>
      </c>
      <c r="G67" s="186"/>
      <c r="H67" s="252"/>
      <c r="I67" s="250">
        <f>+'GDR 3760_Pto. 02_Cert. 10'!K67</f>
        <v>0</v>
      </c>
      <c r="J67" s="250"/>
      <c r="K67" s="251">
        <f t="shared" si="1"/>
        <v>0</v>
      </c>
      <c r="L67" s="50">
        <f t="shared" si="2"/>
        <v>0</v>
      </c>
      <c r="M67" s="50">
        <f t="shared" si="3"/>
        <v>0</v>
      </c>
      <c r="N67" s="50">
        <f t="shared" si="4"/>
        <v>0</v>
      </c>
    </row>
    <row r="68" spans="1:14" ht="12.75" customHeight="1" x14ac:dyDescent="0.3">
      <c r="A68" s="24">
        <v>11.09</v>
      </c>
      <c r="B68" s="25" t="s">
        <v>81</v>
      </c>
      <c r="C68" s="113" t="s">
        <v>19</v>
      </c>
      <c r="D68" s="32">
        <v>73</v>
      </c>
      <c r="E68" s="181">
        <v>30109</v>
      </c>
      <c r="F68" s="181">
        <f t="shared" si="0"/>
        <v>2197957</v>
      </c>
      <c r="G68" s="186"/>
      <c r="H68" s="252"/>
      <c r="I68" s="250">
        <f>+'GDR 3760_Pto. 02_Cert. 10'!K68</f>
        <v>0</v>
      </c>
      <c r="J68" s="250"/>
      <c r="K68" s="251">
        <f t="shared" si="1"/>
        <v>0</v>
      </c>
      <c r="L68" s="50">
        <f t="shared" si="2"/>
        <v>0</v>
      </c>
      <c r="M68" s="50">
        <f t="shared" si="3"/>
        <v>0</v>
      </c>
      <c r="N68" s="50">
        <f t="shared" si="4"/>
        <v>0</v>
      </c>
    </row>
    <row r="69" spans="1:14" ht="12.75" customHeight="1" x14ac:dyDescent="0.3">
      <c r="A69" s="24">
        <v>11.1</v>
      </c>
      <c r="B69" s="25" t="s">
        <v>82</v>
      </c>
      <c r="C69" s="113" t="s">
        <v>19</v>
      </c>
      <c r="D69" s="32">
        <v>143</v>
      </c>
      <c r="E69" s="181">
        <v>25362</v>
      </c>
      <c r="F69" s="181">
        <f t="shared" si="0"/>
        <v>3626766</v>
      </c>
      <c r="G69" s="186"/>
      <c r="H69" s="252"/>
      <c r="I69" s="250">
        <f>+'GDR 3760_Pto. 02_Cert. 10'!K69</f>
        <v>0</v>
      </c>
      <c r="J69" s="250"/>
      <c r="K69" s="251">
        <f t="shared" si="1"/>
        <v>0</v>
      </c>
      <c r="L69" s="50">
        <f t="shared" si="2"/>
        <v>0</v>
      </c>
      <c r="M69" s="50">
        <f t="shared" si="3"/>
        <v>0</v>
      </c>
      <c r="N69" s="50">
        <f t="shared" si="4"/>
        <v>0</v>
      </c>
    </row>
    <row r="70" spans="1:14" ht="12.75" customHeight="1" x14ac:dyDescent="0.3">
      <c r="A70" s="24">
        <v>11.11</v>
      </c>
      <c r="B70" s="25" t="s">
        <v>83</v>
      </c>
      <c r="C70" s="111" t="s">
        <v>19</v>
      </c>
      <c r="D70" s="35">
        <v>106</v>
      </c>
      <c r="E70" s="181">
        <v>25362</v>
      </c>
      <c r="F70" s="181">
        <f t="shared" si="0"/>
        <v>2688372</v>
      </c>
      <c r="G70" s="186"/>
      <c r="H70" s="252"/>
      <c r="I70" s="250">
        <f>+'GDR 3760_Pto. 02_Cert. 10'!K70</f>
        <v>0</v>
      </c>
      <c r="J70" s="250"/>
      <c r="K70" s="251">
        <f t="shared" si="1"/>
        <v>0</v>
      </c>
      <c r="L70" s="50">
        <f t="shared" si="2"/>
        <v>0</v>
      </c>
      <c r="M70" s="50">
        <f t="shared" si="3"/>
        <v>0</v>
      </c>
      <c r="N70" s="50">
        <f t="shared" si="4"/>
        <v>0</v>
      </c>
    </row>
    <row r="71" spans="1:14" ht="12.75" customHeight="1" x14ac:dyDescent="0.3">
      <c r="A71" s="13">
        <v>12</v>
      </c>
      <c r="B71" s="17" t="s">
        <v>84</v>
      </c>
      <c r="C71" s="18"/>
      <c r="D71" s="19"/>
      <c r="E71" s="19"/>
      <c r="F71" s="19"/>
      <c r="G71" s="176">
        <f>+SUM(F72:F74)</f>
        <v>8990052</v>
      </c>
      <c r="H71" s="245">
        <f>+G71/$G$195</f>
        <v>1.0641063580912749E-2</v>
      </c>
      <c r="I71" s="246"/>
      <c r="J71" s="247"/>
      <c r="K71" s="247"/>
      <c r="L71" s="178"/>
      <c r="M71" s="178"/>
      <c r="N71" s="179"/>
    </row>
    <row r="72" spans="1:14" ht="12.75" customHeight="1" x14ac:dyDescent="0.3">
      <c r="A72" s="20">
        <f>+A71+0.01</f>
        <v>12.01</v>
      </c>
      <c r="B72" s="21" t="s">
        <v>85</v>
      </c>
      <c r="C72" s="109" t="s">
        <v>27</v>
      </c>
      <c r="D72" s="94">
        <v>19</v>
      </c>
      <c r="E72" s="181">
        <v>6496</v>
      </c>
      <c r="F72" s="181">
        <f t="shared" si="0"/>
        <v>123424</v>
      </c>
      <c r="H72" s="245"/>
      <c r="I72" s="250">
        <f>+'GDR 3760_Pto. 02_Cert. 10'!K72</f>
        <v>0</v>
      </c>
      <c r="J72" s="250"/>
      <c r="K72" s="251">
        <f t="shared" si="1"/>
        <v>0</v>
      </c>
      <c r="L72" s="50">
        <f t="shared" si="2"/>
        <v>0</v>
      </c>
      <c r="M72" s="50">
        <f t="shared" si="3"/>
        <v>0</v>
      </c>
      <c r="N72" s="50">
        <f t="shared" si="4"/>
        <v>0</v>
      </c>
    </row>
    <row r="73" spans="1:14" ht="12.75" customHeight="1" x14ac:dyDescent="0.3">
      <c r="A73" s="106">
        <v>12.02</v>
      </c>
      <c r="B73" s="25" t="s">
        <v>86</v>
      </c>
      <c r="C73" s="114" t="s">
        <v>27</v>
      </c>
      <c r="D73" s="31">
        <v>626</v>
      </c>
      <c r="E73" s="181">
        <v>9059</v>
      </c>
      <c r="F73" s="181">
        <f t="shared" si="0"/>
        <v>5670934</v>
      </c>
      <c r="H73" s="245"/>
      <c r="I73" s="250">
        <f>+'GDR 3760_Pto. 02_Cert. 10'!K73</f>
        <v>0</v>
      </c>
      <c r="J73" s="250"/>
      <c r="K73" s="251">
        <f t="shared" si="1"/>
        <v>0</v>
      </c>
      <c r="L73" s="50">
        <f t="shared" si="2"/>
        <v>0</v>
      </c>
      <c r="M73" s="50">
        <f t="shared" si="3"/>
        <v>0</v>
      </c>
      <c r="N73" s="50">
        <f t="shared" si="4"/>
        <v>0</v>
      </c>
    </row>
    <row r="74" spans="1:14" ht="12.75" customHeight="1" x14ac:dyDescent="0.3">
      <c r="A74" s="106">
        <v>12.03</v>
      </c>
      <c r="B74" s="107" t="s">
        <v>87</v>
      </c>
      <c r="C74" s="114" t="s">
        <v>27</v>
      </c>
      <c r="D74" s="35">
        <v>386</v>
      </c>
      <c r="E74" s="181">
        <v>8279</v>
      </c>
      <c r="F74" s="181">
        <f t="shared" ref="F74:F137" si="5">+E74*D74</f>
        <v>3195694</v>
      </c>
      <c r="H74" s="245"/>
      <c r="I74" s="250">
        <f>+'GDR 3760_Pto. 02_Cert. 10'!K74</f>
        <v>0</v>
      </c>
      <c r="J74" s="250"/>
      <c r="K74" s="251">
        <f t="shared" ref="K74" si="6">+I74+J74</f>
        <v>0</v>
      </c>
      <c r="L74" s="50">
        <f t="shared" ref="L74" si="7">+F74*I74</f>
        <v>0</v>
      </c>
      <c r="M74" s="50">
        <f t="shared" ref="M74" si="8">+F74*J74</f>
        <v>0</v>
      </c>
      <c r="N74" s="50">
        <f t="shared" ref="N74" si="9">+F74*K74</f>
        <v>0</v>
      </c>
    </row>
    <row r="75" spans="1:14" ht="12.75" customHeight="1" x14ac:dyDescent="0.3">
      <c r="A75" s="13">
        <v>13</v>
      </c>
      <c r="B75" s="17" t="s">
        <v>88</v>
      </c>
      <c r="C75" s="18"/>
      <c r="D75" s="19"/>
      <c r="E75" s="19"/>
      <c r="F75" s="19"/>
      <c r="G75" s="176">
        <f>+SUM(F76:F79)</f>
        <v>14836279</v>
      </c>
      <c r="H75" s="245">
        <f>+G75/$G$195</f>
        <v>1.7560942711250239E-2</v>
      </c>
      <c r="I75" s="246"/>
      <c r="J75" s="247"/>
      <c r="K75" s="247"/>
      <c r="L75" s="178"/>
      <c r="M75" s="178"/>
      <c r="N75" s="179"/>
    </row>
    <row r="76" spans="1:14" ht="12.75" customHeight="1" x14ac:dyDescent="0.3">
      <c r="A76" s="115">
        <v>13.01</v>
      </c>
      <c r="B76" s="116" t="s">
        <v>89</v>
      </c>
      <c r="C76" s="117" t="s">
        <v>19</v>
      </c>
      <c r="D76" s="23">
        <v>413</v>
      </c>
      <c r="E76" s="181">
        <v>30109</v>
      </c>
      <c r="F76" s="181">
        <f t="shared" si="5"/>
        <v>12435017</v>
      </c>
      <c r="H76" s="245"/>
      <c r="I76" s="250">
        <f>+'GDR 3760_Pto. 02_Cert. 10'!K76</f>
        <v>0</v>
      </c>
      <c r="J76" s="250"/>
      <c r="K76" s="251">
        <f t="shared" ref="K76:K139" si="10">+I76+J76</f>
        <v>0</v>
      </c>
      <c r="L76" s="50">
        <f t="shared" ref="L76:L139" si="11">+F76*I76</f>
        <v>0</v>
      </c>
      <c r="M76" s="50">
        <f t="shared" ref="M76:M139" si="12">+F76*J76</f>
        <v>0</v>
      </c>
      <c r="N76" s="50">
        <f t="shared" ref="N76:N139" si="13">+F76*K76</f>
        <v>0</v>
      </c>
    </row>
    <row r="77" spans="1:14" ht="12.75" customHeight="1" x14ac:dyDescent="0.3">
      <c r="A77" s="118">
        <v>13.02</v>
      </c>
      <c r="B77" s="119" t="s">
        <v>90</v>
      </c>
      <c r="C77" s="120" t="s">
        <v>19</v>
      </c>
      <c r="D77" s="121">
        <v>18</v>
      </c>
      <c r="E77" s="181">
        <v>30109</v>
      </c>
      <c r="F77" s="181">
        <f t="shared" si="5"/>
        <v>541962</v>
      </c>
      <c r="H77" s="245"/>
      <c r="I77" s="250">
        <f>+'GDR 3760_Pto. 02_Cert. 10'!K77</f>
        <v>0</v>
      </c>
      <c r="J77" s="250"/>
      <c r="K77" s="251">
        <f t="shared" si="10"/>
        <v>0</v>
      </c>
      <c r="L77" s="50">
        <f t="shared" si="11"/>
        <v>0</v>
      </c>
      <c r="M77" s="50">
        <f t="shared" si="12"/>
        <v>0</v>
      </c>
      <c r="N77" s="50">
        <f t="shared" si="13"/>
        <v>0</v>
      </c>
    </row>
    <row r="78" spans="1:14" ht="12.75" customHeight="1" x14ac:dyDescent="0.3">
      <c r="A78" s="100">
        <v>13.03</v>
      </c>
      <c r="B78" s="119" t="s">
        <v>91</v>
      </c>
      <c r="C78" s="110" t="s">
        <v>19</v>
      </c>
      <c r="D78" s="31">
        <v>20</v>
      </c>
      <c r="E78" s="181">
        <v>92965</v>
      </c>
      <c r="F78" s="181">
        <f t="shared" si="5"/>
        <v>1859300</v>
      </c>
      <c r="G78" s="186"/>
      <c r="H78" s="252"/>
      <c r="I78" s="250">
        <f>+'GDR 3760_Pto. 02_Cert. 10'!K78</f>
        <v>0</v>
      </c>
      <c r="J78" s="250"/>
      <c r="K78" s="251">
        <f t="shared" si="10"/>
        <v>0</v>
      </c>
      <c r="L78" s="50">
        <f t="shared" si="11"/>
        <v>0</v>
      </c>
      <c r="M78" s="50">
        <f t="shared" si="12"/>
        <v>0</v>
      </c>
      <c r="N78" s="50">
        <f t="shared" si="13"/>
        <v>0</v>
      </c>
    </row>
    <row r="79" spans="1:14" ht="12.75" customHeight="1" x14ac:dyDescent="0.3">
      <c r="A79" s="100">
        <v>13.04</v>
      </c>
      <c r="B79" s="25" t="s">
        <v>92</v>
      </c>
      <c r="C79" s="110" t="s">
        <v>19</v>
      </c>
      <c r="D79" s="31">
        <v>0</v>
      </c>
      <c r="E79" s="181">
        <v>0</v>
      </c>
      <c r="F79" s="181">
        <f t="shared" si="5"/>
        <v>0</v>
      </c>
      <c r="G79" s="186"/>
      <c r="H79" s="252"/>
      <c r="I79" s="250">
        <f>+'GDR 3760_Pto. 02_Cert. 10'!K79</f>
        <v>0</v>
      </c>
      <c r="J79" s="250"/>
      <c r="K79" s="251">
        <f t="shared" si="10"/>
        <v>0</v>
      </c>
      <c r="L79" s="50">
        <f t="shared" si="11"/>
        <v>0</v>
      </c>
      <c r="M79" s="50">
        <f t="shared" si="12"/>
        <v>0</v>
      </c>
      <c r="N79" s="50">
        <f t="shared" si="13"/>
        <v>0</v>
      </c>
    </row>
    <row r="80" spans="1:14" ht="12.75" customHeight="1" x14ac:dyDescent="0.3">
      <c r="A80" s="13">
        <v>14</v>
      </c>
      <c r="B80" s="17" t="s">
        <v>93</v>
      </c>
      <c r="C80" s="18"/>
      <c r="D80" s="19"/>
      <c r="E80" s="19"/>
      <c r="F80" s="19"/>
      <c r="G80" s="176">
        <f>+SUM(F81:F87)</f>
        <v>33813897</v>
      </c>
      <c r="H80" s="245">
        <f>+G80/$G$195</f>
        <v>4.0023776046616291E-2</v>
      </c>
      <c r="I80" s="246"/>
      <c r="J80" s="247"/>
      <c r="K80" s="247"/>
      <c r="L80" s="178"/>
      <c r="M80" s="178"/>
      <c r="N80" s="179"/>
    </row>
    <row r="81" spans="1:14" ht="12.75" customHeight="1" x14ac:dyDescent="0.3">
      <c r="A81" s="20">
        <f>+A80+0.01</f>
        <v>14.01</v>
      </c>
      <c r="B81" s="21" t="s">
        <v>94</v>
      </c>
      <c r="C81" s="117" t="s">
        <v>19</v>
      </c>
      <c r="D81" s="23">
        <v>460</v>
      </c>
      <c r="E81" s="181">
        <v>23624</v>
      </c>
      <c r="F81" s="181">
        <f t="shared" si="5"/>
        <v>10867040</v>
      </c>
      <c r="H81" s="245"/>
      <c r="I81" s="250">
        <f>+'GDR 3760_Pto. 02_Cert. 10'!K81</f>
        <v>0</v>
      </c>
      <c r="J81" s="250"/>
      <c r="K81" s="251">
        <f t="shared" si="10"/>
        <v>0</v>
      </c>
      <c r="L81" s="50">
        <f t="shared" si="11"/>
        <v>0</v>
      </c>
      <c r="M81" s="50">
        <f t="shared" si="12"/>
        <v>0</v>
      </c>
      <c r="N81" s="50">
        <f t="shared" si="13"/>
        <v>0</v>
      </c>
    </row>
    <row r="82" spans="1:14" ht="12.75" customHeight="1" x14ac:dyDescent="0.3">
      <c r="A82" s="106">
        <v>14.02</v>
      </c>
      <c r="B82" s="107" t="s">
        <v>95</v>
      </c>
      <c r="C82" s="120" t="s">
        <v>27</v>
      </c>
      <c r="D82" s="121">
        <v>434</v>
      </c>
      <c r="E82" s="181">
        <v>16659</v>
      </c>
      <c r="F82" s="181">
        <f t="shared" si="5"/>
        <v>7230006</v>
      </c>
      <c r="H82" s="245"/>
      <c r="I82" s="250">
        <f>+'GDR 3760_Pto. 02_Cert. 10'!K82</f>
        <v>0</v>
      </c>
      <c r="J82" s="250"/>
      <c r="K82" s="251">
        <f t="shared" si="10"/>
        <v>0</v>
      </c>
      <c r="L82" s="50">
        <f t="shared" si="11"/>
        <v>0</v>
      </c>
      <c r="M82" s="50">
        <f t="shared" si="12"/>
        <v>0</v>
      </c>
      <c r="N82" s="50">
        <f t="shared" si="13"/>
        <v>0</v>
      </c>
    </row>
    <row r="83" spans="1:14" ht="12.75" customHeight="1" x14ac:dyDescent="0.3">
      <c r="A83" s="24">
        <v>14.03</v>
      </c>
      <c r="B83" s="25" t="s">
        <v>96</v>
      </c>
      <c r="C83" s="112" t="s">
        <v>19</v>
      </c>
      <c r="D83" s="27">
        <v>115</v>
      </c>
      <c r="E83" s="181">
        <v>35817</v>
      </c>
      <c r="F83" s="181">
        <f t="shared" si="5"/>
        <v>4118955</v>
      </c>
      <c r="H83" s="245"/>
      <c r="I83" s="250">
        <f>+'GDR 3760_Pto. 02_Cert. 10'!K83</f>
        <v>0</v>
      </c>
      <c r="J83" s="250"/>
      <c r="K83" s="251">
        <f t="shared" si="10"/>
        <v>0</v>
      </c>
      <c r="L83" s="50">
        <f t="shared" si="11"/>
        <v>0</v>
      </c>
      <c r="M83" s="50">
        <f t="shared" si="12"/>
        <v>0</v>
      </c>
      <c r="N83" s="50">
        <f t="shared" si="13"/>
        <v>0</v>
      </c>
    </row>
    <row r="84" spans="1:14" ht="12.75" customHeight="1" x14ac:dyDescent="0.3">
      <c r="A84" s="106">
        <v>14.04</v>
      </c>
      <c r="B84" s="25" t="s">
        <v>97</v>
      </c>
      <c r="C84" s="112" t="s">
        <v>19</v>
      </c>
      <c r="D84" s="27">
        <v>89</v>
      </c>
      <c r="E84" s="181">
        <v>41132</v>
      </c>
      <c r="F84" s="181">
        <f t="shared" si="5"/>
        <v>3660748</v>
      </c>
      <c r="H84" s="245"/>
      <c r="I84" s="250">
        <f>+'GDR 3760_Pto. 02_Cert. 10'!K84</f>
        <v>0</v>
      </c>
      <c r="J84" s="250"/>
      <c r="K84" s="251">
        <f t="shared" si="10"/>
        <v>0</v>
      </c>
      <c r="L84" s="50">
        <f t="shared" si="11"/>
        <v>0</v>
      </c>
      <c r="M84" s="50">
        <f t="shared" si="12"/>
        <v>0</v>
      </c>
      <c r="N84" s="50">
        <f t="shared" si="13"/>
        <v>0</v>
      </c>
    </row>
    <row r="85" spans="1:14" ht="12.75" customHeight="1" x14ac:dyDescent="0.3">
      <c r="A85" s="24">
        <v>14.05</v>
      </c>
      <c r="B85" s="25" t="s">
        <v>98</v>
      </c>
      <c r="C85" s="112" t="s">
        <v>27</v>
      </c>
      <c r="D85" s="27">
        <v>530</v>
      </c>
      <c r="E85" s="181">
        <v>9274</v>
      </c>
      <c r="F85" s="181">
        <f t="shared" si="5"/>
        <v>4915220</v>
      </c>
      <c r="H85" s="245"/>
      <c r="I85" s="250">
        <f>+'GDR 3760_Pto. 02_Cert. 10'!K85</f>
        <v>0</v>
      </c>
      <c r="J85" s="250"/>
      <c r="K85" s="251">
        <f t="shared" si="10"/>
        <v>0</v>
      </c>
      <c r="L85" s="50">
        <f t="shared" si="11"/>
        <v>0</v>
      </c>
      <c r="M85" s="50">
        <f t="shared" si="12"/>
        <v>0</v>
      </c>
      <c r="N85" s="50">
        <f t="shared" si="13"/>
        <v>0</v>
      </c>
    </row>
    <row r="86" spans="1:14" ht="12.75" customHeight="1" x14ac:dyDescent="0.3">
      <c r="A86" s="106">
        <v>14.06</v>
      </c>
      <c r="B86" s="25" t="s">
        <v>99</v>
      </c>
      <c r="C86" s="112" t="s">
        <v>27</v>
      </c>
      <c r="D86" s="27">
        <v>56</v>
      </c>
      <c r="E86" s="181">
        <v>9274</v>
      </c>
      <c r="F86" s="181">
        <f t="shared" si="5"/>
        <v>519344</v>
      </c>
      <c r="H86" s="245"/>
      <c r="I86" s="250">
        <f>+'GDR 3760_Pto. 02_Cert. 10'!K86</f>
        <v>0</v>
      </c>
      <c r="J86" s="250"/>
      <c r="K86" s="251">
        <f t="shared" si="10"/>
        <v>0</v>
      </c>
      <c r="L86" s="50">
        <f t="shared" si="11"/>
        <v>0</v>
      </c>
      <c r="M86" s="50">
        <f t="shared" si="12"/>
        <v>0</v>
      </c>
      <c r="N86" s="50">
        <f t="shared" si="13"/>
        <v>0</v>
      </c>
    </row>
    <row r="87" spans="1:14" ht="12.75" customHeight="1" x14ac:dyDescent="0.3">
      <c r="A87" s="24">
        <v>14.07</v>
      </c>
      <c r="B87" s="25" t="s">
        <v>100</v>
      </c>
      <c r="C87" s="112" t="s">
        <v>19</v>
      </c>
      <c r="D87" s="27">
        <v>469</v>
      </c>
      <c r="E87" s="181">
        <v>5336</v>
      </c>
      <c r="F87" s="181">
        <f t="shared" si="5"/>
        <v>2502584</v>
      </c>
      <c r="H87" s="245"/>
      <c r="I87" s="250">
        <f>+'GDR 3760_Pto. 02_Cert. 10'!K87</f>
        <v>0</v>
      </c>
      <c r="J87" s="250">
        <v>0.1</v>
      </c>
      <c r="K87" s="251">
        <f t="shared" si="10"/>
        <v>0.1</v>
      </c>
      <c r="L87" s="50">
        <f t="shared" si="11"/>
        <v>0</v>
      </c>
      <c r="M87" s="50">
        <f t="shared" si="12"/>
        <v>250258.40000000002</v>
      </c>
      <c r="N87" s="50">
        <f t="shared" si="13"/>
        <v>250258.40000000002</v>
      </c>
    </row>
    <row r="88" spans="1:14" ht="12.75" customHeight="1" x14ac:dyDescent="0.3">
      <c r="A88" s="13">
        <v>15</v>
      </c>
      <c r="B88" s="17" t="s">
        <v>101</v>
      </c>
      <c r="C88" s="18"/>
      <c r="D88" s="19"/>
      <c r="E88" s="19"/>
      <c r="F88" s="19"/>
      <c r="G88" s="176">
        <f>+SUM(F89:F100)</f>
        <v>81675029</v>
      </c>
      <c r="H88" s="245">
        <f>+G88/$G$195</f>
        <v>9.667454388049064E-2</v>
      </c>
      <c r="I88" s="246"/>
      <c r="J88" s="247"/>
      <c r="K88" s="247"/>
      <c r="L88" s="178"/>
      <c r="M88" s="178"/>
      <c r="N88" s="179"/>
    </row>
    <row r="89" spans="1:14" ht="12.75" customHeight="1" x14ac:dyDescent="0.3">
      <c r="A89" s="115">
        <v>15.01</v>
      </c>
      <c r="B89" s="116" t="s">
        <v>102</v>
      </c>
      <c r="C89" s="122" t="s">
        <v>19</v>
      </c>
      <c r="D89" s="123">
        <v>739</v>
      </c>
      <c r="E89" s="181">
        <v>22075</v>
      </c>
      <c r="F89" s="181">
        <f t="shared" si="5"/>
        <v>16313425</v>
      </c>
      <c r="G89" s="186"/>
      <c r="H89" s="253"/>
      <c r="I89" s="250">
        <f>+'GDR 3760_Pto. 02_Cert. 10'!K89</f>
        <v>0</v>
      </c>
      <c r="J89" s="250"/>
      <c r="K89" s="251">
        <f t="shared" si="10"/>
        <v>0</v>
      </c>
      <c r="L89" s="50">
        <f t="shared" si="11"/>
        <v>0</v>
      </c>
      <c r="M89" s="50">
        <f t="shared" si="12"/>
        <v>0</v>
      </c>
      <c r="N89" s="50">
        <f t="shared" si="13"/>
        <v>0</v>
      </c>
    </row>
    <row r="90" spans="1:14" ht="12.75" customHeight="1" x14ac:dyDescent="0.3">
      <c r="A90" s="100">
        <v>15.02</v>
      </c>
      <c r="B90" s="25" t="s">
        <v>103</v>
      </c>
      <c r="C90" s="110" t="s">
        <v>19</v>
      </c>
      <c r="D90" s="29">
        <v>1439</v>
      </c>
      <c r="E90" s="181">
        <v>8883</v>
      </c>
      <c r="F90" s="181">
        <f t="shared" si="5"/>
        <v>12782637</v>
      </c>
      <c r="G90" s="186"/>
      <c r="H90" s="253"/>
      <c r="I90" s="250">
        <f>+'GDR 3760_Pto. 02_Cert. 10'!K90</f>
        <v>0</v>
      </c>
      <c r="J90" s="250"/>
      <c r="K90" s="251">
        <f t="shared" si="10"/>
        <v>0</v>
      </c>
      <c r="L90" s="50">
        <f t="shared" si="11"/>
        <v>0</v>
      </c>
      <c r="M90" s="50">
        <f t="shared" si="12"/>
        <v>0</v>
      </c>
      <c r="N90" s="50">
        <f t="shared" si="13"/>
        <v>0</v>
      </c>
    </row>
    <row r="91" spans="1:14" ht="12.75" customHeight="1" x14ac:dyDescent="0.3">
      <c r="A91" s="100">
        <v>15.03</v>
      </c>
      <c r="B91" s="25" t="s">
        <v>104</v>
      </c>
      <c r="C91" s="110" t="s">
        <v>19</v>
      </c>
      <c r="D91" s="29">
        <v>462</v>
      </c>
      <c r="E91" s="181">
        <v>14295</v>
      </c>
      <c r="F91" s="181">
        <f t="shared" si="5"/>
        <v>6604290</v>
      </c>
      <c r="G91" s="186"/>
      <c r="H91" s="253"/>
      <c r="I91" s="250">
        <f>+'GDR 3760_Pto. 02_Cert. 10'!K91</f>
        <v>0</v>
      </c>
      <c r="J91" s="250"/>
      <c r="K91" s="251">
        <f t="shared" si="10"/>
        <v>0</v>
      </c>
      <c r="L91" s="50">
        <f t="shared" si="11"/>
        <v>0</v>
      </c>
      <c r="M91" s="50">
        <f t="shared" si="12"/>
        <v>0</v>
      </c>
      <c r="N91" s="50">
        <f t="shared" si="13"/>
        <v>0</v>
      </c>
    </row>
    <row r="92" spans="1:14" ht="12.75" customHeight="1" x14ac:dyDescent="0.3">
      <c r="A92" s="100">
        <v>15.04</v>
      </c>
      <c r="B92" s="25" t="s">
        <v>105</v>
      </c>
      <c r="C92" s="110" t="s">
        <v>19</v>
      </c>
      <c r="D92" s="29">
        <v>144</v>
      </c>
      <c r="E92" s="181">
        <v>7538</v>
      </c>
      <c r="F92" s="181">
        <f t="shared" si="5"/>
        <v>1085472</v>
      </c>
      <c r="G92" s="186"/>
      <c r="H92" s="253"/>
      <c r="I92" s="250">
        <f>+'GDR 3760_Pto. 02_Cert. 10'!K92</f>
        <v>0</v>
      </c>
      <c r="J92" s="250"/>
      <c r="K92" s="251">
        <f t="shared" si="10"/>
        <v>0</v>
      </c>
      <c r="L92" s="50">
        <f t="shared" si="11"/>
        <v>0</v>
      </c>
      <c r="M92" s="50">
        <f t="shared" si="12"/>
        <v>0</v>
      </c>
      <c r="N92" s="50">
        <f t="shared" si="13"/>
        <v>0</v>
      </c>
    </row>
    <row r="93" spans="1:14" ht="12.75" customHeight="1" x14ac:dyDescent="0.3">
      <c r="A93" s="100">
        <v>15.05</v>
      </c>
      <c r="B93" s="25" t="s">
        <v>106</v>
      </c>
      <c r="C93" s="110" t="s">
        <v>19</v>
      </c>
      <c r="D93" s="29">
        <v>460</v>
      </c>
      <c r="E93" s="181">
        <v>8883</v>
      </c>
      <c r="F93" s="181">
        <f t="shared" si="5"/>
        <v>4086180</v>
      </c>
      <c r="G93" s="186"/>
      <c r="H93" s="253"/>
      <c r="I93" s="250">
        <f>+'GDR 3760_Pto. 02_Cert. 10'!K93</f>
        <v>0</v>
      </c>
      <c r="J93" s="250"/>
      <c r="K93" s="251">
        <f t="shared" si="10"/>
        <v>0</v>
      </c>
      <c r="L93" s="50">
        <f t="shared" si="11"/>
        <v>0</v>
      </c>
      <c r="M93" s="50">
        <f t="shared" si="12"/>
        <v>0</v>
      </c>
      <c r="N93" s="50">
        <f t="shared" si="13"/>
        <v>0</v>
      </c>
    </row>
    <row r="94" spans="1:14" ht="12.75" customHeight="1" x14ac:dyDescent="0.3">
      <c r="A94" s="100">
        <v>15.06</v>
      </c>
      <c r="B94" s="25" t="s">
        <v>107</v>
      </c>
      <c r="C94" s="110" t="s">
        <v>19</v>
      </c>
      <c r="D94" s="29">
        <v>204</v>
      </c>
      <c r="E94" s="181">
        <v>15750</v>
      </c>
      <c r="F94" s="181">
        <f t="shared" si="5"/>
        <v>3213000</v>
      </c>
      <c r="G94" s="186"/>
      <c r="H94" s="253"/>
      <c r="I94" s="250">
        <f>+'GDR 3760_Pto. 02_Cert. 10'!K94</f>
        <v>0</v>
      </c>
      <c r="J94" s="250"/>
      <c r="K94" s="251">
        <f t="shared" si="10"/>
        <v>0</v>
      </c>
      <c r="L94" s="50">
        <f t="shared" si="11"/>
        <v>0</v>
      </c>
      <c r="M94" s="50">
        <f t="shared" si="12"/>
        <v>0</v>
      </c>
      <c r="N94" s="50">
        <f t="shared" si="13"/>
        <v>0</v>
      </c>
    </row>
    <row r="95" spans="1:14" ht="12.75" customHeight="1" x14ac:dyDescent="0.3">
      <c r="A95" s="100">
        <v>15.07</v>
      </c>
      <c r="B95" s="25" t="s">
        <v>108</v>
      </c>
      <c r="C95" s="28" t="s">
        <v>19</v>
      </c>
      <c r="D95" s="29">
        <v>262</v>
      </c>
      <c r="E95" s="181">
        <v>17154</v>
      </c>
      <c r="F95" s="181">
        <f t="shared" si="5"/>
        <v>4494348</v>
      </c>
      <c r="G95" s="186"/>
      <c r="H95" s="245"/>
      <c r="I95" s="250">
        <f>+'GDR 3760_Pto. 02_Cert. 10'!K95</f>
        <v>0</v>
      </c>
      <c r="J95" s="250"/>
      <c r="K95" s="251">
        <f t="shared" si="10"/>
        <v>0</v>
      </c>
      <c r="L95" s="50">
        <f t="shared" si="11"/>
        <v>0</v>
      </c>
      <c r="M95" s="50">
        <f t="shared" si="12"/>
        <v>0</v>
      </c>
      <c r="N95" s="50">
        <f t="shared" si="13"/>
        <v>0</v>
      </c>
    </row>
    <row r="96" spans="1:14" ht="12.75" customHeight="1" x14ac:dyDescent="0.3">
      <c r="A96" s="100">
        <v>15.08</v>
      </c>
      <c r="B96" s="25" t="s">
        <v>109</v>
      </c>
      <c r="C96" s="110" t="s">
        <v>19</v>
      </c>
      <c r="D96" s="31">
        <v>756</v>
      </c>
      <c r="E96" s="181">
        <v>26534</v>
      </c>
      <c r="F96" s="181">
        <f t="shared" si="5"/>
        <v>20059704</v>
      </c>
      <c r="G96" s="186"/>
      <c r="H96" s="252"/>
      <c r="I96" s="250">
        <f>+'GDR 3760_Pto. 02_Cert. 10'!K96</f>
        <v>0</v>
      </c>
      <c r="J96" s="250"/>
      <c r="K96" s="251">
        <f t="shared" si="10"/>
        <v>0</v>
      </c>
      <c r="L96" s="50">
        <f t="shared" si="11"/>
        <v>0</v>
      </c>
      <c r="M96" s="50">
        <f t="shared" si="12"/>
        <v>0</v>
      </c>
      <c r="N96" s="50">
        <f t="shared" si="13"/>
        <v>0</v>
      </c>
    </row>
    <row r="97" spans="1:19" ht="12.75" customHeight="1" x14ac:dyDescent="0.3">
      <c r="A97" s="100">
        <v>15.09</v>
      </c>
      <c r="B97" s="25" t="s">
        <v>110</v>
      </c>
      <c r="C97" s="110" t="s">
        <v>19</v>
      </c>
      <c r="D97" s="31">
        <v>56</v>
      </c>
      <c r="E97" s="181">
        <v>31737</v>
      </c>
      <c r="F97" s="181">
        <f t="shared" si="5"/>
        <v>1777272</v>
      </c>
      <c r="G97" s="186"/>
      <c r="H97" s="252"/>
      <c r="I97" s="250">
        <f>+'GDR 3760_Pto. 02_Cert. 10'!K97</f>
        <v>0</v>
      </c>
      <c r="J97" s="250"/>
      <c r="K97" s="251">
        <f t="shared" si="10"/>
        <v>0</v>
      </c>
      <c r="L97" s="50">
        <f t="shared" si="11"/>
        <v>0</v>
      </c>
      <c r="M97" s="50">
        <f t="shared" si="12"/>
        <v>0</v>
      </c>
      <c r="N97" s="50">
        <f t="shared" si="13"/>
        <v>0</v>
      </c>
    </row>
    <row r="98" spans="1:19" ht="12.75" customHeight="1" x14ac:dyDescent="0.3">
      <c r="A98" s="100">
        <v>15.1</v>
      </c>
      <c r="B98" s="25" t="s">
        <v>111</v>
      </c>
      <c r="C98" s="110" t="s">
        <v>29</v>
      </c>
      <c r="D98" s="31">
        <v>1</v>
      </c>
      <c r="E98" s="181">
        <v>885031</v>
      </c>
      <c r="F98" s="181">
        <f t="shared" si="5"/>
        <v>885031</v>
      </c>
      <c r="H98" s="245"/>
      <c r="I98" s="250">
        <f>+'GDR 3760_Pto. 02_Cert. 10'!K98</f>
        <v>0</v>
      </c>
      <c r="J98" s="250"/>
      <c r="K98" s="251">
        <f t="shared" si="10"/>
        <v>0</v>
      </c>
      <c r="L98" s="50">
        <f t="shared" si="11"/>
        <v>0</v>
      </c>
      <c r="M98" s="50">
        <f t="shared" si="12"/>
        <v>0</v>
      </c>
      <c r="N98" s="50">
        <f t="shared" si="13"/>
        <v>0</v>
      </c>
    </row>
    <row r="99" spans="1:19" ht="12.75" customHeight="1" x14ac:dyDescent="0.3">
      <c r="A99" s="100">
        <v>15.11</v>
      </c>
      <c r="B99" s="25" t="s">
        <v>112</v>
      </c>
      <c r="C99" s="110" t="s">
        <v>52</v>
      </c>
      <c r="D99" s="31">
        <v>73</v>
      </c>
      <c r="E99" s="181">
        <v>83386</v>
      </c>
      <c r="F99" s="181">
        <f t="shared" si="5"/>
        <v>6087178</v>
      </c>
      <c r="H99" s="245"/>
      <c r="I99" s="250">
        <f>+'GDR 3760_Pto. 02_Cert. 10'!K99</f>
        <v>0</v>
      </c>
      <c r="J99" s="250"/>
      <c r="K99" s="251">
        <f t="shared" si="10"/>
        <v>0</v>
      </c>
      <c r="L99" s="50">
        <f t="shared" si="11"/>
        <v>0</v>
      </c>
      <c r="M99" s="50">
        <f t="shared" si="12"/>
        <v>0</v>
      </c>
      <c r="N99" s="50">
        <f t="shared" si="13"/>
        <v>0</v>
      </c>
    </row>
    <row r="100" spans="1:19" ht="12.75" customHeight="1" x14ac:dyDescent="0.3">
      <c r="A100" s="100">
        <v>15.12</v>
      </c>
      <c r="B100" s="124" t="s">
        <v>113</v>
      </c>
      <c r="C100" s="111" t="s">
        <v>29</v>
      </c>
      <c r="D100" s="35">
        <v>1</v>
      </c>
      <c r="E100" s="181">
        <v>4286492</v>
      </c>
      <c r="F100" s="181">
        <f t="shared" si="5"/>
        <v>4286492</v>
      </c>
      <c r="H100" s="245"/>
      <c r="I100" s="250">
        <f>+'GDR 3760_Pto. 02_Cert. 10'!K100</f>
        <v>0</v>
      </c>
      <c r="J100" s="250"/>
      <c r="K100" s="251">
        <f t="shared" si="10"/>
        <v>0</v>
      </c>
      <c r="L100" s="50">
        <f t="shared" si="11"/>
        <v>0</v>
      </c>
      <c r="M100" s="50">
        <f t="shared" si="12"/>
        <v>0</v>
      </c>
      <c r="N100" s="50">
        <f t="shared" si="13"/>
        <v>0</v>
      </c>
    </row>
    <row r="101" spans="1:19" ht="12.75" customHeight="1" x14ac:dyDescent="0.3">
      <c r="A101" s="13">
        <v>16</v>
      </c>
      <c r="B101" s="125" t="s">
        <v>114</v>
      </c>
      <c r="C101" s="18"/>
      <c r="D101" s="19"/>
      <c r="E101" s="19"/>
      <c r="F101" s="19"/>
      <c r="G101" s="176">
        <f>+SUM(F102)</f>
        <v>0</v>
      </c>
      <c r="H101" s="245">
        <f>+G101/$G$195</f>
        <v>0</v>
      </c>
      <c r="I101" s="246"/>
      <c r="J101" s="247"/>
      <c r="K101" s="247"/>
      <c r="L101" s="178"/>
      <c r="M101" s="178"/>
      <c r="N101" s="179"/>
    </row>
    <row r="102" spans="1:19" ht="12.75" customHeight="1" x14ac:dyDescent="0.3">
      <c r="A102" s="20"/>
      <c r="B102" s="21"/>
      <c r="C102" s="93"/>
      <c r="D102" s="94"/>
      <c r="E102" s="184">
        <v>0</v>
      </c>
      <c r="F102" s="183">
        <f t="shared" si="5"/>
        <v>0</v>
      </c>
      <c r="G102" s="185"/>
      <c r="H102" s="252"/>
      <c r="I102" s="250">
        <f>+'GDR 3760_Pto. 02_Cert. 10'!K102</f>
        <v>0</v>
      </c>
      <c r="J102" s="250"/>
      <c r="K102" s="251">
        <f t="shared" si="10"/>
        <v>0</v>
      </c>
      <c r="L102" s="50">
        <f t="shared" si="11"/>
        <v>0</v>
      </c>
      <c r="M102" s="50">
        <f t="shared" si="12"/>
        <v>0</v>
      </c>
      <c r="N102" s="50">
        <f t="shared" si="13"/>
        <v>0</v>
      </c>
    </row>
    <row r="103" spans="1:19" ht="12.75" customHeight="1" x14ac:dyDescent="0.3">
      <c r="A103" s="13">
        <v>17</v>
      </c>
      <c r="B103" s="17" t="s">
        <v>115</v>
      </c>
      <c r="C103" s="18"/>
      <c r="D103" s="19"/>
      <c r="E103" s="19"/>
      <c r="F103" s="19"/>
      <c r="G103" s="176">
        <f>+SUM(F104:F107)</f>
        <v>9415299</v>
      </c>
      <c r="H103" s="245">
        <f>+G103/$G$195</f>
        <v>1.1144406649962005E-2</v>
      </c>
      <c r="I103" s="246"/>
      <c r="J103" s="247"/>
      <c r="K103" s="247"/>
      <c r="L103" s="178"/>
      <c r="M103" s="178"/>
      <c r="N103" s="179"/>
    </row>
    <row r="104" spans="1:19" ht="12.75" customHeight="1" x14ac:dyDescent="0.3">
      <c r="A104" s="20">
        <f>+A103+0.01</f>
        <v>17.010000000000002</v>
      </c>
      <c r="B104" s="126" t="s">
        <v>116</v>
      </c>
      <c r="C104" s="127" t="s">
        <v>33</v>
      </c>
      <c r="D104" s="94">
        <v>57</v>
      </c>
      <c r="E104" s="180">
        <v>79321</v>
      </c>
      <c r="F104" s="180">
        <f t="shared" si="5"/>
        <v>4521297</v>
      </c>
      <c r="G104" s="182"/>
      <c r="H104" s="245"/>
      <c r="I104" s="250">
        <f>+'GDR 3760_Pto. 02_Cert. 10'!K104</f>
        <v>0</v>
      </c>
      <c r="J104" s="274">
        <v>0.4</v>
      </c>
      <c r="K104" s="251">
        <f t="shared" si="10"/>
        <v>0.4</v>
      </c>
      <c r="L104" s="50">
        <f t="shared" si="11"/>
        <v>0</v>
      </c>
      <c r="M104" s="50">
        <f t="shared" si="12"/>
        <v>1808518.8</v>
      </c>
      <c r="N104" s="50">
        <f t="shared" si="13"/>
        <v>1808518.8</v>
      </c>
    </row>
    <row r="105" spans="1:19" ht="12.75" customHeight="1" x14ac:dyDescent="0.3">
      <c r="A105" s="24">
        <v>17.02</v>
      </c>
      <c r="B105" s="128" t="s">
        <v>117</v>
      </c>
      <c r="C105" s="129" t="s">
        <v>33</v>
      </c>
      <c r="D105" s="31">
        <v>11</v>
      </c>
      <c r="E105" s="181">
        <v>79321</v>
      </c>
      <c r="F105" s="181">
        <f t="shared" si="5"/>
        <v>872531</v>
      </c>
      <c r="G105" s="182"/>
      <c r="H105" s="245"/>
      <c r="I105" s="250">
        <f>+'GDR 3760_Pto. 02_Cert. 10'!K105</f>
        <v>0</v>
      </c>
      <c r="J105" s="250"/>
      <c r="K105" s="251">
        <f t="shared" si="10"/>
        <v>0</v>
      </c>
      <c r="L105" s="50">
        <f t="shared" si="11"/>
        <v>0</v>
      </c>
      <c r="M105" s="50">
        <f t="shared" si="12"/>
        <v>0</v>
      </c>
      <c r="N105" s="50">
        <f t="shared" si="13"/>
        <v>0</v>
      </c>
    </row>
    <row r="106" spans="1:19" ht="12.75" customHeight="1" x14ac:dyDescent="0.3">
      <c r="A106" s="24">
        <v>17.03</v>
      </c>
      <c r="B106" s="128" t="s">
        <v>118</v>
      </c>
      <c r="C106" s="129" t="s">
        <v>33</v>
      </c>
      <c r="D106" s="31">
        <v>65</v>
      </c>
      <c r="E106" s="181">
        <v>51161</v>
      </c>
      <c r="F106" s="181">
        <f t="shared" si="5"/>
        <v>3325465</v>
      </c>
      <c r="G106" s="182"/>
      <c r="H106" s="245"/>
      <c r="I106" s="250">
        <f>+'GDR 3760_Pto. 02_Cert. 10'!K106</f>
        <v>0</v>
      </c>
      <c r="J106" s="274">
        <v>0.4</v>
      </c>
      <c r="K106" s="251">
        <f t="shared" si="10"/>
        <v>0.4</v>
      </c>
      <c r="L106" s="50">
        <f t="shared" si="11"/>
        <v>0</v>
      </c>
      <c r="M106" s="50">
        <f t="shared" si="12"/>
        <v>1330186</v>
      </c>
      <c r="N106" s="50">
        <f t="shared" si="13"/>
        <v>1330186</v>
      </c>
      <c r="Q106" s="245"/>
    </row>
    <row r="107" spans="1:19" ht="12.75" customHeight="1" x14ac:dyDescent="0.3">
      <c r="A107" s="130">
        <v>17.04</v>
      </c>
      <c r="B107" s="38" t="s">
        <v>119</v>
      </c>
      <c r="C107" s="34" t="s">
        <v>33</v>
      </c>
      <c r="D107" s="35">
        <v>6</v>
      </c>
      <c r="E107" s="189">
        <v>116001</v>
      </c>
      <c r="F107" s="189">
        <f t="shared" si="5"/>
        <v>696006</v>
      </c>
      <c r="G107" s="182"/>
      <c r="H107" s="245"/>
      <c r="I107" s="250">
        <f>+'GDR 3760_Pto. 02_Cert. 10'!K107</f>
        <v>0</v>
      </c>
      <c r="J107" s="250"/>
      <c r="K107" s="251">
        <f t="shared" si="10"/>
        <v>0</v>
      </c>
      <c r="L107" s="50">
        <f t="shared" si="11"/>
        <v>0</v>
      </c>
      <c r="M107" s="50">
        <f t="shared" si="12"/>
        <v>0</v>
      </c>
      <c r="N107" s="50">
        <f t="shared" si="13"/>
        <v>0</v>
      </c>
    </row>
    <row r="108" spans="1:19" ht="12.75" customHeight="1" x14ac:dyDescent="0.3">
      <c r="A108" s="13">
        <v>18</v>
      </c>
      <c r="B108" s="40" t="s">
        <v>120</v>
      </c>
      <c r="C108" s="18"/>
      <c r="D108" s="19"/>
      <c r="E108" s="19"/>
      <c r="F108" s="19"/>
      <c r="G108" s="176">
        <f>+SUM(F109:F141)</f>
        <v>87609553</v>
      </c>
      <c r="H108" s="245">
        <f>+G108/$G$195</f>
        <v>0.10369893564223492</v>
      </c>
      <c r="I108" s="246"/>
      <c r="J108" s="247"/>
      <c r="K108" s="247"/>
      <c r="L108" s="178"/>
      <c r="M108" s="178"/>
      <c r="N108" s="179"/>
    </row>
    <row r="109" spans="1:19" ht="12.75" customHeight="1" x14ac:dyDescent="0.3">
      <c r="A109" s="115">
        <f>+A108+0.01</f>
        <v>18.010000000000002</v>
      </c>
      <c r="B109" s="131" t="s">
        <v>121</v>
      </c>
      <c r="C109" s="132" t="s">
        <v>33</v>
      </c>
      <c r="D109" s="94">
        <v>260</v>
      </c>
      <c r="E109" s="180">
        <v>76531</v>
      </c>
      <c r="F109" s="180">
        <f t="shared" si="5"/>
        <v>19898060</v>
      </c>
      <c r="H109" s="245"/>
      <c r="I109" s="250">
        <f>+'GDR 3760_Pto. 02_Cert. 10'!K109</f>
        <v>0.35499999999999998</v>
      </c>
      <c r="J109" s="250">
        <v>0.1</v>
      </c>
      <c r="K109" s="251">
        <f t="shared" si="10"/>
        <v>0.45499999999999996</v>
      </c>
      <c r="L109" s="50">
        <f t="shared" si="11"/>
        <v>7063811.2999999998</v>
      </c>
      <c r="M109" s="50">
        <f t="shared" si="12"/>
        <v>1989806</v>
      </c>
      <c r="N109" s="50">
        <f t="shared" si="13"/>
        <v>9053617.2999999989</v>
      </c>
      <c r="Q109" s="263"/>
      <c r="S109" s="262"/>
    </row>
    <row r="110" spans="1:19" ht="12.75" customHeight="1" x14ac:dyDescent="0.3">
      <c r="A110" s="100">
        <v>18.02</v>
      </c>
      <c r="B110" s="98" t="s">
        <v>122</v>
      </c>
      <c r="C110" s="133" t="s">
        <v>33</v>
      </c>
      <c r="D110" s="31">
        <v>62</v>
      </c>
      <c r="E110" s="181">
        <v>73235</v>
      </c>
      <c r="F110" s="181">
        <f t="shared" si="5"/>
        <v>4540570</v>
      </c>
      <c r="H110" s="245"/>
      <c r="I110" s="250">
        <f>+'GDR 3760_Pto. 02_Cert. 10'!K110</f>
        <v>0.315</v>
      </c>
      <c r="J110" s="250">
        <v>0.08</v>
      </c>
      <c r="K110" s="251">
        <f t="shared" si="10"/>
        <v>0.39500000000000002</v>
      </c>
      <c r="L110" s="50">
        <f t="shared" si="11"/>
        <v>1430279.55</v>
      </c>
      <c r="M110" s="50">
        <f t="shared" si="12"/>
        <v>363245.60000000003</v>
      </c>
      <c r="N110" s="50">
        <f t="shared" si="13"/>
        <v>1793525.1500000001</v>
      </c>
      <c r="Q110" s="263"/>
      <c r="S110" s="262"/>
    </row>
    <row r="111" spans="1:19" ht="12.75" customHeight="1" x14ac:dyDescent="0.3">
      <c r="A111" s="100">
        <v>18.03</v>
      </c>
      <c r="B111" s="98" t="s">
        <v>123</v>
      </c>
      <c r="C111" s="133" t="s">
        <v>33</v>
      </c>
      <c r="D111" s="31">
        <v>12</v>
      </c>
      <c r="E111" s="181">
        <v>73235</v>
      </c>
      <c r="F111" s="181">
        <f t="shared" si="5"/>
        <v>878820</v>
      </c>
      <c r="H111" s="245"/>
      <c r="I111" s="250">
        <f>+'GDR 3760_Pto. 02_Cert. 10'!K111</f>
        <v>0.65499999999999992</v>
      </c>
      <c r="J111" s="250"/>
      <c r="K111" s="251">
        <f t="shared" si="10"/>
        <v>0.65499999999999992</v>
      </c>
      <c r="L111" s="50">
        <f t="shared" si="11"/>
        <v>575627.1</v>
      </c>
      <c r="M111" s="50">
        <f t="shared" si="12"/>
        <v>0</v>
      </c>
      <c r="N111" s="50">
        <f t="shared" si="13"/>
        <v>575627.1</v>
      </c>
      <c r="Q111" s="263"/>
      <c r="S111" s="262"/>
    </row>
    <row r="112" spans="1:19" ht="12.75" customHeight="1" x14ac:dyDescent="0.3">
      <c r="A112" s="100">
        <v>18.04</v>
      </c>
      <c r="B112" s="98" t="s">
        <v>124</v>
      </c>
      <c r="C112" s="133" t="s">
        <v>33</v>
      </c>
      <c r="D112" s="31">
        <v>16</v>
      </c>
      <c r="E112" s="181">
        <v>73235</v>
      </c>
      <c r="F112" s="181">
        <f t="shared" si="5"/>
        <v>1171760</v>
      </c>
      <c r="H112" s="245"/>
      <c r="I112" s="250">
        <f>+'GDR 3760_Pto. 02_Cert. 10'!K112</f>
        <v>0.55499999999999994</v>
      </c>
      <c r="J112" s="250"/>
      <c r="K112" s="251">
        <f t="shared" si="10"/>
        <v>0.55499999999999994</v>
      </c>
      <c r="L112" s="50">
        <f t="shared" si="11"/>
        <v>650326.79999999993</v>
      </c>
      <c r="M112" s="50">
        <f t="shared" si="12"/>
        <v>0</v>
      </c>
      <c r="N112" s="50">
        <f t="shared" si="13"/>
        <v>650326.79999999993</v>
      </c>
      <c r="Q112" s="263"/>
      <c r="S112" s="262"/>
    </row>
    <row r="113" spans="1:19" ht="12.75" customHeight="1" x14ac:dyDescent="0.3">
      <c r="A113" s="100">
        <v>18.05</v>
      </c>
      <c r="B113" s="98" t="s">
        <v>125</v>
      </c>
      <c r="C113" s="133" t="s">
        <v>33</v>
      </c>
      <c r="D113" s="31">
        <v>1</v>
      </c>
      <c r="E113" s="181">
        <v>73235</v>
      </c>
      <c r="F113" s="181">
        <f t="shared" si="5"/>
        <v>73235</v>
      </c>
      <c r="H113" s="245"/>
      <c r="I113" s="250">
        <f>+'GDR 3760_Pto. 02_Cert. 10'!K113</f>
        <v>0.4</v>
      </c>
      <c r="J113" s="250"/>
      <c r="K113" s="251">
        <f t="shared" si="10"/>
        <v>0.4</v>
      </c>
      <c r="L113" s="50">
        <f t="shared" si="11"/>
        <v>29294</v>
      </c>
      <c r="M113" s="50">
        <f t="shared" si="12"/>
        <v>0</v>
      </c>
      <c r="N113" s="50">
        <f t="shared" si="13"/>
        <v>29294</v>
      </c>
    </row>
    <row r="114" spans="1:19" ht="12.75" customHeight="1" x14ac:dyDescent="0.3">
      <c r="A114" s="100">
        <v>18.059999999999999</v>
      </c>
      <c r="B114" s="98" t="s">
        <v>126</v>
      </c>
      <c r="C114" s="133" t="s">
        <v>33</v>
      </c>
      <c r="D114" s="31">
        <v>24</v>
      </c>
      <c r="E114" s="181">
        <v>73235</v>
      </c>
      <c r="F114" s="181">
        <f t="shared" si="5"/>
        <v>1757640</v>
      </c>
      <c r="H114" s="245"/>
      <c r="I114" s="250">
        <f>+'GDR 3760_Pto. 02_Cert. 10'!K114</f>
        <v>0.4</v>
      </c>
      <c r="J114" s="250"/>
      <c r="K114" s="251">
        <f t="shared" si="10"/>
        <v>0.4</v>
      </c>
      <c r="L114" s="50">
        <f t="shared" si="11"/>
        <v>703056</v>
      </c>
      <c r="M114" s="50">
        <f t="shared" si="12"/>
        <v>0</v>
      </c>
      <c r="N114" s="50">
        <f t="shared" si="13"/>
        <v>703056</v>
      </c>
      <c r="P114" s="262"/>
    </row>
    <row r="115" spans="1:19" ht="12.75" customHeight="1" x14ac:dyDescent="0.3">
      <c r="A115" s="100">
        <v>18.07</v>
      </c>
      <c r="B115" s="98" t="s">
        <v>127</v>
      </c>
      <c r="C115" s="133" t="s">
        <v>33</v>
      </c>
      <c r="D115" s="31">
        <v>226</v>
      </c>
      <c r="E115" s="181">
        <v>69154</v>
      </c>
      <c r="F115" s="181">
        <f t="shared" si="5"/>
        <v>15628804</v>
      </c>
      <c r="H115" s="245"/>
      <c r="I115" s="250">
        <f>+'GDR 3760_Pto. 02_Cert. 10'!K115</f>
        <v>0.30299999999999999</v>
      </c>
      <c r="J115" s="250">
        <v>0.1</v>
      </c>
      <c r="K115" s="251">
        <f t="shared" si="10"/>
        <v>0.40300000000000002</v>
      </c>
      <c r="L115" s="50">
        <f t="shared" si="11"/>
        <v>4735527.6119999997</v>
      </c>
      <c r="M115" s="50">
        <f t="shared" si="12"/>
        <v>1562880.4000000001</v>
      </c>
      <c r="N115" s="50">
        <f t="shared" si="13"/>
        <v>6298408.0120000001</v>
      </c>
      <c r="Q115" s="263"/>
    </row>
    <row r="116" spans="1:19" ht="12.75" customHeight="1" x14ac:dyDescent="0.3">
      <c r="A116" s="100">
        <v>18.079999999999998</v>
      </c>
      <c r="B116" s="98" t="s">
        <v>128</v>
      </c>
      <c r="C116" s="133" t="s">
        <v>33</v>
      </c>
      <c r="D116" s="31">
        <v>32</v>
      </c>
      <c r="E116" s="181">
        <v>95308</v>
      </c>
      <c r="F116" s="181">
        <f t="shared" si="5"/>
        <v>3049856</v>
      </c>
      <c r="H116" s="245"/>
      <c r="I116" s="250">
        <f>+'GDR 3760_Pto. 02_Cert. 10'!K116</f>
        <v>0.30000000000000004</v>
      </c>
      <c r="J116" s="250">
        <v>0.1</v>
      </c>
      <c r="K116" s="251">
        <f t="shared" si="10"/>
        <v>0.4</v>
      </c>
      <c r="L116" s="50">
        <f t="shared" si="11"/>
        <v>914956.80000000016</v>
      </c>
      <c r="M116" s="50">
        <f t="shared" si="12"/>
        <v>304985.60000000003</v>
      </c>
      <c r="N116" s="50">
        <f t="shared" si="13"/>
        <v>1219942.4000000001</v>
      </c>
    </row>
    <row r="117" spans="1:19" ht="12.75" customHeight="1" x14ac:dyDescent="0.3">
      <c r="A117" s="100">
        <v>18.09</v>
      </c>
      <c r="B117" s="98" t="s">
        <v>129</v>
      </c>
      <c r="C117" s="133" t="s">
        <v>33</v>
      </c>
      <c r="D117" s="31">
        <v>8</v>
      </c>
      <c r="E117" s="181">
        <v>69154</v>
      </c>
      <c r="F117" s="181">
        <f t="shared" si="5"/>
        <v>553232</v>
      </c>
      <c r="H117" s="245"/>
      <c r="I117" s="250">
        <f>+'GDR 3760_Pto. 02_Cert. 10'!K117</f>
        <v>0</v>
      </c>
      <c r="J117" s="250"/>
      <c r="K117" s="251">
        <f t="shared" si="10"/>
        <v>0</v>
      </c>
      <c r="L117" s="50">
        <f t="shared" si="11"/>
        <v>0</v>
      </c>
      <c r="M117" s="50">
        <f t="shared" si="12"/>
        <v>0</v>
      </c>
      <c r="N117" s="50">
        <f t="shared" si="13"/>
        <v>0</v>
      </c>
    </row>
    <row r="118" spans="1:19" ht="12.75" customHeight="1" x14ac:dyDescent="0.3">
      <c r="A118" s="100">
        <v>18.100000000000001</v>
      </c>
      <c r="B118" s="98" t="s">
        <v>130</v>
      </c>
      <c r="C118" s="133" t="s">
        <v>33</v>
      </c>
      <c r="D118" s="31">
        <v>8</v>
      </c>
      <c r="E118" s="181">
        <v>69154</v>
      </c>
      <c r="F118" s="181">
        <f t="shared" si="5"/>
        <v>553232</v>
      </c>
      <c r="H118" s="245"/>
      <c r="I118" s="250">
        <f>+'GDR 3760_Pto. 02_Cert. 10'!K118</f>
        <v>0.45</v>
      </c>
      <c r="J118" s="250"/>
      <c r="K118" s="251">
        <f t="shared" si="10"/>
        <v>0.45</v>
      </c>
      <c r="L118" s="50">
        <f t="shared" si="11"/>
        <v>248954.4</v>
      </c>
      <c r="M118" s="50">
        <f t="shared" si="12"/>
        <v>0</v>
      </c>
      <c r="N118" s="50">
        <f t="shared" si="13"/>
        <v>248954.4</v>
      </c>
    </row>
    <row r="119" spans="1:19" ht="12.75" customHeight="1" x14ac:dyDescent="0.3">
      <c r="A119" s="100">
        <v>18.11</v>
      </c>
      <c r="B119" s="98" t="s">
        <v>131</v>
      </c>
      <c r="C119" s="133" t="s">
        <v>33</v>
      </c>
      <c r="D119" s="31">
        <v>26</v>
      </c>
      <c r="E119" s="181">
        <v>50616</v>
      </c>
      <c r="F119" s="181">
        <f t="shared" si="5"/>
        <v>1316016</v>
      </c>
      <c r="H119" s="245"/>
      <c r="I119" s="250">
        <f>+'GDR 3760_Pto. 02_Cert. 10'!K119</f>
        <v>0</v>
      </c>
      <c r="J119" s="250"/>
      <c r="K119" s="251">
        <f t="shared" si="10"/>
        <v>0</v>
      </c>
      <c r="L119" s="50">
        <f t="shared" si="11"/>
        <v>0</v>
      </c>
      <c r="M119" s="50">
        <f t="shared" si="12"/>
        <v>0</v>
      </c>
      <c r="N119" s="50">
        <f t="shared" si="13"/>
        <v>0</v>
      </c>
    </row>
    <row r="120" spans="1:19" ht="12.75" customHeight="1" x14ac:dyDescent="0.3">
      <c r="A120" s="100">
        <v>18.12</v>
      </c>
      <c r="B120" s="98" t="s">
        <v>132</v>
      </c>
      <c r="C120" s="133" t="s">
        <v>33</v>
      </c>
      <c r="D120" s="31">
        <v>27</v>
      </c>
      <c r="E120" s="181">
        <v>50616</v>
      </c>
      <c r="F120" s="181">
        <f t="shared" si="5"/>
        <v>1366632</v>
      </c>
      <c r="H120" s="245"/>
      <c r="I120" s="250">
        <f>+'GDR 3760_Pto. 02_Cert. 10'!K120</f>
        <v>0.45</v>
      </c>
      <c r="J120" s="250">
        <v>0.05</v>
      </c>
      <c r="K120" s="251">
        <f t="shared" si="10"/>
        <v>0.5</v>
      </c>
      <c r="L120" s="50">
        <f t="shared" si="11"/>
        <v>614984.4</v>
      </c>
      <c r="M120" s="50">
        <f t="shared" si="12"/>
        <v>68331.600000000006</v>
      </c>
      <c r="N120" s="50">
        <f t="shared" si="13"/>
        <v>683316</v>
      </c>
    </row>
    <row r="121" spans="1:19" ht="12.75" customHeight="1" x14ac:dyDescent="0.3">
      <c r="A121" s="100">
        <v>18.13</v>
      </c>
      <c r="B121" s="98" t="s">
        <v>133</v>
      </c>
      <c r="C121" s="133" t="s">
        <v>33</v>
      </c>
      <c r="D121" s="31">
        <v>9</v>
      </c>
      <c r="E121" s="181">
        <v>50616</v>
      </c>
      <c r="F121" s="181">
        <f t="shared" si="5"/>
        <v>455544</v>
      </c>
      <c r="H121" s="245"/>
      <c r="I121" s="250">
        <f>+'GDR 3760_Pto. 02_Cert. 10'!K121</f>
        <v>0</v>
      </c>
      <c r="J121" s="250"/>
      <c r="K121" s="251">
        <f t="shared" si="10"/>
        <v>0</v>
      </c>
      <c r="L121" s="50">
        <f t="shared" si="11"/>
        <v>0</v>
      </c>
      <c r="M121" s="50">
        <f t="shared" si="12"/>
        <v>0</v>
      </c>
      <c r="N121" s="50">
        <f t="shared" si="13"/>
        <v>0</v>
      </c>
    </row>
    <row r="122" spans="1:19" ht="12.75" customHeight="1" x14ac:dyDescent="0.3">
      <c r="A122" s="100">
        <v>18.14</v>
      </c>
      <c r="B122" s="98" t="s">
        <v>134</v>
      </c>
      <c r="C122" s="133" t="s">
        <v>33</v>
      </c>
      <c r="D122" s="31">
        <v>29</v>
      </c>
      <c r="E122" s="181">
        <v>50616</v>
      </c>
      <c r="F122" s="181">
        <f t="shared" si="5"/>
        <v>1467864</v>
      </c>
      <c r="H122" s="245"/>
      <c r="I122" s="250">
        <f>+'GDR 3760_Pto. 02_Cert. 10'!K122</f>
        <v>0.45</v>
      </c>
      <c r="J122" s="250">
        <v>0.05</v>
      </c>
      <c r="K122" s="251">
        <f t="shared" si="10"/>
        <v>0.5</v>
      </c>
      <c r="L122" s="50">
        <f t="shared" si="11"/>
        <v>660538.80000000005</v>
      </c>
      <c r="M122" s="50">
        <f t="shared" si="12"/>
        <v>73393.2</v>
      </c>
      <c r="N122" s="50">
        <f t="shared" si="13"/>
        <v>733932</v>
      </c>
    </row>
    <row r="123" spans="1:19" ht="12.75" customHeight="1" x14ac:dyDescent="0.3">
      <c r="A123" s="100">
        <v>18.149999999999999</v>
      </c>
      <c r="B123" s="98" t="s">
        <v>135</v>
      </c>
      <c r="C123" s="133" t="s">
        <v>33</v>
      </c>
      <c r="D123" s="31">
        <v>3</v>
      </c>
      <c r="E123" s="181">
        <v>50616</v>
      </c>
      <c r="F123" s="181">
        <f t="shared" si="5"/>
        <v>151848</v>
      </c>
      <c r="H123" s="245"/>
      <c r="I123" s="250">
        <f>+'GDR 3760_Pto. 02_Cert. 10'!K123</f>
        <v>0.4</v>
      </c>
      <c r="J123" s="250"/>
      <c r="K123" s="251">
        <f t="shared" si="10"/>
        <v>0.4</v>
      </c>
      <c r="L123" s="50">
        <f t="shared" si="11"/>
        <v>60739.200000000004</v>
      </c>
      <c r="M123" s="50">
        <f t="shared" si="12"/>
        <v>0</v>
      </c>
      <c r="N123" s="50">
        <f t="shared" si="13"/>
        <v>60739.200000000004</v>
      </c>
      <c r="Q123" s="263"/>
      <c r="S123" s="262"/>
    </row>
    <row r="124" spans="1:19" ht="12.75" customHeight="1" x14ac:dyDescent="0.3">
      <c r="A124" s="100">
        <v>18.16</v>
      </c>
      <c r="B124" s="98" t="s">
        <v>136</v>
      </c>
      <c r="C124" s="133" t="s">
        <v>33</v>
      </c>
      <c r="D124" s="31">
        <v>1</v>
      </c>
      <c r="E124" s="181">
        <v>2245770</v>
      </c>
      <c r="F124" s="181">
        <f t="shared" si="5"/>
        <v>2245770</v>
      </c>
      <c r="H124" s="245"/>
      <c r="I124" s="250">
        <f>+'GDR 3760_Pto. 02_Cert. 10'!K124</f>
        <v>0</v>
      </c>
      <c r="J124" s="250"/>
      <c r="K124" s="251">
        <f t="shared" si="10"/>
        <v>0</v>
      </c>
      <c r="L124" s="50">
        <f t="shared" si="11"/>
        <v>0</v>
      </c>
      <c r="M124" s="50">
        <f t="shared" si="12"/>
        <v>0</v>
      </c>
      <c r="N124" s="50">
        <f t="shared" si="13"/>
        <v>0</v>
      </c>
    </row>
    <row r="125" spans="1:19" ht="12.75" customHeight="1" x14ac:dyDescent="0.3">
      <c r="A125" s="100">
        <v>18.170000000000002</v>
      </c>
      <c r="B125" s="98" t="s">
        <v>137</v>
      </c>
      <c r="C125" s="133" t="s">
        <v>33</v>
      </c>
      <c r="D125" s="31">
        <v>1</v>
      </c>
      <c r="E125" s="181">
        <v>1116033</v>
      </c>
      <c r="F125" s="181">
        <f t="shared" si="5"/>
        <v>1116033</v>
      </c>
      <c r="H125" s="245"/>
      <c r="I125" s="250">
        <f>+'GDR 3760_Pto. 02_Cert. 10'!K125</f>
        <v>0</v>
      </c>
      <c r="J125" s="250"/>
      <c r="K125" s="251">
        <f t="shared" si="10"/>
        <v>0</v>
      </c>
      <c r="L125" s="50">
        <f t="shared" si="11"/>
        <v>0</v>
      </c>
      <c r="M125" s="50">
        <f t="shared" si="12"/>
        <v>0</v>
      </c>
      <c r="N125" s="50">
        <f t="shared" si="13"/>
        <v>0</v>
      </c>
    </row>
    <row r="126" spans="1:19" ht="12.75" customHeight="1" x14ac:dyDescent="0.3">
      <c r="A126" s="100">
        <v>18.18</v>
      </c>
      <c r="B126" s="98" t="s">
        <v>138</v>
      </c>
      <c r="C126" s="133" t="s">
        <v>33</v>
      </c>
      <c r="D126" s="31">
        <v>2</v>
      </c>
      <c r="E126" s="181">
        <v>530996</v>
      </c>
      <c r="F126" s="181">
        <f t="shared" si="5"/>
        <v>1061992</v>
      </c>
      <c r="H126" s="245"/>
      <c r="I126" s="250">
        <f>+'GDR 3760_Pto. 02_Cert. 10'!K126</f>
        <v>0</v>
      </c>
      <c r="J126" s="250"/>
      <c r="K126" s="251">
        <f t="shared" si="10"/>
        <v>0</v>
      </c>
      <c r="L126" s="50">
        <f t="shared" si="11"/>
        <v>0</v>
      </c>
      <c r="M126" s="50">
        <f t="shared" si="12"/>
        <v>0</v>
      </c>
      <c r="N126" s="50">
        <f t="shared" si="13"/>
        <v>0</v>
      </c>
    </row>
    <row r="127" spans="1:19" ht="12.75" customHeight="1" x14ac:dyDescent="0.3">
      <c r="A127" s="100">
        <v>18.190000000000001</v>
      </c>
      <c r="B127" s="98" t="s">
        <v>139</v>
      </c>
      <c r="C127" s="133" t="s">
        <v>33</v>
      </c>
      <c r="D127" s="31">
        <v>9</v>
      </c>
      <c r="E127" s="181">
        <v>595409</v>
      </c>
      <c r="F127" s="181">
        <f t="shared" si="5"/>
        <v>5358681</v>
      </c>
      <c r="H127" s="245"/>
      <c r="I127" s="250">
        <f>+'GDR 3760_Pto. 02_Cert. 10'!K127</f>
        <v>0</v>
      </c>
      <c r="J127" s="250">
        <v>0.1</v>
      </c>
      <c r="K127" s="251">
        <f t="shared" si="10"/>
        <v>0.1</v>
      </c>
      <c r="L127" s="50">
        <f t="shared" si="11"/>
        <v>0</v>
      </c>
      <c r="M127" s="50">
        <f t="shared" si="12"/>
        <v>535868.1</v>
      </c>
      <c r="N127" s="50">
        <f t="shared" si="13"/>
        <v>535868.1</v>
      </c>
    </row>
    <row r="128" spans="1:19" ht="12.75" customHeight="1" x14ac:dyDescent="0.3">
      <c r="A128" s="100">
        <v>18.2</v>
      </c>
      <c r="B128" s="98" t="s">
        <v>140</v>
      </c>
      <c r="C128" s="133" t="s">
        <v>29</v>
      </c>
      <c r="D128" s="31">
        <v>1</v>
      </c>
      <c r="E128" s="181">
        <v>6378278</v>
      </c>
      <c r="F128" s="181">
        <f t="shared" si="5"/>
        <v>6378278</v>
      </c>
      <c r="H128" s="245"/>
      <c r="I128" s="250">
        <f>+'GDR 3760_Pto. 02_Cert. 10'!K128</f>
        <v>0</v>
      </c>
      <c r="J128" s="250"/>
      <c r="K128" s="251">
        <f t="shared" si="10"/>
        <v>0</v>
      </c>
      <c r="L128" s="50">
        <f t="shared" si="11"/>
        <v>0</v>
      </c>
      <c r="M128" s="50">
        <f t="shared" si="12"/>
        <v>0</v>
      </c>
      <c r="N128" s="50">
        <f t="shared" si="13"/>
        <v>0</v>
      </c>
    </row>
    <row r="129" spans="1:14" ht="12.75" customHeight="1" x14ac:dyDescent="0.3">
      <c r="A129" s="100">
        <v>18.21</v>
      </c>
      <c r="B129" s="98" t="s">
        <v>141</v>
      </c>
      <c r="C129" s="133" t="s">
        <v>29</v>
      </c>
      <c r="D129" s="31">
        <v>1</v>
      </c>
      <c r="E129" s="181">
        <v>1695726</v>
      </c>
      <c r="F129" s="181">
        <f t="shared" si="5"/>
        <v>1695726</v>
      </c>
      <c r="H129" s="245"/>
      <c r="I129" s="250">
        <f>+'GDR 3760_Pto. 02_Cert. 10'!K129</f>
        <v>0</v>
      </c>
      <c r="J129" s="250"/>
      <c r="K129" s="251">
        <f t="shared" si="10"/>
        <v>0</v>
      </c>
      <c r="L129" s="50">
        <f t="shared" si="11"/>
        <v>0</v>
      </c>
      <c r="M129" s="50">
        <f t="shared" si="12"/>
        <v>0</v>
      </c>
      <c r="N129" s="50">
        <f t="shared" si="13"/>
        <v>0</v>
      </c>
    </row>
    <row r="130" spans="1:14" ht="12.75" customHeight="1" x14ac:dyDescent="0.3">
      <c r="A130" s="100">
        <v>18.22</v>
      </c>
      <c r="B130" s="98" t="s">
        <v>142</v>
      </c>
      <c r="C130" s="133" t="s">
        <v>29</v>
      </c>
      <c r="D130" s="31">
        <v>1</v>
      </c>
      <c r="E130" s="181">
        <v>1695726</v>
      </c>
      <c r="F130" s="181">
        <f t="shared" si="5"/>
        <v>1695726</v>
      </c>
      <c r="H130" s="245"/>
      <c r="I130" s="250">
        <f>+'GDR 3760_Pto. 02_Cert. 10'!K130</f>
        <v>0</v>
      </c>
      <c r="J130" s="250"/>
      <c r="K130" s="251">
        <f t="shared" si="10"/>
        <v>0</v>
      </c>
      <c r="L130" s="50">
        <f t="shared" si="11"/>
        <v>0</v>
      </c>
      <c r="M130" s="50">
        <f t="shared" si="12"/>
        <v>0</v>
      </c>
      <c r="N130" s="50">
        <f t="shared" si="13"/>
        <v>0</v>
      </c>
    </row>
    <row r="131" spans="1:14" ht="12.75" customHeight="1" x14ac:dyDescent="0.3">
      <c r="A131" s="100">
        <v>18.23</v>
      </c>
      <c r="B131" s="98" t="s">
        <v>143</v>
      </c>
      <c r="C131" s="133" t="s">
        <v>33</v>
      </c>
      <c r="D131" s="31">
        <v>16</v>
      </c>
      <c r="E131" s="181">
        <v>15984</v>
      </c>
      <c r="F131" s="181">
        <f t="shared" si="5"/>
        <v>255744</v>
      </c>
      <c r="H131" s="245"/>
      <c r="I131" s="250">
        <f>+'GDR 3760_Pto. 02_Cert. 10'!K131</f>
        <v>0</v>
      </c>
      <c r="J131" s="250"/>
      <c r="K131" s="251">
        <f t="shared" si="10"/>
        <v>0</v>
      </c>
      <c r="L131" s="50">
        <f t="shared" si="11"/>
        <v>0</v>
      </c>
      <c r="M131" s="50">
        <f t="shared" si="12"/>
        <v>0</v>
      </c>
      <c r="N131" s="50">
        <f t="shared" si="13"/>
        <v>0</v>
      </c>
    </row>
    <row r="132" spans="1:14" ht="12.75" customHeight="1" x14ac:dyDescent="0.3">
      <c r="A132" s="100">
        <v>18.239999999999998</v>
      </c>
      <c r="B132" s="98" t="s">
        <v>144</v>
      </c>
      <c r="C132" s="133" t="s">
        <v>33</v>
      </c>
      <c r="D132" s="31">
        <v>140</v>
      </c>
      <c r="E132" s="181">
        <v>10416</v>
      </c>
      <c r="F132" s="181">
        <f t="shared" si="5"/>
        <v>1458240</v>
      </c>
      <c r="H132" s="245"/>
      <c r="I132" s="250">
        <f>+'GDR 3760_Pto. 02_Cert. 10'!K132</f>
        <v>0</v>
      </c>
      <c r="J132" s="250"/>
      <c r="K132" s="251">
        <f t="shared" si="10"/>
        <v>0</v>
      </c>
      <c r="L132" s="50">
        <f t="shared" si="11"/>
        <v>0</v>
      </c>
      <c r="M132" s="50">
        <f t="shared" si="12"/>
        <v>0</v>
      </c>
      <c r="N132" s="50">
        <f t="shared" si="13"/>
        <v>0</v>
      </c>
    </row>
    <row r="133" spans="1:14" ht="12.75" customHeight="1" x14ac:dyDescent="0.3">
      <c r="A133" s="100">
        <v>18.25</v>
      </c>
      <c r="B133" s="98" t="s">
        <v>145</v>
      </c>
      <c r="C133" s="133" t="s">
        <v>33</v>
      </c>
      <c r="D133" s="31">
        <v>226</v>
      </c>
      <c r="E133" s="181">
        <v>10416</v>
      </c>
      <c r="F133" s="181">
        <f t="shared" si="5"/>
        <v>2354016</v>
      </c>
      <c r="H133" s="245"/>
      <c r="I133" s="250">
        <f>+'GDR 3760_Pto. 02_Cert. 10'!K133</f>
        <v>0</v>
      </c>
      <c r="J133" s="250"/>
      <c r="K133" s="251">
        <f t="shared" si="10"/>
        <v>0</v>
      </c>
      <c r="L133" s="50">
        <f t="shared" si="11"/>
        <v>0</v>
      </c>
      <c r="M133" s="50">
        <f t="shared" si="12"/>
        <v>0</v>
      </c>
      <c r="N133" s="50">
        <f t="shared" si="13"/>
        <v>0</v>
      </c>
    </row>
    <row r="134" spans="1:14" ht="12.75" customHeight="1" x14ac:dyDescent="0.3">
      <c r="A134" s="100">
        <v>18.260000000000002</v>
      </c>
      <c r="B134" s="98" t="s">
        <v>146</v>
      </c>
      <c r="C134" s="133" t="s">
        <v>33</v>
      </c>
      <c r="D134" s="31">
        <v>8</v>
      </c>
      <c r="E134" s="181">
        <v>25377</v>
      </c>
      <c r="F134" s="181">
        <f t="shared" si="5"/>
        <v>203016</v>
      </c>
      <c r="H134" s="245"/>
      <c r="I134" s="250">
        <f>+'GDR 3760_Pto. 02_Cert. 10'!K134</f>
        <v>0</v>
      </c>
      <c r="J134" s="250"/>
      <c r="K134" s="251">
        <f t="shared" si="10"/>
        <v>0</v>
      </c>
      <c r="L134" s="50">
        <f t="shared" si="11"/>
        <v>0</v>
      </c>
      <c r="M134" s="50">
        <f t="shared" si="12"/>
        <v>0</v>
      </c>
      <c r="N134" s="50">
        <f t="shared" si="13"/>
        <v>0</v>
      </c>
    </row>
    <row r="135" spans="1:14" ht="12.75" customHeight="1" x14ac:dyDescent="0.3">
      <c r="A135" s="100">
        <v>18.27</v>
      </c>
      <c r="B135" s="98" t="s">
        <v>147</v>
      </c>
      <c r="C135" s="133" t="s">
        <v>33</v>
      </c>
      <c r="D135" s="31">
        <v>24</v>
      </c>
      <c r="E135" s="181">
        <v>93081</v>
      </c>
      <c r="F135" s="181">
        <f t="shared" si="5"/>
        <v>2233944</v>
      </c>
      <c r="H135" s="245"/>
      <c r="I135" s="250">
        <f>+'GDR 3760_Pto. 02_Cert. 10'!K135</f>
        <v>0</v>
      </c>
      <c r="J135" s="250"/>
      <c r="K135" s="251">
        <f t="shared" si="10"/>
        <v>0</v>
      </c>
      <c r="L135" s="50">
        <f t="shared" si="11"/>
        <v>0</v>
      </c>
      <c r="M135" s="50">
        <f t="shared" si="12"/>
        <v>0</v>
      </c>
      <c r="N135" s="50">
        <f t="shared" si="13"/>
        <v>0</v>
      </c>
    </row>
    <row r="136" spans="1:14" ht="12.75" customHeight="1" x14ac:dyDescent="0.3">
      <c r="A136" s="100">
        <v>18.28</v>
      </c>
      <c r="B136" s="98" t="s">
        <v>148</v>
      </c>
      <c r="C136" s="133" t="s">
        <v>33</v>
      </c>
      <c r="D136" s="31">
        <v>12</v>
      </c>
      <c r="E136" s="181">
        <v>25377</v>
      </c>
      <c r="F136" s="181">
        <f t="shared" si="5"/>
        <v>304524</v>
      </c>
      <c r="H136" s="245"/>
      <c r="I136" s="250">
        <f>+'GDR 3760_Pto. 02_Cert. 10'!K136</f>
        <v>0</v>
      </c>
      <c r="J136" s="250"/>
      <c r="K136" s="251">
        <f t="shared" si="10"/>
        <v>0</v>
      </c>
      <c r="L136" s="50">
        <f t="shared" si="11"/>
        <v>0</v>
      </c>
      <c r="M136" s="50">
        <f t="shared" si="12"/>
        <v>0</v>
      </c>
      <c r="N136" s="50">
        <f t="shared" si="13"/>
        <v>0</v>
      </c>
    </row>
    <row r="137" spans="1:14" ht="12.75" customHeight="1" x14ac:dyDescent="0.3">
      <c r="A137" s="100">
        <v>18.2899999999999</v>
      </c>
      <c r="B137" s="98" t="s">
        <v>149</v>
      </c>
      <c r="C137" s="133" t="s">
        <v>33</v>
      </c>
      <c r="D137" s="31">
        <v>1</v>
      </c>
      <c r="E137" s="181">
        <v>25377</v>
      </c>
      <c r="F137" s="181">
        <f t="shared" si="5"/>
        <v>25377</v>
      </c>
      <c r="H137" s="245"/>
      <c r="I137" s="250">
        <f>+'GDR 3760_Pto. 02_Cert. 10'!K137</f>
        <v>0</v>
      </c>
      <c r="J137" s="250"/>
      <c r="K137" s="251">
        <f t="shared" si="10"/>
        <v>0</v>
      </c>
      <c r="L137" s="50">
        <f t="shared" si="11"/>
        <v>0</v>
      </c>
      <c r="M137" s="50">
        <f t="shared" si="12"/>
        <v>0</v>
      </c>
      <c r="N137" s="50">
        <f t="shared" si="13"/>
        <v>0</v>
      </c>
    </row>
    <row r="138" spans="1:14" ht="12.75" customHeight="1" x14ac:dyDescent="0.3">
      <c r="A138" s="100">
        <v>18.299999999999901</v>
      </c>
      <c r="B138" s="98" t="s">
        <v>150</v>
      </c>
      <c r="C138" s="133" t="s">
        <v>33</v>
      </c>
      <c r="D138" s="31">
        <v>109</v>
      </c>
      <c r="E138" s="181">
        <v>15984</v>
      </c>
      <c r="F138" s="181">
        <f t="shared" ref="F138:F194" si="14">+E138*D138</f>
        <v>1742256</v>
      </c>
      <c r="H138" s="245"/>
      <c r="I138" s="250">
        <f>+'GDR 3760_Pto. 02_Cert. 10'!K138</f>
        <v>0</v>
      </c>
      <c r="J138" s="250"/>
      <c r="K138" s="251">
        <f t="shared" si="10"/>
        <v>0</v>
      </c>
      <c r="L138" s="50">
        <f t="shared" si="11"/>
        <v>0</v>
      </c>
      <c r="M138" s="50">
        <f t="shared" si="12"/>
        <v>0</v>
      </c>
      <c r="N138" s="50">
        <f t="shared" si="13"/>
        <v>0</v>
      </c>
    </row>
    <row r="139" spans="1:14" ht="12.75" customHeight="1" x14ac:dyDescent="0.3">
      <c r="A139" s="100">
        <v>18.309999999999899</v>
      </c>
      <c r="B139" s="98" t="s">
        <v>151</v>
      </c>
      <c r="C139" s="133" t="s">
        <v>29</v>
      </c>
      <c r="D139" s="31">
        <v>1</v>
      </c>
      <c r="E139" s="181">
        <v>5516929</v>
      </c>
      <c r="F139" s="181">
        <f t="shared" si="14"/>
        <v>5516929</v>
      </c>
      <c r="H139" s="245"/>
      <c r="I139" s="250">
        <f>+'GDR 3760_Pto. 02_Cert. 10'!K139</f>
        <v>0</v>
      </c>
      <c r="J139" s="250"/>
      <c r="K139" s="251">
        <f t="shared" si="10"/>
        <v>0</v>
      </c>
      <c r="L139" s="50">
        <f t="shared" si="11"/>
        <v>0</v>
      </c>
      <c r="M139" s="50">
        <f t="shared" si="12"/>
        <v>0</v>
      </c>
      <c r="N139" s="50">
        <f t="shared" si="13"/>
        <v>0</v>
      </c>
    </row>
    <row r="140" spans="1:14" ht="12.75" customHeight="1" x14ac:dyDescent="0.3">
      <c r="A140" s="100">
        <v>18.319999999999901</v>
      </c>
      <c r="B140" s="294" t="s">
        <v>152</v>
      </c>
      <c r="C140" s="133" t="s">
        <v>29</v>
      </c>
      <c r="D140" s="31">
        <v>1</v>
      </c>
      <c r="E140" s="181">
        <v>957554</v>
      </c>
      <c r="F140" s="181">
        <f t="shared" si="14"/>
        <v>957554</v>
      </c>
      <c r="H140" s="245"/>
      <c r="I140" s="250">
        <f>+'GDR 3760_Pto. 02_Cert. 10'!K140</f>
        <v>0</v>
      </c>
      <c r="J140" s="250"/>
      <c r="K140" s="251">
        <f t="shared" ref="K140:K194" si="15">+I140+J140</f>
        <v>0</v>
      </c>
      <c r="L140" s="50">
        <f t="shared" ref="L140:L194" si="16">+F140*I140</f>
        <v>0</v>
      </c>
      <c r="M140" s="50">
        <f t="shared" ref="M140:M194" si="17">+F140*J140</f>
        <v>0</v>
      </c>
      <c r="N140" s="50">
        <f t="shared" ref="N140:N194" si="18">+F140*K140</f>
        <v>0</v>
      </c>
    </row>
    <row r="141" spans="1:14" ht="12.75" customHeight="1" x14ac:dyDescent="0.3">
      <c r="A141" s="100">
        <v>18.329999999999899</v>
      </c>
      <c r="B141" s="134" t="s">
        <v>153</v>
      </c>
      <c r="C141" s="135" t="s">
        <v>29</v>
      </c>
      <c r="D141" s="35">
        <v>1</v>
      </c>
      <c r="E141" s="181">
        <v>142634</v>
      </c>
      <c r="F141" s="181">
        <f t="shared" si="14"/>
        <v>142634</v>
      </c>
      <c r="H141" s="245"/>
      <c r="I141" s="250">
        <f>+'GDR 3760_Pto. 02_Cert. 10'!K141</f>
        <v>0</v>
      </c>
      <c r="J141" s="250"/>
      <c r="K141" s="251">
        <f t="shared" si="15"/>
        <v>0</v>
      </c>
      <c r="L141" s="50">
        <f t="shared" si="16"/>
        <v>0</v>
      </c>
      <c r="M141" s="50">
        <f t="shared" si="17"/>
        <v>0</v>
      </c>
      <c r="N141" s="50">
        <f t="shared" si="18"/>
        <v>0</v>
      </c>
    </row>
    <row r="142" spans="1:14" ht="12.75" customHeight="1" x14ac:dyDescent="0.3">
      <c r="A142" s="13">
        <v>19</v>
      </c>
      <c r="B142" s="40" t="s">
        <v>154</v>
      </c>
      <c r="C142" s="18"/>
      <c r="D142" s="19"/>
      <c r="E142" s="190"/>
      <c r="F142" s="190"/>
      <c r="G142" s="191"/>
      <c r="H142" s="245"/>
      <c r="I142" s="246"/>
      <c r="J142" s="247"/>
      <c r="K142" s="247"/>
      <c r="L142" s="178"/>
      <c r="M142" s="178"/>
      <c r="N142" s="179"/>
    </row>
    <row r="143" spans="1:14" ht="12.75" customHeight="1" x14ac:dyDescent="0.3">
      <c r="A143" s="13"/>
      <c r="B143" s="40" t="s">
        <v>155</v>
      </c>
      <c r="C143" s="18"/>
      <c r="D143" s="19"/>
      <c r="E143" s="19"/>
      <c r="F143" s="19"/>
      <c r="G143" s="192">
        <f>+SUM(F144:F146)</f>
        <v>21227962</v>
      </c>
      <c r="H143" s="245">
        <f>+G143/$G$195</f>
        <v>2.5126450140132647E-2</v>
      </c>
      <c r="I143" s="246"/>
      <c r="J143" s="247"/>
      <c r="K143" s="247"/>
      <c r="L143" s="178"/>
      <c r="M143" s="178"/>
      <c r="N143" s="179"/>
    </row>
    <row r="144" spans="1:14" ht="12.75" customHeight="1" x14ac:dyDescent="0.3">
      <c r="A144" s="20">
        <v>19.010000000000002</v>
      </c>
      <c r="B144" s="136" t="s">
        <v>156</v>
      </c>
      <c r="C144" s="122" t="s">
        <v>29</v>
      </c>
      <c r="D144" s="123">
        <v>1</v>
      </c>
      <c r="E144" s="183">
        <v>6793844</v>
      </c>
      <c r="F144" s="183">
        <f t="shared" si="14"/>
        <v>6793844</v>
      </c>
      <c r="H144" s="245"/>
      <c r="I144" s="250">
        <f>+'GDR 3760_Pto. 02_Cert. 10'!K144</f>
        <v>0</v>
      </c>
      <c r="J144" s="250"/>
      <c r="K144" s="251">
        <f t="shared" si="15"/>
        <v>0</v>
      </c>
      <c r="L144" s="50">
        <f t="shared" si="16"/>
        <v>0</v>
      </c>
      <c r="M144" s="50">
        <f t="shared" si="17"/>
        <v>0</v>
      </c>
      <c r="N144" s="50">
        <f t="shared" si="18"/>
        <v>0</v>
      </c>
    </row>
    <row r="145" spans="1:14" ht="12.75" customHeight="1" x14ac:dyDescent="0.3">
      <c r="A145" s="24">
        <v>19.02</v>
      </c>
      <c r="B145" s="36" t="s">
        <v>157</v>
      </c>
      <c r="C145" s="28" t="s">
        <v>29</v>
      </c>
      <c r="D145" s="29">
        <v>1</v>
      </c>
      <c r="E145" s="181">
        <v>9552583</v>
      </c>
      <c r="F145" s="181">
        <f t="shared" si="14"/>
        <v>9552583</v>
      </c>
      <c r="H145" s="245"/>
      <c r="I145" s="250">
        <f>+'GDR 3760_Pto. 02_Cert. 10'!K145</f>
        <v>0.15</v>
      </c>
      <c r="J145" s="250">
        <v>0.15</v>
      </c>
      <c r="K145" s="251">
        <f t="shared" si="15"/>
        <v>0.3</v>
      </c>
      <c r="L145" s="50">
        <f t="shared" si="16"/>
        <v>1432887.45</v>
      </c>
      <c r="M145" s="50">
        <f t="shared" si="17"/>
        <v>1432887.45</v>
      </c>
      <c r="N145" s="50">
        <f t="shared" si="18"/>
        <v>2865774.9</v>
      </c>
    </row>
    <row r="146" spans="1:14" ht="12.75" customHeight="1" x14ac:dyDescent="0.3">
      <c r="A146" s="33">
        <v>19.03</v>
      </c>
      <c r="B146" s="137" t="s">
        <v>158</v>
      </c>
      <c r="C146" s="138" t="s">
        <v>29</v>
      </c>
      <c r="D146" s="139">
        <v>1</v>
      </c>
      <c r="E146" s="181">
        <v>4881535</v>
      </c>
      <c r="F146" s="181">
        <f t="shared" si="14"/>
        <v>4881535</v>
      </c>
      <c r="H146" s="245"/>
      <c r="I146" s="250">
        <f>+'GDR 3760_Pto. 02_Cert. 10'!K146</f>
        <v>0.1</v>
      </c>
      <c r="J146" s="250">
        <v>0.15</v>
      </c>
      <c r="K146" s="251">
        <f t="shared" si="15"/>
        <v>0.25</v>
      </c>
      <c r="L146" s="50">
        <f t="shared" si="16"/>
        <v>488153.5</v>
      </c>
      <c r="M146" s="50">
        <f t="shared" si="17"/>
        <v>732230.25</v>
      </c>
      <c r="N146" s="50">
        <f t="shared" si="18"/>
        <v>1220383.75</v>
      </c>
    </row>
    <row r="147" spans="1:14" ht="12.75" customHeight="1" x14ac:dyDescent="0.3">
      <c r="A147" s="140"/>
      <c r="B147" s="141" t="s">
        <v>159</v>
      </c>
      <c r="C147" s="11"/>
      <c r="D147" s="12"/>
      <c r="E147" s="19"/>
      <c r="F147" s="19"/>
      <c r="G147" s="192">
        <f>+SUM(F148:F150)</f>
        <v>7075989</v>
      </c>
      <c r="H147" s="245">
        <f>+G147/$G$195</f>
        <v>8.3754853527920892E-3</v>
      </c>
      <c r="I147" s="246"/>
      <c r="J147" s="247"/>
      <c r="K147" s="247"/>
      <c r="L147" s="178"/>
      <c r="M147" s="178"/>
      <c r="N147" s="179"/>
    </row>
    <row r="148" spans="1:14" ht="12.75" customHeight="1" x14ac:dyDescent="0.3">
      <c r="A148" s="20">
        <v>19.04</v>
      </c>
      <c r="B148" s="136" t="s">
        <v>160</v>
      </c>
      <c r="C148" s="122" t="s">
        <v>29</v>
      </c>
      <c r="D148" s="123">
        <v>1</v>
      </c>
      <c r="E148" s="181">
        <v>2476596</v>
      </c>
      <c r="F148" s="181">
        <f t="shared" si="14"/>
        <v>2476596</v>
      </c>
      <c r="H148" s="245"/>
      <c r="I148" s="250">
        <f>+'GDR 3760_Pto. 02_Cert. 10'!K148</f>
        <v>0</v>
      </c>
      <c r="J148" s="250"/>
      <c r="K148" s="251">
        <f t="shared" si="15"/>
        <v>0</v>
      </c>
      <c r="L148" s="50">
        <f t="shared" si="16"/>
        <v>0</v>
      </c>
      <c r="M148" s="50">
        <f t="shared" si="17"/>
        <v>0</v>
      </c>
      <c r="N148" s="50">
        <f t="shared" si="18"/>
        <v>0</v>
      </c>
    </row>
    <row r="149" spans="1:14" ht="12.75" customHeight="1" x14ac:dyDescent="0.3">
      <c r="A149" s="24">
        <v>19.05</v>
      </c>
      <c r="B149" s="36" t="s">
        <v>161</v>
      </c>
      <c r="C149" s="28" t="s">
        <v>29</v>
      </c>
      <c r="D149" s="29">
        <v>1</v>
      </c>
      <c r="E149" s="181">
        <v>3537994</v>
      </c>
      <c r="F149" s="181">
        <f t="shared" si="14"/>
        <v>3537994</v>
      </c>
      <c r="H149" s="245"/>
      <c r="I149" s="250">
        <f>+'GDR 3760_Pto. 02_Cert. 10'!K149</f>
        <v>0.2</v>
      </c>
      <c r="J149" s="250">
        <v>0.15</v>
      </c>
      <c r="K149" s="251">
        <f t="shared" si="15"/>
        <v>0.35</v>
      </c>
      <c r="L149" s="50">
        <f t="shared" si="16"/>
        <v>707598.8</v>
      </c>
      <c r="M149" s="50">
        <f t="shared" si="17"/>
        <v>530699.1</v>
      </c>
      <c r="N149" s="50">
        <f t="shared" si="18"/>
        <v>1238297.8999999999</v>
      </c>
    </row>
    <row r="150" spans="1:14" ht="12.75" customHeight="1" x14ac:dyDescent="0.3">
      <c r="A150" s="33">
        <v>19.059999999999999</v>
      </c>
      <c r="B150" s="137" t="s">
        <v>162</v>
      </c>
      <c r="C150" s="138" t="s">
        <v>29</v>
      </c>
      <c r="D150" s="139">
        <v>1</v>
      </c>
      <c r="E150" s="181">
        <v>1061399</v>
      </c>
      <c r="F150" s="181">
        <f t="shared" si="14"/>
        <v>1061399</v>
      </c>
      <c r="H150" s="245"/>
      <c r="I150" s="250">
        <f>+'GDR 3760_Pto. 02_Cert. 10'!K150</f>
        <v>0</v>
      </c>
      <c r="J150" s="250"/>
      <c r="K150" s="251">
        <f t="shared" si="15"/>
        <v>0</v>
      </c>
      <c r="L150" s="50">
        <f t="shared" si="16"/>
        <v>0</v>
      </c>
      <c r="M150" s="50">
        <f t="shared" si="17"/>
        <v>0</v>
      </c>
      <c r="N150" s="50">
        <f t="shared" si="18"/>
        <v>0</v>
      </c>
    </row>
    <row r="151" spans="1:14" ht="12.75" customHeight="1" x14ac:dyDescent="0.3">
      <c r="A151" s="13"/>
      <c r="B151" s="40" t="s">
        <v>163</v>
      </c>
      <c r="C151" s="18"/>
      <c r="D151" s="19"/>
      <c r="E151" s="19"/>
      <c r="F151" s="19"/>
      <c r="G151" s="192">
        <f>+SUM(F152:F156)</f>
        <v>34829620</v>
      </c>
      <c r="H151" s="245">
        <f>+G151/$G$195</f>
        <v>4.1226035279777064E-2</v>
      </c>
      <c r="I151" s="246"/>
      <c r="J151" s="247"/>
      <c r="K151" s="247"/>
      <c r="L151" s="178"/>
      <c r="M151" s="178"/>
      <c r="N151" s="179"/>
    </row>
    <row r="152" spans="1:14" ht="12.75" customHeight="1" x14ac:dyDescent="0.3">
      <c r="A152" s="115">
        <v>19.07</v>
      </c>
      <c r="B152" s="142" t="s">
        <v>164</v>
      </c>
      <c r="C152" s="122" t="s">
        <v>29</v>
      </c>
      <c r="D152" s="123">
        <v>1</v>
      </c>
      <c r="E152" s="180">
        <v>3263223</v>
      </c>
      <c r="F152" s="180">
        <f t="shared" si="14"/>
        <v>3263223</v>
      </c>
      <c r="H152" s="245"/>
      <c r="I152" s="250">
        <f>+'GDR 3760_Pto. 02_Cert. 10'!K152</f>
        <v>0</v>
      </c>
      <c r="J152" s="250"/>
      <c r="K152" s="251">
        <f t="shared" si="15"/>
        <v>0</v>
      </c>
      <c r="L152" s="50">
        <f t="shared" si="16"/>
        <v>0</v>
      </c>
      <c r="M152" s="50">
        <f t="shared" si="17"/>
        <v>0</v>
      </c>
      <c r="N152" s="50">
        <f t="shared" si="18"/>
        <v>0</v>
      </c>
    </row>
    <row r="153" spans="1:14" ht="12.75" customHeight="1" x14ac:dyDescent="0.3">
      <c r="A153" s="100">
        <v>19.079999999999998</v>
      </c>
      <c r="B153" s="143" t="s">
        <v>165</v>
      </c>
      <c r="C153" s="28" t="s">
        <v>29</v>
      </c>
      <c r="D153" s="29">
        <v>1</v>
      </c>
      <c r="E153" s="181">
        <v>3665831</v>
      </c>
      <c r="F153" s="181">
        <f t="shared" si="14"/>
        <v>3665831</v>
      </c>
      <c r="H153" s="245"/>
      <c r="I153" s="250">
        <f>+'GDR 3760_Pto. 02_Cert. 10'!K153</f>
        <v>0</v>
      </c>
      <c r="J153" s="250"/>
      <c r="K153" s="251">
        <f t="shared" si="15"/>
        <v>0</v>
      </c>
      <c r="L153" s="50">
        <f t="shared" si="16"/>
        <v>0</v>
      </c>
      <c r="M153" s="50">
        <f t="shared" si="17"/>
        <v>0</v>
      </c>
      <c r="N153" s="50">
        <f t="shared" si="18"/>
        <v>0</v>
      </c>
    </row>
    <row r="154" spans="1:14" ht="12.75" customHeight="1" x14ac:dyDescent="0.3">
      <c r="A154" s="100">
        <v>19.09</v>
      </c>
      <c r="B154" s="144" t="s">
        <v>166</v>
      </c>
      <c r="C154" s="28" t="s">
        <v>29</v>
      </c>
      <c r="D154" s="29">
        <v>1</v>
      </c>
      <c r="E154" s="181">
        <v>3263223</v>
      </c>
      <c r="F154" s="181">
        <f t="shared" si="14"/>
        <v>3263223</v>
      </c>
      <c r="H154" s="245"/>
      <c r="I154" s="250">
        <f>+'GDR 3760_Pto. 02_Cert. 10'!K154</f>
        <v>0</v>
      </c>
      <c r="J154" s="250"/>
      <c r="K154" s="251">
        <f t="shared" si="15"/>
        <v>0</v>
      </c>
      <c r="L154" s="50">
        <f t="shared" si="16"/>
        <v>0</v>
      </c>
      <c r="M154" s="50">
        <f t="shared" si="17"/>
        <v>0</v>
      </c>
      <c r="N154" s="50">
        <f t="shared" si="18"/>
        <v>0</v>
      </c>
    </row>
    <row r="155" spans="1:14" ht="12.75" customHeight="1" x14ac:dyDescent="0.3">
      <c r="A155" s="100">
        <v>19.100000000000001</v>
      </c>
      <c r="B155" s="143" t="s">
        <v>167</v>
      </c>
      <c r="C155" s="28" t="s">
        <v>29</v>
      </c>
      <c r="D155" s="29">
        <v>1</v>
      </c>
      <c r="E155" s="181">
        <v>18413869</v>
      </c>
      <c r="F155" s="181">
        <f t="shared" si="14"/>
        <v>18413869</v>
      </c>
      <c r="H155" s="245"/>
      <c r="I155" s="250">
        <f>+'GDR 3760_Pto. 02_Cert. 10'!K155</f>
        <v>0.25</v>
      </c>
      <c r="J155" s="250">
        <v>0.05</v>
      </c>
      <c r="K155" s="251">
        <f t="shared" si="15"/>
        <v>0.3</v>
      </c>
      <c r="L155" s="50">
        <f t="shared" si="16"/>
        <v>4603467.25</v>
      </c>
      <c r="M155" s="50">
        <f t="shared" si="17"/>
        <v>920693.45000000007</v>
      </c>
      <c r="N155" s="50">
        <f t="shared" si="18"/>
        <v>5524160.7000000002</v>
      </c>
    </row>
    <row r="156" spans="1:14" ht="12.75" customHeight="1" x14ac:dyDescent="0.3">
      <c r="A156" s="100">
        <v>19.11</v>
      </c>
      <c r="B156" s="145" t="s">
        <v>168</v>
      </c>
      <c r="C156" s="138" t="s">
        <v>29</v>
      </c>
      <c r="D156" s="139">
        <v>1</v>
      </c>
      <c r="E156" s="189">
        <v>6223474</v>
      </c>
      <c r="F156" s="189">
        <f t="shared" si="14"/>
        <v>6223474</v>
      </c>
      <c r="H156" s="245"/>
      <c r="I156" s="250">
        <f>+'GDR 3760_Pto. 02_Cert. 10'!K156</f>
        <v>0</v>
      </c>
      <c r="J156" s="250"/>
      <c r="K156" s="251">
        <f t="shared" si="15"/>
        <v>0</v>
      </c>
      <c r="L156" s="50">
        <f t="shared" si="16"/>
        <v>0</v>
      </c>
      <c r="M156" s="50">
        <f t="shared" si="17"/>
        <v>0</v>
      </c>
      <c r="N156" s="50">
        <f t="shared" si="18"/>
        <v>0</v>
      </c>
    </row>
    <row r="157" spans="1:14" ht="12.75" customHeight="1" x14ac:dyDescent="0.3">
      <c r="A157" s="13"/>
      <c r="B157" s="40" t="s">
        <v>169</v>
      </c>
      <c r="C157" s="18"/>
      <c r="D157" s="19"/>
      <c r="E157" s="19"/>
      <c r="F157" s="19"/>
      <c r="G157" s="192">
        <f>+SUM(F158)</f>
        <v>2637801</v>
      </c>
      <c r="H157" s="245">
        <f>+G157/$G$195</f>
        <v>3.1222297885257206E-3</v>
      </c>
      <c r="I157" s="246"/>
      <c r="J157" s="247"/>
      <c r="K157" s="247"/>
      <c r="L157" s="178"/>
      <c r="M157" s="178"/>
      <c r="N157" s="179"/>
    </row>
    <row r="158" spans="1:14" ht="12.75" customHeight="1" x14ac:dyDescent="0.3">
      <c r="A158" s="24">
        <v>19.12</v>
      </c>
      <c r="B158" s="36" t="s">
        <v>170</v>
      </c>
      <c r="C158" s="28" t="s">
        <v>29</v>
      </c>
      <c r="D158" s="29">
        <v>1</v>
      </c>
      <c r="E158" s="181">
        <v>2637801</v>
      </c>
      <c r="F158" s="181">
        <f t="shared" si="14"/>
        <v>2637801</v>
      </c>
      <c r="H158" s="245"/>
      <c r="I158" s="250">
        <f>+'GDR 3760_Pto. 02_Cert. 10'!K158</f>
        <v>0.1</v>
      </c>
      <c r="J158" s="250">
        <v>0.1</v>
      </c>
      <c r="K158" s="251">
        <f t="shared" si="15"/>
        <v>0.2</v>
      </c>
      <c r="L158" s="50">
        <f t="shared" si="16"/>
        <v>263780.10000000003</v>
      </c>
      <c r="M158" s="50">
        <f t="shared" si="17"/>
        <v>263780.10000000003</v>
      </c>
      <c r="N158" s="50">
        <f t="shared" si="18"/>
        <v>527560.20000000007</v>
      </c>
    </row>
    <row r="159" spans="1:14" ht="12.75" customHeight="1" x14ac:dyDescent="0.3">
      <c r="A159" s="13"/>
      <c r="B159" s="40" t="s">
        <v>171</v>
      </c>
      <c r="C159" s="18"/>
      <c r="D159" s="19"/>
      <c r="E159" s="19"/>
      <c r="F159" s="19"/>
      <c r="G159" s="192">
        <f>+SUM(F160:F161)</f>
        <v>39784561</v>
      </c>
      <c r="H159" s="245">
        <f>+G159/$G$195</f>
        <v>4.7090944873255651E-2</v>
      </c>
      <c r="I159" s="246"/>
      <c r="J159" s="247"/>
      <c r="K159" s="247"/>
      <c r="L159" s="178"/>
      <c r="M159" s="178"/>
      <c r="N159" s="179"/>
    </row>
    <row r="160" spans="1:14" ht="12.75" customHeight="1" x14ac:dyDescent="0.3">
      <c r="A160" s="20">
        <v>19.13</v>
      </c>
      <c r="B160" s="136" t="s">
        <v>172</v>
      </c>
      <c r="C160" s="122" t="s">
        <v>29</v>
      </c>
      <c r="D160" s="123">
        <v>1</v>
      </c>
      <c r="E160" s="181">
        <v>36002858</v>
      </c>
      <c r="F160" s="181">
        <f t="shared" si="14"/>
        <v>36002858</v>
      </c>
      <c r="H160" s="245"/>
      <c r="I160" s="250">
        <f>+'GDR 3760_Pto. 02_Cert. 10'!K160</f>
        <v>0.1</v>
      </c>
      <c r="J160" s="274">
        <v>0.05</v>
      </c>
      <c r="K160" s="251">
        <f t="shared" si="15"/>
        <v>0.15000000000000002</v>
      </c>
      <c r="L160" s="50">
        <f t="shared" si="16"/>
        <v>3600285.8000000003</v>
      </c>
      <c r="M160" s="50">
        <f t="shared" si="17"/>
        <v>1800142.9000000001</v>
      </c>
      <c r="N160" s="50">
        <f t="shared" si="18"/>
        <v>5400428.7000000011</v>
      </c>
    </row>
    <row r="161" spans="1:14" ht="12.75" customHeight="1" x14ac:dyDescent="0.3">
      <c r="A161" s="33">
        <v>19.14</v>
      </c>
      <c r="B161" s="137" t="s">
        <v>173</v>
      </c>
      <c r="C161" s="138" t="s">
        <v>29</v>
      </c>
      <c r="D161" s="139">
        <v>1</v>
      </c>
      <c r="E161" s="181">
        <v>3781703</v>
      </c>
      <c r="F161" s="181">
        <f t="shared" si="14"/>
        <v>3781703</v>
      </c>
      <c r="H161" s="245"/>
      <c r="I161" s="250">
        <f>+'GDR 3760_Pto. 02_Cert. 10'!K161</f>
        <v>0</v>
      </c>
      <c r="J161" s="250"/>
      <c r="K161" s="251">
        <f t="shared" si="15"/>
        <v>0</v>
      </c>
      <c r="L161" s="50">
        <f t="shared" si="16"/>
        <v>0</v>
      </c>
      <c r="M161" s="50">
        <f t="shared" si="17"/>
        <v>0</v>
      </c>
      <c r="N161" s="50">
        <f t="shared" si="18"/>
        <v>0</v>
      </c>
    </row>
    <row r="162" spans="1:14" ht="12.75" customHeight="1" x14ac:dyDescent="0.3">
      <c r="A162" s="13"/>
      <c r="B162" s="40" t="s">
        <v>174</v>
      </c>
      <c r="C162" s="18"/>
      <c r="D162" s="19"/>
      <c r="E162" s="19"/>
      <c r="F162" s="19"/>
      <c r="G162" s="192">
        <f>+SUM(F163)</f>
        <v>6439007</v>
      </c>
      <c r="H162" s="245">
        <f>+G162/$G$195</f>
        <v>7.6215224211097178E-3</v>
      </c>
      <c r="I162" s="246"/>
      <c r="J162" s="247"/>
      <c r="K162" s="247"/>
      <c r="L162" s="178"/>
      <c r="M162" s="178"/>
      <c r="N162" s="179"/>
    </row>
    <row r="163" spans="1:14" ht="12.75" customHeight="1" x14ac:dyDescent="0.3">
      <c r="A163" s="24">
        <v>19.149999999999999</v>
      </c>
      <c r="B163" s="98" t="s">
        <v>175</v>
      </c>
      <c r="C163" s="28" t="s">
        <v>29</v>
      </c>
      <c r="D163" s="29">
        <v>1</v>
      </c>
      <c r="E163" s="181">
        <v>6439007</v>
      </c>
      <c r="F163" s="181">
        <f t="shared" si="14"/>
        <v>6439007</v>
      </c>
      <c r="H163" s="245"/>
      <c r="I163" s="250">
        <f>+'GDR 3760_Pto. 02_Cert. 10'!K163</f>
        <v>0</v>
      </c>
      <c r="J163" s="250"/>
      <c r="K163" s="251">
        <f t="shared" si="15"/>
        <v>0</v>
      </c>
      <c r="L163" s="50">
        <f t="shared" si="16"/>
        <v>0</v>
      </c>
      <c r="M163" s="50">
        <f t="shared" si="17"/>
        <v>0</v>
      </c>
      <c r="N163" s="50">
        <f t="shared" si="18"/>
        <v>0</v>
      </c>
    </row>
    <row r="164" spans="1:14" ht="12.75" customHeight="1" x14ac:dyDescent="0.3">
      <c r="A164" s="13"/>
      <c r="B164" s="40" t="s">
        <v>176</v>
      </c>
      <c r="C164" s="18"/>
      <c r="D164" s="19"/>
      <c r="E164" s="19"/>
      <c r="F164" s="19"/>
      <c r="G164" s="192">
        <f>+SUM(F165:F168)</f>
        <v>33172785</v>
      </c>
      <c r="H164" s="245">
        <f t="shared" ref="H164:H192" si="19">+G164/$G$195</f>
        <v>3.9264924645702685E-2</v>
      </c>
      <c r="I164" s="246"/>
      <c r="J164" s="247"/>
      <c r="K164" s="247"/>
      <c r="L164" s="178"/>
      <c r="M164" s="178"/>
      <c r="N164" s="179"/>
    </row>
    <row r="165" spans="1:14" ht="12.75" customHeight="1" x14ac:dyDescent="0.3">
      <c r="A165" s="24">
        <v>19.16</v>
      </c>
      <c r="B165" s="143" t="s">
        <v>177</v>
      </c>
      <c r="C165" s="28" t="s">
        <v>29</v>
      </c>
      <c r="D165" s="29">
        <v>1</v>
      </c>
      <c r="E165" s="181">
        <v>27794007</v>
      </c>
      <c r="F165" s="181">
        <f t="shared" si="14"/>
        <v>27794007</v>
      </c>
      <c r="H165" s="245"/>
      <c r="I165" s="250">
        <f>+'GDR 3760_Pto. 02_Cert. 10'!K165</f>
        <v>0</v>
      </c>
      <c r="J165" s="274">
        <v>0.1</v>
      </c>
      <c r="K165" s="251">
        <f t="shared" si="15"/>
        <v>0.1</v>
      </c>
      <c r="L165" s="50">
        <f t="shared" si="16"/>
        <v>0</v>
      </c>
      <c r="M165" s="50">
        <f t="shared" si="17"/>
        <v>2779400.7</v>
      </c>
      <c r="N165" s="50">
        <f t="shared" si="18"/>
        <v>2779400.7</v>
      </c>
    </row>
    <row r="166" spans="1:14" ht="12.75" customHeight="1" x14ac:dyDescent="0.3">
      <c r="A166" s="24">
        <v>19.170000000000002</v>
      </c>
      <c r="B166" s="146" t="s">
        <v>178</v>
      </c>
      <c r="C166" s="147" t="s">
        <v>33</v>
      </c>
      <c r="D166" s="148">
        <v>8</v>
      </c>
      <c r="E166" s="181">
        <v>59973</v>
      </c>
      <c r="F166" s="181">
        <f t="shared" si="14"/>
        <v>479784</v>
      </c>
      <c r="H166" s="245"/>
      <c r="I166" s="250">
        <f>+'GDR 3760_Pto. 02_Cert. 10'!K166</f>
        <v>0</v>
      </c>
      <c r="J166" s="250"/>
      <c r="K166" s="251">
        <f t="shared" si="15"/>
        <v>0</v>
      </c>
      <c r="L166" s="50">
        <f t="shared" si="16"/>
        <v>0</v>
      </c>
      <c r="M166" s="50">
        <f t="shared" si="17"/>
        <v>0</v>
      </c>
      <c r="N166" s="50">
        <f t="shared" si="18"/>
        <v>0</v>
      </c>
    </row>
    <row r="167" spans="1:14" ht="12.75" customHeight="1" x14ac:dyDescent="0.3">
      <c r="A167" s="24">
        <v>19.18</v>
      </c>
      <c r="B167" s="146" t="s">
        <v>179</v>
      </c>
      <c r="C167" s="147" t="s">
        <v>29</v>
      </c>
      <c r="D167" s="148">
        <v>8</v>
      </c>
      <c r="E167" s="181">
        <v>27640</v>
      </c>
      <c r="F167" s="181">
        <f t="shared" si="14"/>
        <v>221120</v>
      </c>
      <c r="H167" s="245"/>
      <c r="I167" s="250">
        <f>+'GDR 3760_Pto. 02_Cert. 10'!K167</f>
        <v>0</v>
      </c>
      <c r="J167" s="250"/>
      <c r="K167" s="251">
        <f t="shared" si="15"/>
        <v>0</v>
      </c>
      <c r="L167" s="50">
        <f t="shared" si="16"/>
        <v>0</v>
      </c>
      <c r="M167" s="50">
        <f t="shared" si="17"/>
        <v>0</v>
      </c>
      <c r="N167" s="50">
        <f t="shared" si="18"/>
        <v>0</v>
      </c>
    </row>
    <row r="168" spans="1:14" ht="12.75" customHeight="1" x14ac:dyDescent="0.3">
      <c r="A168" s="100">
        <v>19.190000000000001</v>
      </c>
      <c r="B168" s="145" t="s">
        <v>180</v>
      </c>
      <c r="C168" s="138" t="s">
        <v>29</v>
      </c>
      <c r="D168" s="139">
        <v>1</v>
      </c>
      <c r="E168" s="181">
        <v>4677874</v>
      </c>
      <c r="F168" s="181">
        <f t="shared" si="14"/>
        <v>4677874</v>
      </c>
      <c r="H168" s="245"/>
      <c r="I168" s="250">
        <f>+'GDR 3760_Pto. 02_Cert. 10'!K168</f>
        <v>0</v>
      </c>
      <c r="J168" s="250">
        <v>0.2</v>
      </c>
      <c r="K168" s="251">
        <f t="shared" si="15"/>
        <v>0.2</v>
      </c>
      <c r="L168" s="50">
        <f t="shared" si="16"/>
        <v>0</v>
      </c>
      <c r="M168" s="50">
        <f t="shared" si="17"/>
        <v>935574.8</v>
      </c>
      <c r="N168" s="50">
        <f t="shared" si="18"/>
        <v>935574.8</v>
      </c>
    </row>
    <row r="169" spans="1:14" ht="12.75" customHeight="1" x14ac:dyDescent="0.3">
      <c r="A169" s="13">
        <v>20</v>
      </c>
      <c r="B169" s="40" t="s">
        <v>181</v>
      </c>
      <c r="C169" s="18"/>
      <c r="D169" s="19"/>
      <c r="E169" s="19"/>
      <c r="F169" s="19"/>
      <c r="G169" s="192">
        <f>+SUM(F170:F171)</f>
        <v>0</v>
      </c>
      <c r="H169" s="245">
        <f t="shared" si="19"/>
        <v>0</v>
      </c>
      <c r="I169" s="246"/>
      <c r="J169" s="247"/>
      <c r="K169" s="247"/>
      <c r="L169" s="178"/>
      <c r="M169" s="178"/>
      <c r="N169" s="179"/>
    </row>
    <row r="170" spans="1:14" ht="12.75" customHeight="1" x14ac:dyDescent="0.3">
      <c r="A170" s="106">
        <v>20.010000000000002</v>
      </c>
      <c r="B170" s="107" t="s">
        <v>182</v>
      </c>
      <c r="C170" s="120" t="s">
        <v>33</v>
      </c>
      <c r="D170" s="121">
        <v>0</v>
      </c>
      <c r="E170" s="183">
        <v>0</v>
      </c>
      <c r="F170" s="183">
        <f t="shared" si="14"/>
        <v>0</v>
      </c>
      <c r="H170" s="245"/>
      <c r="I170" s="250">
        <f>+'GDR 3760_Pto. 02_Cert. 10'!K170</f>
        <v>0</v>
      </c>
      <c r="J170" s="250"/>
      <c r="K170" s="251">
        <f t="shared" si="15"/>
        <v>0</v>
      </c>
      <c r="L170" s="50">
        <f t="shared" si="16"/>
        <v>0</v>
      </c>
      <c r="M170" s="50">
        <f t="shared" si="17"/>
        <v>0</v>
      </c>
      <c r="N170" s="50">
        <f t="shared" si="18"/>
        <v>0</v>
      </c>
    </row>
    <row r="171" spans="1:14" ht="12.75" customHeight="1" x14ac:dyDescent="0.3">
      <c r="A171" s="24">
        <v>20.02</v>
      </c>
      <c r="B171" s="25" t="s">
        <v>183</v>
      </c>
      <c r="C171" s="112" t="s">
        <v>33</v>
      </c>
      <c r="D171" s="27">
        <v>0</v>
      </c>
      <c r="E171" s="181">
        <v>0</v>
      </c>
      <c r="F171" s="181">
        <f t="shared" si="14"/>
        <v>0</v>
      </c>
      <c r="H171" s="245"/>
      <c r="I171" s="250">
        <f>+'GDR 3760_Pto. 02_Cert. 10'!K171</f>
        <v>0</v>
      </c>
      <c r="J171" s="250"/>
      <c r="K171" s="251">
        <f t="shared" si="15"/>
        <v>0</v>
      </c>
      <c r="L171" s="50">
        <f t="shared" si="16"/>
        <v>0</v>
      </c>
      <c r="M171" s="50">
        <f t="shared" si="17"/>
        <v>0</v>
      </c>
      <c r="N171" s="50">
        <f t="shared" si="18"/>
        <v>0</v>
      </c>
    </row>
    <row r="172" spans="1:14" ht="12.75" customHeight="1" x14ac:dyDescent="0.3">
      <c r="A172" s="13">
        <v>21</v>
      </c>
      <c r="B172" s="40" t="s">
        <v>184</v>
      </c>
      <c r="C172" s="18"/>
      <c r="D172" s="19"/>
      <c r="E172" s="19"/>
      <c r="F172" s="19"/>
      <c r="G172" s="192">
        <f>+SUM(F173)</f>
        <v>0</v>
      </c>
      <c r="H172" s="245">
        <f t="shared" si="19"/>
        <v>0</v>
      </c>
      <c r="I172" s="246"/>
      <c r="J172" s="247"/>
      <c r="K172" s="247"/>
      <c r="L172" s="178"/>
      <c r="M172" s="178"/>
      <c r="N172" s="179"/>
    </row>
    <row r="173" spans="1:14" ht="12.75" customHeight="1" x14ac:dyDescent="0.3">
      <c r="A173" s="149">
        <v>21.01</v>
      </c>
      <c r="B173" s="150" t="s">
        <v>185</v>
      </c>
      <c r="C173" s="151" t="s">
        <v>29</v>
      </c>
      <c r="D173" s="152">
        <v>1</v>
      </c>
      <c r="E173" s="184">
        <v>0</v>
      </c>
      <c r="F173" s="181">
        <f t="shared" si="14"/>
        <v>0</v>
      </c>
      <c r="G173" s="182"/>
      <c r="H173" s="245"/>
      <c r="I173" s="250">
        <f>+'GDR 3760_Pto. 02_Cert. 10'!K173</f>
        <v>0</v>
      </c>
      <c r="J173" s="250"/>
      <c r="K173" s="251">
        <f t="shared" si="15"/>
        <v>0</v>
      </c>
      <c r="L173" s="50">
        <f t="shared" si="16"/>
        <v>0</v>
      </c>
      <c r="M173" s="50">
        <f t="shared" si="17"/>
        <v>0</v>
      </c>
      <c r="N173" s="50">
        <f t="shared" si="18"/>
        <v>0</v>
      </c>
    </row>
    <row r="174" spans="1:14" ht="12.75" customHeight="1" x14ac:dyDescent="0.3">
      <c r="A174" s="13">
        <v>22</v>
      </c>
      <c r="B174" s="40" t="s">
        <v>186</v>
      </c>
      <c r="C174" s="18"/>
      <c r="D174" s="19"/>
      <c r="E174" s="19"/>
      <c r="F174" s="19"/>
      <c r="G174" s="192">
        <f>+SUM(F175:F176)</f>
        <v>2934560</v>
      </c>
      <c r="H174" s="245">
        <f t="shared" si="19"/>
        <v>3.4734882002910904E-3</v>
      </c>
      <c r="I174" s="246"/>
      <c r="J174" s="247"/>
      <c r="K174" s="247"/>
      <c r="L174" s="178"/>
      <c r="M174" s="178"/>
      <c r="N174" s="179"/>
    </row>
    <row r="175" spans="1:14" ht="12.75" customHeight="1" x14ac:dyDescent="0.3">
      <c r="A175" s="115">
        <v>22.01</v>
      </c>
      <c r="B175" s="131" t="s">
        <v>187</v>
      </c>
      <c r="C175" s="132" t="s">
        <v>33</v>
      </c>
      <c r="D175" s="153">
        <v>8</v>
      </c>
      <c r="E175" s="184">
        <v>91705</v>
      </c>
      <c r="F175" s="183">
        <f t="shared" si="14"/>
        <v>733640</v>
      </c>
      <c r="H175" s="245"/>
      <c r="I175" s="250">
        <f>+'GDR 3760_Pto. 02_Cert. 10'!K175</f>
        <v>0</v>
      </c>
      <c r="J175" s="250"/>
      <c r="K175" s="251">
        <f t="shared" si="15"/>
        <v>0</v>
      </c>
      <c r="L175" s="50">
        <f t="shared" si="16"/>
        <v>0</v>
      </c>
      <c r="M175" s="50">
        <f t="shared" si="17"/>
        <v>0</v>
      </c>
      <c r="N175" s="50">
        <f t="shared" si="18"/>
        <v>0</v>
      </c>
    </row>
    <row r="176" spans="1:14" ht="12.75" customHeight="1" x14ac:dyDescent="0.3">
      <c r="A176" s="100">
        <v>22.02</v>
      </c>
      <c r="B176" s="98" t="s">
        <v>188</v>
      </c>
      <c r="C176" s="133" t="s">
        <v>33</v>
      </c>
      <c r="D176" s="153">
        <v>24</v>
      </c>
      <c r="E176" s="184">
        <v>91705</v>
      </c>
      <c r="F176" s="183">
        <f t="shared" si="14"/>
        <v>2200920</v>
      </c>
      <c r="H176" s="245"/>
      <c r="I176" s="250">
        <f>+'GDR 3760_Pto. 02_Cert. 10'!K176</f>
        <v>0</v>
      </c>
      <c r="J176" s="250"/>
      <c r="K176" s="251">
        <f t="shared" si="15"/>
        <v>0</v>
      </c>
      <c r="L176" s="50">
        <f t="shared" si="16"/>
        <v>0</v>
      </c>
      <c r="M176" s="50">
        <f t="shared" si="17"/>
        <v>0</v>
      </c>
      <c r="N176" s="50">
        <f t="shared" si="18"/>
        <v>0</v>
      </c>
    </row>
    <row r="177" spans="1:14" ht="12.75" customHeight="1" x14ac:dyDescent="0.3">
      <c r="A177" s="13">
        <v>23</v>
      </c>
      <c r="B177" s="40" t="s">
        <v>189</v>
      </c>
      <c r="C177" s="18"/>
      <c r="D177" s="19"/>
      <c r="E177" s="19"/>
      <c r="F177" s="19"/>
      <c r="G177" s="192">
        <f>+SUM(F178:F181)</f>
        <v>19050437</v>
      </c>
      <c r="H177" s="245">
        <f t="shared" si="19"/>
        <v>2.2549025451818604E-2</v>
      </c>
      <c r="I177" s="246"/>
      <c r="J177" s="247"/>
      <c r="K177" s="247"/>
      <c r="L177" s="178"/>
      <c r="M177" s="178"/>
      <c r="N177" s="179"/>
    </row>
    <row r="178" spans="1:14" ht="12.75" customHeight="1" x14ac:dyDescent="0.3">
      <c r="A178" s="115">
        <v>23.01</v>
      </c>
      <c r="B178" s="21" t="s">
        <v>190</v>
      </c>
      <c r="C178" s="93" t="s">
        <v>29</v>
      </c>
      <c r="D178" s="94">
        <v>6</v>
      </c>
      <c r="E178" s="180">
        <v>259063</v>
      </c>
      <c r="F178" s="180">
        <f t="shared" si="14"/>
        <v>1554378</v>
      </c>
      <c r="G178" s="182"/>
      <c r="H178" s="245"/>
      <c r="I178" s="250">
        <f>+'GDR 3760_Pto. 02_Cert. 10'!K178</f>
        <v>0</v>
      </c>
      <c r="J178" s="250"/>
      <c r="K178" s="251">
        <f t="shared" si="15"/>
        <v>0</v>
      </c>
      <c r="L178" s="50">
        <f t="shared" si="16"/>
        <v>0</v>
      </c>
      <c r="M178" s="50">
        <f t="shared" si="17"/>
        <v>0</v>
      </c>
      <c r="N178" s="50">
        <f t="shared" si="18"/>
        <v>0</v>
      </c>
    </row>
    <row r="179" spans="1:14" ht="12.75" customHeight="1" x14ac:dyDescent="0.3">
      <c r="A179" s="100">
        <v>23.02</v>
      </c>
      <c r="B179" s="25" t="s">
        <v>191</v>
      </c>
      <c r="C179" s="30" t="s">
        <v>29</v>
      </c>
      <c r="D179" s="31">
        <v>1</v>
      </c>
      <c r="E179" s="181">
        <v>793947</v>
      </c>
      <c r="F179" s="181">
        <f t="shared" si="14"/>
        <v>793947</v>
      </c>
      <c r="H179" s="245"/>
      <c r="I179" s="250">
        <f>+'GDR 3760_Pto. 02_Cert. 10'!K179</f>
        <v>0</v>
      </c>
      <c r="J179" s="250"/>
      <c r="K179" s="251">
        <f t="shared" si="15"/>
        <v>0</v>
      </c>
      <c r="L179" s="50">
        <f t="shared" si="16"/>
        <v>0</v>
      </c>
      <c r="M179" s="50">
        <f t="shared" si="17"/>
        <v>0</v>
      </c>
      <c r="N179" s="50">
        <f t="shared" si="18"/>
        <v>0</v>
      </c>
    </row>
    <row r="180" spans="1:14" ht="12.75" customHeight="1" x14ac:dyDescent="0.3">
      <c r="A180" s="100">
        <v>23.03</v>
      </c>
      <c r="B180" s="25" t="s">
        <v>192</v>
      </c>
      <c r="C180" s="30" t="s">
        <v>19</v>
      </c>
      <c r="D180" s="31">
        <v>26</v>
      </c>
      <c r="E180" s="181">
        <v>27076</v>
      </c>
      <c r="F180" s="181">
        <f t="shared" si="14"/>
        <v>703976</v>
      </c>
      <c r="H180" s="245"/>
      <c r="I180" s="250">
        <f>+'GDR 3760_Pto. 02_Cert. 10'!K180</f>
        <v>0</v>
      </c>
      <c r="J180" s="250"/>
      <c r="K180" s="251">
        <f t="shared" si="15"/>
        <v>0</v>
      </c>
      <c r="L180" s="50">
        <f t="shared" si="16"/>
        <v>0</v>
      </c>
      <c r="M180" s="50">
        <f t="shared" si="17"/>
        <v>0</v>
      </c>
      <c r="N180" s="50">
        <f t="shared" si="18"/>
        <v>0</v>
      </c>
    </row>
    <row r="181" spans="1:14" ht="12.75" customHeight="1" x14ac:dyDescent="0.3">
      <c r="A181" s="130">
        <v>23.04</v>
      </c>
      <c r="B181" s="154" t="s">
        <v>193</v>
      </c>
      <c r="C181" s="155" t="s">
        <v>19</v>
      </c>
      <c r="D181" s="102">
        <v>231</v>
      </c>
      <c r="E181" s="189">
        <v>69256</v>
      </c>
      <c r="F181" s="189">
        <f t="shared" si="14"/>
        <v>15998136</v>
      </c>
      <c r="H181" s="245"/>
      <c r="I181" s="250">
        <f>+'GDR 3760_Pto. 02_Cert. 10'!K181</f>
        <v>0</v>
      </c>
      <c r="J181" s="250"/>
      <c r="K181" s="251">
        <f t="shared" si="15"/>
        <v>0</v>
      </c>
      <c r="L181" s="50">
        <f t="shared" si="16"/>
        <v>0</v>
      </c>
      <c r="M181" s="50">
        <f t="shared" si="17"/>
        <v>0</v>
      </c>
      <c r="N181" s="50">
        <f t="shared" si="18"/>
        <v>0</v>
      </c>
    </row>
    <row r="182" spans="1:14" ht="12.75" customHeight="1" x14ac:dyDescent="0.3">
      <c r="A182" s="13">
        <v>24</v>
      </c>
      <c r="B182" s="40" t="s">
        <v>194</v>
      </c>
      <c r="C182" s="18"/>
      <c r="D182" s="19"/>
      <c r="E182" s="19"/>
      <c r="F182" s="19"/>
      <c r="G182" s="192">
        <f>+SUM(F183:F191)</f>
        <v>76903896</v>
      </c>
      <c r="H182" s="245">
        <f t="shared" si="19"/>
        <v>9.1027198391722505E-2</v>
      </c>
      <c r="I182" s="246"/>
      <c r="J182" s="247"/>
      <c r="K182" s="247"/>
      <c r="L182" s="178"/>
      <c r="M182" s="178"/>
      <c r="N182" s="179"/>
    </row>
    <row r="183" spans="1:14" ht="12.75" customHeight="1" x14ac:dyDescent="0.3">
      <c r="A183" s="20">
        <v>24.01</v>
      </c>
      <c r="B183" s="156" t="s">
        <v>195</v>
      </c>
      <c r="C183" s="22" t="s">
        <v>196</v>
      </c>
      <c r="D183" s="94">
        <v>17</v>
      </c>
      <c r="E183" s="181">
        <v>973327</v>
      </c>
      <c r="F183" s="181">
        <f t="shared" si="14"/>
        <v>16546559</v>
      </c>
      <c r="H183" s="245"/>
      <c r="I183" s="250">
        <f>+'GDR 3760_Pto. 02_Cert. 10'!K183</f>
        <v>0.49999999999999994</v>
      </c>
      <c r="J183" s="250">
        <v>0.05</v>
      </c>
      <c r="K183" s="251">
        <f t="shared" si="15"/>
        <v>0.54999999999999993</v>
      </c>
      <c r="L183" s="50">
        <f t="shared" si="16"/>
        <v>8273279.4999999991</v>
      </c>
      <c r="M183" s="50">
        <f t="shared" si="17"/>
        <v>827327.95000000007</v>
      </c>
      <c r="N183" s="50">
        <f t="shared" si="18"/>
        <v>9100607.4499999993</v>
      </c>
    </row>
    <row r="184" spans="1:14" ht="12.75" customHeight="1" x14ac:dyDescent="0.3">
      <c r="A184" s="24">
        <v>24.02</v>
      </c>
      <c r="B184" s="157" t="s">
        <v>197</v>
      </c>
      <c r="C184" s="26" t="s">
        <v>196</v>
      </c>
      <c r="D184" s="31">
        <v>4</v>
      </c>
      <c r="E184" s="181">
        <v>2005316</v>
      </c>
      <c r="F184" s="181">
        <f t="shared" si="14"/>
        <v>8021264</v>
      </c>
      <c r="H184" s="245"/>
      <c r="I184" s="250">
        <f>+'GDR 3760_Pto. 02_Cert. 10'!K184</f>
        <v>1</v>
      </c>
      <c r="J184" s="250"/>
      <c r="K184" s="251">
        <f t="shared" si="15"/>
        <v>1</v>
      </c>
      <c r="L184" s="50">
        <f t="shared" si="16"/>
        <v>8021264</v>
      </c>
      <c r="M184" s="50">
        <f t="shared" si="17"/>
        <v>0</v>
      </c>
      <c r="N184" s="50">
        <f t="shared" si="18"/>
        <v>8021264</v>
      </c>
    </row>
    <row r="185" spans="1:14" ht="12.75" customHeight="1" x14ac:dyDescent="0.3">
      <c r="A185" s="24">
        <v>24.03</v>
      </c>
      <c r="B185" s="158" t="s">
        <v>198</v>
      </c>
      <c r="C185" s="26" t="s">
        <v>196</v>
      </c>
      <c r="D185" s="31">
        <v>17</v>
      </c>
      <c r="E185" s="181">
        <v>199910</v>
      </c>
      <c r="F185" s="181">
        <f t="shared" si="14"/>
        <v>3398470</v>
      </c>
      <c r="H185" s="245"/>
      <c r="I185" s="250">
        <f>+'GDR 3760_Pto. 02_Cert. 10'!K185</f>
        <v>0.49999999999999994</v>
      </c>
      <c r="J185" s="250">
        <v>0.05</v>
      </c>
      <c r="K185" s="251">
        <f t="shared" si="15"/>
        <v>0.54999999999999993</v>
      </c>
      <c r="L185" s="50">
        <f t="shared" si="16"/>
        <v>1699234.9999999998</v>
      </c>
      <c r="M185" s="50">
        <f t="shared" si="17"/>
        <v>169923.5</v>
      </c>
      <c r="N185" s="50">
        <f t="shared" si="18"/>
        <v>1869158.4999999998</v>
      </c>
    </row>
    <row r="186" spans="1:14" ht="12.75" customHeight="1" x14ac:dyDescent="0.3">
      <c r="A186" s="24">
        <v>24.04</v>
      </c>
      <c r="B186" s="158" t="s">
        <v>199</v>
      </c>
      <c r="C186" s="26" t="s">
        <v>29</v>
      </c>
      <c r="D186" s="27">
        <v>1</v>
      </c>
      <c r="E186" s="181">
        <v>6284456</v>
      </c>
      <c r="F186" s="181">
        <f t="shared" si="14"/>
        <v>6284456</v>
      </c>
      <c r="H186" s="245"/>
      <c r="I186" s="250">
        <f>+'GDR 3760_Pto. 02_Cert. 10'!K186</f>
        <v>1</v>
      </c>
      <c r="J186" s="274"/>
      <c r="K186" s="251">
        <f t="shared" si="15"/>
        <v>1</v>
      </c>
      <c r="L186" s="50">
        <f t="shared" si="16"/>
        <v>6284456</v>
      </c>
      <c r="M186" s="50">
        <f t="shared" si="17"/>
        <v>0</v>
      </c>
      <c r="N186" s="50">
        <f t="shared" si="18"/>
        <v>6284456</v>
      </c>
    </row>
    <row r="187" spans="1:14" ht="12.75" customHeight="1" x14ac:dyDescent="0.3">
      <c r="A187" s="24">
        <v>24.05</v>
      </c>
      <c r="B187" s="158" t="s">
        <v>200</v>
      </c>
      <c r="C187" s="159" t="s">
        <v>196</v>
      </c>
      <c r="D187" s="31">
        <v>17</v>
      </c>
      <c r="E187" s="181">
        <v>873895</v>
      </c>
      <c r="F187" s="181">
        <f t="shared" si="14"/>
        <v>14856215</v>
      </c>
      <c r="G187" s="194"/>
      <c r="H187" s="245"/>
      <c r="I187" s="250">
        <f>+'GDR 3760_Pto. 02_Cert. 10'!K187</f>
        <v>0.39999999999999997</v>
      </c>
      <c r="J187" s="250">
        <v>0.05</v>
      </c>
      <c r="K187" s="251">
        <f t="shared" si="15"/>
        <v>0.44999999999999996</v>
      </c>
      <c r="L187" s="50">
        <f t="shared" si="16"/>
        <v>5942485.9999999991</v>
      </c>
      <c r="M187" s="50">
        <f t="shared" si="17"/>
        <v>742810.75</v>
      </c>
      <c r="N187" s="50">
        <f t="shared" si="18"/>
        <v>6685296.7499999991</v>
      </c>
    </row>
    <row r="188" spans="1:14" ht="12.75" customHeight="1" x14ac:dyDescent="0.3">
      <c r="A188" s="24">
        <v>24.06</v>
      </c>
      <c r="B188" s="158" t="s">
        <v>201</v>
      </c>
      <c r="C188" s="159" t="s">
        <v>196</v>
      </c>
      <c r="D188" s="31">
        <v>17</v>
      </c>
      <c r="E188" s="181">
        <v>577178</v>
      </c>
      <c r="F188" s="181">
        <f t="shared" si="14"/>
        <v>9812026</v>
      </c>
      <c r="G188" s="194"/>
      <c r="H188" s="245"/>
      <c r="I188" s="250">
        <f>+'GDR 3760_Pto. 02_Cert. 10'!K188</f>
        <v>0.39999999999999997</v>
      </c>
      <c r="J188" s="250">
        <v>0.05</v>
      </c>
      <c r="K188" s="251">
        <f t="shared" si="15"/>
        <v>0.44999999999999996</v>
      </c>
      <c r="L188" s="50">
        <f t="shared" si="16"/>
        <v>3924810.3999999994</v>
      </c>
      <c r="M188" s="50">
        <f t="shared" si="17"/>
        <v>490601.30000000005</v>
      </c>
      <c r="N188" s="50">
        <f t="shared" si="18"/>
        <v>4415411.6999999993</v>
      </c>
    </row>
    <row r="189" spans="1:14" ht="12.75" customHeight="1" x14ac:dyDescent="0.3">
      <c r="A189" s="24">
        <v>24.07</v>
      </c>
      <c r="B189" s="158" t="s">
        <v>202</v>
      </c>
      <c r="C189" s="159" t="s">
        <v>29</v>
      </c>
      <c r="D189" s="27">
        <v>1</v>
      </c>
      <c r="E189" s="181">
        <v>5277814</v>
      </c>
      <c r="F189" s="181">
        <f t="shared" si="14"/>
        <v>5277814</v>
      </c>
      <c r="G189" s="194"/>
      <c r="H189" s="245"/>
      <c r="I189" s="250">
        <f>+'GDR 3760_Pto. 02_Cert. 10'!K189</f>
        <v>0</v>
      </c>
      <c r="J189" s="250"/>
      <c r="K189" s="251">
        <f t="shared" si="15"/>
        <v>0</v>
      </c>
      <c r="L189" s="50">
        <f t="shared" si="16"/>
        <v>0</v>
      </c>
      <c r="M189" s="50">
        <f t="shared" si="17"/>
        <v>0</v>
      </c>
      <c r="N189" s="50">
        <f t="shared" si="18"/>
        <v>0</v>
      </c>
    </row>
    <row r="190" spans="1:14" ht="12.75" customHeight="1" x14ac:dyDescent="0.3">
      <c r="A190" s="24">
        <v>24.08</v>
      </c>
      <c r="B190" s="158" t="s">
        <v>203</v>
      </c>
      <c r="C190" s="159" t="s">
        <v>196</v>
      </c>
      <c r="D190" s="31">
        <v>17</v>
      </c>
      <c r="E190" s="181">
        <v>399819</v>
      </c>
      <c r="F190" s="181">
        <f t="shared" si="14"/>
        <v>6796923</v>
      </c>
      <c r="G190" s="194"/>
      <c r="H190" s="245"/>
      <c r="I190" s="250">
        <f>+'GDR 3760_Pto. 02_Cert. 10'!K190</f>
        <v>0.44999999999999996</v>
      </c>
      <c r="J190" s="250">
        <v>0.05</v>
      </c>
      <c r="K190" s="251">
        <f t="shared" si="15"/>
        <v>0.49999999999999994</v>
      </c>
      <c r="L190" s="50">
        <f t="shared" si="16"/>
        <v>3058615.3499999996</v>
      </c>
      <c r="M190" s="50">
        <f t="shared" si="17"/>
        <v>339846.15</v>
      </c>
      <c r="N190" s="50">
        <f t="shared" si="18"/>
        <v>3398461.4999999995</v>
      </c>
    </row>
    <row r="191" spans="1:14" ht="12.75" customHeight="1" x14ac:dyDescent="0.3">
      <c r="A191" s="24">
        <v>24.09</v>
      </c>
      <c r="B191" s="160" t="s">
        <v>204</v>
      </c>
      <c r="C191" s="161" t="s">
        <v>196</v>
      </c>
      <c r="D191" s="31">
        <v>17</v>
      </c>
      <c r="E191" s="189">
        <v>347657</v>
      </c>
      <c r="F191" s="189">
        <f t="shared" si="14"/>
        <v>5910169</v>
      </c>
      <c r="G191" s="194"/>
      <c r="H191" s="245"/>
      <c r="I191" s="250">
        <f>+'GDR 3760_Pto. 02_Cert. 10'!K191</f>
        <v>0.37999999999999995</v>
      </c>
      <c r="J191" s="250">
        <v>0.05</v>
      </c>
      <c r="K191" s="251">
        <f t="shared" si="15"/>
        <v>0.42999999999999994</v>
      </c>
      <c r="L191" s="50">
        <f t="shared" si="16"/>
        <v>2245864.2199999997</v>
      </c>
      <c r="M191" s="50">
        <f t="shared" si="17"/>
        <v>295508.45</v>
      </c>
      <c r="N191" s="50">
        <f t="shared" si="18"/>
        <v>2541372.6699999995</v>
      </c>
    </row>
    <row r="192" spans="1:14" ht="12.75" customHeight="1" x14ac:dyDescent="0.3">
      <c r="A192" s="13">
        <v>25</v>
      </c>
      <c r="B192" s="40" t="s">
        <v>205</v>
      </c>
      <c r="C192" s="18"/>
      <c r="D192" s="19"/>
      <c r="E192" s="19"/>
      <c r="F192" s="19"/>
      <c r="G192" s="192">
        <f>+SUM(F193:F194)</f>
        <v>110386593</v>
      </c>
      <c r="H192" s="245">
        <f t="shared" si="19"/>
        <v>0.13065894998086086</v>
      </c>
      <c r="I192" s="246"/>
      <c r="J192" s="247"/>
      <c r="K192" s="247"/>
      <c r="L192" s="178"/>
      <c r="M192" s="178"/>
      <c r="N192" s="179"/>
    </row>
    <row r="193" spans="1:14" ht="12.75" customHeight="1" x14ac:dyDescent="0.3">
      <c r="A193" s="20">
        <v>25.01</v>
      </c>
      <c r="B193" s="21" t="s">
        <v>206</v>
      </c>
      <c r="C193" s="93" t="s">
        <v>196</v>
      </c>
      <c r="D193" s="94">
        <v>17</v>
      </c>
      <c r="E193" s="184">
        <v>5826965</v>
      </c>
      <c r="F193" s="183">
        <f t="shared" si="14"/>
        <v>99058405</v>
      </c>
      <c r="G193" s="195"/>
      <c r="H193" s="245"/>
      <c r="I193" s="250">
        <f>+'GDR 3760_Pto. 02_Cert. 10'!K193</f>
        <v>0.49999999999999994</v>
      </c>
      <c r="J193" s="250">
        <v>0.05</v>
      </c>
      <c r="K193" s="251">
        <f t="shared" si="15"/>
        <v>0.54999999999999993</v>
      </c>
      <c r="L193" s="50">
        <f t="shared" si="16"/>
        <v>49529202.499999993</v>
      </c>
      <c r="M193" s="50">
        <f t="shared" si="17"/>
        <v>4952920.25</v>
      </c>
      <c r="N193" s="50">
        <f t="shared" si="18"/>
        <v>54482122.749999993</v>
      </c>
    </row>
    <row r="194" spans="1:14" ht="12.75" customHeight="1" x14ac:dyDescent="0.3">
      <c r="A194" s="33">
        <v>25.02</v>
      </c>
      <c r="B194" s="38" t="s">
        <v>207</v>
      </c>
      <c r="C194" s="34" t="s">
        <v>196</v>
      </c>
      <c r="D194" s="35">
        <v>17</v>
      </c>
      <c r="E194" s="184">
        <v>666364</v>
      </c>
      <c r="F194" s="181">
        <f t="shared" si="14"/>
        <v>11328188</v>
      </c>
      <c r="G194" s="196"/>
      <c r="H194" s="245"/>
      <c r="I194" s="255">
        <f>+'GDR 3760_Pto. 02_Cert. 10'!K194</f>
        <v>0.49999999999999994</v>
      </c>
      <c r="J194" s="255">
        <v>0.05</v>
      </c>
      <c r="K194" s="256">
        <f t="shared" si="15"/>
        <v>0.54999999999999993</v>
      </c>
      <c r="L194" s="257">
        <f t="shared" si="16"/>
        <v>5664093.9999999991</v>
      </c>
      <c r="M194" s="257">
        <f t="shared" si="17"/>
        <v>566409.4</v>
      </c>
      <c r="N194" s="257">
        <f t="shared" si="18"/>
        <v>6230503.3999999994</v>
      </c>
    </row>
    <row r="195" spans="1:14" ht="12.75" customHeight="1" x14ac:dyDescent="0.3">
      <c r="A195" s="13"/>
      <c r="B195" s="40" t="s">
        <v>208</v>
      </c>
      <c r="C195" s="18"/>
      <c r="D195" s="19"/>
      <c r="E195" s="19"/>
      <c r="F195" s="197">
        <f>SUM(F9:F194)</f>
        <v>844845248</v>
      </c>
      <c r="G195" s="192">
        <f>SUM(G9:G194)</f>
        <v>844845248</v>
      </c>
      <c r="H195" s="245">
        <f>+SUM(H9:H194)</f>
        <v>0.99999999999999978</v>
      </c>
      <c r="I195" s="258"/>
      <c r="J195" s="259"/>
      <c r="K195" s="259"/>
      <c r="L195" s="260">
        <f>+SUM(L10:L194)</f>
        <v>142305033.23199999</v>
      </c>
      <c r="M195" s="260">
        <f>+SUM(M10:M194)</f>
        <v>41863791</v>
      </c>
      <c r="N195" s="261">
        <f>+SUM(N10:N194)</f>
        <v>184168824.23199999</v>
      </c>
    </row>
    <row r="196" spans="1:14" s="41" customFormat="1" ht="13" x14ac:dyDescent="0.3">
      <c r="A196" s="43"/>
      <c r="B196" s="44"/>
      <c r="C196" s="45"/>
      <c r="D196" s="46"/>
      <c r="E196" s="198"/>
      <c r="F196" s="198"/>
      <c r="G196" s="199"/>
      <c r="H196" s="177"/>
      <c r="I196" s="200"/>
      <c r="J196" s="200"/>
      <c r="K196" s="200"/>
      <c r="L196" s="200"/>
      <c r="M196" s="287">
        <f>+M195/G195</f>
        <v>4.9552022810217665E-2</v>
      </c>
      <c r="N196" s="254">
        <f>+N195/G195</f>
        <v>0.21799119385234442</v>
      </c>
    </row>
    <row r="197" spans="1:14" s="41" customFormat="1" ht="13" x14ac:dyDescent="0.3">
      <c r="A197" s="42"/>
      <c r="B197" s="88"/>
      <c r="C197" s="89"/>
      <c r="D197" s="9"/>
      <c r="E197" s="201"/>
      <c r="F197" s="201"/>
      <c r="G197" s="166"/>
      <c r="H197" s="177"/>
      <c r="I197" s="200"/>
      <c r="J197" s="200"/>
      <c r="K197" s="200"/>
      <c r="L197" s="200"/>
      <c r="M197" s="287"/>
      <c r="N197" s="254"/>
    </row>
    <row r="198" spans="1:14" s="41" customFormat="1" ht="13" x14ac:dyDescent="0.3">
      <c r="A198" s="42"/>
      <c r="B198" s="90" t="s">
        <v>234</v>
      </c>
      <c r="C198" s="305"/>
      <c r="D198" s="166"/>
      <c r="E198" s="201"/>
      <c r="F198" s="201"/>
      <c r="G198" s="166"/>
      <c r="H198" s="177"/>
      <c r="I198" s="200"/>
      <c r="J198" s="200"/>
      <c r="K198" s="200"/>
      <c r="L198" s="200"/>
      <c r="M198" s="287"/>
      <c r="N198" s="254"/>
    </row>
    <row r="199" spans="1:14" s="41" customFormat="1" ht="13" x14ac:dyDescent="0.3">
      <c r="A199" s="13">
        <v>4</v>
      </c>
      <c r="B199" s="17" t="s">
        <v>17</v>
      </c>
      <c r="C199" s="310"/>
      <c r="D199" s="197"/>
      <c r="E199" s="190"/>
      <c r="F199" s="190"/>
      <c r="G199" s="192">
        <f>+SUM(F200)</f>
        <v>-713352</v>
      </c>
      <c r="H199" s="177"/>
      <c r="I199" s="246"/>
      <c r="J199" s="247"/>
      <c r="K199" s="247"/>
      <c r="L199" s="178"/>
      <c r="M199" s="178"/>
      <c r="N199" s="179"/>
    </row>
    <row r="200" spans="1:14" s="41" customFormat="1" ht="13" x14ac:dyDescent="0.3">
      <c r="A200" s="39">
        <v>4.12</v>
      </c>
      <c r="B200" s="107" t="s">
        <v>32</v>
      </c>
      <c r="C200" s="108" t="s">
        <v>33</v>
      </c>
      <c r="D200" s="309">
        <v>-3</v>
      </c>
      <c r="E200" s="201">
        <f>+E21</f>
        <v>237784</v>
      </c>
      <c r="F200" s="183">
        <f t="shared" ref="F200:F210" si="20">+E200*D200</f>
        <v>-713352</v>
      </c>
      <c r="G200" s="166"/>
      <c r="H200" s="177"/>
      <c r="I200" s="248"/>
      <c r="J200" s="248"/>
      <c r="K200" s="292">
        <f t="shared" ref="K200" si="21">+I200+J200</f>
        <v>0</v>
      </c>
      <c r="L200" s="50">
        <f t="shared" ref="L200" si="22">+F200*I200</f>
        <v>0</v>
      </c>
      <c r="M200" s="50">
        <f t="shared" ref="M200" si="23">+F200*J200</f>
        <v>0</v>
      </c>
      <c r="N200" s="50">
        <f t="shared" ref="N200" si="24">+F200*K200</f>
        <v>0</v>
      </c>
    </row>
    <row r="201" spans="1:14" s="41" customFormat="1" ht="13" x14ac:dyDescent="0.3">
      <c r="A201" s="13">
        <v>5</v>
      </c>
      <c r="B201" s="17" t="s">
        <v>36</v>
      </c>
      <c r="C201" s="310"/>
      <c r="D201" s="197"/>
      <c r="E201" s="190"/>
      <c r="F201" s="190"/>
      <c r="G201" s="192">
        <f>+SUM(F202)</f>
        <v>-2438774</v>
      </c>
      <c r="H201" s="177"/>
      <c r="I201" s="246"/>
      <c r="J201" s="247"/>
      <c r="K201" s="247"/>
      <c r="L201" s="178"/>
      <c r="M201" s="178"/>
      <c r="N201" s="179"/>
    </row>
    <row r="202" spans="1:14" s="41" customFormat="1" ht="13" x14ac:dyDescent="0.3">
      <c r="A202" s="39">
        <v>5.07</v>
      </c>
      <c r="B202" s="107" t="s">
        <v>43</v>
      </c>
      <c r="C202" s="108" t="s">
        <v>29</v>
      </c>
      <c r="D202" s="309">
        <v>-1</v>
      </c>
      <c r="E202" s="201">
        <f>+E31</f>
        <v>2438774</v>
      </c>
      <c r="F202" s="183">
        <f t="shared" si="20"/>
        <v>-2438774</v>
      </c>
      <c r="G202" s="166"/>
      <c r="H202" s="177"/>
      <c r="I202" s="248"/>
      <c r="J202" s="248"/>
      <c r="K202" s="292">
        <f t="shared" ref="K202" si="25">+I202+J202</f>
        <v>0</v>
      </c>
      <c r="L202" s="50">
        <f t="shared" ref="L202" si="26">+F202*I202</f>
        <v>0</v>
      </c>
      <c r="M202" s="50">
        <f t="shared" ref="M202" si="27">+F202*J202</f>
        <v>0</v>
      </c>
      <c r="N202" s="50">
        <f t="shared" ref="N202" si="28">+F202*K202</f>
        <v>0</v>
      </c>
    </row>
    <row r="203" spans="1:14" s="41" customFormat="1" ht="13" x14ac:dyDescent="0.3">
      <c r="A203" s="13">
        <v>14</v>
      </c>
      <c r="B203" s="17" t="s">
        <v>93</v>
      </c>
      <c r="C203" s="310"/>
      <c r="D203" s="197"/>
      <c r="E203" s="190"/>
      <c r="F203" s="190"/>
      <c r="G203" s="192">
        <f>+SUM(F204:F205)</f>
        <v>-18097046</v>
      </c>
      <c r="H203" s="177"/>
      <c r="I203" s="246"/>
      <c r="J203" s="247"/>
      <c r="K203" s="247"/>
      <c r="L203" s="178"/>
      <c r="M203" s="178"/>
      <c r="N203" s="179"/>
    </row>
    <row r="204" spans="1:14" s="41" customFormat="1" ht="13" x14ac:dyDescent="0.3">
      <c r="A204" s="115">
        <v>14.01</v>
      </c>
      <c r="B204" s="312" t="s">
        <v>94</v>
      </c>
      <c r="C204" s="313" t="s">
        <v>19</v>
      </c>
      <c r="D204" s="123">
        <v>-460</v>
      </c>
      <c r="E204" s="180">
        <f>+E81</f>
        <v>23624</v>
      </c>
      <c r="F204" s="180">
        <f t="shared" si="20"/>
        <v>-10867040</v>
      </c>
      <c r="G204" s="166"/>
      <c r="H204" s="177"/>
      <c r="I204" s="248"/>
      <c r="J204" s="248"/>
      <c r="K204" s="292">
        <f t="shared" ref="K204" si="29">+I204+J204</f>
        <v>0</v>
      </c>
      <c r="L204" s="50">
        <f t="shared" ref="L204" si="30">+F204*I204</f>
        <v>0</v>
      </c>
      <c r="M204" s="50">
        <f t="shared" ref="M204" si="31">+F204*J204</f>
        <v>0</v>
      </c>
      <c r="N204" s="50">
        <f t="shared" ref="N204" si="32">+F204*K204</f>
        <v>0</v>
      </c>
    </row>
    <row r="205" spans="1:14" s="41" customFormat="1" ht="13" x14ac:dyDescent="0.3">
      <c r="A205" s="130">
        <v>14.02</v>
      </c>
      <c r="B205" s="314" t="s">
        <v>95</v>
      </c>
      <c r="C205" s="315" t="s">
        <v>27</v>
      </c>
      <c r="D205" s="139">
        <v>-434</v>
      </c>
      <c r="E205" s="189">
        <f>+E82</f>
        <v>16659</v>
      </c>
      <c r="F205" s="189">
        <f t="shared" si="20"/>
        <v>-7230006</v>
      </c>
      <c r="G205" s="166"/>
      <c r="H205" s="177"/>
      <c r="I205" s="248"/>
      <c r="J205" s="248"/>
      <c r="K205" s="292">
        <f t="shared" ref="K205" si="33">+I205+J205</f>
        <v>0</v>
      </c>
      <c r="L205" s="50">
        <f t="shared" ref="L205" si="34">+F205*I205</f>
        <v>0</v>
      </c>
      <c r="M205" s="50">
        <f t="shared" ref="M205" si="35">+F205*J205</f>
        <v>0</v>
      </c>
      <c r="N205" s="50">
        <f t="shared" ref="N205" si="36">+F205*K205</f>
        <v>0</v>
      </c>
    </row>
    <row r="206" spans="1:14" s="41" customFormat="1" ht="13" x14ac:dyDescent="0.3">
      <c r="A206" s="13">
        <v>15</v>
      </c>
      <c r="B206" s="17" t="s">
        <v>101</v>
      </c>
      <c r="C206" s="310"/>
      <c r="D206" s="197"/>
      <c r="E206" s="190"/>
      <c r="F206" s="190"/>
      <c r="G206" s="192">
        <f>+SUM(F207)</f>
        <v>-4086180</v>
      </c>
      <c r="H206" s="177"/>
      <c r="I206" s="246"/>
      <c r="J206" s="247"/>
      <c r="K206" s="247"/>
      <c r="L206" s="178"/>
      <c r="M206" s="178"/>
      <c r="N206" s="179"/>
    </row>
    <row r="207" spans="1:14" s="41" customFormat="1" ht="13" x14ac:dyDescent="0.3">
      <c r="A207" s="39">
        <v>15.05</v>
      </c>
      <c r="B207" s="107" t="s">
        <v>106</v>
      </c>
      <c r="C207" s="108" t="s">
        <v>19</v>
      </c>
      <c r="D207" s="309">
        <v>-460</v>
      </c>
      <c r="E207" s="201">
        <f>+E93</f>
        <v>8883</v>
      </c>
      <c r="F207" s="183">
        <f t="shared" si="20"/>
        <v>-4086180</v>
      </c>
      <c r="G207" s="166"/>
      <c r="H207" s="177"/>
      <c r="I207" s="248"/>
      <c r="J207" s="248"/>
      <c r="K207" s="292">
        <f t="shared" ref="K207" si="37">+I207+J207</f>
        <v>0</v>
      </c>
      <c r="L207" s="50">
        <f t="shared" ref="L207" si="38">+F207*I207</f>
        <v>0</v>
      </c>
      <c r="M207" s="50">
        <f t="shared" ref="M207" si="39">+F207*J207</f>
        <v>0</v>
      </c>
      <c r="N207" s="50">
        <f t="shared" ref="N207" si="40">+F207*K207</f>
        <v>0</v>
      </c>
    </row>
    <row r="208" spans="1:14" s="41" customFormat="1" ht="13" x14ac:dyDescent="0.3">
      <c r="A208" s="13">
        <v>18</v>
      </c>
      <c r="B208" s="40" t="s">
        <v>120</v>
      </c>
      <c r="C208" s="310"/>
      <c r="D208" s="197"/>
      <c r="E208" s="190"/>
      <c r="F208" s="190"/>
      <c r="G208" s="192">
        <f>+SUM(F209:F212)</f>
        <v>-2527808</v>
      </c>
      <c r="H208" s="177"/>
      <c r="I208" s="246"/>
      <c r="J208" s="247"/>
      <c r="K208" s="247"/>
      <c r="L208" s="178"/>
      <c r="M208" s="178"/>
      <c r="N208" s="179"/>
    </row>
    <row r="209" spans="1:14" s="41" customFormat="1" ht="13" x14ac:dyDescent="0.3">
      <c r="A209" s="115">
        <v>18.09</v>
      </c>
      <c r="B209" s="131" t="s">
        <v>129</v>
      </c>
      <c r="C209" s="132" t="s">
        <v>33</v>
      </c>
      <c r="D209" s="94">
        <v>-8</v>
      </c>
      <c r="E209" s="180">
        <f>+E117</f>
        <v>69154</v>
      </c>
      <c r="F209" s="180">
        <f t="shared" si="20"/>
        <v>-553232</v>
      </c>
      <c r="G209" s="166"/>
      <c r="H209" s="177"/>
      <c r="I209" s="248"/>
      <c r="J209" s="248"/>
      <c r="K209" s="292">
        <f t="shared" ref="K209" si="41">+I209+J209</f>
        <v>0</v>
      </c>
      <c r="L209" s="50">
        <f t="shared" ref="L209" si="42">+F209*I209</f>
        <v>0</v>
      </c>
      <c r="M209" s="50">
        <f t="shared" ref="M209" si="43">+F209*J209</f>
        <v>0</v>
      </c>
      <c r="N209" s="50">
        <f t="shared" ref="N209" si="44">+F209*K209</f>
        <v>0</v>
      </c>
    </row>
    <row r="210" spans="1:14" s="41" customFormat="1" ht="13" x14ac:dyDescent="0.3">
      <c r="A210" s="100">
        <v>18.11</v>
      </c>
      <c r="B210" s="98" t="s">
        <v>131</v>
      </c>
      <c r="C210" s="133" t="s">
        <v>33</v>
      </c>
      <c r="D210" s="31">
        <v>-26</v>
      </c>
      <c r="E210" s="181">
        <f>+E119</f>
        <v>50616</v>
      </c>
      <c r="F210" s="181">
        <f t="shared" si="20"/>
        <v>-1316016</v>
      </c>
      <c r="G210" s="166"/>
      <c r="H210" s="177"/>
      <c r="I210" s="248"/>
      <c r="J210" s="248"/>
      <c r="K210" s="292">
        <f t="shared" ref="K210:K212" si="45">+I210+J210</f>
        <v>0</v>
      </c>
      <c r="L210" s="50">
        <f t="shared" ref="L210:L212" si="46">+F210*I210</f>
        <v>0</v>
      </c>
      <c r="M210" s="50">
        <f t="shared" ref="M210:M212" si="47">+F210*J210</f>
        <v>0</v>
      </c>
      <c r="N210" s="50">
        <f t="shared" ref="N210:N212" si="48">+F210*K210</f>
        <v>0</v>
      </c>
    </row>
    <row r="211" spans="1:14" s="41" customFormat="1" ht="13" x14ac:dyDescent="0.3">
      <c r="A211" s="100">
        <v>18.13</v>
      </c>
      <c r="B211" s="98" t="s">
        <v>133</v>
      </c>
      <c r="C211" s="133" t="s">
        <v>33</v>
      </c>
      <c r="D211" s="31">
        <v>-9</v>
      </c>
      <c r="E211" s="181">
        <f>+E121</f>
        <v>50616</v>
      </c>
      <c r="F211" s="181">
        <f t="shared" ref="F211:F212" si="49">+E211*D211</f>
        <v>-455544</v>
      </c>
      <c r="G211" s="166"/>
      <c r="H211" s="177"/>
      <c r="I211" s="248"/>
      <c r="J211" s="248"/>
      <c r="K211" s="292">
        <f t="shared" si="45"/>
        <v>0</v>
      </c>
      <c r="L211" s="50">
        <f t="shared" si="46"/>
        <v>0</v>
      </c>
      <c r="M211" s="50">
        <f t="shared" si="47"/>
        <v>0</v>
      </c>
      <c r="N211" s="50">
        <f t="shared" si="48"/>
        <v>0</v>
      </c>
    </row>
    <row r="212" spans="1:14" s="41" customFormat="1" ht="13" x14ac:dyDescent="0.3">
      <c r="A212" s="130">
        <v>18.260000000000002</v>
      </c>
      <c r="B212" s="311" t="s">
        <v>146</v>
      </c>
      <c r="C212" s="135" t="s">
        <v>33</v>
      </c>
      <c r="D212" s="35">
        <v>-8</v>
      </c>
      <c r="E212" s="189">
        <f>+E134</f>
        <v>25377</v>
      </c>
      <c r="F212" s="189">
        <f t="shared" si="49"/>
        <v>-203016</v>
      </c>
      <c r="G212" s="166"/>
      <c r="H212" s="177"/>
      <c r="I212" s="248"/>
      <c r="J212" s="248"/>
      <c r="K212" s="292">
        <f t="shared" si="45"/>
        <v>0</v>
      </c>
      <c r="L212" s="50">
        <f t="shared" si="46"/>
        <v>0</v>
      </c>
      <c r="M212" s="50">
        <f t="shared" si="47"/>
        <v>0</v>
      </c>
      <c r="N212" s="50">
        <f t="shared" si="48"/>
        <v>0</v>
      </c>
    </row>
    <row r="213" spans="1:14" s="41" customFormat="1" ht="13" x14ac:dyDescent="0.3">
      <c r="A213" s="13"/>
      <c r="B213" s="40" t="s">
        <v>235</v>
      </c>
      <c r="C213" s="18"/>
      <c r="D213" s="19"/>
      <c r="E213" s="19"/>
      <c r="F213" s="197"/>
      <c r="G213" s="192">
        <f>+SUM(G199:G212)</f>
        <v>-27863160</v>
      </c>
      <c r="H213" s="177"/>
      <c r="I213" s="258"/>
      <c r="J213" s="259"/>
      <c r="K213" s="259"/>
      <c r="L213" s="260">
        <f>+SUM(L200:L212)</f>
        <v>0</v>
      </c>
      <c r="M213" s="260">
        <f>+SUM(M200:M212)</f>
        <v>0</v>
      </c>
      <c r="N213" s="261">
        <f>+SUM(N200:N212)</f>
        <v>0</v>
      </c>
    </row>
    <row r="214" spans="1:14" s="41" customFormat="1" ht="13" x14ac:dyDescent="0.3">
      <c r="A214" s="39"/>
      <c r="B214" s="306"/>
      <c r="C214" s="307"/>
      <c r="D214" s="308"/>
      <c r="E214" s="201"/>
      <c r="F214" s="201"/>
      <c r="G214" s="166"/>
      <c r="H214" s="177"/>
      <c r="I214" s="200"/>
      <c r="J214" s="200"/>
      <c r="K214" s="200"/>
      <c r="L214" s="200"/>
      <c r="M214" s="51"/>
      <c r="N214" s="51"/>
    </row>
    <row r="215" spans="1:14" ht="12.75" customHeight="1" x14ac:dyDescent="0.3">
      <c r="A215" s="39"/>
      <c r="B215" s="47"/>
      <c r="D215" s="48"/>
      <c r="E215" s="9"/>
      <c r="F215" s="9"/>
      <c r="G215" s="202"/>
      <c r="I215" s="200"/>
      <c r="J215" s="200"/>
      <c r="K215" s="200"/>
      <c r="L215" s="200"/>
      <c r="M215" s="51"/>
      <c r="N215" s="51"/>
    </row>
    <row r="216" spans="1:14" ht="12.75" customHeight="1" x14ac:dyDescent="0.3">
      <c r="A216" s="52"/>
      <c r="B216" s="53" t="s">
        <v>209</v>
      </c>
      <c r="C216" s="54"/>
      <c r="D216" s="55"/>
      <c r="E216" s="203"/>
      <c r="F216" s="204"/>
      <c r="G216" s="205"/>
      <c r="H216" s="205"/>
      <c r="I216" s="204"/>
      <c r="J216" s="206"/>
      <c r="K216" s="207" t="s">
        <v>210</v>
      </c>
      <c r="L216" s="208">
        <f>+J5</f>
        <v>11</v>
      </c>
      <c r="M216" s="209"/>
      <c r="N216" s="57">
        <f>+N5</f>
        <v>46050</v>
      </c>
    </row>
    <row r="217" spans="1:14" ht="12.75" customHeight="1" x14ac:dyDescent="0.3">
      <c r="A217" s="58"/>
      <c r="B217" s="53" t="s">
        <v>9</v>
      </c>
      <c r="C217" s="56"/>
      <c r="D217" s="59"/>
      <c r="E217" s="211"/>
      <c r="F217" s="205"/>
      <c r="G217" s="205"/>
      <c r="H217" s="205"/>
      <c r="I217" s="205"/>
      <c r="J217" s="209"/>
      <c r="K217" s="205"/>
      <c r="L217" s="205"/>
      <c r="M217" s="209" t="s">
        <v>211</v>
      </c>
      <c r="N217" s="210" t="s">
        <v>212</v>
      </c>
    </row>
    <row r="218" spans="1:14" ht="12.75" customHeight="1" x14ac:dyDescent="0.3">
      <c r="A218" s="275" t="s">
        <v>213</v>
      </c>
      <c r="B218" s="61" t="s">
        <v>214</v>
      </c>
      <c r="C218" s="60"/>
      <c r="D218" s="62"/>
      <c r="E218" s="212"/>
      <c r="F218" s="213"/>
      <c r="G218" s="214"/>
      <c r="H218" s="214"/>
      <c r="I218" s="213"/>
      <c r="J218" s="215"/>
      <c r="K218" s="213"/>
      <c r="L218" s="213"/>
      <c r="M218" s="213"/>
      <c r="N218" s="63">
        <f>+G195</f>
        <v>844845248</v>
      </c>
    </row>
    <row r="219" spans="1:14" ht="12.75" customHeight="1" x14ac:dyDescent="0.3">
      <c r="A219" s="64" t="s">
        <v>215</v>
      </c>
      <c r="B219" s="65" t="s">
        <v>216</v>
      </c>
      <c r="C219" s="66"/>
      <c r="D219" s="67"/>
      <c r="E219" s="216"/>
      <c r="F219" s="217"/>
      <c r="G219" s="218"/>
      <c r="H219" s="218"/>
      <c r="I219" s="217"/>
      <c r="J219" s="219"/>
      <c r="K219" s="217"/>
      <c r="L219" s="217"/>
      <c r="M219" s="236">
        <v>0.1</v>
      </c>
      <c r="N219" s="220">
        <f>+M219*N218</f>
        <v>84484524.800000012</v>
      </c>
    </row>
    <row r="220" spans="1:14" ht="12.75" customHeight="1" x14ac:dyDescent="0.3">
      <c r="A220" s="276" t="s">
        <v>217</v>
      </c>
      <c r="B220" s="69" t="s">
        <v>218</v>
      </c>
      <c r="C220" s="70"/>
      <c r="D220" s="71"/>
      <c r="E220" s="221"/>
      <c r="F220" s="222"/>
      <c r="G220" s="223"/>
      <c r="H220" s="223"/>
      <c r="I220" s="222"/>
      <c r="J220" s="224"/>
      <c r="K220" s="222"/>
      <c r="L220" s="222"/>
      <c r="M220" s="237"/>
      <c r="N220" s="225">
        <f>+M195</f>
        <v>41863791</v>
      </c>
    </row>
    <row r="221" spans="1:14" ht="12.75" customHeight="1" x14ac:dyDescent="0.3">
      <c r="A221" s="264" t="s">
        <v>219</v>
      </c>
      <c r="B221" s="265" t="s">
        <v>220</v>
      </c>
      <c r="C221" s="266"/>
      <c r="D221" s="267"/>
      <c r="E221" s="268"/>
      <c r="F221" s="269"/>
      <c r="G221" s="270"/>
      <c r="H221" s="270"/>
      <c r="I221" s="269"/>
      <c r="J221" s="271"/>
      <c r="K221" s="269"/>
      <c r="L221" s="269"/>
      <c r="M221" s="272">
        <f>-M219</f>
        <v>-0.1</v>
      </c>
      <c r="N221" s="273">
        <f>+M221*N220</f>
        <v>-4186379.1</v>
      </c>
    </row>
    <row r="222" spans="1:14" ht="12.75" customHeight="1" x14ac:dyDescent="0.3">
      <c r="A222" s="276" t="s">
        <v>221</v>
      </c>
      <c r="B222" s="69" t="s">
        <v>233</v>
      </c>
      <c r="C222" s="70"/>
      <c r="D222" s="71"/>
      <c r="E222" s="221"/>
      <c r="F222" s="222"/>
      <c r="G222" s="223"/>
      <c r="H222" s="223"/>
      <c r="I222" s="222"/>
      <c r="J222" s="224"/>
      <c r="K222" s="222"/>
      <c r="L222" s="222"/>
      <c r="M222" s="237"/>
      <c r="N222" s="225">
        <f>+M213</f>
        <v>0</v>
      </c>
    </row>
    <row r="223" spans="1:14" ht="12.75" customHeight="1" x14ac:dyDescent="0.3">
      <c r="A223" s="295" t="s">
        <v>225</v>
      </c>
      <c r="B223" s="296" t="s">
        <v>222</v>
      </c>
      <c r="C223" s="297"/>
      <c r="D223" s="298"/>
      <c r="E223" s="299"/>
      <c r="F223" s="300"/>
      <c r="G223" s="300"/>
      <c r="H223" s="300"/>
      <c r="I223" s="300"/>
      <c r="J223" s="301"/>
      <c r="K223" s="300"/>
      <c r="L223" s="300"/>
      <c r="M223" s="302"/>
      <c r="N223" s="303">
        <f>+N220+N221+N222</f>
        <v>37677411.899999999</v>
      </c>
    </row>
    <row r="224" spans="1:14" ht="12.75" customHeight="1" x14ac:dyDescent="0.3">
      <c r="H224" s="245"/>
    </row>
    <row r="225" spans="2:8" ht="12.75" customHeight="1" x14ac:dyDescent="0.3">
      <c r="B225" s="2" t="s">
        <v>236</v>
      </c>
      <c r="H225" s="245"/>
    </row>
  </sheetData>
  <mergeCells count="2">
    <mergeCell ref="I7:K7"/>
    <mergeCell ref="L7:N7"/>
  </mergeCells>
  <conditionalFormatting sqref="C3:C214">
    <cfRule type="cellIs" dxfId="34" priority="7" operator="equal">
      <formula>"x"</formula>
    </cfRule>
  </conditionalFormatting>
  <conditionalFormatting sqref="K10:K23 K25:K31 K33 K35:K40 K42:K49 K51:K53 K55:K58 K60:K70 K72:K74 K76:K79 K81:K87 K89:K100 K102 K104:K107 K144:K146 K148:K150 K152:K156 K158 K160:K161 K163 K165:K168 K170:K171 K173 K175:K176 K178:K181 K183:K191 K193:K194">
    <cfRule type="cellIs" dxfId="33" priority="8" operator="lessThan">
      <formula>1</formula>
    </cfRule>
  </conditionalFormatting>
  <conditionalFormatting sqref="K109:K141">
    <cfRule type="cellIs" dxfId="32" priority="6" operator="lessThan">
      <formula>1</formula>
    </cfRule>
  </conditionalFormatting>
  <conditionalFormatting sqref="K200 K202">
    <cfRule type="cellIs" dxfId="31" priority="5" operator="lessThan">
      <formula>1</formula>
    </cfRule>
  </conditionalFormatting>
  <conditionalFormatting sqref="K204:K205">
    <cfRule type="cellIs" dxfId="30" priority="4" operator="lessThan">
      <formula>1</formula>
    </cfRule>
  </conditionalFormatting>
  <conditionalFormatting sqref="K207">
    <cfRule type="cellIs" dxfId="29" priority="2" operator="lessThan">
      <formula>1</formula>
    </cfRule>
  </conditionalFormatting>
  <conditionalFormatting sqref="K209:K212">
    <cfRule type="cellIs" dxfId="28" priority="1" operator="lessThan">
      <formula>1</formula>
    </cfRule>
  </conditionalFormatting>
  <pageMargins left="0.45" right="0.25" top="0.63" bottom="0.55118110236220474" header="0.31496062992125984" footer="0.31496062992125984"/>
  <pageSetup paperSize="9" scale="54" fitToHeight="8" orientation="landscape" r:id="rId1"/>
  <headerFooter>
    <oddFooter>&amp;C&amp;P de &amp;N</oddFooter>
  </headerFooter>
  <rowBreaks count="1" manualBreakCount="1">
    <brk id="139" max="13" man="1"/>
  </rowBreaks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FFD330-7759-43A0-B2F3-A3A6B086001B}">
  <dimension ref="A1:S225"/>
  <sheetViews>
    <sheetView topLeftCell="A78" zoomScaleNormal="100" zoomScaleSheetLayoutView="100" workbookViewId="0">
      <selection activeCell="N223" sqref="N223"/>
    </sheetView>
  </sheetViews>
  <sheetFormatPr defaultColWidth="11.54296875" defaultRowHeight="12.75" customHeight="1" x14ac:dyDescent="0.3"/>
  <cols>
    <col min="1" max="1" width="7" style="1" bestFit="1" customWidth="1"/>
    <col min="2" max="2" width="98.453125" style="2" customWidth="1"/>
    <col min="3" max="3" width="5.36328125" style="3" bestFit="1" customWidth="1"/>
    <col min="4" max="4" width="6.54296875" style="4" bestFit="1" customWidth="1"/>
    <col min="5" max="5" width="11" style="86" bestFit="1" customWidth="1"/>
    <col min="6" max="6" width="12" style="86" bestFit="1" customWidth="1"/>
    <col min="7" max="7" width="12" style="87" bestFit="1" customWidth="1"/>
    <col min="8" max="8" width="5.36328125" style="92" bestFit="1" customWidth="1"/>
    <col min="9" max="10" width="13.81640625" style="92" customWidth="1"/>
    <col min="11" max="11" width="13.81640625" style="245" customWidth="1"/>
    <col min="12" max="12" width="12.1796875" style="92" bestFit="1" customWidth="1"/>
    <col min="13" max="13" width="13.81640625" style="92" customWidth="1"/>
    <col min="14" max="14" width="13.6328125" style="92" bestFit="1" customWidth="1"/>
    <col min="15" max="15" width="12.08984375" style="5" customWidth="1"/>
    <col min="16" max="16384" width="11.54296875" style="5"/>
  </cols>
  <sheetData>
    <row r="1" spans="1:18" ht="12.75" customHeight="1" x14ac:dyDescent="0.3">
      <c r="F1" s="162" t="s">
        <v>0</v>
      </c>
      <c r="G1" s="162" t="s">
        <v>1</v>
      </c>
    </row>
    <row r="2" spans="1:18" ht="13" x14ac:dyDescent="0.3">
      <c r="F2" s="163">
        <v>1066.5</v>
      </c>
      <c r="G2" s="163">
        <v>1170</v>
      </c>
    </row>
    <row r="3" spans="1:18" s="10" customFormat="1" ht="13" x14ac:dyDescent="0.25">
      <c r="A3" s="6"/>
      <c r="B3" s="7"/>
      <c r="C3" s="8"/>
      <c r="D3" s="9"/>
      <c r="E3" s="9"/>
      <c r="F3" s="9"/>
      <c r="G3" s="164"/>
      <c r="H3" s="165"/>
      <c r="I3" s="165"/>
      <c r="J3" s="165"/>
      <c r="K3" s="324"/>
      <c r="L3" s="165"/>
      <c r="M3" s="165"/>
      <c r="N3" s="165"/>
    </row>
    <row r="4" spans="1:18" s="10" customFormat="1" ht="13" x14ac:dyDescent="0.25">
      <c r="A4" s="6"/>
      <c r="B4" s="7"/>
      <c r="C4" s="8"/>
      <c r="D4" s="9"/>
      <c r="E4" s="9"/>
      <c r="F4" s="286">
        <v>45667</v>
      </c>
      <c r="G4" s="164"/>
      <c r="H4" s="165"/>
      <c r="I4" s="165"/>
      <c r="J4" s="165"/>
      <c r="K4" s="324"/>
      <c r="L4" s="165"/>
      <c r="M4" s="165"/>
      <c r="N4" s="165"/>
    </row>
    <row r="5" spans="1:18" s="10" customFormat="1" ht="13" x14ac:dyDescent="0.3">
      <c r="A5" s="6"/>
      <c r="B5" s="90" t="s">
        <v>2</v>
      </c>
      <c r="C5" s="8"/>
      <c r="D5" s="9"/>
      <c r="E5" s="167"/>
      <c r="F5" s="167"/>
      <c r="G5" s="164"/>
      <c r="H5" s="165"/>
      <c r="I5" s="168" t="s">
        <v>3</v>
      </c>
      <c r="J5" s="169">
        <v>12</v>
      </c>
      <c r="K5" s="245"/>
      <c r="L5" s="170"/>
      <c r="M5" s="171"/>
      <c r="N5" s="49">
        <v>46080</v>
      </c>
    </row>
    <row r="6" spans="1:18" s="10" customFormat="1" ht="13" x14ac:dyDescent="0.25">
      <c r="A6" s="6"/>
      <c r="B6" s="90" t="s">
        <v>4</v>
      </c>
      <c r="C6" s="8"/>
      <c r="D6" s="9"/>
      <c r="E6" s="172"/>
      <c r="F6" s="172"/>
      <c r="G6" s="164"/>
      <c r="H6" s="165"/>
      <c r="I6" s="165"/>
      <c r="J6" s="165"/>
      <c r="K6" s="324"/>
      <c r="L6" s="165"/>
      <c r="M6" s="165"/>
      <c r="N6" s="165"/>
    </row>
    <row r="7" spans="1:18" s="10" customFormat="1" ht="13" x14ac:dyDescent="0.25">
      <c r="A7" s="6"/>
      <c r="B7" s="91" t="s">
        <v>5</v>
      </c>
      <c r="C7" s="11"/>
      <c r="D7" s="12"/>
      <c r="E7" s="173"/>
      <c r="F7" s="172"/>
      <c r="G7" s="164"/>
      <c r="H7" s="165"/>
      <c r="I7" s="330" t="s">
        <v>6</v>
      </c>
      <c r="J7" s="330"/>
      <c r="K7" s="330"/>
      <c r="L7" s="330" t="s">
        <v>7</v>
      </c>
      <c r="M7" s="330"/>
      <c r="N7" s="330"/>
    </row>
    <row r="8" spans="1:18" ht="13" x14ac:dyDescent="0.3">
      <c r="A8" s="13" t="s">
        <v>8</v>
      </c>
      <c r="B8" s="14" t="s">
        <v>9</v>
      </c>
      <c r="C8" s="15" t="s">
        <v>10</v>
      </c>
      <c r="D8" s="16" t="s">
        <v>11</v>
      </c>
      <c r="E8" s="175" t="s">
        <v>12</v>
      </c>
      <c r="F8" s="175" t="s">
        <v>13</v>
      </c>
      <c r="I8" s="174" t="s">
        <v>14</v>
      </c>
      <c r="J8" s="174" t="s">
        <v>15</v>
      </c>
      <c r="K8" s="325" t="s">
        <v>16</v>
      </c>
      <c r="L8" s="174" t="s">
        <v>14</v>
      </c>
      <c r="M8" s="174" t="s">
        <v>15</v>
      </c>
      <c r="N8" s="174" t="s">
        <v>16</v>
      </c>
    </row>
    <row r="9" spans="1:18" ht="12.75" customHeight="1" x14ac:dyDescent="0.3">
      <c r="A9" s="13">
        <v>4</v>
      </c>
      <c r="B9" s="17" t="s">
        <v>17</v>
      </c>
      <c r="C9" s="18"/>
      <c r="D9" s="19"/>
      <c r="E9" s="19"/>
      <c r="F9" s="19"/>
      <c r="G9" s="176">
        <f>+SUM(F10:F23)</f>
        <v>51045774</v>
      </c>
      <c r="H9" s="245">
        <f>+G9/$G$195</f>
        <v>6.0420265274428106E-2</v>
      </c>
      <c r="I9" s="246"/>
      <c r="J9" s="247"/>
      <c r="K9" s="247"/>
      <c r="L9" s="178"/>
      <c r="M9" s="178"/>
      <c r="N9" s="179"/>
    </row>
    <row r="10" spans="1:18" ht="12.75" customHeight="1" x14ac:dyDescent="0.3">
      <c r="A10" s="20">
        <v>4.01</v>
      </c>
      <c r="B10" s="21" t="s">
        <v>18</v>
      </c>
      <c r="C10" s="93" t="s">
        <v>19</v>
      </c>
      <c r="D10" s="94">
        <v>621</v>
      </c>
      <c r="E10" s="180">
        <v>22140</v>
      </c>
      <c r="F10" s="181">
        <f t="shared" ref="F10:F73" si="0">+E10*D10</f>
        <v>13748940</v>
      </c>
      <c r="G10" s="182"/>
      <c r="H10" s="245"/>
      <c r="I10" s="248">
        <v>0.79999999999999993</v>
      </c>
      <c r="J10" s="248">
        <v>0.05</v>
      </c>
      <c r="K10" s="249">
        <f t="shared" ref="K10:K73" si="1">+I10+J10</f>
        <v>0.85</v>
      </c>
      <c r="L10" s="50">
        <f t="shared" ref="L10:L73" si="2">+F10*I10</f>
        <v>10999152</v>
      </c>
      <c r="M10" s="50">
        <f t="shared" ref="M10:M73" si="3">+F10*J10</f>
        <v>687447</v>
      </c>
      <c r="N10" s="50">
        <f t="shared" ref="N10:N73" si="4">+F10*K10</f>
        <v>11686599</v>
      </c>
      <c r="P10" s="92"/>
      <c r="R10" s="245"/>
    </row>
    <row r="11" spans="1:18" ht="12.75" customHeight="1" x14ac:dyDescent="0.3">
      <c r="A11" s="24">
        <v>4.0199999999999996</v>
      </c>
      <c r="B11" s="95" t="s">
        <v>20</v>
      </c>
      <c r="C11" s="30" t="s">
        <v>19</v>
      </c>
      <c r="D11" s="31">
        <v>780</v>
      </c>
      <c r="E11" s="183">
        <v>24437</v>
      </c>
      <c r="F11" s="181">
        <f t="shared" si="0"/>
        <v>19060860</v>
      </c>
      <c r="G11" s="182"/>
      <c r="H11" s="245"/>
      <c r="I11" s="250">
        <v>0.75</v>
      </c>
      <c r="J11" s="250">
        <v>0.1</v>
      </c>
      <c r="K11" s="251">
        <f t="shared" si="1"/>
        <v>0.85</v>
      </c>
      <c r="L11" s="50">
        <f t="shared" si="2"/>
        <v>14295645</v>
      </c>
      <c r="M11" s="50">
        <f t="shared" si="3"/>
        <v>1906086</v>
      </c>
      <c r="N11" s="50">
        <f t="shared" si="4"/>
        <v>16201731</v>
      </c>
      <c r="O11" s="304"/>
      <c r="P11" s="92"/>
      <c r="R11" s="245"/>
    </row>
    <row r="12" spans="1:18" ht="12.75" customHeight="1" x14ac:dyDescent="0.3">
      <c r="A12" s="24">
        <v>4.03</v>
      </c>
      <c r="B12" s="25" t="s">
        <v>21</v>
      </c>
      <c r="C12" s="30" t="s">
        <v>19</v>
      </c>
      <c r="D12" s="31">
        <v>56</v>
      </c>
      <c r="E12" s="183">
        <v>23248</v>
      </c>
      <c r="F12" s="181">
        <f t="shared" si="0"/>
        <v>1301888</v>
      </c>
      <c r="G12" s="182"/>
      <c r="H12" s="245"/>
      <c r="I12" s="250">
        <v>0.9</v>
      </c>
      <c r="J12" s="250">
        <v>0.1</v>
      </c>
      <c r="K12" s="251">
        <f t="shared" si="1"/>
        <v>1</v>
      </c>
      <c r="L12" s="50">
        <f t="shared" si="2"/>
        <v>1171699.2</v>
      </c>
      <c r="M12" s="50">
        <f t="shared" si="3"/>
        <v>130188.8</v>
      </c>
      <c r="N12" s="50">
        <f t="shared" si="4"/>
        <v>1301888</v>
      </c>
      <c r="O12" s="304"/>
      <c r="P12" s="92"/>
      <c r="R12" s="245"/>
    </row>
    <row r="13" spans="1:18" ht="12.75" customHeight="1" x14ac:dyDescent="0.3">
      <c r="A13" s="24">
        <v>4.04</v>
      </c>
      <c r="B13" s="25" t="s">
        <v>22</v>
      </c>
      <c r="C13" s="30" t="s">
        <v>19</v>
      </c>
      <c r="D13" s="31">
        <v>42</v>
      </c>
      <c r="E13" s="183">
        <v>28746</v>
      </c>
      <c r="F13" s="181">
        <f t="shared" si="0"/>
        <v>1207332</v>
      </c>
      <c r="G13" s="182"/>
      <c r="H13" s="245"/>
      <c r="I13" s="250">
        <v>0.1</v>
      </c>
      <c r="J13" s="250">
        <v>0.6</v>
      </c>
      <c r="K13" s="251">
        <f t="shared" si="1"/>
        <v>0.7</v>
      </c>
      <c r="L13" s="50">
        <f t="shared" si="2"/>
        <v>120733.20000000001</v>
      </c>
      <c r="M13" s="50">
        <f t="shared" si="3"/>
        <v>724399.2</v>
      </c>
      <c r="N13" s="50">
        <f t="shared" si="4"/>
        <v>845132.39999999991</v>
      </c>
      <c r="O13" s="304"/>
      <c r="P13" s="92"/>
    </row>
    <row r="14" spans="1:18" ht="12.75" customHeight="1" x14ac:dyDescent="0.3">
      <c r="A14" s="24">
        <v>4.05</v>
      </c>
      <c r="B14" s="25" t="s">
        <v>23</v>
      </c>
      <c r="C14" s="30" t="s">
        <v>19</v>
      </c>
      <c r="D14" s="31">
        <v>70</v>
      </c>
      <c r="E14" s="183">
        <v>36933</v>
      </c>
      <c r="F14" s="181">
        <f t="shared" si="0"/>
        <v>2585310</v>
      </c>
      <c r="G14" s="182"/>
      <c r="H14" s="245"/>
      <c r="I14" s="250">
        <v>0.1</v>
      </c>
      <c r="J14" s="250"/>
      <c r="K14" s="251">
        <f t="shared" si="1"/>
        <v>0.1</v>
      </c>
      <c r="L14" s="50">
        <f t="shared" si="2"/>
        <v>258531</v>
      </c>
      <c r="M14" s="50">
        <f t="shared" si="3"/>
        <v>0</v>
      </c>
      <c r="N14" s="50">
        <f t="shared" si="4"/>
        <v>258531</v>
      </c>
      <c r="O14" s="304"/>
      <c r="P14" s="92"/>
    </row>
    <row r="15" spans="1:18" ht="12.75" customHeight="1" x14ac:dyDescent="0.3">
      <c r="A15" s="24">
        <v>4.0599999999999996</v>
      </c>
      <c r="B15" s="25" t="s">
        <v>24</v>
      </c>
      <c r="C15" s="30" t="s">
        <v>19</v>
      </c>
      <c r="D15" s="31">
        <v>5</v>
      </c>
      <c r="E15" s="183">
        <v>28672</v>
      </c>
      <c r="F15" s="181">
        <f t="shared" si="0"/>
        <v>143360</v>
      </c>
      <c r="G15" s="182"/>
      <c r="H15" s="245"/>
      <c r="I15" s="250">
        <v>0.1</v>
      </c>
      <c r="J15" s="250"/>
      <c r="K15" s="251">
        <f t="shared" si="1"/>
        <v>0.1</v>
      </c>
      <c r="L15" s="50">
        <f t="shared" si="2"/>
        <v>14336</v>
      </c>
      <c r="M15" s="50">
        <f t="shared" si="3"/>
        <v>0</v>
      </c>
      <c r="N15" s="50">
        <f t="shared" si="4"/>
        <v>14336</v>
      </c>
      <c r="O15" s="304"/>
    </row>
    <row r="16" spans="1:18" ht="12.75" customHeight="1" x14ac:dyDescent="0.3">
      <c r="A16" s="24">
        <v>4.07</v>
      </c>
      <c r="B16" s="25" t="s">
        <v>25</v>
      </c>
      <c r="C16" s="30" t="s">
        <v>19</v>
      </c>
      <c r="D16" s="37">
        <v>193</v>
      </c>
      <c r="E16" s="183">
        <v>18611</v>
      </c>
      <c r="F16" s="181">
        <f t="shared" si="0"/>
        <v>3591923</v>
      </c>
      <c r="G16" s="182"/>
      <c r="H16" s="245"/>
      <c r="I16" s="250">
        <v>0</v>
      </c>
      <c r="J16" s="250"/>
      <c r="K16" s="251">
        <f t="shared" si="1"/>
        <v>0</v>
      </c>
      <c r="L16" s="50">
        <f t="shared" si="2"/>
        <v>0</v>
      </c>
      <c r="M16" s="50">
        <f t="shared" si="3"/>
        <v>0</v>
      </c>
      <c r="N16" s="50">
        <f t="shared" si="4"/>
        <v>0</v>
      </c>
      <c r="O16" s="304"/>
    </row>
    <row r="17" spans="1:15" ht="12.75" customHeight="1" x14ac:dyDescent="0.3">
      <c r="A17" s="24">
        <v>4.08</v>
      </c>
      <c r="B17" s="25" t="s">
        <v>26</v>
      </c>
      <c r="C17" s="30" t="s">
        <v>27</v>
      </c>
      <c r="D17" s="37">
        <v>61</v>
      </c>
      <c r="E17" s="183">
        <v>28578</v>
      </c>
      <c r="F17" s="181">
        <f t="shared" si="0"/>
        <v>1743258</v>
      </c>
      <c r="G17" s="182"/>
      <c r="H17" s="245"/>
      <c r="I17" s="250">
        <v>0.4</v>
      </c>
      <c r="J17" s="274">
        <v>0.2</v>
      </c>
      <c r="K17" s="251">
        <f t="shared" si="1"/>
        <v>0.60000000000000009</v>
      </c>
      <c r="L17" s="50">
        <f t="shared" si="2"/>
        <v>697303.20000000007</v>
      </c>
      <c r="M17" s="50">
        <f t="shared" si="3"/>
        <v>348651.60000000003</v>
      </c>
      <c r="N17" s="50">
        <f t="shared" si="4"/>
        <v>1045954.8000000002</v>
      </c>
      <c r="O17" s="304"/>
    </row>
    <row r="18" spans="1:15" ht="12.75" customHeight="1" x14ac:dyDescent="0.3">
      <c r="A18" s="24">
        <v>4.09</v>
      </c>
      <c r="B18" s="25" t="s">
        <v>28</v>
      </c>
      <c r="C18" s="30" t="s">
        <v>29</v>
      </c>
      <c r="D18" s="37">
        <v>1</v>
      </c>
      <c r="E18" s="183">
        <v>280823</v>
      </c>
      <c r="F18" s="181">
        <f t="shared" si="0"/>
        <v>280823</v>
      </c>
      <c r="G18" s="182"/>
      <c r="H18" s="245"/>
      <c r="I18" s="250">
        <v>0</v>
      </c>
      <c r="J18" s="250"/>
      <c r="K18" s="251">
        <f t="shared" si="1"/>
        <v>0</v>
      </c>
      <c r="L18" s="50">
        <f t="shared" si="2"/>
        <v>0</v>
      </c>
      <c r="M18" s="50">
        <f t="shared" si="3"/>
        <v>0</v>
      </c>
      <c r="N18" s="50">
        <f t="shared" si="4"/>
        <v>0</v>
      </c>
    </row>
    <row r="19" spans="1:15" ht="12.75" customHeight="1" x14ac:dyDescent="0.3">
      <c r="A19" s="24">
        <v>4.0999999999999996</v>
      </c>
      <c r="B19" s="25" t="s">
        <v>30</v>
      </c>
      <c r="C19" s="30" t="s">
        <v>29</v>
      </c>
      <c r="D19" s="37">
        <v>1</v>
      </c>
      <c r="E19" s="183">
        <v>801214</v>
      </c>
      <c r="F19" s="181">
        <f t="shared" si="0"/>
        <v>801214</v>
      </c>
      <c r="G19" s="182"/>
      <c r="H19" s="245"/>
      <c r="I19" s="250">
        <v>0</v>
      </c>
      <c r="J19" s="250"/>
      <c r="K19" s="251">
        <f t="shared" si="1"/>
        <v>0</v>
      </c>
      <c r="L19" s="50">
        <f t="shared" si="2"/>
        <v>0</v>
      </c>
      <c r="M19" s="50">
        <f t="shared" si="3"/>
        <v>0</v>
      </c>
      <c r="N19" s="50">
        <f t="shared" si="4"/>
        <v>0</v>
      </c>
    </row>
    <row r="20" spans="1:15" ht="12.75" customHeight="1" x14ac:dyDescent="0.3">
      <c r="A20" s="24">
        <v>4.1100000000000003</v>
      </c>
      <c r="B20" s="25" t="s">
        <v>31</v>
      </c>
      <c r="C20" s="30" t="s">
        <v>29</v>
      </c>
      <c r="D20" s="37">
        <v>1</v>
      </c>
      <c r="E20" s="183">
        <v>525234</v>
      </c>
      <c r="F20" s="181">
        <f t="shared" si="0"/>
        <v>525234</v>
      </c>
      <c r="G20" s="182"/>
      <c r="H20" s="245"/>
      <c r="I20" s="250">
        <v>0</v>
      </c>
      <c r="J20" s="250"/>
      <c r="K20" s="251">
        <f t="shared" si="1"/>
        <v>0</v>
      </c>
      <c r="L20" s="50">
        <f t="shared" si="2"/>
        <v>0</v>
      </c>
      <c r="M20" s="50">
        <f t="shared" si="3"/>
        <v>0</v>
      </c>
      <c r="N20" s="50">
        <f t="shared" si="4"/>
        <v>0</v>
      </c>
    </row>
    <row r="21" spans="1:15" ht="12.75" customHeight="1" x14ac:dyDescent="0.3">
      <c r="A21" s="24">
        <v>4.12</v>
      </c>
      <c r="B21" s="25" t="s">
        <v>32</v>
      </c>
      <c r="C21" s="30" t="s">
        <v>33</v>
      </c>
      <c r="D21" s="37">
        <v>3</v>
      </c>
      <c r="E21" s="183">
        <v>237784</v>
      </c>
      <c r="F21" s="181">
        <f t="shared" si="0"/>
        <v>713352</v>
      </c>
      <c r="G21" s="182"/>
      <c r="H21" s="245"/>
      <c r="I21" s="250">
        <v>0</v>
      </c>
      <c r="J21" s="250"/>
      <c r="K21" s="251">
        <f t="shared" si="1"/>
        <v>0</v>
      </c>
      <c r="L21" s="50">
        <f t="shared" si="2"/>
        <v>0</v>
      </c>
      <c r="M21" s="50">
        <f t="shared" si="3"/>
        <v>0</v>
      </c>
      <c r="N21" s="50">
        <f t="shared" si="4"/>
        <v>0</v>
      </c>
    </row>
    <row r="22" spans="1:15" ht="12.75" customHeight="1" x14ac:dyDescent="0.3">
      <c r="A22" s="24">
        <v>4.13</v>
      </c>
      <c r="B22" s="25" t="s">
        <v>34</v>
      </c>
      <c r="C22" s="30" t="s">
        <v>27</v>
      </c>
      <c r="D22" s="37">
        <v>40</v>
      </c>
      <c r="E22" s="183">
        <v>98026</v>
      </c>
      <c r="F22" s="181">
        <f t="shared" si="0"/>
        <v>3921040</v>
      </c>
      <c r="G22" s="182"/>
      <c r="H22" s="245"/>
      <c r="I22" s="250">
        <v>0</v>
      </c>
      <c r="J22" s="250"/>
      <c r="K22" s="251">
        <f t="shared" si="1"/>
        <v>0</v>
      </c>
      <c r="L22" s="50">
        <f t="shared" si="2"/>
        <v>0</v>
      </c>
      <c r="M22" s="50">
        <f t="shared" si="3"/>
        <v>0</v>
      </c>
      <c r="N22" s="50">
        <f t="shared" si="4"/>
        <v>0</v>
      </c>
    </row>
    <row r="23" spans="1:15" ht="12.75" customHeight="1" x14ac:dyDescent="0.3">
      <c r="A23" s="24">
        <v>4.1399999999999997</v>
      </c>
      <c r="B23" s="38" t="s">
        <v>35</v>
      </c>
      <c r="C23" s="34" t="s">
        <v>33</v>
      </c>
      <c r="D23" s="96">
        <v>8</v>
      </c>
      <c r="E23" s="183">
        <v>177655</v>
      </c>
      <c r="F23" s="181">
        <f t="shared" si="0"/>
        <v>1421240</v>
      </c>
      <c r="G23" s="182"/>
      <c r="H23" s="245"/>
      <c r="I23" s="250">
        <v>0</v>
      </c>
      <c r="J23" s="250"/>
      <c r="K23" s="251">
        <f t="shared" si="1"/>
        <v>0</v>
      </c>
      <c r="L23" s="50">
        <f t="shared" si="2"/>
        <v>0</v>
      </c>
      <c r="M23" s="50">
        <f t="shared" si="3"/>
        <v>0</v>
      </c>
      <c r="N23" s="50">
        <f t="shared" si="4"/>
        <v>0</v>
      </c>
    </row>
    <row r="24" spans="1:15" ht="12.75" customHeight="1" x14ac:dyDescent="0.3">
      <c r="A24" s="13">
        <v>5</v>
      </c>
      <c r="B24" s="40" t="s">
        <v>36</v>
      </c>
      <c r="C24" s="18"/>
      <c r="D24" s="19"/>
      <c r="E24" s="19"/>
      <c r="F24" s="19"/>
      <c r="G24" s="176">
        <f>+SUM(F25:F31)</f>
        <v>19239698</v>
      </c>
      <c r="H24" s="245">
        <f>+G24/$G$195</f>
        <v>2.2773043993022494E-2</v>
      </c>
      <c r="I24" s="246"/>
      <c r="J24" s="247"/>
      <c r="K24" s="247"/>
      <c r="L24" s="178"/>
      <c r="M24" s="178"/>
      <c r="N24" s="179"/>
    </row>
    <row r="25" spans="1:15" ht="12.75" customHeight="1" x14ac:dyDescent="0.3">
      <c r="A25" s="20">
        <v>5.01</v>
      </c>
      <c r="B25" s="21" t="s">
        <v>37</v>
      </c>
      <c r="C25" s="93" t="s">
        <v>27</v>
      </c>
      <c r="D25" s="97">
        <v>136</v>
      </c>
      <c r="E25" s="183">
        <v>6496</v>
      </c>
      <c r="F25" s="181">
        <f t="shared" si="0"/>
        <v>883456</v>
      </c>
      <c r="G25" s="182"/>
      <c r="H25" s="245"/>
      <c r="I25" s="250">
        <v>0</v>
      </c>
      <c r="J25" s="250"/>
      <c r="K25" s="251">
        <f t="shared" si="1"/>
        <v>0</v>
      </c>
      <c r="L25" s="50">
        <f t="shared" si="2"/>
        <v>0</v>
      </c>
      <c r="M25" s="50">
        <f t="shared" si="3"/>
        <v>0</v>
      </c>
      <c r="N25" s="50">
        <f t="shared" si="4"/>
        <v>0</v>
      </c>
    </row>
    <row r="26" spans="1:15" ht="12.75" customHeight="1" x14ac:dyDescent="0.3">
      <c r="A26" s="24">
        <v>5.0199999999999996</v>
      </c>
      <c r="B26" s="98" t="s">
        <v>38</v>
      </c>
      <c r="C26" s="30" t="s">
        <v>19</v>
      </c>
      <c r="D26" s="31">
        <v>77</v>
      </c>
      <c r="E26" s="184">
        <v>33270</v>
      </c>
      <c r="F26" s="183">
        <f t="shared" si="0"/>
        <v>2561790</v>
      </c>
      <c r="G26" s="182"/>
      <c r="H26" s="245"/>
      <c r="I26" s="250">
        <v>0</v>
      </c>
      <c r="J26" s="250"/>
      <c r="K26" s="251">
        <f t="shared" si="1"/>
        <v>0</v>
      </c>
      <c r="L26" s="50">
        <f t="shared" si="2"/>
        <v>0</v>
      </c>
      <c r="M26" s="50">
        <f t="shared" si="3"/>
        <v>0</v>
      </c>
      <c r="N26" s="50">
        <f t="shared" si="4"/>
        <v>0</v>
      </c>
    </row>
    <row r="27" spans="1:15" ht="12.75" customHeight="1" x14ac:dyDescent="0.3">
      <c r="A27" s="24">
        <v>5.03</v>
      </c>
      <c r="B27" s="25" t="s">
        <v>39</v>
      </c>
      <c r="C27" s="30" t="s">
        <v>19</v>
      </c>
      <c r="D27" s="31">
        <v>107</v>
      </c>
      <c r="E27" s="184">
        <v>6496</v>
      </c>
      <c r="F27" s="181">
        <f t="shared" si="0"/>
        <v>695072</v>
      </c>
      <c r="G27" s="182"/>
      <c r="H27" s="245"/>
      <c r="I27" s="250">
        <v>0</v>
      </c>
      <c r="J27" s="250"/>
      <c r="K27" s="251">
        <f t="shared" si="1"/>
        <v>0</v>
      </c>
      <c r="L27" s="50">
        <f t="shared" si="2"/>
        <v>0</v>
      </c>
      <c r="M27" s="50">
        <f t="shared" si="3"/>
        <v>0</v>
      </c>
      <c r="N27" s="50">
        <f t="shared" si="4"/>
        <v>0</v>
      </c>
    </row>
    <row r="28" spans="1:15" ht="12.75" customHeight="1" x14ac:dyDescent="0.3">
      <c r="A28" s="24">
        <v>5.04</v>
      </c>
      <c r="B28" s="25" t="s">
        <v>40</v>
      </c>
      <c r="C28" s="30" t="s">
        <v>19</v>
      </c>
      <c r="D28" s="31">
        <v>186</v>
      </c>
      <c r="E28" s="184">
        <v>4832</v>
      </c>
      <c r="F28" s="181">
        <f t="shared" si="0"/>
        <v>898752</v>
      </c>
      <c r="G28" s="182"/>
      <c r="H28" s="245"/>
      <c r="I28" s="250">
        <v>0</v>
      </c>
      <c r="J28" s="250"/>
      <c r="K28" s="251">
        <f t="shared" si="1"/>
        <v>0</v>
      </c>
      <c r="L28" s="50">
        <f t="shared" si="2"/>
        <v>0</v>
      </c>
      <c r="M28" s="50">
        <f t="shared" si="3"/>
        <v>0</v>
      </c>
      <c r="N28" s="50">
        <f t="shared" si="4"/>
        <v>0</v>
      </c>
    </row>
    <row r="29" spans="1:15" ht="12.75" customHeight="1" x14ac:dyDescent="0.3">
      <c r="A29" s="24">
        <v>5.05</v>
      </c>
      <c r="B29" s="25" t="s">
        <v>41</v>
      </c>
      <c r="C29" s="30" t="s">
        <v>19</v>
      </c>
      <c r="D29" s="31">
        <v>186</v>
      </c>
      <c r="E29" s="184">
        <v>4134</v>
      </c>
      <c r="F29" s="181">
        <f t="shared" si="0"/>
        <v>768924</v>
      </c>
      <c r="G29" s="182"/>
      <c r="H29" s="245"/>
      <c r="I29" s="250">
        <v>1</v>
      </c>
      <c r="J29" s="250"/>
      <c r="K29" s="251">
        <f t="shared" si="1"/>
        <v>1</v>
      </c>
      <c r="L29" s="50">
        <f t="shared" si="2"/>
        <v>768924</v>
      </c>
      <c r="M29" s="50">
        <f t="shared" si="3"/>
        <v>0</v>
      </c>
      <c r="N29" s="50">
        <f t="shared" si="4"/>
        <v>768924</v>
      </c>
    </row>
    <row r="30" spans="1:15" ht="12.75" customHeight="1" x14ac:dyDescent="0.3">
      <c r="A30" s="24">
        <v>5.0599999999999996</v>
      </c>
      <c r="B30" s="25" t="s">
        <v>42</v>
      </c>
      <c r="C30" s="99" t="s">
        <v>19</v>
      </c>
      <c r="D30" s="31">
        <v>390</v>
      </c>
      <c r="E30" s="184">
        <v>28187</v>
      </c>
      <c r="F30" s="181">
        <f t="shared" si="0"/>
        <v>10992930</v>
      </c>
      <c r="G30" s="185"/>
      <c r="H30" s="245"/>
      <c r="I30" s="250">
        <v>0</v>
      </c>
      <c r="J30" s="250"/>
      <c r="K30" s="251">
        <f t="shared" si="1"/>
        <v>0</v>
      </c>
      <c r="L30" s="50">
        <f t="shared" si="2"/>
        <v>0</v>
      </c>
      <c r="M30" s="50">
        <f t="shared" si="3"/>
        <v>0</v>
      </c>
      <c r="N30" s="50">
        <f t="shared" si="4"/>
        <v>0</v>
      </c>
    </row>
    <row r="31" spans="1:15" ht="12.75" customHeight="1" x14ac:dyDescent="0.3">
      <c r="A31" s="24">
        <v>5.07</v>
      </c>
      <c r="B31" s="25" t="s">
        <v>43</v>
      </c>
      <c r="C31" s="99" t="s">
        <v>29</v>
      </c>
      <c r="D31" s="31">
        <v>1</v>
      </c>
      <c r="E31" s="184">
        <v>2438774</v>
      </c>
      <c r="F31" s="181">
        <f t="shared" si="0"/>
        <v>2438774</v>
      </c>
      <c r="G31" s="186"/>
      <c r="H31" s="245"/>
      <c r="I31" s="250">
        <v>0</v>
      </c>
      <c r="J31" s="250"/>
      <c r="K31" s="251">
        <f t="shared" si="1"/>
        <v>0</v>
      </c>
      <c r="L31" s="50">
        <f t="shared" si="2"/>
        <v>0</v>
      </c>
      <c r="M31" s="50">
        <f t="shared" si="3"/>
        <v>0</v>
      </c>
      <c r="N31" s="50">
        <f t="shared" si="4"/>
        <v>0</v>
      </c>
    </row>
    <row r="32" spans="1:15" ht="12.75" customHeight="1" x14ac:dyDescent="0.3">
      <c r="A32" s="13">
        <v>6</v>
      </c>
      <c r="B32" s="17" t="s">
        <v>44</v>
      </c>
      <c r="C32" s="18"/>
      <c r="D32" s="19"/>
      <c r="E32" s="19"/>
      <c r="F32" s="19"/>
      <c r="G32" s="176">
        <f>+SUM(F33)</f>
        <v>1722875</v>
      </c>
      <c r="H32" s="245">
        <f>+G32/$G$195</f>
        <v>2.0392787958251023E-3</v>
      </c>
      <c r="I32" s="246"/>
      <c r="J32" s="247"/>
      <c r="K32" s="247"/>
      <c r="L32" s="178"/>
      <c r="M32" s="178"/>
      <c r="N32" s="179"/>
    </row>
    <row r="33" spans="1:14" ht="12.75" customHeight="1" x14ac:dyDescent="0.3">
      <c r="A33" s="100">
        <v>6.02</v>
      </c>
      <c r="B33" s="38" t="s">
        <v>45</v>
      </c>
      <c r="C33" s="101" t="s">
        <v>27</v>
      </c>
      <c r="D33" s="102">
        <v>55</v>
      </c>
      <c r="E33" s="181">
        <v>31325</v>
      </c>
      <c r="F33" s="181">
        <f t="shared" si="0"/>
        <v>1722875</v>
      </c>
      <c r="G33" s="185"/>
      <c r="H33" s="245"/>
      <c r="I33" s="250">
        <v>0</v>
      </c>
      <c r="J33" s="250"/>
      <c r="K33" s="251">
        <f t="shared" si="1"/>
        <v>0</v>
      </c>
      <c r="L33" s="50">
        <f t="shared" si="2"/>
        <v>0</v>
      </c>
      <c r="M33" s="50">
        <f t="shared" si="3"/>
        <v>0</v>
      </c>
      <c r="N33" s="50">
        <f t="shared" si="4"/>
        <v>0</v>
      </c>
    </row>
    <row r="34" spans="1:14" ht="12.75" customHeight="1" x14ac:dyDescent="0.3">
      <c r="A34" s="13">
        <v>7</v>
      </c>
      <c r="B34" s="40" t="s">
        <v>46</v>
      </c>
      <c r="C34" s="18"/>
      <c r="D34" s="19"/>
      <c r="E34" s="19"/>
      <c r="F34" s="19"/>
      <c r="G34" s="176">
        <f>+SUM(F35:F40)</f>
        <v>92324467</v>
      </c>
      <c r="H34" s="245">
        <f>+G34/$G$195</f>
        <v>0.10927973758337338</v>
      </c>
      <c r="I34" s="246"/>
      <c r="J34" s="247"/>
      <c r="K34" s="247"/>
      <c r="L34" s="178"/>
      <c r="M34" s="178"/>
      <c r="N34" s="179"/>
    </row>
    <row r="35" spans="1:14" ht="12.75" customHeight="1" x14ac:dyDescent="0.3">
      <c r="A35" s="20">
        <v>7.01</v>
      </c>
      <c r="B35" s="103" t="s">
        <v>47</v>
      </c>
      <c r="C35" s="93" t="s">
        <v>19</v>
      </c>
      <c r="D35" s="94">
        <v>879</v>
      </c>
      <c r="E35" s="180">
        <v>19943</v>
      </c>
      <c r="F35" s="180">
        <f t="shared" si="0"/>
        <v>17529897</v>
      </c>
      <c r="G35" s="187"/>
      <c r="H35" s="245"/>
      <c r="I35" s="250">
        <v>0</v>
      </c>
      <c r="J35" s="250"/>
      <c r="K35" s="251">
        <f t="shared" si="1"/>
        <v>0</v>
      </c>
      <c r="L35" s="50">
        <f t="shared" si="2"/>
        <v>0</v>
      </c>
      <c r="M35" s="50">
        <f t="shared" si="3"/>
        <v>0</v>
      </c>
      <c r="N35" s="50">
        <f t="shared" si="4"/>
        <v>0</v>
      </c>
    </row>
    <row r="36" spans="1:14" ht="12.75" customHeight="1" x14ac:dyDescent="0.3">
      <c r="A36" s="24">
        <v>7.02</v>
      </c>
      <c r="B36" s="104" t="s">
        <v>48</v>
      </c>
      <c r="C36" s="30" t="s">
        <v>19</v>
      </c>
      <c r="D36" s="31">
        <v>716</v>
      </c>
      <c r="E36" s="181">
        <v>26767</v>
      </c>
      <c r="F36" s="181">
        <f t="shared" si="0"/>
        <v>19165172</v>
      </c>
      <c r="G36" s="185"/>
      <c r="H36" s="245"/>
      <c r="I36" s="250">
        <v>0.1</v>
      </c>
      <c r="J36" s="274">
        <v>0.3</v>
      </c>
      <c r="K36" s="251">
        <f t="shared" si="1"/>
        <v>0.4</v>
      </c>
      <c r="L36" s="50">
        <f t="shared" si="2"/>
        <v>1916517.2000000002</v>
      </c>
      <c r="M36" s="50">
        <f t="shared" si="3"/>
        <v>5749551.5999999996</v>
      </c>
      <c r="N36" s="50">
        <f t="shared" si="4"/>
        <v>7666068.8000000007</v>
      </c>
    </row>
    <row r="37" spans="1:14" ht="12.75" customHeight="1" x14ac:dyDescent="0.3">
      <c r="A37" s="24">
        <v>7.03</v>
      </c>
      <c r="B37" s="25" t="s">
        <v>49</v>
      </c>
      <c r="C37" s="30" t="s">
        <v>19</v>
      </c>
      <c r="D37" s="31">
        <v>1439</v>
      </c>
      <c r="E37" s="181">
        <v>22963</v>
      </c>
      <c r="F37" s="181">
        <f t="shared" si="0"/>
        <v>33043757</v>
      </c>
      <c r="G37" s="185"/>
      <c r="H37" s="245"/>
      <c r="I37" s="250">
        <v>0.1</v>
      </c>
      <c r="J37" s="274"/>
      <c r="K37" s="251">
        <f t="shared" si="1"/>
        <v>0.1</v>
      </c>
      <c r="L37" s="50">
        <f t="shared" si="2"/>
        <v>3304375.7</v>
      </c>
      <c r="M37" s="50">
        <f t="shared" si="3"/>
        <v>0</v>
      </c>
      <c r="N37" s="50">
        <f t="shared" si="4"/>
        <v>3304375.7</v>
      </c>
    </row>
    <row r="38" spans="1:14" ht="13" x14ac:dyDescent="0.3">
      <c r="A38" s="100">
        <v>7.04</v>
      </c>
      <c r="B38" s="105" t="s">
        <v>50</v>
      </c>
      <c r="C38" s="30" t="s">
        <v>27</v>
      </c>
      <c r="D38" s="31">
        <v>347</v>
      </c>
      <c r="E38" s="181">
        <v>16909</v>
      </c>
      <c r="F38" s="181">
        <f t="shared" si="0"/>
        <v>5867423</v>
      </c>
      <c r="G38" s="185"/>
      <c r="H38" s="245"/>
      <c r="I38" s="250">
        <v>0.1</v>
      </c>
      <c r="J38" s="274"/>
      <c r="K38" s="251">
        <f t="shared" si="1"/>
        <v>0.1</v>
      </c>
      <c r="L38" s="50">
        <f t="shared" si="2"/>
        <v>586742.30000000005</v>
      </c>
      <c r="M38" s="50">
        <f t="shared" si="3"/>
        <v>0</v>
      </c>
      <c r="N38" s="50">
        <f t="shared" si="4"/>
        <v>586742.30000000005</v>
      </c>
    </row>
    <row r="39" spans="1:14" ht="12.75" customHeight="1" x14ac:dyDescent="0.3">
      <c r="A39" s="24">
        <v>7.05</v>
      </c>
      <c r="B39" s="105" t="s">
        <v>51</v>
      </c>
      <c r="C39" s="30" t="s">
        <v>52</v>
      </c>
      <c r="D39" s="31">
        <v>132</v>
      </c>
      <c r="E39" s="181">
        <v>19384</v>
      </c>
      <c r="F39" s="181">
        <f t="shared" si="0"/>
        <v>2558688</v>
      </c>
      <c r="G39" s="185"/>
      <c r="H39" s="245"/>
      <c r="I39" s="250">
        <v>0.1</v>
      </c>
      <c r="J39" s="274"/>
      <c r="K39" s="251">
        <f t="shared" si="1"/>
        <v>0.1</v>
      </c>
      <c r="L39" s="50">
        <f t="shared" si="2"/>
        <v>255868.80000000002</v>
      </c>
      <c r="M39" s="50">
        <f t="shared" si="3"/>
        <v>0</v>
      </c>
      <c r="N39" s="50">
        <f t="shared" si="4"/>
        <v>255868.80000000002</v>
      </c>
    </row>
    <row r="40" spans="1:14" ht="12.75" customHeight="1" x14ac:dyDescent="0.3">
      <c r="A40" s="100">
        <v>7.06</v>
      </c>
      <c r="B40" s="25" t="s">
        <v>53</v>
      </c>
      <c r="C40" s="30" t="s">
        <v>19</v>
      </c>
      <c r="D40" s="31">
        <v>710</v>
      </c>
      <c r="E40" s="181">
        <v>19943</v>
      </c>
      <c r="F40" s="181">
        <f t="shared" si="0"/>
        <v>14159530</v>
      </c>
      <c r="G40" s="185"/>
      <c r="H40" s="245"/>
      <c r="I40" s="250">
        <v>0.02</v>
      </c>
      <c r="J40" s="250">
        <v>0.03</v>
      </c>
      <c r="K40" s="251">
        <f t="shared" si="1"/>
        <v>0.05</v>
      </c>
      <c r="L40" s="50">
        <f t="shared" si="2"/>
        <v>283190.60000000003</v>
      </c>
      <c r="M40" s="50">
        <f t="shared" si="3"/>
        <v>424785.89999999997</v>
      </c>
      <c r="N40" s="50">
        <f t="shared" si="4"/>
        <v>707976.5</v>
      </c>
    </row>
    <row r="41" spans="1:14" ht="12.75" customHeight="1" x14ac:dyDescent="0.3">
      <c r="A41" s="13">
        <v>8</v>
      </c>
      <c r="B41" s="17" t="s">
        <v>54</v>
      </c>
      <c r="C41" s="18"/>
      <c r="D41" s="19"/>
      <c r="E41" s="19"/>
      <c r="F41" s="19"/>
      <c r="G41" s="176">
        <f>+SUM(F42:F49)</f>
        <v>49520833</v>
      </c>
      <c r="H41" s="245">
        <f>+G41/$G$195</f>
        <v>5.8615270805192479E-2</v>
      </c>
      <c r="I41" s="246"/>
      <c r="J41" s="247"/>
      <c r="K41" s="247"/>
      <c r="L41" s="178"/>
      <c r="M41" s="178"/>
      <c r="N41" s="179"/>
    </row>
    <row r="42" spans="1:14" ht="12.75" customHeight="1" x14ac:dyDescent="0.3">
      <c r="A42" s="20">
        <v>8.01</v>
      </c>
      <c r="B42" s="21" t="s">
        <v>55</v>
      </c>
      <c r="C42" s="93" t="s">
        <v>19</v>
      </c>
      <c r="D42" s="94">
        <v>107</v>
      </c>
      <c r="E42" s="183">
        <v>58580</v>
      </c>
      <c r="F42" s="183">
        <f t="shared" si="0"/>
        <v>6268060</v>
      </c>
      <c r="G42" s="182"/>
      <c r="H42" s="245"/>
      <c r="I42" s="250">
        <v>0</v>
      </c>
      <c r="J42" s="250"/>
      <c r="K42" s="251">
        <f t="shared" si="1"/>
        <v>0</v>
      </c>
      <c r="L42" s="50">
        <f t="shared" si="2"/>
        <v>0</v>
      </c>
      <c r="M42" s="50">
        <f t="shared" si="3"/>
        <v>0</v>
      </c>
      <c r="N42" s="50">
        <f t="shared" si="4"/>
        <v>0</v>
      </c>
    </row>
    <row r="43" spans="1:14" ht="12.75" customHeight="1" x14ac:dyDescent="0.3">
      <c r="A43" s="106">
        <v>8.02</v>
      </c>
      <c r="B43" s="107" t="s">
        <v>56</v>
      </c>
      <c r="C43" s="108" t="s">
        <v>19</v>
      </c>
      <c r="D43" s="32">
        <v>258</v>
      </c>
      <c r="E43" s="183">
        <v>38729</v>
      </c>
      <c r="F43" s="183">
        <f t="shared" si="0"/>
        <v>9992082</v>
      </c>
      <c r="G43" s="182"/>
      <c r="H43" s="245"/>
      <c r="I43" s="250">
        <v>0</v>
      </c>
      <c r="J43" s="250"/>
      <c r="K43" s="251">
        <f t="shared" si="1"/>
        <v>0</v>
      </c>
      <c r="L43" s="50">
        <f t="shared" si="2"/>
        <v>0</v>
      </c>
      <c r="M43" s="50">
        <f t="shared" si="3"/>
        <v>0</v>
      </c>
      <c r="N43" s="50">
        <f t="shared" si="4"/>
        <v>0</v>
      </c>
    </row>
    <row r="44" spans="1:14" ht="12.75" customHeight="1" x14ac:dyDescent="0.3">
      <c r="A44" s="24">
        <v>8.0299999999999994</v>
      </c>
      <c r="B44" s="25" t="s">
        <v>57</v>
      </c>
      <c r="C44" s="30" t="s">
        <v>19</v>
      </c>
      <c r="D44" s="31">
        <v>425</v>
      </c>
      <c r="E44" s="183">
        <v>22943</v>
      </c>
      <c r="F44" s="183">
        <f t="shared" si="0"/>
        <v>9750775</v>
      </c>
      <c r="G44" s="182"/>
      <c r="H44" s="245"/>
      <c r="I44" s="250">
        <v>0</v>
      </c>
      <c r="J44" s="250"/>
      <c r="K44" s="251">
        <f t="shared" si="1"/>
        <v>0</v>
      </c>
      <c r="L44" s="50">
        <f t="shared" si="2"/>
        <v>0</v>
      </c>
      <c r="M44" s="50">
        <f t="shared" si="3"/>
        <v>0</v>
      </c>
      <c r="N44" s="50">
        <f t="shared" si="4"/>
        <v>0</v>
      </c>
    </row>
    <row r="45" spans="1:14" ht="12.75" customHeight="1" x14ac:dyDescent="0.3">
      <c r="A45" s="106">
        <v>8.0399999999999991</v>
      </c>
      <c r="B45" s="25" t="s">
        <v>58</v>
      </c>
      <c r="C45" s="30" t="s">
        <v>19</v>
      </c>
      <c r="D45" s="31">
        <v>200</v>
      </c>
      <c r="E45" s="183">
        <v>40355</v>
      </c>
      <c r="F45" s="183">
        <f t="shared" si="0"/>
        <v>8071000</v>
      </c>
      <c r="G45" s="182"/>
      <c r="H45" s="245"/>
      <c r="I45" s="250">
        <v>0</v>
      </c>
      <c r="J45" s="250"/>
      <c r="K45" s="251">
        <f t="shared" si="1"/>
        <v>0</v>
      </c>
      <c r="L45" s="50">
        <f t="shared" si="2"/>
        <v>0</v>
      </c>
      <c r="M45" s="50">
        <f t="shared" si="3"/>
        <v>0</v>
      </c>
      <c r="N45" s="50">
        <f t="shared" si="4"/>
        <v>0</v>
      </c>
    </row>
    <row r="46" spans="1:14" ht="12.75" customHeight="1" x14ac:dyDescent="0.3">
      <c r="A46" s="24">
        <v>8.0500000000000007</v>
      </c>
      <c r="B46" s="25" t="s">
        <v>59</v>
      </c>
      <c r="C46" s="30" t="s">
        <v>19</v>
      </c>
      <c r="D46" s="31">
        <v>77</v>
      </c>
      <c r="E46" s="183">
        <v>31515</v>
      </c>
      <c r="F46" s="183">
        <f t="shared" si="0"/>
        <v>2426655</v>
      </c>
      <c r="G46" s="182"/>
      <c r="H46" s="245"/>
      <c r="I46" s="250">
        <v>0</v>
      </c>
      <c r="J46" s="250"/>
      <c r="K46" s="251">
        <f t="shared" si="1"/>
        <v>0</v>
      </c>
      <c r="L46" s="50">
        <f t="shared" si="2"/>
        <v>0</v>
      </c>
      <c r="M46" s="50">
        <f t="shared" si="3"/>
        <v>0</v>
      </c>
      <c r="N46" s="50">
        <f t="shared" si="4"/>
        <v>0</v>
      </c>
    </row>
    <row r="47" spans="1:14" ht="12.75" customHeight="1" x14ac:dyDescent="0.3">
      <c r="A47" s="106">
        <v>8.06</v>
      </c>
      <c r="B47" s="25" t="s">
        <v>60</v>
      </c>
      <c r="C47" s="30" t="s">
        <v>19</v>
      </c>
      <c r="D47" s="31">
        <v>77</v>
      </c>
      <c r="E47" s="183">
        <v>19683</v>
      </c>
      <c r="F47" s="183">
        <f t="shared" si="0"/>
        <v>1515591</v>
      </c>
      <c r="G47" s="182"/>
      <c r="H47" s="245"/>
      <c r="I47" s="250">
        <v>0</v>
      </c>
      <c r="J47" s="250"/>
      <c r="K47" s="251">
        <f t="shared" si="1"/>
        <v>0</v>
      </c>
      <c r="L47" s="50">
        <f t="shared" si="2"/>
        <v>0</v>
      </c>
      <c r="M47" s="50">
        <f t="shared" si="3"/>
        <v>0</v>
      </c>
      <c r="N47" s="50">
        <f t="shared" si="4"/>
        <v>0</v>
      </c>
    </row>
    <row r="48" spans="1:14" ht="12.75" customHeight="1" x14ac:dyDescent="0.3">
      <c r="A48" s="24">
        <v>8.07</v>
      </c>
      <c r="B48" s="25" t="s">
        <v>61</v>
      </c>
      <c r="C48" s="30" t="s">
        <v>19</v>
      </c>
      <c r="D48" s="31">
        <v>442</v>
      </c>
      <c r="E48" s="183">
        <v>14335</v>
      </c>
      <c r="F48" s="183">
        <f t="shared" si="0"/>
        <v>6336070</v>
      </c>
      <c r="G48" s="182"/>
      <c r="H48" s="245"/>
      <c r="I48" s="250">
        <v>0</v>
      </c>
      <c r="J48" s="250"/>
      <c r="K48" s="251">
        <f t="shared" si="1"/>
        <v>0</v>
      </c>
      <c r="L48" s="50">
        <f t="shared" si="2"/>
        <v>0</v>
      </c>
      <c r="M48" s="50">
        <f t="shared" si="3"/>
        <v>0</v>
      </c>
      <c r="N48" s="50">
        <f t="shared" si="4"/>
        <v>0</v>
      </c>
    </row>
    <row r="49" spans="1:14" ht="12.75" customHeight="1" x14ac:dyDescent="0.3">
      <c r="A49" s="106">
        <v>8.08</v>
      </c>
      <c r="B49" s="25" t="s">
        <v>62</v>
      </c>
      <c r="C49" s="30" t="s">
        <v>19</v>
      </c>
      <c r="D49" s="31">
        <v>360</v>
      </c>
      <c r="E49" s="183">
        <v>14335</v>
      </c>
      <c r="F49" s="183">
        <f t="shared" si="0"/>
        <v>5160600</v>
      </c>
      <c r="G49" s="182"/>
      <c r="H49" s="245"/>
      <c r="I49" s="250">
        <v>0</v>
      </c>
      <c r="J49" s="250"/>
      <c r="K49" s="251">
        <f t="shared" si="1"/>
        <v>0</v>
      </c>
      <c r="L49" s="50">
        <f t="shared" si="2"/>
        <v>0</v>
      </c>
      <c r="M49" s="50">
        <f t="shared" si="3"/>
        <v>0</v>
      </c>
      <c r="N49" s="50">
        <f t="shared" si="4"/>
        <v>0</v>
      </c>
    </row>
    <row r="50" spans="1:14" ht="12.75" customHeight="1" x14ac:dyDescent="0.3">
      <c r="A50" s="13">
        <v>9</v>
      </c>
      <c r="B50" s="17" t="s">
        <v>63</v>
      </c>
      <c r="C50" s="18"/>
      <c r="D50" s="19"/>
      <c r="E50" s="19"/>
      <c r="F50" s="19"/>
      <c r="G50" s="176">
        <f>+SUM(F51:F53)</f>
        <v>4852846</v>
      </c>
      <c r="H50" s="245">
        <f>+G50/$G$195</f>
        <v>5.7440649769743392E-3</v>
      </c>
      <c r="I50" s="246"/>
      <c r="J50" s="247"/>
      <c r="K50" s="247"/>
      <c r="L50" s="178"/>
      <c r="M50" s="178"/>
      <c r="N50" s="179"/>
    </row>
    <row r="51" spans="1:14" ht="12.75" customHeight="1" x14ac:dyDescent="0.3">
      <c r="A51" s="20">
        <v>9.01</v>
      </c>
      <c r="B51" s="21" t="s">
        <v>64</v>
      </c>
      <c r="C51" s="109" t="s">
        <v>29</v>
      </c>
      <c r="D51" s="94">
        <v>1</v>
      </c>
      <c r="E51" s="181">
        <v>2109310</v>
      </c>
      <c r="F51" s="181">
        <f t="shared" si="0"/>
        <v>2109310</v>
      </c>
      <c r="G51" s="186"/>
      <c r="H51" s="245"/>
      <c r="I51" s="250">
        <v>0</v>
      </c>
      <c r="J51" s="250"/>
      <c r="K51" s="251">
        <f t="shared" si="1"/>
        <v>0</v>
      </c>
      <c r="L51" s="50">
        <f t="shared" si="2"/>
        <v>0</v>
      </c>
      <c r="M51" s="50">
        <f t="shared" si="3"/>
        <v>0</v>
      </c>
      <c r="N51" s="50">
        <f t="shared" si="4"/>
        <v>0</v>
      </c>
    </row>
    <row r="52" spans="1:14" ht="12.75" customHeight="1" x14ac:dyDescent="0.3">
      <c r="A52" s="24">
        <v>9.02</v>
      </c>
      <c r="B52" s="25" t="s">
        <v>65</v>
      </c>
      <c r="C52" s="110" t="s">
        <v>52</v>
      </c>
      <c r="D52" s="31">
        <v>81</v>
      </c>
      <c r="E52" s="181">
        <v>28022</v>
      </c>
      <c r="F52" s="181">
        <f t="shared" si="0"/>
        <v>2269782</v>
      </c>
      <c r="G52" s="186"/>
      <c r="H52" s="252"/>
      <c r="I52" s="250">
        <v>0</v>
      </c>
      <c r="J52" s="250"/>
      <c r="K52" s="251">
        <f t="shared" si="1"/>
        <v>0</v>
      </c>
      <c r="L52" s="50">
        <f t="shared" si="2"/>
        <v>0</v>
      </c>
      <c r="M52" s="50">
        <f t="shared" si="3"/>
        <v>0</v>
      </c>
      <c r="N52" s="50">
        <f t="shared" si="4"/>
        <v>0</v>
      </c>
    </row>
    <row r="53" spans="1:14" ht="12.75" customHeight="1" x14ac:dyDescent="0.3">
      <c r="A53" s="33">
        <v>9.0299999999999994</v>
      </c>
      <c r="B53" s="38" t="s">
        <v>66</v>
      </c>
      <c r="C53" s="111" t="s">
        <v>27</v>
      </c>
      <c r="D53" s="35">
        <v>46</v>
      </c>
      <c r="E53" s="181">
        <v>10299</v>
      </c>
      <c r="F53" s="181">
        <f t="shared" si="0"/>
        <v>473754</v>
      </c>
      <c r="G53" s="186"/>
      <c r="H53" s="252"/>
      <c r="I53" s="250">
        <v>0</v>
      </c>
      <c r="J53" s="250"/>
      <c r="K53" s="251">
        <f t="shared" si="1"/>
        <v>0</v>
      </c>
      <c r="L53" s="50">
        <f t="shared" si="2"/>
        <v>0</v>
      </c>
      <c r="M53" s="50">
        <f t="shared" si="3"/>
        <v>0</v>
      </c>
      <c r="N53" s="50">
        <f t="shared" si="4"/>
        <v>0</v>
      </c>
    </row>
    <row r="54" spans="1:14" ht="12.75" customHeight="1" x14ac:dyDescent="0.3">
      <c r="A54" s="13">
        <v>10</v>
      </c>
      <c r="B54" s="40" t="s">
        <v>67</v>
      </c>
      <c r="C54" s="18"/>
      <c r="D54" s="19"/>
      <c r="E54" s="19"/>
      <c r="F54" s="19"/>
      <c r="G54" s="176">
        <f>+SUM(F55:F58)</f>
        <v>4184652</v>
      </c>
      <c r="H54" s="245">
        <f>+G54/$G$195</f>
        <v>4.9531580013100814E-3</v>
      </c>
      <c r="I54" s="246"/>
      <c r="J54" s="247"/>
      <c r="K54" s="247"/>
      <c r="L54" s="178"/>
      <c r="M54" s="178"/>
      <c r="N54" s="179"/>
    </row>
    <row r="55" spans="1:14" ht="12.75" customHeight="1" x14ac:dyDescent="0.3">
      <c r="A55" s="24">
        <v>10.01</v>
      </c>
      <c r="B55" s="25" t="s">
        <v>68</v>
      </c>
      <c r="C55" s="112" t="s">
        <v>29</v>
      </c>
      <c r="D55" s="27">
        <v>1</v>
      </c>
      <c r="E55" s="181">
        <v>1844532</v>
      </c>
      <c r="F55" s="181">
        <f t="shared" si="0"/>
        <v>1844532</v>
      </c>
      <c r="G55" s="188"/>
      <c r="H55" s="245"/>
      <c r="I55" s="250">
        <v>0</v>
      </c>
      <c r="J55" s="250"/>
      <c r="K55" s="251">
        <f t="shared" si="1"/>
        <v>0</v>
      </c>
      <c r="L55" s="50">
        <f t="shared" si="2"/>
        <v>0</v>
      </c>
      <c r="M55" s="50">
        <f t="shared" si="3"/>
        <v>0</v>
      </c>
      <c r="N55" s="50">
        <f t="shared" si="4"/>
        <v>0</v>
      </c>
    </row>
    <row r="56" spans="1:14" ht="12.75" customHeight="1" x14ac:dyDescent="0.3">
      <c r="A56" s="24">
        <v>10.02</v>
      </c>
      <c r="B56" s="25" t="s">
        <v>69</v>
      </c>
      <c r="C56" s="112" t="s">
        <v>29</v>
      </c>
      <c r="D56" s="27">
        <v>1</v>
      </c>
      <c r="E56" s="181">
        <v>1214937</v>
      </c>
      <c r="F56" s="181">
        <f t="shared" si="0"/>
        <v>1214937</v>
      </c>
      <c r="H56" s="245"/>
      <c r="I56" s="250">
        <v>0</v>
      </c>
      <c r="J56" s="250"/>
      <c r="K56" s="251">
        <f t="shared" si="1"/>
        <v>0</v>
      </c>
      <c r="L56" s="50">
        <f t="shared" si="2"/>
        <v>0</v>
      </c>
      <c r="M56" s="50">
        <f t="shared" si="3"/>
        <v>0</v>
      </c>
      <c r="N56" s="50">
        <f t="shared" si="4"/>
        <v>0</v>
      </c>
    </row>
    <row r="57" spans="1:14" ht="12.75" customHeight="1" x14ac:dyDescent="0.3">
      <c r="A57" s="24">
        <v>10.029999999999999</v>
      </c>
      <c r="B57" s="25" t="s">
        <v>70</v>
      </c>
      <c r="C57" s="112" t="s">
        <v>29</v>
      </c>
      <c r="D57" s="27">
        <v>1</v>
      </c>
      <c r="E57" s="181">
        <v>539833</v>
      </c>
      <c r="F57" s="181">
        <f t="shared" si="0"/>
        <v>539833</v>
      </c>
      <c r="H57" s="245"/>
      <c r="I57" s="250">
        <v>0</v>
      </c>
      <c r="J57" s="250"/>
      <c r="K57" s="251">
        <f t="shared" si="1"/>
        <v>0</v>
      </c>
      <c r="L57" s="50">
        <f t="shared" si="2"/>
        <v>0</v>
      </c>
      <c r="M57" s="50">
        <f t="shared" si="3"/>
        <v>0</v>
      </c>
      <c r="N57" s="50">
        <f t="shared" si="4"/>
        <v>0</v>
      </c>
    </row>
    <row r="58" spans="1:14" ht="12.75" customHeight="1" x14ac:dyDescent="0.3">
      <c r="A58" s="24">
        <v>10.039999999999999</v>
      </c>
      <c r="B58" s="25" t="s">
        <v>71</v>
      </c>
      <c r="C58" s="30" t="s">
        <v>33</v>
      </c>
      <c r="D58" s="31">
        <v>10</v>
      </c>
      <c r="E58" s="181">
        <v>58535</v>
      </c>
      <c r="F58" s="181">
        <f t="shared" si="0"/>
        <v>585350</v>
      </c>
      <c r="G58" s="182"/>
      <c r="H58" s="245"/>
      <c r="I58" s="250">
        <v>0</v>
      </c>
      <c r="J58" s="250"/>
      <c r="K58" s="251">
        <f t="shared" si="1"/>
        <v>0</v>
      </c>
      <c r="L58" s="50">
        <f t="shared" si="2"/>
        <v>0</v>
      </c>
      <c r="M58" s="50">
        <f t="shared" si="3"/>
        <v>0</v>
      </c>
      <c r="N58" s="50">
        <f t="shared" si="4"/>
        <v>0</v>
      </c>
    </row>
    <row r="59" spans="1:14" ht="12.75" customHeight="1" x14ac:dyDescent="0.3">
      <c r="A59" s="13">
        <v>11</v>
      </c>
      <c r="B59" s="17" t="s">
        <v>72</v>
      </c>
      <c r="C59" s="18"/>
      <c r="D59" s="19"/>
      <c r="E59" s="19"/>
      <c r="F59" s="19"/>
      <c r="G59" s="176">
        <f>+SUM(F60:F70)</f>
        <v>31170783</v>
      </c>
      <c r="H59" s="245">
        <f>+G59/$G$195</f>
        <v>3.6895257532418527E-2</v>
      </c>
      <c r="I59" s="246"/>
      <c r="J59" s="247"/>
      <c r="K59" s="247"/>
      <c r="L59" s="178"/>
      <c r="M59" s="178"/>
      <c r="N59" s="179"/>
    </row>
    <row r="60" spans="1:14" ht="12.75" customHeight="1" x14ac:dyDescent="0.3">
      <c r="A60" s="20">
        <v>11.01</v>
      </c>
      <c r="B60" s="21" t="s">
        <v>73</v>
      </c>
      <c r="C60" s="109" t="s">
        <v>19</v>
      </c>
      <c r="D60" s="94">
        <v>0</v>
      </c>
      <c r="E60" s="181">
        <v>0</v>
      </c>
      <c r="F60" s="181">
        <f t="shared" si="0"/>
        <v>0</v>
      </c>
      <c r="G60" s="185"/>
      <c r="H60" s="252"/>
      <c r="I60" s="250">
        <v>0</v>
      </c>
      <c r="J60" s="250"/>
      <c r="K60" s="251">
        <f t="shared" si="1"/>
        <v>0</v>
      </c>
      <c r="L60" s="50">
        <f t="shared" si="2"/>
        <v>0</v>
      </c>
      <c r="M60" s="50">
        <f t="shared" si="3"/>
        <v>0</v>
      </c>
      <c r="N60" s="50">
        <f t="shared" si="4"/>
        <v>0</v>
      </c>
    </row>
    <row r="61" spans="1:14" ht="12.75" customHeight="1" x14ac:dyDescent="0.3">
      <c r="A61" s="24">
        <v>11.02</v>
      </c>
      <c r="B61" s="25" t="s">
        <v>74</v>
      </c>
      <c r="C61" s="110" t="s">
        <v>19</v>
      </c>
      <c r="D61" s="31">
        <v>39</v>
      </c>
      <c r="E61" s="181">
        <v>19280</v>
      </c>
      <c r="F61" s="181">
        <f t="shared" si="0"/>
        <v>751920</v>
      </c>
      <c r="G61" s="186"/>
      <c r="H61" s="252"/>
      <c r="I61" s="250">
        <v>0</v>
      </c>
      <c r="J61" s="250"/>
      <c r="K61" s="251">
        <f t="shared" si="1"/>
        <v>0</v>
      </c>
      <c r="L61" s="50">
        <f t="shared" si="2"/>
        <v>0</v>
      </c>
      <c r="M61" s="50">
        <f t="shared" si="3"/>
        <v>0</v>
      </c>
      <c r="N61" s="50">
        <f t="shared" si="4"/>
        <v>0</v>
      </c>
    </row>
    <row r="62" spans="1:14" ht="12.75" customHeight="1" x14ac:dyDescent="0.3">
      <c r="A62" s="24">
        <v>11.03</v>
      </c>
      <c r="B62" s="25" t="s">
        <v>75</v>
      </c>
      <c r="C62" s="110" t="s">
        <v>19</v>
      </c>
      <c r="D62" s="31">
        <v>48</v>
      </c>
      <c r="E62" s="181">
        <v>25362</v>
      </c>
      <c r="F62" s="181">
        <f t="shared" si="0"/>
        <v>1217376</v>
      </c>
      <c r="G62" s="186"/>
      <c r="H62" s="252"/>
      <c r="I62" s="250">
        <v>0</v>
      </c>
      <c r="J62" s="250"/>
      <c r="K62" s="251">
        <f t="shared" si="1"/>
        <v>0</v>
      </c>
      <c r="L62" s="50">
        <f t="shared" si="2"/>
        <v>0</v>
      </c>
      <c r="M62" s="50">
        <f t="shared" si="3"/>
        <v>0</v>
      </c>
      <c r="N62" s="50">
        <f t="shared" si="4"/>
        <v>0</v>
      </c>
    </row>
    <row r="63" spans="1:14" ht="12.75" customHeight="1" x14ac:dyDescent="0.3">
      <c r="A63" s="24">
        <v>11.04</v>
      </c>
      <c r="B63" s="25" t="s">
        <v>76</v>
      </c>
      <c r="C63" s="30" t="s">
        <v>19</v>
      </c>
      <c r="D63" s="31">
        <v>174</v>
      </c>
      <c r="E63" s="181">
        <v>19164</v>
      </c>
      <c r="F63" s="181">
        <f t="shared" si="0"/>
        <v>3334536</v>
      </c>
      <c r="G63" s="182"/>
      <c r="H63" s="245"/>
      <c r="I63" s="250">
        <v>0</v>
      </c>
      <c r="J63" s="250"/>
      <c r="K63" s="251">
        <f t="shared" si="1"/>
        <v>0</v>
      </c>
      <c r="L63" s="50">
        <f t="shared" si="2"/>
        <v>0</v>
      </c>
      <c r="M63" s="50">
        <f t="shared" si="3"/>
        <v>0</v>
      </c>
      <c r="N63" s="50">
        <f t="shared" si="4"/>
        <v>0</v>
      </c>
    </row>
    <row r="64" spans="1:14" ht="12.75" customHeight="1" x14ac:dyDescent="0.3">
      <c r="A64" s="24">
        <v>11.05</v>
      </c>
      <c r="B64" s="25" t="s">
        <v>77</v>
      </c>
      <c r="C64" s="110" t="s">
        <v>19</v>
      </c>
      <c r="D64" s="31">
        <v>92</v>
      </c>
      <c r="E64" s="181">
        <v>19164</v>
      </c>
      <c r="F64" s="181">
        <f t="shared" si="0"/>
        <v>1763088</v>
      </c>
      <c r="G64" s="185"/>
      <c r="H64" s="252"/>
      <c r="I64" s="250">
        <v>0</v>
      </c>
      <c r="J64" s="250"/>
      <c r="K64" s="251">
        <f t="shared" si="1"/>
        <v>0</v>
      </c>
      <c r="L64" s="50">
        <f t="shared" si="2"/>
        <v>0</v>
      </c>
      <c r="M64" s="50">
        <f t="shared" si="3"/>
        <v>0</v>
      </c>
      <c r="N64" s="50">
        <f t="shared" si="4"/>
        <v>0</v>
      </c>
    </row>
    <row r="65" spans="1:14" ht="12.75" customHeight="1" x14ac:dyDescent="0.3">
      <c r="A65" s="24">
        <v>11.06</v>
      </c>
      <c r="B65" s="25" t="s">
        <v>78</v>
      </c>
      <c r="C65" s="30" t="s">
        <v>19</v>
      </c>
      <c r="D65" s="31">
        <v>8</v>
      </c>
      <c r="E65" s="181">
        <v>14043</v>
      </c>
      <c r="F65" s="181">
        <f t="shared" si="0"/>
        <v>112344</v>
      </c>
      <c r="G65" s="182"/>
      <c r="H65" s="245"/>
      <c r="I65" s="250">
        <v>0</v>
      </c>
      <c r="J65" s="250"/>
      <c r="K65" s="251">
        <f t="shared" si="1"/>
        <v>0</v>
      </c>
      <c r="L65" s="50">
        <f t="shared" si="2"/>
        <v>0</v>
      </c>
      <c r="M65" s="50">
        <f t="shared" si="3"/>
        <v>0</v>
      </c>
      <c r="N65" s="50">
        <f t="shared" si="4"/>
        <v>0</v>
      </c>
    </row>
    <row r="66" spans="1:14" ht="12.75" customHeight="1" x14ac:dyDescent="0.3">
      <c r="A66" s="24">
        <v>11.07</v>
      </c>
      <c r="B66" s="25" t="s">
        <v>79</v>
      </c>
      <c r="C66" s="110" t="s">
        <v>19</v>
      </c>
      <c r="D66" s="31">
        <v>46</v>
      </c>
      <c r="E66" s="181">
        <v>26630</v>
      </c>
      <c r="F66" s="181">
        <f t="shared" si="0"/>
        <v>1224980</v>
      </c>
      <c r="G66" s="186"/>
      <c r="H66" s="252"/>
      <c r="I66" s="250">
        <v>0</v>
      </c>
      <c r="J66" s="250"/>
      <c r="K66" s="251">
        <f t="shared" si="1"/>
        <v>0</v>
      </c>
      <c r="L66" s="50">
        <f t="shared" si="2"/>
        <v>0</v>
      </c>
      <c r="M66" s="50">
        <f t="shared" si="3"/>
        <v>0</v>
      </c>
      <c r="N66" s="50">
        <f t="shared" si="4"/>
        <v>0</v>
      </c>
    </row>
    <row r="67" spans="1:14" ht="12.75" customHeight="1" x14ac:dyDescent="0.3">
      <c r="A67" s="24">
        <v>11.08</v>
      </c>
      <c r="B67" s="25" t="s">
        <v>80</v>
      </c>
      <c r="C67" s="110" t="s">
        <v>19</v>
      </c>
      <c r="D67" s="31">
        <v>562</v>
      </c>
      <c r="E67" s="181">
        <v>25362</v>
      </c>
      <c r="F67" s="181">
        <f t="shared" si="0"/>
        <v>14253444</v>
      </c>
      <c r="G67" s="186"/>
      <c r="H67" s="252"/>
      <c r="I67" s="250">
        <v>0</v>
      </c>
      <c r="J67" s="250"/>
      <c r="K67" s="251">
        <f t="shared" si="1"/>
        <v>0</v>
      </c>
      <c r="L67" s="50">
        <f t="shared" si="2"/>
        <v>0</v>
      </c>
      <c r="M67" s="50">
        <f t="shared" si="3"/>
        <v>0</v>
      </c>
      <c r="N67" s="50">
        <f t="shared" si="4"/>
        <v>0</v>
      </c>
    </row>
    <row r="68" spans="1:14" ht="12.75" customHeight="1" x14ac:dyDescent="0.3">
      <c r="A68" s="24">
        <v>11.09</v>
      </c>
      <c r="B68" s="25" t="s">
        <v>81</v>
      </c>
      <c r="C68" s="113" t="s">
        <v>19</v>
      </c>
      <c r="D68" s="32">
        <v>73</v>
      </c>
      <c r="E68" s="181">
        <v>30109</v>
      </c>
      <c r="F68" s="181">
        <f t="shared" si="0"/>
        <v>2197957</v>
      </c>
      <c r="G68" s="186"/>
      <c r="H68" s="252"/>
      <c r="I68" s="250">
        <v>0</v>
      </c>
      <c r="J68" s="250"/>
      <c r="K68" s="251">
        <f t="shared" si="1"/>
        <v>0</v>
      </c>
      <c r="L68" s="50">
        <f t="shared" si="2"/>
        <v>0</v>
      </c>
      <c r="M68" s="50">
        <f t="shared" si="3"/>
        <v>0</v>
      </c>
      <c r="N68" s="50">
        <f t="shared" si="4"/>
        <v>0</v>
      </c>
    </row>
    <row r="69" spans="1:14" ht="12.75" customHeight="1" x14ac:dyDescent="0.3">
      <c r="A69" s="24">
        <v>11.1</v>
      </c>
      <c r="B69" s="25" t="s">
        <v>82</v>
      </c>
      <c r="C69" s="113" t="s">
        <v>19</v>
      </c>
      <c r="D69" s="32">
        <v>143</v>
      </c>
      <c r="E69" s="181">
        <v>25362</v>
      </c>
      <c r="F69" s="181">
        <f t="shared" si="0"/>
        <v>3626766</v>
      </c>
      <c r="G69" s="186"/>
      <c r="H69" s="252"/>
      <c r="I69" s="250">
        <v>0</v>
      </c>
      <c r="J69" s="250"/>
      <c r="K69" s="251">
        <f t="shared" si="1"/>
        <v>0</v>
      </c>
      <c r="L69" s="50">
        <f t="shared" si="2"/>
        <v>0</v>
      </c>
      <c r="M69" s="50">
        <f t="shared" si="3"/>
        <v>0</v>
      </c>
      <c r="N69" s="50">
        <f t="shared" si="4"/>
        <v>0</v>
      </c>
    </row>
    <row r="70" spans="1:14" ht="12.75" customHeight="1" x14ac:dyDescent="0.3">
      <c r="A70" s="24">
        <v>11.11</v>
      </c>
      <c r="B70" s="25" t="s">
        <v>83</v>
      </c>
      <c r="C70" s="111" t="s">
        <v>19</v>
      </c>
      <c r="D70" s="35">
        <v>106</v>
      </c>
      <c r="E70" s="181">
        <v>25362</v>
      </c>
      <c r="F70" s="181">
        <f t="shared" si="0"/>
        <v>2688372</v>
      </c>
      <c r="G70" s="186"/>
      <c r="H70" s="252"/>
      <c r="I70" s="250">
        <v>0</v>
      </c>
      <c r="J70" s="250"/>
      <c r="K70" s="251">
        <f t="shared" si="1"/>
        <v>0</v>
      </c>
      <c r="L70" s="50">
        <f t="shared" si="2"/>
        <v>0</v>
      </c>
      <c r="M70" s="50">
        <f t="shared" si="3"/>
        <v>0</v>
      </c>
      <c r="N70" s="50">
        <f t="shared" si="4"/>
        <v>0</v>
      </c>
    </row>
    <row r="71" spans="1:14" ht="12.75" customHeight="1" x14ac:dyDescent="0.3">
      <c r="A71" s="13">
        <v>12</v>
      </c>
      <c r="B71" s="17" t="s">
        <v>84</v>
      </c>
      <c r="C71" s="18"/>
      <c r="D71" s="19"/>
      <c r="E71" s="19"/>
      <c r="F71" s="19"/>
      <c r="G71" s="176">
        <f>+SUM(F72:F74)</f>
        <v>8990052</v>
      </c>
      <c r="H71" s="245">
        <f>+G71/$G$195</f>
        <v>1.0641063580912749E-2</v>
      </c>
      <c r="I71" s="246"/>
      <c r="J71" s="247"/>
      <c r="K71" s="247"/>
      <c r="L71" s="178"/>
      <c r="M71" s="178"/>
      <c r="N71" s="179"/>
    </row>
    <row r="72" spans="1:14" ht="12.75" customHeight="1" x14ac:dyDescent="0.3">
      <c r="A72" s="20">
        <f>+A71+0.01</f>
        <v>12.01</v>
      </c>
      <c r="B72" s="21" t="s">
        <v>85</v>
      </c>
      <c r="C72" s="109" t="s">
        <v>27</v>
      </c>
      <c r="D72" s="94">
        <v>19</v>
      </c>
      <c r="E72" s="181">
        <v>6496</v>
      </c>
      <c r="F72" s="181">
        <f t="shared" si="0"/>
        <v>123424</v>
      </c>
      <c r="H72" s="245"/>
      <c r="I72" s="250">
        <v>0</v>
      </c>
      <c r="J72" s="250"/>
      <c r="K72" s="251">
        <f t="shared" si="1"/>
        <v>0</v>
      </c>
      <c r="L72" s="50">
        <f t="shared" si="2"/>
        <v>0</v>
      </c>
      <c r="M72" s="50">
        <f t="shared" si="3"/>
        <v>0</v>
      </c>
      <c r="N72" s="50">
        <f t="shared" si="4"/>
        <v>0</v>
      </c>
    </row>
    <row r="73" spans="1:14" ht="12.75" customHeight="1" x14ac:dyDescent="0.3">
      <c r="A73" s="106">
        <v>12.02</v>
      </c>
      <c r="B73" s="25" t="s">
        <v>86</v>
      </c>
      <c r="C73" s="114" t="s">
        <v>27</v>
      </c>
      <c r="D73" s="31">
        <v>626</v>
      </c>
      <c r="E73" s="181">
        <v>9059</v>
      </c>
      <c r="F73" s="181">
        <f t="shared" si="0"/>
        <v>5670934</v>
      </c>
      <c r="H73" s="245"/>
      <c r="I73" s="250">
        <v>0</v>
      </c>
      <c r="J73" s="250"/>
      <c r="K73" s="251">
        <f t="shared" si="1"/>
        <v>0</v>
      </c>
      <c r="L73" s="50">
        <f t="shared" si="2"/>
        <v>0</v>
      </c>
      <c r="M73" s="50">
        <f t="shared" si="3"/>
        <v>0</v>
      </c>
      <c r="N73" s="50">
        <f t="shared" si="4"/>
        <v>0</v>
      </c>
    </row>
    <row r="74" spans="1:14" ht="12.75" customHeight="1" x14ac:dyDescent="0.3">
      <c r="A74" s="106">
        <v>12.03</v>
      </c>
      <c r="B74" s="107" t="s">
        <v>87</v>
      </c>
      <c r="C74" s="114" t="s">
        <v>27</v>
      </c>
      <c r="D74" s="35">
        <v>386</v>
      </c>
      <c r="E74" s="181">
        <v>8279</v>
      </c>
      <c r="F74" s="181">
        <f t="shared" ref="F74:F137" si="5">+E74*D74</f>
        <v>3195694</v>
      </c>
      <c r="H74" s="245"/>
      <c r="I74" s="250">
        <v>0</v>
      </c>
      <c r="J74" s="250"/>
      <c r="K74" s="251">
        <f t="shared" ref="K74" si="6">+I74+J74</f>
        <v>0</v>
      </c>
      <c r="L74" s="50">
        <f t="shared" ref="L74" si="7">+F74*I74</f>
        <v>0</v>
      </c>
      <c r="M74" s="50">
        <f t="shared" ref="M74" si="8">+F74*J74</f>
        <v>0</v>
      </c>
      <c r="N74" s="50">
        <f t="shared" ref="N74" si="9">+F74*K74</f>
        <v>0</v>
      </c>
    </row>
    <row r="75" spans="1:14" ht="12.75" customHeight="1" x14ac:dyDescent="0.3">
      <c r="A75" s="13">
        <v>13</v>
      </c>
      <c r="B75" s="17" t="s">
        <v>88</v>
      </c>
      <c r="C75" s="18"/>
      <c r="D75" s="19"/>
      <c r="E75" s="19"/>
      <c r="F75" s="19"/>
      <c r="G75" s="176">
        <f>+SUM(F76:F79)</f>
        <v>14836279</v>
      </c>
      <c r="H75" s="245">
        <f>+G75/$G$195</f>
        <v>1.7560942711250239E-2</v>
      </c>
      <c r="I75" s="246"/>
      <c r="J75" s="247"/>
      <c r="K75" s="247"/>
      <c r="L75" s="178"/>
      <c r="M75" s="178"/>
      <c r="N75" s="179"/>
    </row>
    <row r="76" spans="1:14" ht="12.75" customHeight="1" x14ac:dyDescent="0.3">
      <c r="A76" s="115">
        <v>13.01</v>
      </c>
      <c r="B76" s="116" t="s">
        <v>89</v>
      </c>
      <c r="C76" s="117" t="s">
        <v>19</v>
      </c>
      <c r="D76" s="23">
        <v>413</v>
      </c>
      <c r="E76" s="181">
        <v>30109</v>
      </c>
      <c r="F76" s="181">
        <f t="shared" si="5"/>
        <v>12435017</v>
      </c>
      <c r="H76" s="245"/>
      <c r="I76" s="250">
        <v>0</v>
      </c>
      <c r="J76" s="250"/>
      <c r="K76" s="251">
        <f t="shared" ref="K76:K139" si="10">+I76+J76</f>
        <v>0</v>
      </c>
      <c r="L76" s="50">
        <f t="shared" ref="L76:L139" si="11">+F76*I76</f>
        <v>0</v>
      </c>
      <c r="M76" s="50">
        <f t="shared" ref="M76:M139" si="12">+F76*J76</f>
        <v>0</v>
      </c>
      <c r="N76" s="50">
        <f t="shared" ref="N76:N139" si="13">+F76*K76</f>
        <v>0</v>
      </c>
    </row>
    <row r="77" spans="1:14" ht="12.75" customHeight="1" x14ac:dyDescent="0.3">
      <c r="A77" s="118">
        <v>13.02</v>
      </c>
      <c r="B77" s="119" t="s">
        <v>90</v>
      </c>
      <c r="C77" s="120" t="s">
        <v>19</v>
      </c>
      <c r="D77" s="121">
        <v>18</v>
      </c>
      <c r="E77" s="181">
        <v>30109</v>
      </c>
      <c r="F77" s="181">
        <f t="shared" si="5"/>
        <v>541962</v>
      </c>
      <c r="H77" s="245"/>
      <c r="I77" s="250">
        <v>0</v>
      </c>
      <c r="J77" s="250"/>
      <c r="K77" s="251">
        <f t="shared" si="10"/>
        <v>0</v>
      </c>
      <c r="L77" s="50">
        <f t="shared" si="11"/>
        <v>0</v>
      </c>
      <c r="M77" s="50">
        <f t="shared" si="12"/>
        <v>0</v>
      </c>
      <c r="N77" s="50">
        <f t="shared" si="13"/>
        <v>0</v>
      </c>
    </row>
    <row r="78" spans="1:14" ht="12.75" customHeight="1" x14ac:dyDescent="0.3">
      <c r="A78" s="100">
        <v>13.03</v>
      </c>
      <c r="B78" s="119" t="s">
        <v>91</v>
      </c>
      <c r="C78" s="110" t="s">
        <v>19</v>
      </c>
      <c r="D78" s="31">
        <v>20</v>
      </c>
      <c r="E78" s="181">
        <v>92965</v>
      </c>
      <c r="F78" s="181">
        <f t="shared" si="5"/>
        <v>1859300</v>
      </c>
      <c r="G78" s="186"/>
      <c r="H78" s="252"/>
      <c r="I78" s="250">
        <v>0</v>
      </c>
      <c r="J78" s="250"/>
      <c r="K78" s="251">
        <f t="shared" si="10"/>
        <v>0</v>
      </c>
      <c r="L78" s="50">
        <f t="shared" si="11"/>
        <v>0</v>
      </c>
      <c r="M78" s="50">
        <f t="shared" si="12"/>
        <v>0</v>
      </c>
      <c r="N78" s="50">
        <f t="shared" si="13"/>
        <v>0</v>
      </c>
    </row>
    <row r="79" spans="1:14" ht="12.75" customHeight="1" x14ac:dyDescent="0.3">
      <c r="A79" s="100">
        <v>13.04</v>
      </c>
      <c r="B79" s="25" t="s">
        <v>92</v>
      </c>
      <c r="C79" s="110" t="s">
        <v>19</v>
      </c>
      <c r="D79" s="31">
        <v>0</v>
      </c>
      <c r="E79" s="181">
        <v>0</v>
      </c>
      <c r="F79" s="181">
        <f t="shared" si="5"/>
        <v>0</v>
      </c>
      <c r="G79" s="186"/>
      <c r="H79" s="252"/>
      <c r="I79" s="250">
        <v>0</v>
      </c>
      <c r="J79" s="250"/>
      <c r="K79" s="251">
        <f t="shared" si="10"/>
        <v>0</v>
      </c>
      <c r="L79" s="50">
        <f t="shared" si="11"/>
        <v>0</v>
      </c>
      <c r="M79" s="50">
        <f t="shared" si="12"/>
        <v>0</v>
      </c>
      <c r="N79" s="50">
        <f t="shared" si="13"/>
        <v>0</v>
      </c>
    </row>
    <row r="80" spans="1:14" ht="12.75" customHeight="1" x14ac:dyDescent="0.3">
      <c r="A80" s="13">
        <v>14</v>
      </c>
      <c r="B80" s="17" t="s">
        <v>93</v>
      </c>
      <c r="C80" s="18"/>
      <c r="D80" s="19"/>
      <c r="E80" s="19"/>
      <c r="F80" s="19"/>
      <c r="G80" s="176">
        <f>+SUM(F81:F87)</f>
        <v>33813897</v>
      </c>
      <c r="H80" s="245">
        <f>+G80/$G$195</f>
        <v>4.0023776046616291E-2</v>
      </c>
      <c r="I80" s="246"/>
      <c r="J80" s="247"/>
      <c r="K80" s="247"/>
      <c r="L80" s="178"/>
      <c r="M80" s="178"/>
      <c r="N80" s="179"/>
    </row>
    <row r="81" spans="1:14" ht="12.75" customHeight="1" x14ac:dyDescent="0.3">
      <c r="A81" s="20">
        <f>+A80+0.01</f>
        <v>14.01</v>
      </c>
      <c r="B81" s="21" t="s">
        <v>94</v>
      </c>
      <c r="C81" s="117" t="s">
        <v>19</v>
      </c>
      <c r="D81" s="23">
        <v>460</v>
      </c>
      <c r="E81" s="181">
        <v>23624</v>
      </c>
      <c r="F81" s="181">
        <f t="shared" si="5"/>
        <v>10867040</v>
      </c>
      <c r="H81" s="245"/>
      <c r="I81" s="250">
        <v>0</v>
      </c>
      <c r="J81" s="250"/>
      <c r="K81" s="251">
        <f t="shared" si="10"/>
        <v>0</v>
      </c>
      <c r="L81" s="50">
        <f t="shared" si="11"/>
        <v>0</v>
      </c>
      <c r="M81" s="50">
        <f t="shared" si="12"/>
        <v>0</v>
      </c>
      <c r="N81" s="50">
        <f t="shared" si="13"/>
        <v>0</v>
      </c>
    </row>
    <row r="82" spans="1:14" ht="12.75" customHeight="1" x14ac:dyDescent="0.3">
      <c r="A82" s="106">
        <v>14.02</v>
      </c>
      <c r="B82" s="107" t="s">
        <v>95</v>
      </c>
      <c r="C82" s="120" t="s">
        <v>27</v>
      </c>
      <c r="D82" s="121">
        <v>434</v>
      </c>
      <c r="E82" s="181">
        <v>16659</v>
      </c>
      <c r="F82" s="181">
        <f t="shared" si="5"/>
        <v>7230006</v>
      </c>
      <c r="H82" s="245"/>
      <c r="I82" s="250">
        <v>0</v>
      </c>
      <c r="J82" s="250"/>
      <c r="K82" s="251">
        <f t="shared" si="10"/>
        <v>0</v>
      </c>
      <c r="L82" s="50">
        <f t="shared" si="11"/>
        <v>0</v>
      </c>
      <c r="M82" s="50">
        <f t="shared" si="12"/>
        <v>0</v>
      </c>
      <c r="N82" s="50">
        <f t="shared" si="13"/>
        <v>0</v>
      </c>
    </row>
    <row r="83" spans="1:14" ht="12.75" customHeight="1" x14ac:dyDescent="0.3">
      <c r="A83" s="24">
        <v>14.03</v>
      </c>
      <c r="B83" s="25" t="s">
        <v>96</v>
      </c>
      <c r="C83" s="112" t="s">
        <v>19</v>
      </c>
      <c r="D83" s="27">
        <v>115</v>
      </c>
      <c r="E83" s="181">
        <v>35817</v>
      </c>
      <c r="F83" s="181">
        <f t="shared" si="5"/>
        <v>4118955</v>
      </c>
      <c r="H83" s="245"/>
      <c r="I83" s="250">
        <v>0</v>
      </c>
      <c r="J83" s="250">
        <v>0.1</v>
      </c>
      <c r="K83" s="251">
        <f t="shared" si="10"/>
        <v>0.1</v>
      </c>
      <c r="L83" s="50">
        <f t="shared" si="11"/>
        <v>0</v>
      </c>
      <c r="M83" s="50">
        <f t="shared" si="12"/>
        <v>411895.5</v>
      </c>
      <c r="N83" s="50">
        <f t="shared" si="13"/>
        <v>411895.5</v>
      </c>
    </row>
    <row r="84" spans="1:14" ht="12.75" customHeight="1" x14ac:dyDescent="0.3">
      <c r="A84" s="106">
        <v>14.04</v>
      </c>
      <c r="B84" s="25" t="s">
        <v>97</v>
      </c>
      <c r="C84" s="112" t="s">
        <v>19</v>
      </c>
      <c r="D84" s="27">
        <v>89</v>
      </c>
      <c r="E84" s="181">
        <v>41132</v>
      </c>
      <c r="F84" s="181">
        <f t="shared" si="5"/>
        <v>3660748</v>
      </c>
      <c r="H84" s="245"/>
      <c r="I84" s="250">
        <v>0</v>
      </c>
      <c r="J84" s="250">
        <v>0.1</v>
      </c>
      <c r="K84" s="251">
        <f t="shared" si="10"/>
        <v>0.1</v>
      </c>
      <c r="L84" s="50">
        <f t="shared" si="11"/>
        <v>0</v>
      </c>
      <c r="M84" s="50">
        <f t="shared" si="12"/>
        <v>366074.80000000005</v>
      </c>
      <c r="N84" s="50">
        <f t="shared" si="13"/>
        <v>366074.80000000005</v>
      </c>
    </row>
    <row r="85" spans="1:14" ht="12.75" customHeight="1" x14ac:dyDescent="0.3">
      <c r="A85" s="24">
        <v>14.05</v>
      </c>
      <c r="B85" s="25" t="s">
        <v>98</v>
      </c>
      <c r="C85" s="112" t="s">
        <v>27</v>
      </c>
      <c r="D85" s="27">
        <v>530</v>
      </c>
      <c r="E85" s="181">
        <v>9274</v>
      </c>
      <c r="F85" s="181">
        <f t="shared" si="5"/>
        <v>4915220</v>
      </c>
      <c r="H85" s="245"/>
      <c r="I85" s="250">
        <v>0</v>
      </c>
      <c r="J85" s="250"/>
      <c r="K85" s="251">
        <f t="shared" si="10"/>
        <v>0</v>
      </c>
      <c r="L85" s="50">
        <f t="shared" si="11"/>
        <v>0</v>
      </c>
      <c r="M85" s="50">
        <f t="shared" si="12"/>
        <v>0</v>
      </c>
      <c r="N85" s="50">
        <f t="shared" si="13"/>
        <v>0</v>
      </c>
    </row>
    <row r="86" spans="1:14" ht="12.75" customHeight="1" x14ac:dyDescent="0.3">
      <c r="A86" s="106">
        <v>14.06</v>
      </c>
      <c r="B86" s="25" t="s">
        <v>99</v>
      </c>
      <c r="C86" s="112" t="s">
        <v>27</v>
      </c>
      <c r="D86" s="27">
        <v>56</v>
      </c>
      <c r="E86" s="181">
        <v>9274</v>
      </c>
      <c r="F86" s="181">
        <f t="shared" si="5"/>
        <v>519344</v>
      </c>
      <c r="H86" s="245"/>
      <c r="I86" s="250">
        <v>0</v>
      </c>
      <c r="J86" s="250"/>
      <c r="K86" s="251">
        <f t="shared" si="10"/>
        <v>0</v>
      </c>
      <c r="L86" s="50">
        <f t="shared" si="11"/>
        <v>0</v>
      </c>
      <c r="M86" s="50">
        <f t="shared" si="12"/>
        <v>0</v>
      </c>
      <c r="N86" s="50">
        <f t="shared" si="13"/>
        <v>0</v>
      </c>
    </row>
    <row r="87" spans="1:14" ht="12.75" customHeight="1" x14ac:dyDescent="0.3">
      <c r="A87" s="24">
        <v>14.07</v>
      </c>
      <c r="B87" s="25" t="s">
        <v>100</v>
      </c>
      <c r="C87" s="112" t="s">
        <v>19</v>
      </c>
      <c r="D87" s="27">
        <v>469</v>
      </c>
      <c r="E87" s="181">
        <v>5336</v>
      </c>
      <c r="F87" s="181">
        <f t="shared" si="5"/>
        <v>2502584</v>
      </c>
      <c r="H87" s="245"/>
      <c r="I87" s="250">
        <v>0.1</v>
      </c>
      <c r="J87" s="250">
        <v>0.05</v>
      </c>
      <c r="K87" s="251">
        <f t="shared" si="10"/>
        <v>0.15000000000000002</v>
      </c>
      <c r="L87" s="50">
        <f t="shared" si="11"/>
        <v>250258.40000000002</v>
      </c>
      <c r="M87" s="50">
        <f t="shared" si="12"/>
        <v>125129.20000000001</v>
      </c>
      <c r="N87" s="50">
        <f t="shared" si="13"/>
        <v>375387.60000000003</v>
      </c>
    </row>
    <row r="88" spans="1:14" ht="12.75" customHeight="1" x14ac:dyDescent="0.3">
      <c r="A88" s="13">
        <v>15</v>
      </c>
      <c r="B88" s="17" t="s">
        <v>101</v>
      </c>
      <c r="C88" s="18"/>
      <c r="D88" s="19"/>
      <c r="E88" s="19"/>
      <c r="F88" s="19"/>
      <c r="G88" s="176">
        <f>+SUM(F89:F100)</f>
        <v>81675029</v>
      </c>
      <c r="H88" s="245">
        <f>+G88/$G$195</f>
        <v>9.667454388049064E-2</v>
      </c>
      <c r="I88" s="246"/>
      <c r="J88" s="247"/>
      <c r="K88" s="247"/>
      <c r="L88" s="178"/>
      <c r="M88" s="178"/>
      <c r="N88" s="179"/>
    </row>
    <row r="89" spans="1:14" ht="12.75" customHeight="1" x14ac:dyDescent="0.3">
      <c r="A89" s="115">
        <v>15.01</v>
      </c>
      <c r="B89" s="116" t="s">
        <v>102</v>
      </c>
      <c r="C89" s="122" t="s">
        <v>19</v>
      </c>
      <c r="D89" s="123">
        <v>739</v>
      </c>
      <c r="E89" s="181">
        <v>22075</v>
      </c>
      <c r="F89" s="181">
        <f t="shared" si="5"/>
        <v>16313425</v>
      </c>
      <c r="G89" s="186"/>
      <c r="H89" s="253"/>
      <c r="I89" s="250">
        <v>0</v>
      </c>
      <c r="J89" s="250"/>
      <c r="K89" s="251">
        <f t="shared" si="10"/>
        <v>0</v>
      </c>
      <c r="L89" s="50">
        <f t="shared" si="11"/>
        <v>0</v>
      </c>
      <c r="M89" s="50">
        <f t="shared" si="12"/>
        <v>0</v>
      </c>
      <c r="N89" s="50">
        <f t="shared" si="13"/>
        <v>0</v>
      </c>
    </row>
    <row r="90" spans="1:14" ht="12.75" customHeight="1" x14ac:dyDescent="0.3">
      <c r="A90" s="100">
        <v>15.02</v>
      </c>
      <c r="B90" s="25" t="s">
        <v>103</v>
      </c>
      <c r="C90" s="110" t="s">
        <v>19</v>
      </c>
      <c r="D90" s="29">
        <v>1439</v>
      </c>
      <c r="E90" s="181">
        <v>8883</v>
      </c>
      <c r="F90" s="181">
        <f t="shared" si="5"/>
        <v>12782637</v>
      </c>
      <c r="G90" s="186"/>
      <c r="H90" s="253"/>
      <c r="I90" s="250">
        <v>0</v>
      </c>
      <c r="J90" s="250"/>
      <c r="K90" s="251">
        <f t="shared" si="10"/>
        <v>0</v>
      </c>
      <c r="L90" s="50">
        <f t="shared" si="11"/>
        <v>0</v>
      </c>
      <c r="M90" s="50">
        <f t="shared" si="12"/>
        <v>0</v>
      </c>
      <c r="N90" s="50">
        <f t="shared" si="13"/>
        <v>0</v>
      </c>
    </row>
    <row r="91" spans="1:14" ht="12.75" customHeight="1" x14ac:dyDescent="0.3">
      <c r="A91" s="100">
        <v>15.03</v>
      </c>
      <c r="B91" s="25" t="s">
        <v>104</v>
      </c>
      <c r="C91" s="110" t="s">
        <v>19</v>
      </c>
      <c r="D91" s="29">
        <v>462</v>
      </c>
      <c r="E91" s="181">
        <v>14295</v>
      </c>
      <c r="F91" s="181">
        <f t="shared" si="5"/>
        <v>6604290</v>
      </c>
      <c r="G91" s="186"/>
      <c r="H91" s="253"/>
      <c r="I91" s="250">
        <v>0</v>
      </c>
      <c r="J91" s="250"/>
      <c r="K91" s="251">
        <f t="shared" si="10"/>
        <v>0</v>
      </c>
      <c r="L91" s="50">
        <f t="shared" si="11"/>
        <v>0</v>
      </c>
      <c r="M91" s="50">
        <f t="shared" si="12"/>
        <v>0</v>
      </c>
      <c r="N91" s="50">
        <f t="shared" si="13"/>
        <v>0</v>
      </c>
    </row>
    <row r="92" spans="1:14" ht="12.75" customHeight="1" x14ac:dyDescent="0.3">
      <c r="A92" s="100">
        <v>15.04</v>
      </c>
      <c r="B92" s="25" t="s">
        <v>105</v>
      </c>
      <c r="C92" s="110" t="s">
        <v>19</v>
      </c>
      <c r="D92" s="29">
        <v>144</v>
      </c>
      <c r="E92" s="181">
        <v>7538</v>
      </c>
      <c r="F92" s="181">
        <f t="shared" si="5"/>
        <v>1085472</v>
      </c>
      <c r="G92" s="186"/>
      <c r="H92" s="253"/>
      <c r="I92" s="250">
        <v>0</v>
      </c>
      <c r="J92" s="250"/>
      <c r="K92" s="251">
        <f t="shared" si="10"/>
        <v>0</v>
      </c>
      <c r="L92" s="50">
        <f t="shared" si="11"/>
        <v>0</v>
      </c>
      <c r="M92" s="50">
        <f t="shared" si="12"/>
        <v>0</v>
      </c>
      <c r="N92" s="50">
        <f t="shared" si="13"/>
        <v>0</v>
      </c>
    </row>
    <row r="93" spans="1:14" ht="12.75" customHeight="1" x14ac:dyDescent="0.3">
      <c r="A93" s="100">
        <v>15.05</v>
      </c>
      <c r="B93" s="25" t="s">
        <v>106</v>
      </c>
      <c r="C93" s="110" t="s">
        <v>19</v>
      </c>
      <c r="D93" s="29">
        <v>460</v>
      </c>
      <c r="E93" s="181">
        <v>8883</v>
      </c>
      <c r="F93" s="181">
        <f t="shared" si="5"/>
        <v>4086180</v>
      </c>
      <c r="G93" s="186"/>
      <c r="H93" s="253"/>
      <c r="I93" s="250">
        <v>0</v>
      </c>
      <c r="J93" s="250"/>
      <c r="K93" s="251">
        <f t="shared" si="10"/>
        <v>0</v>
      </c>
      <c r="L93" s="50">
        <f t="shared" si="11"/>
        <v>0</v>
      </c>
      <c r="M93" s="50">
        <f t="shared" si="12"/>
        <v>0</v>
      </c>
      <c r="N93" s="50">
        <f t="shared" si="13"/>
        <v>0</v>
      </c>
    </row>
    <row r="94" spans="1:14" ht="12.75" customHeight="1" x14ac:dyDescent="0.3">
      <c r="A94" s="100">
        <v>15.06</v>
      </c>
      <c r="B94" s="25" t="s">
        <v>107</v>
      </c>
      <c r="C94" s="110" t="s">
        <v>19</v>
      </c>
      <c r="D94" s="29">
        <v>204</v>
      </c>
      <c r="E94" s="181">
        <v>15750</v>
      </c>
      <c r="F94" s="181">
        <f t="shared" si="5"/>
        <v>3213000</v>
      </c>
      <c r="G94" s="186"/>
      <c r="H94" s="253"/>
      <c r="I94" s="250">
        <v>0</v>
      </c>
      <c r="J94" s="250"/>
      <c r="K94" s="251">
        <f t="shared" si="10"/>
        <v>0</v>
      </c>
      <c r="L94" s="50">
        <f t="shared" si="11"/>
        <v>0</v>
      </c>
      <c r="M94" s="50">
        <f t="shared" si="12"/>
        <v>0</v>
      </c>
      <c r="N94" s="50">
        <f t="shared" si="13"/>
        <v>0</v>
      </c>
    </row>
    <row r="95" spans="1:14" ht="12.75" customHeight="1" x14ac:dyDescent="0.3">
      <c r="A95" s="100">
        <v>15.07</v>
      </c>
      <c r="B95" s="25" t="s">
        <v>108</v>
      </c>
      <c r="C95" s="28" t="s">
        <v>19</v>
      </c>
      <c r="D95" s="29">
        <v>262</v>
      </c>
      <c r="E95" s="181">
        <v>17154</v>
      </c>
      <c r="F95" s="181">
        <f t="shared" si="5"/>
        <v>4494348</v>
      </c>
      <c r="G95" s="186"/>
      <c r="H95" s="245"/>
      <c r="I95" s="250">
        <v>0</v>
      </c>
      <c r="J95" s="250"/>
      <c r="K95" s="251">
        <f t="shared" si="10"/>
        <v>0</v>
      </c>
      <c r="L95" s="50">
        <f t="shared" si="11"/>
        <v>0</v>
      </c>
      <c r="M95" s="50">
        <f t="shared" si="12"/>
        <v>0</v>
      </c>
      <c r="N95" s="50">
        <f t="shared" si="13"/>
        <v>0</v>
      </c>
    </row>
    <row r="96" spans="1:14" ht="12.75" customHeight="1" x14ac:dyDescent="0.3">
      <c r="A96" s="100">
        <v>15.08</v>
      </c>
      <c r="B96" s="25" t="s">
        <v>109</v>
      </c>
      <c r="C96" s="110" t="s">
        <v>19</v>
      </c>
      <c r="D96" s="31">
        <v>756</v>
      </c>
      <c r="E96" s="181">
        <v>26534</v>
      </c>
      <c r="F96" s="181">
        <f t="shared" si="5"/>
        <v>20059704</v>
      </c>
      <c r="G96" s="186"/>
      <c r="H96" s="252"/>
      <c r="I96" s="250">
        <v>0</v>
      </c>
      <c r="J96" s="250"/>
      <c r="K96" s="251">
        <f t="shared" si="10"/>
        <v>0</v>
      </c>
      <c r="L96" s="50">
        <f t="shared" si="11"/>
        <v>0</v>
      </c>
      <c r="M96" s="50">
        <f t="shared" si="12"/>
        <v>0</v>
      </c>
      <c r="N96" s="50">
        <f t="shared" si="13"/>
        <v>0</v>
      </c>
    </row>
    <row r="97" spans="1:19" ht="12.75" customHeight="1" x14ac:dyDescent="0.3">
      <c r="A97" s="100">
        <v>15.09</v>
      </c>
      <c r="B97" s="25" t="s">
        <v>110</v>
      </c>
      <c r="C97" s="110" t="s">
        <v>19</v>
      </c>
      <c r="D97" s="31">
        <v>56</v>
      </c>
      <c r="E97" s="181">
        <v>31737</v>
      </c>
      <c r="F97" s="181">
        <f t="shared" si="5"/>
        <v>1777272</v>
      </c>
      <c r="G97" s="186"/>
      <c r="H97" s="252"/>
      <c r="I97" s="250">
        <v>0</v>
      </c>
      <c r="J97" s="250"/>
      <c r="K97" s="251">
        <f t="shared" si="10"/>
        <v>0</v>
      </c>
      <c r="L97" s="50">
        <f t="shared" si="11"/>
        <v>0</v>
      </c>
      <c r="M97" s="50">
        <f t="shared" si="12"/>
        <v>0</v>
      </c>
      <c r="N97" s="50">
        <f t="shared" si="13"/>
        <v>0</v>
      </c>
    </row>
    <row r="98" spans="1:19" ht="12.75" customHeight="1" x14ac:dyDescent="0.3">
      <c r="A98" s="100">
        <v>15.1</v>
      </c>
      <c r="B98" s="25" t="s">
        <v>111</v>
      </c>
      <c r="C98" s="110" t="s">
        <v>29</v>
      </c>
      <c r="D98" s="31">
        <v>1</v>
      </c>
      <c r="E98" s="181">
        <v>885031</v>
      </c>
      <c r="F98" s="181">
        <f t="shared" si="5"/>
        <v>885031</v>
      </c>
      <c r="H98" s="245"/>
      <c r="I98" s="250">
        <v>0</v>
      </c>
      <c r="J98" s="250"/>
      <c r="K98" s="251">
        <f t="shared" si="10"/>
        <v>0</v>
      </c>
      <c r="L98" s="50">
        <f t="shared" si="11"/>
        <v>0</v>
      </c>
      <c r="M98" s="50">
        <f t="shared" si="12"/>
        <v>0</v>
      </c>
      <c r="N98" s="50">
        <f t="shared" si="13"/>
        <v>0</v>
      </c>
    </row>
    <row r="99" spans="1:19" ht="12.75" customHeight="1" x14ac:dyDescent="0.3">
      <c r="A99" s="100">
        <v>15.11</v>
      </c>
      <c r="B99" s="25" t="s">
        <v>112</v>
      </c>
      <c r="C99" s="110" t="s">
        <v>52</v>
      </c>
      <c r="D99" s="31">
        <v>73</v>
      </c>
      <c r="E99" s="181">
        <v>83386</v>
      </c>
      <c r="F99" s="181">
        <f t="shared" si="5"/>
        <v>6087178</v>
      </c>
      <c r="H99" s="245"/>
      <c r="I99" s="250">
        <v>0</v>
      </c>
      <c r="J99" s="250"/>
      <c r="K99" s="251">
        <f t="shared" si="10"/>
        <v>0</v>
      </c>
      <c r="L99" s="50">
        <f t="shared" si="11"/>
        <v>0</v>
      </c>
      <c r="M99" s="50">
        <f t="shared" si="12"/>
        <v>0</v>
      </c>
      <c r="N99" s="50">
        <f t="shared" si="13"/>
        <v>0</v>
      </c>
    </row>
    <row r="100" spans="1:19" ht="12.75" customHeight="1" x14ac:dyDescent="0.3">
      <c r="A100" s="100">
        <v>15.12</v>
      </c>
      <c r="B100" s="124" t="s">
        <v>113</v>
      </c>
      <c r="C100" s="111" t="s">
        <v>29</v>
      </c>
      <c r="D100" s="35">
        <v>1</v>
      </c>
      <c r="E100" s="181">
        <v>4286492</v>
      </c>
      <c r="F100" s="181">
        <f t="shared" si="5"/>
        <v>4286492</v>
      </c>
      <c r="H100" s="245"/>
      <c r="I100" s="250">
        <v>0</v>
      </c>
      <c r="J100" s="250"/>
      <c r="K100" s="251">
        <f t="shared" si="10"/>
        <v>0</v>
      </c>
      <c r="L100" s="50">
        <f t="shared" si="11"/>
        <v>0</v>
      </c>
      <c r="M100" s="50">
        <f t="shared" si="12"/>
        <v>0</v>
      </c>
      <c r="N100" s="50">
        <f t="shared" si="13"/>
        <v>0</v>
      </c>
    </row>
    <row r="101" spans="1:19" ht="12.75" customHeight="1" x14ac:dyDescent="0.3">
      <c r="A101" s="13">
        <v>16</v>
      </c>
      <c r="B101" s="125" t="s">
        <v>114</v>
      </c>
      <c r="C101" s="18"/>
      <c r="D101" s="19"/>
      <c r="E101" s="19"/>
      <c r="F101" s="19"/>
      <c r="G101" s="176">
        <f>+SUM(F102)</f>
        <v>0</v>
      </c>
      <c r="H101" s="245">
        <f>+G101/$G$195</f>
        <v>0</v>
      </c>
      <c r="I101" s="246"/>
      <c r="J101" s="247"/>
      <c r="K101" s="247"/>
      <c r="L101" s="178"/>
      <c r="M101" s="178"/>
      <c r="N101" s="179"/>
    </row>
    <row r="102" spans="1:19" ht="12.75" customHeight="1" x14ac:dyDescent="0.3">
      <c r="A102" s="20"/>
      <c r="B102" s="21"/>
      <c r="C102" s="93"/>
      <c r="D102" s="94"/>
      <c r="E102" s="184">
        <v>0</v>
      </c>
      <c r="F102" s="183">
        <f t="shared" si="5"/>
        <v>0</v>
      </c>
      <c r="G102" s="185"/>
      <c r="H102" s="252"/>
      <c r="I102" s="250">
        <v>0</v>
      </c>
      <c r="J102" s="250"/>
      <c r="K102" s="251">
        <f t="shared" si="10"/>
        <v>0</v>
      </c>
      <c r="L102" s="50">
        <f t="shared" si="11"/>
        <v>0</v>
      </c>
      <c r="M102" s="50">
        <f t="shared" si="12"/>
        <v>0</v>
      </c>
      <c r="N102" s="50">
        <f t="shared" si="13"/>
        <v>0</v>
      </c>
    </row>
    <row r="103" spans="1:19" ht="12.75" customHeight="1" x14ac:dyDescent="0.3">
      <c r="A103" s="13">
        <v>17</v>
      </c>
      <c r="B103" s="17" t="s">
        <v>115</v>
      </c>
      <c r="C103" s="18"/>
      <c r="D103" s="19"/>
      <c r="E103" s="19"/>
      <c r="F103" s="19"/>
      <c r="G103" s="176">
        <f>+SUM(F104:F107)</f>
        <v>9415299</v>
      </c>
      <c r="H103" s="245">
        <f>+G103/$G$195</f>
        <v>1.1144406649962005E-2</v>
      </c>
      <c r="I103" s="246"/>
      <c r="J103" s="247"/>
      <c r="K103" s="247"/>
      <c r="L103" s="178"/>
      <c r="M103" s="178"/>
      <c r="N103" s="179"/>
    </row>
    <row r="104" spans="1:19" ht="12.75" customHeight="1" x14ac:dyDescent="0.3">
      <c r="A104" s="20">
        <f>+A103+0.01</f>
        <v>17.010000000000002</v>
      </c>
      <c r="B104" s="126" t="s">
        <v>116</v>
      </c>
      <c r="C104" s="127" t="s">
        <v>33</v>
      </c>
      <c r="D104" s="94">
        <v>57</v>
      </c>
      <c r="E104" s="180">
        <v>79321</v>
      </c>
      <c r="F104" s="180">
        <f t="shared" si="5"/>
        <v>4521297</v>
      </c>
      <c r="G104" s="182"/>
      <c r="H104" s="245"/>
      <c r="I104" s="250">
        <v>0.4</v>
      </c>
      <c r="J104" s="274">
        <v>0.3</v>
      </c>
      <c r="K104" s="251">
        <f t="shared" si="10"/>
        <v>0.7</v>
      </c>
      <c r="L104" s="50">
        <f t="shared" si="11"/>
        <v>1808518.8</v>
      </c>
      <c r="M104" s="50">
        <f t="shared" si="12"/>
        <v>1356389.0999999999</v>
      </c>
      <c r="N104" s="50">
        <f t="shared" si="13"/>
        <v>3164907.9</v>
      </c>
    </row>
    <row r="105" spans="1:19" ht="12.75" customHeight="1" x14ac:dyDescent="0.3">
      <c r="A105" s="24">
        <v>17.02</v>
      </c>
      <c r="B105" s="128" t="s">
        <v>117</v>
      </c>
      <c r="C105" s="129" t="s">
        <v>33</v>
      </c>
      <c r="D105" s="31">
        <v>11</v>
      </c>
      <c r="E105" s="181">
        <v>79321</v>
      </c>
      <c r="F105" s="181">
        <f t="shared" si="5"/>
        <v>872531</v>
      </c>
      <c r="G105" s="182"/>
      <c r="H105" s="245"/>
      <c r="I105" s="250">
        <v>0</v>
      </c>
      <c r="J105" s="250"/>
      <c r="K105" s="251">
        <f t="shared" si="10"/>
        <v>0</v>
      </c>
      <c r="L105" s="50">
        <f t="shared" si="11"/>
        <v>0</v>
      </c>
      <c r="M105" s="50">
        <f t="shared" si="12"/>
        <v>0</v>
      </c>
      <c r="N105" s="50">
        <f t="shared" si="13"/>
        <v>0</v>
      </c>
    </row>
    <row r="106" spans="1:19" ht="12.75" customHeight="1" x14ac:dyDescent="0.3">
      <c r="A106" s="24">
        <v>17.03</v>
      </c>
      <c r="B106" s="128" t="s">
        <v>118</v>
      </c>
      <c r="C106" s="129" t="s">
        <v>33</v>
      </c>
      <c r="D106" s="31">
        <v>65</v>
      </c>
      <c r="E106" s="181">
        <v>51161</v>
      </c>
      <c r="F106" s="181">
        <f t="shared" si="5"/>
        <v>3325465</v>
      </c>
      <c r="G106" s="182"/>
      <c r="H106" s="245"/>
      <c r="I106" s="250">
        <v>0.4</v>
      </c>
      <c r="J106" s="274">
        <v>0.3</v>
      </c>
      <c r="K106" s="251">
        <f t="shared" si="10"/>
        <v>0.7</v>
      </c>
      <c r="L106" s="50">
        <f t="shared" si="11"/>
        <v>1330186</v>
      </c>
      <c r="M106" s="50">
        <f t="shared" si="12"/>
        <v>997639.5</v>
      </c>
      <c r="N106" s="50">
        <f t="shared" si="13"/>
        <v>2327825.5</v>
      </c>
      <c r="Q106" s="245"/>
    </row>
    <row r="107" spans="1:19" ht="12.75" customHeight="1" x14ac:dyDescent="0.3">
      <c r="A107" s="130">
        <v>17.04</v>
      </c>
      <c r="B107" s="38" t="s">
        <v>119</v>
      </c>
      <c r="C107" s="34" t="s">
        <v>33</v>
      </c>
      <c r="D107" s="35">
        <v>6</v>
      </c>
      <c r="E107" s="189">
        <v>116001</v>
      </c>
      <c r="F107" s="189">
        <f t="shared" si="5"/>
        <v>696006</v>
      </c>
      <c r="G107" s="182"/>
      <c r="H107" s="245"/>
      <c r="I107" s="250">
        <v>0</v>
      </c>
      <c r="J107" s="250"/>
      <c r="K107" s="251">
        <f t="shared" si="10"/>
        <v>0</v>
      </c>
      <c r="L107" s="50">
        <f t="shared" si="11"/>
        <v>0</v>
      </c>
      <c r="M107" s="50">
        <f t="shared" si="12"/>
        <v>0</v>
      </c>
      <c r="N107" s="50">
        <f t="shared" si="13"/>
        <v>0</v>
      </c>
    </row>
    <row r="108" spans="1:19" ht="12.75" customHeight="1" x14ac:dyDescent="0.3">
      <c r="A108" s="13">
        <v>18</v>
      </c>
      <c r="B108" s="40" t="s">
        <v>120</v>
      </c>
      <c r="C108" s="18"/>
      <c r="D108" s="19"/>
      <c r="E108" s="19"/>
      <c r="F108" s="19"/>
      <c r="G108" s="176">
        <f>+SUM(F109:F141)</f>
        <v>87609553</v>
      </c>
      <c r="H108" s="245">
        <f>+G108/$G$195</f>
        <v>0.10369893564223492</v>
      </c>
      <c r="I108" s="246"/>
      <c r="J108" s="247"/>
      <c r="K108" s="247"/>
      <c r="L108" s="178"/>
      <c r="M108" s="178"/>
      <c r="N108" s="179"/>
    </row>
    <row r="109" spans="1:19" ht="12.75" customHeight="1" x14ac:dyDescent="0.3">
      <c r="A109" s="115">
        <f>+A108+0.01</f>
        <v>18.010000000000002</v>
      </c>
      <c r="B109" s="131" t="s">
        <v>121</v>
      </c>
      <c r="C109" s="132" t="s">
        <v>33</v>
      </c>
      <c r="D109" s="94">
        <v>260</v>
      </c>
      <c r="E109" s="180">
        <v>76531</v>
      </c>
      <c r="F109" s="180">
        <f t="shared" si="5"/>
        <v>19898060</v>
      </c>
      <c r="H109" s="245"/>
      <c r="I109" s="250">
        <v>0.45499999999999996</v>
      </c>
      <c r="J109" s="250">
        <v>0.04</v>
      </c>
      <c r="K109" s="251">
        <f t="shared" si="10"/>
        <v>0.49499999999999994</v>
      </c>
      <c r="L109" s="50">
        <f t="shared" si="11"/>
        <v>9053617.2999999989</v>
      </c>
      <c r="M109" s="50">
        <f t="shared" si="12"/>
        <v>795922.4</v>
      </c>
      <c r="N109" s="50">
        <f t="shared" si="13"/>
        <v>9849539.6999999993</v>
      </c>
      <c r="Q109" s="263"/>
      <c r="S109" s="262"/>
    </row>
    <row r="110" spans="1:19" ht="12.75" customHeight="1" x14ac:dyDescent="0.3">
      <c r="A110" s="100">
        <v>18.02</v>
      </c>
      <c r="B110" s="98" t="s">
        <v>122</v>
      </c>
      <c r="C110" s="133" t="s">
        <v>33</v>
      </c>
      <c r="D110" s="31">
        <v>62</v>
      </c>
      <c r="E110" s="181">
        <v>73235</v>
      </c>
      <c r="F110" s="181">
        <f t="shared" si="5"/>
        <v>4540570</v>
      </c>
      <c r="H110" s="245"/>
      <c r="I110" s="250">
        <v>0.39500000000000002</v>
      </c>
      <c r="J110" s="250">
        <v>0.05</v>
      </c>
      <c r="K110" s="251">
        <f t="shared" si="10"/>
        <v>0.44500000000000001</v>
      </c>
      <c r="L110" s="50">
        <f t="shared" si="11"/>
        <v>1793525.1500000001</v>
      </c>
      <c r="M110" s="50">
        <f t="shared" si="12"/>
        <v>227028.5</v>
      </c>
      <c r="N110" s="50">
        <f t="shared" si="13"/>
        <v>2020553.6500000001</v>
      </c>
      <c r="Q110" s="263"/>
      <c r="S110" s="262"/>
    </row>
    <row r="111" spans="1:19" ht="12.75" customHeight="1" x14ac:dyDescent="0.3">
      <c r="A111" s="100">
        <v>18.03</v>
      </c>
      <c r="B111" s="98" t="s">
        <v>123</v>
      </c>
      <c r="C111" s="133" t="s">
        <v>33</v>
      </c>
      <c r="D111" s="31">
        <v>12</v>
      </c>
      <c r="E111" s="181">
        <v>73235</v>
      </c>
      <c r="F111" s="181">
        <f t="shared" si="5"/>
        <v>878820</v>
      </c>
      <c r="H111" s="245"/>
      <c r="I111" s="250">
        <v>0.65499999999999992</v>
      </c>
      <c r="J111" s="250"/>
      <c r="K111" s="251">
        <f t="shared" si="10"/>
        <v>0.65499999999999992</v>
      </c>
      <c r="L111" s="50">
        <f t="shared" si="11"/>
        <v>575627.1</v>
      </c>
      <c r="M111" s="50">
        <f t="shared" si="12"/>
        <v>0</v>
      </c>
      <c r="N111" s="50">
        <f t="shared" si="13"/>
        <v>575627.1</v>
      </c>
      <c r="Q111" s="263"/>
      <c r="S111" s="262"/>
    </row>
    <row r="112" spans="1:19" ht="12.75" customHeight="1" x14ac:dyDescent="0.3">
      <c r="A112" s="100">
        <v>18.04</v>
      </c>
      <c r="B112" s="98" t="s">
        <v>124</v>
      </c>
      <c r="C112" s="133" t="s">
        <v>33</v>
      </c>
      <c r="D112" s="31">
        <v>16</v>
      </c>
      <c r="E112" s="181">
        <v>73235</v>
      </c>
      <c r="F112" s="181">
        <f t="shared" si="5"/>
        <v>1171760</v>
      </c>
      <c r="H112" s="245"/>
      <c r="I112" s="250">
        <v>0.55499999999999994</v>
      </c>
      <c r="J112" s="250"/>
      <c r="K112" s="251">
        <f t="shared" si="10"/>
        <v>0.55499999999999994</v>
      </c>
      <c r="L112" s="50">
        <f t="shared" si="11"/>
        <v>650326.79999999993</v>
      </c>
      <c r="M112" s="50">
        <f t="shared" si="12"/>
        <v>0</v>
      </c>
      <c r="N112" s="50">
        <f t="shared" si="13"/>
        <v>650326.79999999993</v>
      </c>
      <c r="Q112" s="263"/>
      <c r="S112" s="262"/>
    </row>
    <row r="113" spans="1:19" ht="12.75" customHeight="1" x14ac:dyDescent="0.3">
      <c r="A113" s="100">
        <v>18.05</v>
      </c>
      <c r="B113" s="98" t="s">
        <v>125</v>
      </c>
      <c r="C113" s="133" t="s">
        <v>33</v>
      </c>
      <c r="D113" s="31">
        <v>1</v>
      </c>
      <c r="E113" s="181">
        <v>73235</v>
      </c>
      <c r="F113" s="181">
        <f t="shared" si="5"/>
        <v>73235</v>
      </c>
      <c r="H113" s="245"/>
      <c r="I113" s="250">
        <v>0.4</v>
      </c>
      <c r="J113" s="250"/>
      <c r="K113" s="251">
        <f t="shared" si="10"/>
        <v>0.4</v>
      </c>
      <c r="L113" s="50">
        <f t="shared" si="11"/>
        <v>29294</v>
      </c>
      <c r="M113" s="50">
        <f t="shared" si="12"/>
        <v>0</v>
      </c>
      <c r="N113" s="50">
        <f t="shared" si="13"/>
        <v>29294</v>
      </c>
    </row>
    <row r="114" spans="1:19" ht="12.75" customHeight="1" x14ac:dyDescent="0.3">
      <c r="A114" s="100">
        <v>18.059999999999999</v>
      </c>
      <c r="B114" s="98" t="s">
        <v>126</v>
      </c>
      <c r="C114" s="133" t="s">
        <v>33</v>
      </c>
      <c r="D114" s="31">
        <v>24</v>
      </c>
      <c r="E114" s="181">
        <v>73235</v>
      </c>
      <c r="F114" s="181">
        <f t="shared" si="5"/>
        <v>1757640</v>
      </c>
      <c r="H114" s="245"/>
      <c r="I114" s="250">
        <v>0.4</v>
      </c>
      <c r="J114" s="250"/>
      <c r="K114" s="251">
        <f t="shared" si="10"/>
        <v>0.4</v>
      </c>
      <c r="L114" s="50">
        <f t="shared" si="11"/>
        <v>703056</v>
      </c>
      <c r="M114" s="50">
        <f t="shared" si="12"/>
        <v>0</v>
      </c>
      <c r="N114" s="50">
        <f t="shared" si="13"/>
        <v>703056</v>
      </c>
      <c r="P114" s="262"/>
    </row>
    <row r="115" spans="1:19" ht="12.75" customHeight="1" x14ac:dyDescent="0.3">
      <c r="A115" s="100">
        <v>18.07</v>
      </c>
      <c r="B115" s="98" t="s">
        <v>127</v>
      </c>
      <c r="C115" s="133" t="s">
        <v>33</v>
      </c>
      <c r="D115" s="31">
        <v>226</v>
      </c>
      <c r="E115" s="181">
        <v>69154</v>
      </c>
      <c r="F115" s="181">
        <f t="shared" si="5"/>
        <v>15628804</v>
      </c>
      <c r="H115" s="245"/>
      <c r="I115" s="250">
        <v>0.40300000000000002</v>
      </c>
      <c r="J115" s="250">
        <v>0.05</v>
      </c>
      <c r="K115" s="251">
        <f t="shared" si="10"/>
        <v>0.45300000000000001</v>
      </c>
      <c r="L115" s="50">
        <f t="shared" si="11"/>
        <v>6298408.0120000001</v>
      </c>
      <c r="M115" s="50">
        <f t="shared" si="12"/>
        <v>781440.20000000007</v>
      </c>
      <c r="N115" s="50">
        <f t="shared" si="13"/>
        <v>7079848.2120000003</v>
      </c>
      <c r="Q115" s="263"/>
    </row>
    <row r="116" spans="1:19" ht="12.75" customHeight="1" x14ac:dyDescent="0.3">
      <c r="A116" s="100">
        <v>18.079999999999998</v>
      </c>
      <c r="B116" s="98" t="s">
        <v>128</v>
      </c>
      <c r="C116" s="133" t="s">
        <v>33</v>
      </c>
      <c r="D116" s="31">
        <v>32</v>
      </c>
      <c r="E116" s="181">
        <v>95308</v>
      </c>
      <c r="F116" s="181">
        <f t="shared" si="5"/>
        <v>3049856</v>
      </c>
      <c r="H116" s="245"/>
      <c r="I116" s="250">
        <v>0.4</v>
      </c>
      <c r="J116" s="250">
        <v>0.05</v>
      </c>
      <c r="K116" s="251">
        <f t="shared" si="10"/>
        <v>0.45</v>
      </c>
      <c r="L116" s="50">
        <f t="shared" si="11"/>
        <v>1219942.4000000001</v>
      </c>
      <c r="M116" s="50">
        <f t="shared" si="12"/>
        <v>152492.80000000002</v>
      </c>
      <c r="N116" s="50">
        <f t="shared" si="13"/>
        <v>1372435.2</v>
      </c>
    </row>
    <row r="117" spans="1:19" ht="12.75" customHeight="1" x14ac:dyDescent="0.3">
      <c r="A117" s="100">
        <v>18.09</v>
      </c>
      <c r="B117" s="98" t="s">
        <v>129</v>
      </c>
      <c r="C117" s="133" t="s">
        <v>33</v>
      </c>
      <c r="D117" s="31">
        <v>8</v>
      </c>
      <c r="E117" s="181">
        <v>69154</v>
      </c>
      <c r="F117" s="181">
        <f t="shared" si="5"/>
        <v>553232</v>
      </c>
      <c r="H117" s="245"/>
      <c r="I117" s="250">
        <v>0</v>
      </c>
      <c r="J117" s="250"/>
      <c r="K117" s="251">
        <f t="shared" si="10"/>
        <v>0</v>
      </c>
      <c r="L117" s="50">
        <f t="shared" si="11"/>
        <v>0</v>
      </c>
      <c r="M117" s="50">
        <f t="shared" si="12"/>
        <v>0</v>
      </c>
      <c r="N117" s="50">
        <f t="shared" si="13"/>
        <v>0</v>
      </c>
    </row>
    <row r="118" spans="1:19" ht="12.75" customHeight="1" x14ac:dyDescent="0.3">
      <c r="A118" s="100">
        <v>18.100000000000001</v>
      </c>
      <c r="B118" s="98" t="s">
        <v>130</v>
      </c>
      <c r="C118" s="133" t="s">
        <v>33</v>
      </c>
      <c r="D118" s="31">
        <v>8</v>
      </c>
      <c r="E118" s="181">
        <v>69154</v>
      </c>
      <c r="F118" s="181">
        <f t="shared" si="5"/>
        <v>553232</v>
      </c>
      <c r="H118" s="245"/>
      <c r="I118" s="250">
        <v>0.45</v>
      </c>
      <c r="J118" s="250"/>
      <c r="K118" s="251">
        <f t="shared" si="10"/>
        <v>0.45</v>
      </c>
      <c r="L118" s="50">
        <f t="shared" si="11"/>
        <v>248954.4</v>
      </c>
      <c r="M118" s="50">
        <f t="shared" si="12"/>
        <v>0</v>
      </c>
      <c r="N118" s="50">
        <f t="shared" si="13"/>
        <v>248954.4</v>
      </c>
    </row>
    <row r="119" spans="1:19" ht="12.75" customHeight="1" x14ac:dyDescent="0.3">
      <c r="A119" s="100">
        <v>18.11</v>
      </c>
      <c r="B119" s="98" t="s">
        <v>131</v>
      </c>
      <c r="C119" s="133" t="s">
        <v>33</v>
      </c>
      <c r="D119" s="31">
        <v>26</v>
      </c>
      <c r="E119" s="181">
        <v>50616</v>
      </c>
      <c r="F119" s="181">
        <f t="shared" si="5"/>
        <v>1316016</v>
      </c>
      <c r="H119" s="245"/>
      <c r="I119" s="250">
        <v>0</v>
      </c>
      <c r="J119" s="250"/>
      <c r="K119" s="251">
        <f t="shared" si="10"/>
        <v>0</v>
      </c>
      <c r="L119" s="50">
        <f t="shared" si="11"/>
        <v>0</v>
      </c>
      <c r="M119" s="50">
        <f t="shared" si="12"/>
        <v>0</v>
      </c>
      <c r="N119" s="50">
        <f t="shared" si="13"/>
        <v>0</v>
      </c>
    </row>
    <row r="120" spans="1:19" ht="12.75" customHeight="1" x14ac:dyDescent="0.3">
      <c r="A120" s="100">
        <v>18.12</v>
      </c>
      <c r="B120" s="98" t="s">
        <v>132</v>
      </c>
      <c r="C120" s="133" t="s">
        <v>33</v>
      </c>
      <c r="D120" s="31">
        <v>27</v>
      </c>
      <c r="E120" s="181">
        <v>50616</v>
      </c>
      <c r="F120" s="181">
        <f t="shared" si="5"/>
        <v>1366632</v>
      </c>
      <c r="H120" s="245"/>
      <c r="I120" s="250">
        <v>0.5</v>
      </c>
      <c r="J120" s="250">
        <v>0.05</v>
      </c>
      <c r="K120" s="251">
        <f t="shared" si="10"/>
        <v>0.55000000000000004</v>
      </c>
      <c r="L120" s="50">
        <f t="shared" si="11"/>
        <v>683316</v>
      </c>
      <c r="M120" s="50">
        <f t="shared" si="12"/>
        <v>68331.600000000006</v>
      </c>
      <c r="N120" s="50">
        <f t="shared" si="13"/>
        <v>751647.60000000009</v>
      </c>
    </row>
    <row r="121" spans="1:19" ht="12.75" customHeight="1" x14ac:dyDescent="0.3">
      <c r="A121" s="100">
        <v>18.13</v>
      </c>
      <c r="B121" s="98" t="s">
        <v>133</v>
      </c>
      <c r="C121" s="133" t="s">
        <v>33</v>
      </c>
      <c r="D121" s="31">
        <v>9</v>
      </c>
      <c r="E121" s="181">
        <v>50616</v>
      </c>
      <c r="F121" s="181">
        <f t="shared" si="5"/>
        <v>455544</v>
      </c>
      <c r="H121" s="245"/>
      <c r="I121" s="250">
        <v>0</v>
      </c>
      <c r="J121" s="250"/>
      <c r="K121" s="251">
        <f t="shared" si="10"/>
        <v>0</v>
      </c>
      <c r="L121" s="50">
        <f t="shared" si="11"/>
        <v>0</v>
      </c>
      <c r="M121" s="50">
        <f t="shared" si="12"/>
        <v>0</v>
      </c>
      <c r="N121" s="50">
        <f t="shared" si="13"/>
        <v>0</v>
      </c>
    </row>
    <row r="122" spans="1:19" ht="12.75" customHeight="1" x14ac:dyDescent="0.3">
      <c r="A122" s="100">
        <v>18.14</v>
      </c>
      <c r="B122" s="98" t="s">
        <v>134</v>
      </c>
      <c r="C122" s="133" t="s">
        <v>33</v>
      </c>
      <c r="D122" s="31">
        <v>29</v>
      </c>
      <c r="E122" s="181">
        <v>50616</v>
      </c>
      <c r="F122" s="181">
        <f t="shared" si="5"/>
        <v>1467864</v>
      </c>
      <c r="H122" s="245"/>
      <c r="I122" s="250">
        <v>0.5</v>
      </c>
      <c r="J122" s="250">
        <v>0.05</v>
      </c>
      <c r="K122" s="251">
        <f t="shared" si="10"/>
        <v>0.55000000000000004</v>
      </c>
      <c r="L122" s="50">
        <f t="shared" si="11"/>
        <v>733932</v>
      </c>
      <c r="M122" s="50">
        <f t="shared" si="12"/>
        <v>73393.2</v>
      </c>
      <c r="N122" s="50">
        <f t="shared" si="13"/>
        <v>807325.20000000007</v>
      </c>
    </row>
    <row r="123" spans="1:19" ht="12.75" customHeight="1" x14ac:dyDescent="0.3">
      <c r="A123" s="100">
        <v>18.149999999999999</v>
      </c>
      <c r="B123" s="98" t="s">
        <v>135</v>
      </c>
      <c r="C123" s="133" t="s">
        <v>33</v>
      </c>
      <c r="D123" s="31">
        <v>3</v>
      </c>
      <c r="E123" s="181">
        <v>50616</v>
      </c>
      <c r="F123" s="181">
        <f t="shared" si="5"/>
        <v>151848</v>
      </c>
      <c r="H123" s="245"/>
      <c r="I123" s="250">
        <v>0.4</v>
      </c>
      <c r="J123" s="250"/>
      <c r="K123" s="251">
        <f t="shared" si="10"/>
        <v>0.4</v>
      </c>
      <c r="L123" s="50">
        <f t="shared" si="11"/>
        <v>60739.200000000004</v>
      </c>
      <c r="M123" s="50">
        <f t="shared" si="12"/>
        <v>0</v>
      </c>
      <c r="N123" s="50">
        <f t="shared" si="13"/>
        <v>60739.200000000004</v>
      </c>
      <c r="Q123" s="263"/>
      <c r="S123" s="262"/>
    </row>
    <row r="124" spans="1:19" ht="12.75" customHeight="1" x14ac:dyDescent="0.3">
      <c r="A124" s="100">
        <v>18.16</v>
      </c>
      <c r="B124" s="98" t="s">
        <v>136</v>
      </c>
      <c r="C124" s="133" t="s">
        <v>33</v>
      </c>
      <c r="D124" s="31">
        <v>1</v>
      </c>
      <c r="E124" s="181">
        <v>2245770</v>
      </c>
      <c r="F124" s="181">
        <f t="shared" si="5"/>
        <v>2245770</v>
      </c>
      <c r="H124" s="245"/>
      <c r="I124" s="250">
        <v>0</v>
      </c>
      <c r="J124" s="250"/>
      <c r="K124" s="251">
        <f t="shared" si="10"/>
        <v>0</v>
      </c>
      <c r="L124" s="50">
        <f t="shared" si="11"/>
        <v>0</v>
      </c>
      <c r="M124" s="50">
        <f t="shared" si="12"/>
        <v>0</v>
      </c>
      <c r="N124" s="50">
        <f t="shared" si="13"/>
        <v>0</v>
      </c>
    </row>
    <row r="125" spans="1:19" ht="12.75" customHeight="1" x14ac:dyDescent="0.3">
      <c r="A125" s="100">
        <v>18.170000000000002</v>
      </c>
      <c r="B125" s="98" t="s">
        <v>137</v>
      </c>
      <c r="C125" s="133" t="s">
        <v>33</v>
      </c>
      <c r="D125" s="31">
        <v>1</v>
      </c>
      <c r="E125" s="181">
        <v>1116033</v>
      </c>
      <c r="F125" s="181">
        <f t="shared" si="5"/>
        <v>1116033</v>
      </c>
      <c r="H125" s="245"/>
      <c r="I125" s="250">
        <v>0</v>
      </c>
      <c r="J125" s="250"/>
      <c r="K125" s="251">
        <f t="shared" si="10"/>
        <v>0</v>
      </c>
      <c r="L125" s="50">
        <f t="shared" si="11"/>
        <v>0</v>
      </c>
      <c r="M125" s="50">
        <f t="shared" si="12"/>
        <v>0</v>
      </c>
      <c r="N125" s="50">
        <f t="shared" si="13"/>
        <v>0</v>
      </c>
    </row>
    <row r="126" spans="1:19" ht="12.75" customHeight="1" x14ac:dyDescent="0.3">
      <c r="A126" s="100">
        <v>18.18</v>
      </c>
      <c r="B126" s="98" t="s">
        <v>138</v>
      </c>
      <c r="C126" s="133" t="s">
        <v>33</v>
      </c>
      <c r="D126" s="31">
        <v>2</v>
      </c>
      <c r="E126" s="181">
        <v>530996</v>
      </c>
      <c r="F126" s="181">
        <f t="shared" si="5"/>
        <v>1061992</v>
      </c>
      <c r="H126" s="245"/>
      <c r="I126" s="250">
        <v>0</v>
      </c>
      <c r="J126" s="250"/>
      <c r="K126" s="251">
        <f t="shared" si="10"/>
        <v>0</v>
      </c>
      <c r="L126" s="50">
        <f t="shared" si="11"/>
        <v>0</v>
      </c>
      <c r="M126" s="50">
        <f t="shared" si="12"/>
        <v>0</v>
      </c>
      <c r="N126" s="50">
        <f t="shared" si="13"/>
        <v>0</v>
      </c>
    </row>
    <row r="127" spans="1:19" ht="12.75" customHeight="1" x14ac:dyDescent="0.3">
      <c r="A127" s="100">
        <v>18.190000000000001</v>
      </c>
      <c r="B127" s="98" t="s">
        <v>139</v>
      </c>
      <c r="C127" s="133" t="s">
        <v>33</v>
      </c>
      <c r="D127" s="31">
        <v>9</v>
      </c>
      <c r="E127" s="181">
        <v>595409</v>
      </c>
      <c r="F127" s="181">
        <f t="shared" si="5"/>
        <v>5358681</v>
      </c>
      <c r="H127" s="245"/>
      <c r="I127" s="250">
        <v>0.1</v>
      </c>
      <c r="J127" s="250">
        <v>0.1</v>
      </c>
      <c r="K127" s="251">
        <f t="shared" si="10"/>
        <v>0.2</v>
      </c>
      <c r="L127" s="50">
        <f t="shared" si="11"/>
        <v>535868.1</v>
      </c>
      <c r="M127" s="50">
        <f t="shared" si="12"/>
        <v>535868.1</v>
      </c>
      <c r="N127" s="50">
        <f t="shared" si="13"/>
        <v>1071736.2</v>
      </c>
    </row>
    <row r="128" spans="1:19" ht="12.75" customHeight="1" x14ac:dyDescent="0.3">
      <c r="A128" s="100">
        <v>18.2</v>
      </c>
      <c r="B128" s="98" t="s">
        <v>140</v>
      </c>
      <c r="C128" s="133" t="s">
        <v>29</v>
      </c>
      <c r="D128" s="31">
        <v>1</v>
      </c>
      <c r="E128" s="181">
        <v>6378278</v>
      </c>
      <c r="F128" s="181">
        <f t="shared" si="5"/>
        <v>6378278</v>
      </c>
      <c r="H128" s="245"/>
      <c r="I128" s="250">
        <v>0</v>
      </c>
      <c r="J128" s="250"/>
      <c r="K128" s="251">
        <f t="shared" si="10"/>
        <v>0</v>
      </c>
      <c r="L128" s="50">
        <f t="shared" si="11"/>
        <v>0</v>
      </c>
      <c r="M128" s="50">
        <f t="shared" si="12"/>
        <v>0</v>
      </c>
      <c r="N128" s="50">
        <f t="shared" si="13"/>
        <v>0</v>
      </c>
    </row>
    <row r="129" spans="1:14" ht="12.75" customHeight="1" x14ac:dyDescent="0.3">
      <c r="A129" s="100">
        <v>18.21</v>
      </c>
      <c r="B129" s="98" t="s">
        <v>141</v>
      </c>
      <c r="C129" s="133" t="s">
        <v>29</v>
      </c>
      <c r="D129" s="31">
        <v>1</v>
      </c>
      <c r="E129" s="181">
        <v>1695726</v>
      </c>
      <c r="F129" s="181">
        <f t="shared" si="5"/>
        <v>1695726</v>
      </c>
      <c r="H129" s="245"/>
      <c r="I129" s="250">
        <v>0</v>
      </c>
      <c r="J129" s="250"/>
      <c r="K129" s="251">
        <f t="shared" si="10"/>
        <v>0</v>
      </c>
      <c r="L129" s="50">
        <f t="shared" si="11"/>
        <v>0</v>
      </c>
      <c r="M129" s="50">
        <f t="shared" si="12"/>
        <v>0</v>
      </c>
      <c r="N129" s="50">
        <f t="shared" si="13"/>
        <v>0</v>
      </c>
    </row>
    <row r="130" spans="1:14" ht="12.75" customHeight="1" x14ac:dyDescent="0.3">
      <c r="A130" s="100">
        <v>18.22</v>
      </c>
      <c r="B130" s="98" t="s">
        <v>142</v>
      </c>
      <c r="C130" s="133" t="s">
        <v>29</v>
      </c>
      <c r="D130" s="31">
        <v>1</v>
      </c>
      <c r="E130" s="181">
        <v>1695726</v>
      </c>
      <c r="F130" s="181">
        <f t="shared" si="5"/>
        <v>1695726</v>
      </c>
      <c r="H130" s="245"/>
      <c r="I130" s="250">
        <v>0</v>
      </c>
      <c r="J130" s="250"/>
      <c r="K130" s="251">
        <f t="shared" si="10"/>
        <v>0</v>
      </c>
      <c r="L130" s="50">
        <f t="shared" si="11"/>
        <v>0</v>
      </c>
      <c r="M130" s="50">
        <f t="shared" si="12"/>
        <v>0</v>
      </c>
      <c r="N130" s="50">
        <f t="shared" si="13"/>
        <v>0</v>
      </c>
    </row>
    <row r="131" spans="1:14" ht="12.75" customHeight="1" x14ac:dyDescent="0.3">
      <c r="A131" s="100">
        <v>18.23</v>
      </c>
      <c r="B131" s="98" t="s">
        <v>143</v>
      </c>
      <c r="C131" s="133" t="s">
        <v>33</v>
      </c>
      <c r="D131" s="31">
        <v>16</v>
      </c>
      <c r="E131" s="181">
        <v>15984</v>
      </c>
      <c r="F131" s="181">
        <f t="shared" si="5"/>
        <v>255744</v>
      </c>
      <c r="H131" s="245"/>
      <c r="I131" s="250">
        <v>0</v>
      </c>
      <c r="J131" s="250"/>
      <c r="K131" s="251">
        <f t="shared" si="10"/>
        <v>0</v>
      </c>
      <c r="L131" s="50">
        <f t="shared" si="11"/>
        <v>0</v>
      </c>
      <c r="M131" s="50">
        <f t="shared" si="12"/>
        <v>0</v>
      </c>
      <c r="N131" s="50">
        <f t="shared" si="13"/>
        <v>0</v>
      </c>
    </row>
    <row r="132" spans="1:14" ht="12.75" customHeight="1" x14ac:dyDescent="0.3">
      <c r="A132" s="100">
        <v>18.239999999999998</v>
      </c>
      <c r="B132" s="98" t="s">
        <v>144</v>
      </c>
      <c r="C132" s="133" t="s">
        <v>33</v>
      </c>
      <c r="D132" s="31">
        <v>140</v>
      </c>
      <c r="E132" s="181">
        <v>10416</v>
      </c>
      <c r="F132" s="181">
        <f t="shared" si="5"/>
        <v>1458240</v>
      </c>
      <c r="H132" s="245"/>
      <c r="I132" s="250">
        <v>0</v>
      </c>
      <c r="J132" s="250"/>
      <c r="K132" s="251">
        <f t="shared" si="10"/>
        <v>0</v>
      </c>
      <c r="L132" s="50">
        <f t="shared" si="11"/>
        <v>0</v>
      </c>
      <c r="M132" s="50">
        <f t="shared" si="12"/>
        <v>0</v>
      </c>
      <c r="N132" s="50">
        <f t="shared" si="13"/>
        <v>0</v>
      </c>
    </row>
    <row r="133" spans="1:14" ht="12.75" customHeight="1" x14ac:dyDescent="0.3">
      <c r="A133" s="100">
        <v>18.25</v>
      </c>
      <c r="B133" s="98" t="s">
        <v>145</v>
      </c>
      <c r="C133" s="133" t="s">
        <v>33</v>
      </c>
      <c r="D133" s="31">
        <v>226</v>
      </c>
      <c r="E133" s="181">
        <v>10416</v>
      </c>
      <c r="F133" s="181">
        <f t="shared" si="5"/>
        <v>2354016</v>
      </c>
      <c r="H133" s="245"/>
      <c r="I133" s="250">
        <v>0</v>
      </c>
      <c r="J133" s="250"/>
      <c r="K133" s="251">
        <f t="shared" si="10"/>
        <v>0</v>
      </c>
      <c r="L133" s="50">
        <f t="shared" si="11"/>
        <v>0</v>
      </c>
      <c r="M133" s="50">
        <f t="shared" si="12"/>
        <v>0</v>
      </c>
      <c r="N133" s="50">
        <f t="shared" si="13"/>
        <v>0</v>
      </c>
    </row>
    <row r="134" spans="1:14" ht="12.75" customHeight="1" x14ac:dyDescent="0.3">
      <c r="A134" s="100">
        <v>18.260000000000002</v>
      </c>
      <c r="B134" s="98" t="s">
        <v>146</v>
      </c>
      <c r="C134" s="133" t="s">
        <v>33</v>
      </c>
      <c r="D134" s="31">
        <v>8</v>
      </c>
      <c r="E134" s="181">
        <v>25377</v>
      </c>
      <c r="F134" s="181">
        <f t="shared" si="5"/>
        <v>203016</v>
      </c>
      <c r="H134" s="245"/>
      <c r="I134" s="250">
        <v>0</v>
      </c>
      <c r="J134" s="250"/>
      <c r="K134" s="251">
        <f t="shared" si="10"/>
        <v>0</v>
      </c>
      <c r="L134" s="50">
        <f t="shared" si="11"/>
        <v>0</v>
      </c>
      <c r="M134" s="50">
        <f t="shared" si="12"/>
        <v>0</v>
      </c>
      <c r="N134" s="50">
        <f t="shared" si="13"/>
        <v>0</v>
      </c>
    </row>
    <row r="135" spans="1:14" ht="12.75" customHeight="1" x14ac:dyDescent="0.3">
      <c r="A135" s="100">
        <v>18.27</v>
      </c>
      <c r="B135" s="98" t="s">
        <v>147</v>
      </c>
      <c r="C135" s="133" t="s">
        <v>33</v>
      </c>
      <c r="D135" s="31">
        <v>24</v>
      </c>
      <c r="E135" s="181">
        <v>93081</v>
      </c>
      <c r="F135" s="181">
        <f t="shared" si="5"/>
        <v>2233944</v>
      </c>
      <c r="H135" s="245"/>
      <c r="I135" s="250">
        <v>0</v>
      </c>
      <c r="J135" s="250"/>
      <c r="K135" s="251">
        <f t="shared" si="10"/>
        <v>0</v>
      </c>
      <c r="L135" s="50">
        <f t="shared" si="11"/>
        <v>0</v>
      </c>
      <c r="M135" s="50">
        <f t="shared" si="12"/>
        <v>0</v>
      </c>
      <c r="N135" s="50">
        <f t="shared" si="13"/>
        <v>0</v>
      </c>
    </row>
    <row r="136" spans="1:14" ht="12.75" customHeight="1" x14ac:dyDescent="0.3">
      <c r="A136" s="100">
        <v>18.28</v>
      </c>
      <c r="B136" s="98" t="s">
        <v>148</v>
      </c>
      <c r="C136" s="133" t="s">
        <v>33</v>
      </c>
      <c r="D136" s="31">
        <v>12</v>
      </c>
      <c r="E136" s="181">
        <v>25377</v>
      </c>
      <c r="F136" s="181">
        <f t="shared" si="5"/>
        <v>304524</v>
      </c>
      <c r="H136" s="245"/>
      <c r="I136" s="250">
        <v>0</v>
      </c>
      <c r="J136" s="250"/>
      <c r="K136" s="251">
        <f t="shared" si="10"/>
        <v>0</v>
      </c>
      <c r="L136" s="50">
        <f t="shared" si="11"/>
        <v>0</v>
      </c>
      <c r="M136" s="50">
        <f t="shared" si="12"/>
        <v>0</v>
      </c>
      <c r="N136" s="50">
        <f t="shared" si="13"/>
        <v>0</v>
      </c>
    </row>
    <row r="137" spans="1:14" ht="12.75" customHeight="1" x14ac:dyDescent="0.3">
      <c r="A137" s="100">
        <v>18.2899999999999</v>
      </c>
      <c r="B137" s="98" t="s">
        <v>149</v>
      </c>
      <c r="C137" s="133" t="s">
        <v>33</v>
      </c>
      <c r="D137" s="31">
        <v>1</v>
      </c>
      <c r="E137" s="181">
        <v>25377</v>
      </c>
      <c r="F137" s="181">
        <f t="shared" si="5"/>
        <v>25377</v>
      </c>
      <c r="H137" s="245"/>
      <c r="I137" s="250">
        <v>0</v>
      </c>
      <c r="J137" s="250"/>
      <c r="K137" s="251">
        <f t="shared" si="10"/>
        <v>0</v>
      </c>
      <c r="L137" s="50">
        <f t="shared" si="11"/>
        <v>0</v>
      </c>
      <c r="M137" s="50">
        <f t="shared" si="12"/>
        <v>0</v>
      </c>
      <c r="N137" s="50">
        <f t="shared" si="13"/>
        <v>0</v>
      </c>
    </row>
    <row r="138" spans="1:14" ht="12.75" customHeight="1" x14ac:dyDescent="0.3">
      <c r="A138" s="100">
        <v>18.299999999999901</v>
      </c>
      <c r="B138" s="98" t="s">
        <v>150</v>
      </c>
      <c r="C138" s="133" t="s">
        <v>33</v>
      </c>
      <c r="D138" s="31">
        <v>109</v>
      </c>
      <c r="E138" s="181">
        <v>15984</v>
      </c>
      <c r="F138" s="181">
        <f t="shared" ref="F138:F194" si="14">+E138*D138</f>
        <v>1742256</v>
      </c>
      <c r="H138" s="245"/>
      <c r="I138" s="250">
        <v>0</v>
      </c>
      <c r="J138" s="250"/>
      <c r="K138" s="251">
        <f t="shared" si="10"/>
        <v>0</v>
      </c>
      <c r="L138" s="50">
        <f t="shared" si="11"/>
        <v>0</v>
      </c>
      <c r="M138" s="50">
        <f t="shared" si="12"/>
        <v>0</v>
      </c>
      <c r="N138" s="50">
        <f t="shared" si="13"/>
        <v>0</v>
      </c>
    </row>
    <row r="139" spans="1:14" ht="12.75" customHeight="1" x14ac:dyDescent="0.3">
      <c r="A139" s="100">
        <v>18.309999999999899</v>
      </c>
      <c r="B139" s="98" t="s">
        <v>151</v>
      </c>
      <c r="C139" s="133" t="s">
        <v>29</v>
      </c>
      <c r="D139" s="31">
        <v>1</v>
      </c>
      <c r="E139" s="181">
        <v>5516929</v>
      </c>
      <c r="F139" s="181">
        <f t="shared" si="14"/>
        <v>5516929</v>
      </c>
      <c r="H139" s="245"/>
      <c r="I139" s="250">
        <v>0</v>
      </c>
      <c r="J139" s="250"/>
      <c r="K139" s="251">
        <f t="shared" si="10"/>
        <v>0</v>
      </c>
      <c r="L139" s="50">
        <f t="shared" si="11"/>
        <v>0</v>
      </c>
      <c r="M139" s="50">
        <f t="shared" si="12"/>
        <v>0</v>
      </c>
      <c r="N139" s="50">
        <f t="shared" si="13"/>
        <v>0</v>
      </c>
    </row>
    <row r="140" spans="1:14" ht="12.75" customHeight="1" x14ac:dyDescent="0.3">
      <c r="A140" s="100">
        <v>18.319999999999901</v>
      </c>
      <c r="B140" s="294" t="s">
        <v>152</v>
      </c>
      <c r="C140" s="133" t="s">
        <v>29</v>
      </c>
      <c r="D140" s="31">
        <v>1</v>
      </c>
      <c r="E140" s="181">
        <v>957554</v>
      </c>
      <c r="F140" s="181">
        <f t="shared" si="14"/>
        <v>957554</v>
      </c>
      <c r="H140" s="245"/>
      <c r="I140" s="250">
        <v>0</v>
      </c>
      <c r="J140" s="250"/>
      <c r="K140" s="251">
        <f t="shared" ref="K140:K194" si="15">+I140+J140</f>
        <v>0</v>
      </c>
      <c r="L140" s="50">
        <f t="shared" ref="L140:L194" si="16">+F140*I140</f>
        <v>0</v>
      </c>
      <c r="M140" s="50">
        <f t="shared" ref="M140:M194" si="17">+F140*J140</f>
        <v>0</v>
      </c>
      <c r="N140" s="50">
        <f t="shared" ref="N140:N194" si="18">+F140*K140</f>
        <v>0</v>
      </c>
    </row>
    <row r="141" spans="1:14" ht="12.75" customHeight="1" x14ac:dyDescent="0.3">
      <c r="A141" s="100">
        <v>18.329999999999899</v>
      </c>
      <c r="B141" s="134" t="s">
        <v>153</v>
      </c>
      <c r="C141" s="135" t="s">
        <v>29</v>
      </c>
      <c r="D141" s="35">
        <v>1</v>
      </c>
      <c r="E141" s="181">
        <v>142634</v>
      </c>
      <c r="F141" s="181">
        <f t="shared" si="14"/>
        <v>142634</v>
      </c>
      <c r="H141" s="245"/>
      <c r="I141" s="250">
        <v>0</v>
      </c>
      <c r="J141" s="250"/>
      <c r="K141" s="251">
        <f t="shared" si="15"/>
        <v>0</v>
      </c>
      <c r="L141" s="50">
        <f t="shared" si="16"/>
        <v>0</v>
      </c>
      <c r="M141" s="50">
        <f t="shared" si="17"/>
        <v>0</v>
      </c>
      <c r="N141" s="50">
        <f t="shared" si="18"/>
        <v>0</v>
      </c>
    </row>
    <row r="142" spans="1:14" ht="12.75" customHeight="1" x14ac:dyDescent="0.3">
      <c r="A142" s="13">
        <v>19</v>
      </c>
      <c r="B142" s="40" t="s">
        <v>154</v>
      </c>
      <c r="C142" s="18"/>
      <c r="D142" s="19"/>
      <c r="E142" s="190"/>
      <c r="F142" s="190"/>
      <c r="G142" s="191"/>
      <c r="H142" s="245"/>
      <c r="I142" s="246"/>
      <c r="J142" s="247"/>
      <c r="K142" s="247"/>
      <c r="L142" s="178"/>
      <c r="M142" s="178"/>
      <c r="N142" s="179"/>
    </row>
    <row r="143" spans="1:14" ht="12.75" customHeight="1" x14ac:dyDescent="0.3">
      <c r="A143" s="13"/>
      <c r="B143" s="40" t="s">
        <v>155</v>
      </c>
      <c r="C143" s="18"/>
      <c r="D143" s="19"/>
      <c r="E143" s="19"/>
      <c r="F143" s="19"/>
      <c r="G143" s="192">
        <f>+SUM(F144:F146)</f>
        <v>21227962</v>
      </c>
      <c r="H143" s="245">
        <f>+G143/$G$195</f>
        <v>2.5126450140132647E-2</v>
      </c>
      <c r="I143" s="246"/>
      <c r="J143" s="247"/>
      <c r="K143" s="247"/>
      <c r="L143" s="178"/>
      <c r="M143" s="178"/>
      <c r="N143" s="179"/>
    </row>
    <row r="144" spans="1:14" ht="12.75" customHeight="1" x14ac:dyDescent="0.3">
      <c r="A144" s="20">
        <v>19.010000000000002</v>
      </c>
      <c r="B144" s="136" t="s">
        <v>156</v>
      </c>
      <c r="C144" s="122" t="s">
        <v>29</v>
      </c>
      <c r="D144" s="123">
        <v>1</v>
      </c>
      <c r="E144" s="183">
        <v>6793844</v>
      </c>
      <c r="F144" s="183">
        <f t="shared" si="14"/>
        <v>6793844</v>
      </c>
      <c r="H144" s="245"/>
      <c r="I144" s="250">
        <v>0</v>
      </c>
      <c r="J144" s="250"/>
      <c r="K144" s="251">
        <f t="shared" si="15"/>
        <v>0</v>
      </c>
      <c r="L144" s="50">
        <f t="shared" si="16"/>
        <v>0</v>
      </c>
      <c r="M144" s="50">
        <f t="shared" si="17"/>
        <v>0</v>
      </c>
      <c r="N144" s="50">
        <f t="shared" si="18"/>
        <v>0</v>
      </c>
    </row>
    <row r="145" spans="1:14" ht="12.75" customHeight="1" x14ac:dyDescent="0.3">
      <c r="A145" s="24">
        <v>19.02</v>
      </c>
      <c r="B145" s="36" t="s">
        <v>157</v>
      </c>
      <c r="C145" s="28" t="s">
        <v>29</v>
      </c>
      <c r="D145" s="29">
        <v>1</v>
      </c>
      <c r="E145" s="181">
        <v>9552583</v>
      </c>
      <c r="F145" s="181">
        <f t="shared" si="14"/>
        <v>9552583</v>
      </c>
      <c r="H145" s="245"/>
      <c r="I145" s="250">
        <v>0.3</v>
      </c>
      <c r="J145" s="250">
        <v>0.05</v>
      </c>
      <c r="K145" s="251">
        <f t="shared" si="15"/>
        <v>0.35</v>
      </c>
      <c r="L145" s="50">
        <f t="shared" si="16"/>
        <v>2865774.9</v>
      </c>
      <c r="M145" s="50">
        <f t="shared" si="17"/>
        <v>477629.15</v>
      </c>
      <c r="N145" s="50">
        <f t="shared" si="18"/>
        <v>3343404.05</v>
      </c>
    </row>
    <row r="146" spans="1:14" ht="12.75" customHeight="1" x14ac:dyDescent="0.3">
      <c r="A146" s="33">
        <v>19.03</v>
      </c>
      <c r="B146" s="137" t="s">
        <v>158</v>
      </c>
      <c r="C146" s="138" t="s">
        <v>29</v>
      </c>
      <c r="D146" s="139">
        <v>1</v>
      </c>
      <c r="E146" s="181">
        <v>4881535</v>
      </c>
      <c r="F146" s="181">
        <f t="shared" si="14"/>
        <v>4881535</v>
      </c>
      <c r="H146" s="245"/>
      <c r="I146" s="250">
        <v>0.25</v>
      </c>
      <c r="J146" s="250">
        <v>0.1</v>
      </c>
      <c r="K146" s="251">
        <f t="shared" si="15"/>
        <v>0.35</v>
      </c>
      <c r="L146" s="50">
        <f t="shared" si="16"/>
        <v>1220383.75</v>
      </c>
      <c r="M146" s="50">
        <f t="shared" si="17"/>
        <v>488153.5</v>
      </c>
      <c r="N146" s="50">
        <f t="shared" si="18"/>
        <v>1708537.25</v>
      </c>
    </row>
    <row r="147" spans="1:14" ht="12.75" customHeight="1" x14ac:dyDescent="0.3">
      <c r="A147" s="140"/>
      <c r="B147" s="141" t="s">
        <v>159</v>
      </c>
      <c r="C147" s="11"/>
      <c r="D147" s="12"/>
      <c r="E147" s="19"/>
      <c r="F147" s="19"/>
      <c r="G147" s="192">
        <f>+SUM(F148:F150)</f>
        <v>7075989</v>
      </c>
      <c r="H147" s="245">
        <f>+G147/$G$195</f>
        <v>8.3754853527920892E-3</v>
      </c>
      <c r="I147" s="246"/>
      <c r="J147" s="247"/>
      <c r="K147" s="247"/>
      <c r="L147" s="178"/>
      <c r="M147" s="178"/>
      <c r="N147" s="179"/>
    </row>
    <row r="148" spans="1:14" ht="12.75" customHeight="1" x14ac:dyDescent="0.3">
      <c r="A148" s="20">
        <v>19.04</v>
      </c>
      <c r="B148" s="136" t="s">
        <v>160</v>
      </c>
      <c r="C148" s="122" t="s">
        <v>29</v>
      </c>
      <c r="D148" s="123">
        <v>1</v>
      </c>
      <c r="E148" s="181">
        <v>2476596</v>
      </c>
      <c r="F148" s="181">
        <f t="shared" si="14"/>
        <v>2476596</v>
      </c>
      <c r="H148" s="245"/>
      <c r="I148" s="250">
        <v>0</v>
      </c>
      <c r="J148" s="250"/>
      <c r="K148" s="251">
        <f t="shared" si="15"/>
        <v>0</v>
      </c>
      <c r="L148" s="50">
        <f t="shared" si="16"/>
        <v>0</v>
      </c>
      <c r="M148" s="50">
        <f t="shared" si="17"/>
        <v>0</v>
      </c>
      <c r="N148" s="50">
        <f t="shared" si="18"/>
        <v>0</v>
      </c>
    </row>
    <row r="149" spans="1:14" ht="12.75" customHeight="1" x14ac:dyDescent="0.3">
      <c r="A149" s="24">
        <v>19.05</v>
      </c>
      <c r="B149" s="36" t="s">
        <v>161</v>
      </c>
      <c r="C149" s="28" t="s">
        <v>29</v>
      </c>
      <c r="D149" s="29">
        <v>1</v>
      </c>
      <c r="E149" s="181">
        <v>3537994</v>
      </c>
      <c r="F149" s="181">
        <f t="shared" si="14"/>
        <v>3537994</v>
      </c>
      <c r="H149" s="245"/>
      <c r="I149" s="250">
        <v>0.35</v>
      </c>
      <c r="J149" s="250">
        <v>0.05</v>
      </c>
      <c r="K149" s="251">
        <f t="shared" si="15"/>
        <v>0.39999999999999997</v>
      </c>
      <c r="L149" s="50">
        <f t="shared" si="16"/>
        <v>1238297.8999999999</v>
      </c>
      <c r="M149" s="50">
        <f t="shared" si="17"/>
        <v>176899.7</v>
      </c>
      <c r="N149" s="50">
        <f t="shared" si="18"/>
        <v>1415197.5999999999</v>
      </c>
    </row>
    <row r="150" spans="1:14" ht="12.75" customHeight="1" x14ac:dyDescent="0.3">
      <c r="A150" s="33">
        <v>19.059999999999999</v>
      </c>
      <c r="B150" s="137" t="s">
        <v>162</v>
      </c>
      <c r="C150" s="138" t="s">
        <v>29</v>
      </c>
      <c r="D150" s="139">
        <v>1</v>
      </c>
      <c r="E150" s="181">
        <v>1061399</v>
      </c>
      <c r="F150" s="181">
        <f t="shared" si="14"/>
        <v>1061399</v>
      </c>
      <c r="H150" s="245"/>
      <c r="I150" s="250">
        <v>0</v>
      </c>
      <c r="J150" s="250"/>
      <c r="K150" s="251">
        <f t="shared" si="15"/>
        <v>0</v>
      </c>
      <c r="L150" s="50">
        <f t="shared" si="16"/>
        <v>0</v>
      </c>
      <c r="M150" s="50">
        <f t="shared" si="17"/>
        <v>0</v>
      </c>
      <c r="N150" s="50">
        <f t="shared" si="18"/>
        <v>0</v>
      </c>
    </row>
    <row r="151" spans="1:14" ht="12.75" customHeight="1" x14ac:dyDescent="0.3">
      <c r="A151" s="13"/>
      <c r="B151" s="40" t="s">
        <v>163</v>
      </c>
      <c r="C151" s="18"/>
      <c r="D151" s="19"/>
      <c r="E151" s="19"/>
      <c r="F151" s="19"/>
      <c r="G151" s="192">
        <f>+SUM(F152:F156)</f>
        <v>34829620</v>
      </c>
      <c r="H151" s="245">
        <f>+G151/$G$195</f>
        <v>4.1226035279777064E-2</v>
      </c>
      <c r="I151" s="246"/>
      <c r="J151" s="247"/>
      <c r="K151" s="247"/>
      <c r="L151" s="178"/>
      <c r="M151" s="178"/>
      <c r="N151" s="179"/>
    </row>
    <row r="152" spans="1:14" ht="12.75" customHeight="1" x14ac:dyDescent="0.3">
      <c r="A152" s="115">
        <v>19.07</v>
      </c>
      <c r="B152" s="142" t="s">
        <v>164</v>
      </c>
      <c r="C152" s="122" t="s">
        <v>29</v>
      </c>
      <c r="D152" s="123">
        <v>1</v>
      </c>
      <c r="E152" s="180">
        <v>3263223</v>
      </c>
      <c r="F152" s="180">
        <f t="shared" si="14"/>
        <v>3263223</v>
      </c>
      <c r="H152" s="245"/>
      <c r="I152" s="250">
        <v>0</v>
      </c>
      <c r="J152" s="250"/>
      <c r="K152" s="251">
        <f t="shared" si="15"/>
        <v>0</v>
      </c>
      <c r="L152" s="50">
        <f t="shared" si="16"/>
        <v>0</v>
      </c>
      <c r="M152" s="50">
        <f t="shared" si="17"/>
        <v>0</v>
      </c>
      <c r="N152" s="50">
        <f t="shared" si="18"/>
        <v>0</v>
      </c>
    </row>
    <row r="153" spans="1:14" ht="12.75" customHeight="1" x14ac:dyDescent="0.3">
      <c r="A153" s="100">
        <v>19.079999999999998</v>
      </c>
      <c r="B153" s="143" t="s">
        <v>165</v>
      </c>
      <c r="C153" s="28" t="s">
        <v>29</v>
      </c>
      <c r="D153" s="29">
        <v>1</v>
      </c>
      <c r="E153" s="181">
        <v>3665831</v>
      </c>
      <c r="F153" s="181">
        <f t="shared" si="14"/>
        <v>3665831</v>
      </c>
      <c r="H153" s="245"/>
      <c r="I153" s="250">
        <v>0</v>
      </c>
      <c r="J153" s="250"/>
      <c r="K153" s="251">
        <f t="shared" si="15"/>
        <v>0</v>
      </c>
      <c r="L153" s="50">
        <f t="shared" si="16"/>
        <v>0</v>
      </c>
      <c r="M153" s="50">
        <f t="shared" si="17"/>
        <v>0</v>
      </c>
      <c r="N153" s="50">
        <f t="shared" si="18"/>
        <v>0</v>
      </c>
    </row>
    <row r="154" spans="1:14" ht="12.75" customHeight="1" x14ac:dyDescent="0.3">
      <c r="A154" s="100">
        <v>19.09</v>
      </c>
      <c r="B154" s="144" t="s">
        <v>166</v>
      </c>
      <c r="C154" s="28" t="s">
        <v>29</v>
      </c>
      <c r="D154" s="29">
        <v>1</v>
      </c>
      <c r="E154" s="181">
        <v>3263223</v>
      </c>
      <c r="F154" s="181">
        <f t="shared" si="14"/>
        <v>3263223</v>
      </c>
      <c r="H154" s="245"/>
      <c r="I154" s="250">
        <v>0</v>
      </c>
      <c r="J154" s="250"/>
      <c r="K154" s="251">
        <f t="shared" si="15"/>
        <v>0</v>
      </c>
      <c r="L154" s="50">
        <f t="shared" si="16"/>
        <v>0</v>
      </c>
      <c r="M154" s="50">
        <f t="shared" si="17"/>
        <v>0</v>
      </c>
      <c r="N154" s="50">
        <f t="shared" si="18"/>
        <v>0</v>
      </c>
    </row>
    <row r="155" spans="1:14" ht="12.75" customHeight="1" x14ac:dyDescent="0.3">
      <c r="A155" s="100">
        <v>19.100000000000001</v>
      </c>
      <c r="B155" s="143" t="s">
        <v>167</v>
      </c>
      <c r="C155" s="28" t="s">
        <v>29</v>
      </c>
      <c r="D155" s="29">
        <v>1</v>
      </c>
      <c r="E155" s="181">
        <v>18413869</v>
      </c>
      <c r="F155" s="181">
        <f t="shared" si="14"/>
        <v>18413869</v>
      </c>
      <c r="H155" s="245"/>
      <c r="I155" s="250">
        <v>0.3</v>
      </c>
      <c r="J155" s="250">
        <v>0.1</v>
      </c>
      <c r="K155" s="251">
        <f t="shared" si="15"/>
        <v>0.4</v>
      </c>
      <c r="L155" s="50">
        <f t="shared" si="16"/>
        <v>5524160.7000000002</v>
      </c>
      <c r="M155" s="50">
        <f t="shared" si="17"/>
        <v>1841386.9000000001</v>
      </c>
      <c r="N155" s="50">
        <f t="shared" si="18"/>
        <v>7365547.6000000006</v>
      </c>
    </row>
    <row r="156" spans="1:14" ht="12.75" customHeight="1" x14ac:dyDescent="0.3">
      <c r="A156" s="100">
        <v>19.11</v>
      </c>
      <c r="B156" s="145" t="s">
        <v>168</v>
      </c>
      <c r="C156" s="138" t="s">
        <v>29</v>
      </c>
      <c r="D156" s="139">
        <v>1</v>
      </c>
      <c r="E156" s="189">
        <v>6223474</v>
      </c>
      <c r="F156" s="189">
        <f t="shared" si="14"/>
        <v>6223474</v>
      </c>
      <c r="H156" s="245"/>
      <c r="I156" s="250">
        <v>0</v>
      </c>
      <c r="J156" s="250"/>
      <c r="K156" s="251">
        <f t="shared" si="15"/>
        <v>0</v>
      </c>
      <c r="L156" s="50">
        <f t="shared" si="16"/>
        <v>0</v>
      </c>
      <c r="M156" s="50">
        <f t="shared" si="17"/>
        <v>0</v>
      </c>
      <c r="N156" s="50">
        <f t="shared" si="18"/>
        <v>0</v>
      </c>
    </row>
    <row r="157" spans="1:14" ht="12.75" customHeight="1" x14ac:dyDescent="0.3">
      <c r="A157" s="13"/>
      <c r="B157" s="40" t="s">
        <v>169</v>
      </c>
      <c r="C157" s="18"/>
      <c r="D157" s="19"/>
      <c r="E157" s="19"/>
      <c r="F157" s="19"/>
      <c r="G157" s="192">
        <f>+SUM(F158)</f>
        <v>2637801</v>
      </c>
      <c r="H157" s="245">
        <f>+G157/$G$195</f>
        <v>3.1222297885257206E-3</v>
      </c>
      <c r="I157" s="246"/>
      <c r="J157" s="247"/>
      <c r="K157" s="247"/>
      <c r="L157" s="178"/>
      <c r="M157" s="178"/>
      <c r="N157" s="179"/>
    </row>
    <row r="158" spans="1:14" ht="12.75" customHeight="1" x14ac:dyDescent="0.3">
      <c r="A158" s="24">
        <v>19.12</v>
      </c>
      <c r="B158" s="36" t="s">
        <v>170</v>
      </c>
      <c r="C158" s="28" t="s">
        <v>29</v>
      </c>
      <c r="D158" s="29">
        <v>1</v>
      </c>
      <c r="E158" s="181">
        <v>2637801</v>
      </c>
      <c r="F158" s="181">
        <f t="shared" si="14"/>
        <v>2637801</v>
      </c>
      <c r="H158" s="245"/>
      <c r="I158" s="250">
        <v>0.2</v>
      </c>
      <c r="J158" s="250">
        <v>0.1</v>
      </c>
      <c r="K158" s="251">
        <f t="shared" si="15"/>
        <v>0.30000000000000004</v>
      </c>
      <c r="L158" s="50">
        <f t="shared" si="16"/>
        <v>527560.20000000007</v>
      </c>
      <c r="M158" s="50">
        <f t="shared" si="17"/>
        <v>263780.10000000003</v>
      </c>
      <c r="N158" s="50">
        <f t="shared" si="18"/>
        <v>791340.30000000016</v>
      </c>
    </row>
    <row r="159" spans="1:14" ht="12.75" customHeight="1" x14ac:dyDescent="0.3">
      <c r="A159" s="13"/>
      <c r="B159" s="40" t="s">
        <v>171</v>
      </c>
      <c r="C159" s="18"/>
      <c r="D159" s="19"/>
      <c r="E159" s="19"/>
      <c r="F159" s="19"/>
      <c r="G159" s="192">
        <f>+SUM(F160:F161)</f>
        <v>39784561</v>
      </c>
      <c r="H159" s="245">
        <f>+G159/$G$195</f>
        <v>4.7090944873255651E-2</v>
      </c>
      <c r="I159" s="246"/>
      <c r="J159" s="247"/>
      <c r="K159" s="247"/>
      <c r="L159" s="178"/>
      <c r="M159" s="178"/>
      <c r="N159" s="179"/>
    </row>
    <row r="160" spans="1:14" ht="12.75" customHeight="1" x14ac:dyDescent="0.3">
      <c r="A160" s="20">
        <v>19.13</v>
      </c>
      <c r="B160" s="136" t="s">
        <v>172</v>
      </c>
      <c r="C160" s="122" t="s">
        <v>29</v>
      </c>
      <c r="D160" s="123">
        <v>1</v>
      </c>
      <c r="E160" s="181">
        <v>36002858</v>
      </c>
      <c r="F160" s="181">
        <f t="shared" si="14"/>
        <v>36002858</v>
      </c>
      <c r="H160" s="245"/>
      <c r="I160" s="250">
        <v>0.15000000000000002</v>
      </c>
      <c r="J160" s="274"/>
      <c r="K160" s="251">
        <f t="shared" si="15"/>
        <v>0.15000000000000002</v>
      </c>
      <c r="L160" s="50">
        <f t="shared" si="16"/>
        <v>5400428.7000000011</v>
      </c>
      <c r="M160" s="50">
        <f t="shared" si="17"/>
        <v>0</v>
      </c>
      <c r="N160" s="50">
        <f t="shared" si="18"/>
        <v>5400428.7000000011</v>
      </c>
    </row>
    <row r="161" spans="1:14" ht="12.75" customHeight="1" x14ac:dyDescent="0.3">
      <c r="A161" s="33">
        <v>19.14</v>
      </c>
      <c r="B161" s="137" t="s">
        <v>173</v>
      </c>
      <c r="C161" s="138" t="s">
        <v>29</v>
      </c>
      <c r="D161" s="139">
        <v>1</v>
      </c>
      <c r="E161" s="181">
        <v>3781703</v>
      </c>
      <c r="F161" s="181">
        <f t="shared" si="14"/>
        <v>3781703</v>
      </c>
      <c r="H161" s="245"/>
      <c r="I161" s="250">
        <v>0</v>
      </c>
      <c r="J161" s="250"/>
      <c r="K161" s="251">
        <f t="shared" si="15"/>
        <v>0</v>
      </c>
      <c r="L161" s="50">
        <f t="shared" si="16"/>
        <v>0</v>
      </c>
      <c r="M161" s="50">
        <f t="shared" si="17"/>
        <v>0</v>
      </c>
      <c r="N161" s="50">
        <f t="shared" si="18"/>
        <v>0</v>
      </c>
    </row>
    <row r="162" spans="1:14" ht="12.75" customHeight="1" x14ac:dyDescent="0.3">
      <c r="A162" s="13"/>
      <c r="B162" s="40" t="s">
        <v>174</v>
      </c>
      <c r="C162" s="18"/>
      <c r="D162" s="19"/>
      <c r="E162" s="19"/>
      <c r="F162" s="19"/>
      <c r="G162" s="192">
        <f>+SUM(F163)</f>
        <v>6439007</v>
      </c>
      <c r="H162" s="245">
        <f>+G162/$G$195</f>
        <v>7.6215224211097178E-3</v>
      </c>
      <c r="I162" s="246"/>
      <c r="J162" s="247"/>
      <c r="K162" s="247"/>
      <c r="L162" s="178"/>
      <c r="M162" s="178"/>
      <c r="N162" s="179"/>
    </row>
    <row r="163" spans="1:14" ht="12.75" customHeight="1" x14ac:dyDescent="0.3">
      <c r="A163" s="24">
        <v>19.149999999999999</v>
      </c>
      <c r="B163" s="98" t="s">
        <v>175</v>
      </c>
      <c r="C163" s="28" t="s">
        <v>29</v>
      </c>
      <c r="D163" s="29">
        <v>1</v>
      </c>
      <c r="E163" s="181">
        <v>6439007</v>
      </c>
      <c r="F163" s="181">
        <f t="shared" si="14"/>
        <v>6439007</v>
      </c>
      <c r="H163" s="245"/>
      <c r="I163" s="250">
        <v>0</v>
      </c>
      <c r="J163" s="250"/>
      <c r="K163" s="251">
        <f t="shared" si="15"/>
        <v>0</v>
      </c>
      <c r="L163" s="50">
        <f t="shared" si="16"/>
        <v>0</v>
      </c>
      <c r="M163" s="50">
        <f t="shared" si="17"/>
        <v>0</v>
      </c>
      <c r="N163" s="50">
        <f t="shared" si="18"/>
        <v>0</v>
      </c>
    </row>
    <row r="164" spans="1:14" ht="12.75" customHeight="1" x14ac:dyDescent="0.3">
      <c r="A164" s="13"/>
      <c r="B164" s="40" t="s">
        <v>176</v>
      </c>
      <c r="C164" s="18"/>
      <c r="D164" s="19"/>
      <c r="E164" s="19"/>
      <c r="F164" s="19"/>
      <c r="G164" s="192">
        <f>+SUM(F165:F168)</f>
        <v>33172785</v>
      </c>
      <c r="H164" s="245">
        <f t="shared" ref="H164:H192" si="19">+G164/$G$195</f>
        <v>3.9264924645702685E-2</v>
      </c>
      <c r="I164" s="246"/>
      <c r="J164" s="247"/>
      <c r="K164" s="247"/>
      <c r="L164" s="178"/>
      <c r="M164" s="178"/>
      <c r="N164" s="179"/>
    </row>
    <row r="165" spans="1:14" ht="12.75" customHeight="1" x14ac:dyDescent="0.3">
      <c r="A165" s="24">
        <v>19.16</v>
      </c>
      <c r="B165" s="143" t="s">
        <v>177</v>
      </c>
      <c r="C165" s="28" t="s">
        <v>29</v>
      </c>
      <c r="D165" s="29">
        <v>1</v>
      </c>
      <c r="E165" s="181">
        <v>27794007</v>
      </c>
      <c r="F165" s="181">
        <f t="shared" si="14"/>
        <v>27794007</v>
      </c>
      <c r="H165" s="245"/>
      <c r="I165" s="250">
        <v>0.1</v>
      </c>
      <c r="J165" s="274"/>
      <c r="K165" s="251">
        <f t="shared" si="15"/>
        <v>0.1</v>
      </c>
      <c r="L165" s="50">
        <f t="shared" si="16"/>
        <v>2779400.7</v>
      </c>
      <c r="M165" s="50">
        <f t="shared" si="17"/>
        <v>0</v>
      </c>
      <c r="N165" s="50">
        <f t="shared" si="18"/>
        <v>2779400.7</v>
      </c>
    </row>
    <row r="166" spans="1:14" ht="12.75" customHeight="1" x14ac:dyDescent="0.3">
      <c r="A166" s="24">
        <v>19.170000000000002</v>
      </c>
      <c r="B166" s="146" t="s">
        <v>178</v>
      </c>
      <c r="C166" s="147" t="s">
        <v>33</v>
      </c>
      <c r="D166" s="148">
        <v>8</v>
      </c>
      <c r="E166" s="181">
        <v>59973</v>
      </c>
      <c r="F166" s="181">
        <f t="shared" si="14"/>
        <v>479784</v>
      </c>
      <c r="H166" s="245"/>
      <c r="I166" s="250">
        <v>0</v>
      </c>
      <c r="J166" s="250"/>
      <c r="K166" s="251">
        <f t="shared" si="15"/>
        <v>0</v>
      </c>
      <c r="L166" s="50">
        <f t="shared" si="16"/>
        <v>0</v>
      </c>
      <c r="M166" s="50">
        <f t="shared" si="17"/>
        <v>0</v>
      </c>
      <c r="N166" s="50">
        <f t="shared" si="18"/>
        <v>0</v>
      </c>
    </row>
    <row r="167" spans="1:14" ht="12.75" customHeight="1" x14ac:dyDescent="0.3">
      <c r="A167" s="24">
        <v>19.18</v>
      </c>
      <c r="B167" s="146" t="s">
        <v>179</v>
      </c>
      <c r="C167" s="147" t="s">
        <v>29</v>
      </c>
      <c r="D167" s="148">
        <v>8</v>
      </c>
      <c r="E167" s="181">
        <v>27640</v>
      </c>
      <c r="F167" s="181">
        <f t="shared" si="14"/>
        <v>221120</v>
      </c>
      <c r="H167" s="245"/>
      <c r="I167" s="250">
        <v>0</v>
      </c>
      <c r="J167" s="250"/>
      <c r="K167" s="251">
        <f t="shared" si="15"/>
        <v>0</v>
      </c>
      <c r="L167" s="50">
        <f t="shared" si="16"/>
        <v>0</v>
      </c>
      <c r="M167" s="50">
        <f t="shared" si="17"/>
        <v>0</v>
      </c>
      <c r="N167" s="50">
        <f t="shared" si="18"/>
        <v>0</v>
      </c>
    </row>
    <row r="168" spans="1:14" ht="12.75" customHeight="1" x14ac:dyDescent="0.3">
      <c r="A168" s="100">
        <v>19.190000000000001</v>
      </c>
      <c r="B168" s="145" t="s">
        <v>180</v>
      </c>
      <c r="C168" s="138" t="s">
        <v>29</v>
      </c>
      <c r="D168" s="139">
        <v>1</v>
      </c>
      <c r="E168" s="181">
        <v>4677874</v>
      </c>
      <c r="F168" s="181">
        <f t="shared" si="14"/>
        <v>4677874</v>
      </c>
      <c r="H168" s="245"/>
      <c r="I168" s="250">
        <v>0.2</v>
      </c>
      <c r="J168" s="250"/>
      <c r="K168" s="251">
        <f t="shared" si="15"/>
        <v>0.2</v>
      </c>
      <c r="L168" s="50">
        <f t="shared" si="16"/>
        <v>935574.8</v>
      </c>
      <c r="M168" s="50">
        <f t="shared" si="17"/>
        <v>0</v>
      </c>
      <c r="N168" s="50">
        <f t="shared" si="18"/>
        <v>935574.8</v>
      </c>
    </row>
    <row r="169" spans="1:14" ht="12.75" customHeight="1" x14ac:dyDescent="0.3">
      <c r="A169" s="13">
        <v>20</v>
      </c>
      <c r="B169" s="40" t="s">
        <v>181</v>
      </c>
      <c r="C169" s="18"/>
      <c r="D169" s="19"/>
      <c r="E169" s="19"/>
      <c r="F169" s="19"/>
      <c r="G169" s="192">
        <f>+SUM(F170:F171)</f>
        <v>0</v>
      </c>
      <c r="H169" s="245">
        <f t="shared" si="19"/>
        <v>0</v>
      </c>
      <c r="I169" s="246"/>
      <c r="J169" s="247"/>
      <c r="K169" s="247"/>
      <c r="L169" s="178"/>
      <c r="M169" s="178"/>
      <c r="N169" s="179"/>
    </row>
    <row r="170" spans="1:14" ht="12.75" customHeight="1" x14ac:dyDescent="0.3">
      <c r="A170" s="106">
        <v>20.010000000000002</v>
      </c>
      <c r="B170" s="107" t="s">
        <v>182</v>
      </c>
      <c r="C170" s="120" t="s">
        <v>33</v>
      </c>
      <c r="D170" s="121">
        <v>0</v>
      </c>
      <c r="E170" s="183">
        <v>0</v>
      </c>
      <c r="F170" s="183">
        <f t="shared" si="14"/>
        <v>0</v>
      </c>
      <c r="H170" s="245"/>
      <c r="I170" s="250">
        <v>0</v>
      </c>
      <c r="J170" s="250"/>
      <c r="K170" s="251">
        <f t="shared" si="15"/>
        <v>0</v>
      </c>
      <c r="L170" s="50">
        <f t="shared" si="16"/>
        <v>0</v>
      </c>
      <c r="M170" s="50">
        <f t="shared" si="17"/>
        <v>0</v>
      </c>
      <c r="N170" s="50">
        <f t="shared" si="18"/>
        <v>0</v>
      </c>
    </row>
    <row r="171" spans="1:14" ht="12.75" customHeight="1" x14ac:dyDescent="0.3">
      <c r="A171" s="24">
        <v>20.02</v>
      </c>
      <c r="B171" s="25" t="s">
        <v>183</v>
      </c>
      <c r="C171" s="112" t="s">
        <v>33</v>
      </c>
      <c r="D171" s="27">
        <v>0</v>
      </c>
      <c r="E171" s="181">
        <v>0</v>
      </c>
      <c r="F171" s="181">
        <f t="shared" si="14"/>
        <v>0</v>
      </c>
      <c r="H171" s="245"/>
      <c r="I171" s="250">
        <v>0</v>
      </c>
      <c r="J171" s="250"/>
      <c r="K171" s="251">
        <f t="shared" si="15"/>
        <v>0</v>
      </c>
      <c r="L171" s="50">
        <f t="shared" si="16"/>
        <v>0</v>
      </c>
      <c r="M171" s="50">
        <f t="shared" si="17"/>
        <v>0</v>
      </c>
      <c r="N171" s="50">
        <f t="shared" si="18"/>
        <v>0</v>
      </c>
    </row>
    <row r="172" spans="1:14" ht="12.75" customHeight="1" x14ac:dyDescent="0.3">
      <c r="A172" s="13">
        <v>21</v>
      </c>
      <c r="B172" s="40" t="s">
        <v>184</v>
      </c>
      <c r="C172" s="18"/>
      <c r="D172" s="19"/>
      <c r="E172" s="19"/>
      <c r="F172" s="19"/>
      <c r="G172" s="192">
        <f>+SUM(F173)</f>
        <v>0</v>
      </c>
      <c r="H172" s="245">
        <f t="shared" si="19"/>
        <v>0</v>
      </c>
      <c r="I172" s="246"/>
      <c r="J172" s="247"/>
      <c r="K172" s="247"/>
      <c r="L172" s="178"/>
      <c r="M172" s="178"/>
      <c r="N172" s="179"/>
    </row>
    <row r="173" spans="1:14" ht="12.75" customHeight="1" x14ac:dyDescent="0.3">
      <c r="A173" s="149">
        <v>21.01</v>
      </c>
      <c r="B173" s="150" t="s">
        <v>185</v>
      </c>
      <c r="C173" s="151" t="s">
        <v>29</v>
      </c>
      <c r="D173" s="152">
        <v>1</v>
      </c>
      <c r="E173" s="184">
        <v>0</v>
      </c>
      <c r="F173" s="181">
        <f t="shared" si="14"/>
        <v>0</v>
      </c>
      <c r="G173" s="182"/>
      <c r="H173" s="245"/>
      <c r="I173" s="250">
        <v>0</v>
      </c>
      <c r="J173" s="250"/>
      <c r="K173" s="251">
        <f t="shared" si="15"/>
        <v>0</v>
      </c>
      <c r="L173" s="50">
        <f t="shared" si="16"/>
        <v>0</v>
      </c>
      <c r="M173" s="50">
        <f t="shared" si="17"/>
        <v>0</v>
      </c>
      <c r="N173" s="50">
        <f t="shared" si="18"/>
        <v>0</v>
      </c>
    </row>
    <row r="174" spans="1:14" ht="12.75" customHeight="1" x14ac:dyDescent="0.3">
      <c r="A174" s="13">
        <v>22</v>
      </c>
      <c r="B174" s="40" t="s">
        <v>186</v>
      </c>
      <c r="C174" s="18"/>
      <c r="D174" s="19"/>
      <c r="E174" s="19"/>
      <c r="F174" s="19"/>
      <c r="G174" s="192">
        <f>+SUM(F175:F176)</f>
        <v>2934560</v>
      </c>
      <c r="H174" s="245">
        <f t="shared" si="19"/>
        <v>3.4734882002910904E-3</v>
      </c>
      <c r="I174" s="246"/>
      <c r="J174" s="247"/>
      <c r="K174" s="247"/>
      <c r="L174" s="178"/>
      <c r="M174" s="178"/>
      <c r="N174" s="179"/>
    </row>
    <row r="175" spans="1:14" ht="12.75" customHeight="1" x14ac:dyDescent="0.3">
      <c r="A175" s="115">
        <v>22.01</v>
      </c>
      <c r="B175" s="131" t="s">
        <v>187</v>
      </c>
      <c r="C175" s="132" t="s">
        <v>33</v>
      </c>
      <c r="D175" s="153">
        <v>8</v>
      </c>
      <c r="E175" s="184">
        <v>91705</v>
      </c>
      <c r="F175" s="183">
        <f t="shared" si="14"/>
        <v>733640</v>
      </c>
      <c r="H175" s="245"/>
      <c r="I175" s="250">
        <v>0</v>
      </c>
      <c r="J175" s="250"/>
      <c r="K175" s="251">
        <f t="shared" si="15"/>
        <v>0</v>
      </c>
      <c r="L175" s="50">
        <f t="shared" si="16"/>
        <v>0</v>
      </c>
      <c r="M175" s="50">
        <f t="shared" si="17"/>
        <v>0</v>
      </c>
      <c r="N175" s="50">
        <f t="shared" si="18"/>
        <v>0</v>
      </c>
    </row>
    <row r="176" spans="1:14" ht="12.75" customHeight="1" x14ac:dyDescent="0.3">
      <c r="A176" s="100">
        <v>22.02</v>
      </c>
      <c r="B176" s="98" t="s">
        <v>188</v>
      </c>
      <c r="C176" s="133" t="s">
        <v>33</v>
      </c>
      <c r="D176" s="153">
        <v>24</v>
      </c>
      <c r="E176" s="184">
        <v>91705</v>
      </c>
      <c r="F176" s="183">
        <f t="shared" si="14"/>
        <v>2200920</v>
      </c>
      <c r="H176" s="245"/>
      <c r="I176" s="250">
        <v>0</v>
      </c>
      <c r="J176" s="250"/>
      <c r="K176" s="251">
        <f t="shared" si="15"/>
        <v>0</v>
      </c>
      <c r="L176" s="50">
        <f t="shared" si="16"/>
        <v>0</v>
      </c>
      <c r="M176" s="50">
        <f t="shared" si="17"/>
        <v>0</v>
      </c>
      <c r="N176" s="50">
        <f t="shared" si="18"/>
        <v>0</v>
      </c>
    </row>
    <row r="177" spans="1:14" ht="12.75" customHeight="1" x14ac:dyDescent="0.3">
      <c r="A177" s="13">
        <v>23</v>
      </c>
      <c r="B177" s="40" t="s">
        <v>189</v>
      </c>
      <c r="C177" s="18"/>
      <c r="D177" s="19"/>
      <c r="E177" s="19"/>
      <c r="F177" s="19"/>
      <c r="G177" s="192">
        <f>+SUM(F178:F181)</f>
        <v>19050437</v>
      </c>
      <c r="H177" s="245">
        <f t="shared" si="19"/>
        <v>2.2549025451818604E-2</v>
      </c>
      <c r="I177" s="246"/>
      <c r="J177" s="247"/>
      <c r="K177" s="247"/>
      <c r="L177" s="178"/>
      <c r="M177" s="178"/>
      <c r="N177" s="179"/>
    </row>
    <row r="178" spans="1:14" ht="12.75" customHeight="1" x14ac:dyDescent="0.3">
      <c r="A178" s="115">
        <v>23.01</v>
      </c>
      <c r="B178" s="21" t="s">
        <v>190</v>
      </c>
      <c r="C178" s="93" t="s">
        <v>29</v>
      </c>
      <c r="D178" s="94">
        <v>6</v>
      </c>
      <c r="E178" s="180">
        <v>259063</v>
      </c>
      <c r="F178" s="180">
        <f t="shared" si="14"/>
        <v>1554378</v>
      </c>
      <c r="G178" s="182"/>
      <c r="H178" s="245"/>
      <c r="I178" s="250">
        <v>0</v>
      </c>
      <c r="J178" s="250"/>
      <c r="K178" s="251">
        <f t="shared" si="15"/>
        <v>0</v>
      </c>
      <c r="L178" s="50">
        <f t="shared" si="16"/>
        <v>0</v>
      </c>
      <c r="M178" s="50">
        <f t="shared" si="17"/>
        <v>0</v>
      </c>
      <c r="N178" s="50">
        <f t="shared" si="18"/>
        <v>0</v>
      </c>
    </row>
    <row r="179" spans="1:14" ht="12.75" customHeight="1" x14ac:dyDescent="0.3">
      <c r="A179" s="100">
        <v>23.02</v>
      </c>
      <c r="B179" s="25" t="s">
        <v>191</v>
      </c>
      <c r="C179" s="30" t="s">
        <v>29</v>
      </c>
      <c r="D179" s="31">
        <v>1</v>
      </c>
      <c r="E179" s="181">
        <v>793947</v>
      </c>
      <c r="F179" s="181">
        <f t="shared" si="14"/>
        <v>793947</v>
      </c>
      <c r="H179" s="245"/>
      <c r="I179" s="250">
        <v>0</v>
      </c>
      <c r="J179" s="250"/>
      <c r="K179" s="251">
        <f t="shared" si="15"/>
        <v>0</v>
      </c>
      <c r="L179" s="50">
        <f t="shared" si="16"/>
        <v>0</v>
      </c>
      <c r="M179" s="50">
        <f t="shared" si="17"/>
        <v>0</v>
      </c>
      <c r="N179" s="50">
        <f t="shared" si="18"/>
        <v>0</v>
      </c>
    </row>
    <row r="180" spans="1:14" ht="12.75" customHeight="1" x14ac:dyDescent="0.3">
      <c r="A180" s="100">
        <v>23.03</v>
      </c>
      <c r="B180" s="25" t="s">
        <v>192</v>
      </c>
      <c r="C180" s="30" t="s">
        <v>19</v>
      </c>
      <c r="D180" s="31">
        <v>26</v>
      </c>
      <c r="E180" s="181">
        <v>27076</v>
      </c>
      <c r="F180" s="181">
        <f t="shared" si="14"/>
        <v>703976</v>
      </c>
      <c r="H180" s="245"/>
      <c r="I180" s="250">
        <v>0</v>
      </c>
      <c r="J180" s="250"/>
      <c r="K180" s="251">
        <f t="shared" si="15"/>
        <v>0</v>
      </c>
      <c r="L180" s="50">
        <f t="shared" si="16"/>
        <v>0</v>
      </c>
      <c r="M180" s="50">
        <f t="shared" si="17"/>
        <v>0</v>
      </c>
      <c r="N180" s="50">
        <f t="shared" si="18"/>
        <v>0</v>
      </c>
    </row>
    <row r="181" spans="1:14" ht="12.75" customHeight="1" x14ac:dyDescent="0.3">
      <c r="A181" s="130">
        <v>23.04</v>
      </c>
      <c r="B181" s="154" t="s">
        <v>193</v>
      </c>
      <c r="C181" s="155" t="s">
        <v>19</v>
      </c>
      <c r="D181" s="102">
        <v>231</v>
      </c>
      <c r="E181" s="189">
        <v>69256</v>
      </c>
      <c r="F181" s="189">
        <f t="shared" si="14"/>
        <v>15998136</v>
      </c>
      <c r="H181" s="245"/>
      <c r="I181" s="250">
        <v>0</v>
      </c>
      <c r="J181" s="250"/>
      <c r="K181" s="251">
        <f t="shared" si="15"/>
        <v>0</v>
      </c>
      <c r="L181" s="50">
        <f t="shared" si="16"/>
        <v>0</v>
      </c>
      <c r="M181" s="50">
        <f t="shared" si="17"/>
        <v>0</v>
      </c>
      <c r="N181" s="50">
        <f t="shared" si="18"/>
        <v>0</v>
      </c>
    </row>
    <row r="182" spans="1:14" ht="12.75" customHeight="1" x14ac:dyDescent="0.3">
      <c r="A182" s="13">
        <v>24</v>
      </c>
      <c r="B182" s="40" t="s">
        <v>194</v>
      </c>
      <c r="C182" s="18"/>
      <c r="D182" s="19"/>
      <c r="E182" s="19"/>
      <c r="F182" s="19"/>
      <c r="G182" s="192">
        <f>+SUM(F183:F191)</f>
        <v>76903896</v>
      </c>
      <c r="H182" s="245">
        <f t="shared" si="19"/>
        <v>9.1027198391722505E-2</v>
      </c>
      <c r="I182" s="246"/>
      <c r="J182" s="247"/>
      <c r="K182" s="247"/>
      <c r="L182" s="178"/>
      <c r="M182" s="178"/>
      <c r="N182" s="179"/>
    </row>
    <row r="183" spans="1:14" ht="12.75" customHeight="1" x14ac:dyDescent="0.3">
      <c r="A183" s="20">
        <v>24.01</v>
      </c>
      <c r="B183" s="156" t="s">
        <v>195</v>
      </c>
      <c r="C183" s="22" t="s">
        <v>196</v>
      </c>
      <c r="D183" s="94">
        <v>17</v>
      </c>
      <c r="E183" s="181">
        <v>973327</v>
      </c>
      <c r="F183" s="181">
        <f t="shared" si="14"/>
        <v>16546559</v>
      </c>
      <c r="H183" s="245"/>
      <c r="I183" s="250">
        <v>0.54999999999999993</v>
      </c>
      <c r="J183" s="250">
        <v>0.05</v>
      </c>
      <c r="K183" s="251">
        <f t="shared" si="15"/>
        <v>0.6</v>
      </c>
      <c r="L183" s="50">
        <f t="shared" si="16"/>
        <v>9100607.4499999993</v>
      </c>
      <c r="M183" s="50">
        <f t="shared" si="17"/>
        <v>827327.95000000007</v>
      </c>
      <c r="N183" s="50">
        <f t="shared" si="18"/>
        <v>9927935.4000000004</v>
      </c>
    </row>
    <row r="184" spans="1:14" ht="12.75" customHeight="1" x14ac:dyDescent="0.3">
      <c r="A184" s="24">
        <v>24.02</v>
      </c>
      <c r="B184" s="157" t="s">
        <v>197</v>
      </c>
      <c r="C184" s="26" t="s">
        <v>196</v>
      </c>
      <c r="D184" s="31">
        <v>4</v>
      </c>
      <c r="E184" s="181">
        <v>2005316</v>
      </c>
      <c r="F184" s="181">
        <f t="shared" si="14"/>
        <v>8021264</v>
      </c>
      <c r="H184" s="245"/>
      <c r="I184" s="250">
        <v>1</v>
      </c>
      <c r="J184" s="250"/>
      <c r="K184" s="251">
        <f t="shared" si="15"/>
        <v>1</v>
      </c>
      <c r="L184" s="50">
        <f t="shared" si="16"/>
        <v>8021264</v>
      </c>
      <c r="M184" s="50">
        <f t="shared" si="17"/>
        <v>0</v>
      </c>
      <c r="N184" s="50">
        <f t="shared" si="18"/>
        <v>8021264</v>
      </c>
    </row>
    <row r="185" spans="1:14" ht="12.75" customHeight="1" x14ac:dyDescent="0.3">
      <c r="A185" s="24">
        <v>24.03</v>
      </c>
      <c r="B185" s="158" t="s">
        <v>198</v>
      </c>
      <c r="C185" s="26" t="s">
        <v>196</v>
      </c>
      <c r="D185" s="31">
        <v>17</v>
      </c>
      <c r="E185" s="181">
        <v>199910</v>
      </c>
      <c r="F185" s="181">
        <f t="shared" si="14"/>
        <v>3398470</v>
      </c>
      <c r="H185" s="245"/>
      <c r="I185" s="250">
        <v>0.54999999999999993</v>
      </c>
      <c r="J185" s="250">
        <v>0.05</v>
      </c>
      <c r="K185" s="251">
        <f t="shared" si="15"/>
        <v>0.6</v>
      </c>
      <c r="L185" s="50">
        <f t="shared" si="16"/>
        <v>1869158.4999999998</v>
      </c>
      <c r="M185" s="50">
        <f t="shared" si="17"/>
        <v>169923.5</v>
      </c>
      <c r="N185" s="50">
        <f t="shared" si="18"/>
        <v>2039082</v>
      </c>
    </row>
    <row r="186" spans="1:14" ht="12.75" customHeight="1" x14ac:dyDescent="0.3">
      <c r="A186" s="24">
        <v>24.04</v>
      </c>
      <c r="B186" s="158" t="s">
        <v>199</v>
      </c>
      <c r="C186" s="26" t="s">
        <v>29</v>
      </c>
      <c r="D186" s="27">
        <v>1</v>
      </c>
      <c r="E186" s="181">
        <v>6284456</v>
      </c>
      <c r="F186" s="181">
        <f t="shared" si="14"/>
        <v>6284456</v>
      </c>
      <c r="H186" s="245"/>
      <c r="I186" s="250">
        <v>1</v>
      </c>
      <c r="J186" s="274"/>
      <c r="K186" s="251">
        <f t="shared" si="15"/>
        <v>1</v>
      </c>
      <c r="L186" s="50">
        <f t="shared" si="16"/>
        <v>6284456</v>
      </c>
      <c r="M186" s="50">
        <f t="shared" si="17"/>
        <v>0</v>
      </c>
      <c r="N186" s="50">
        <f t="shared" si="18"/>
        <v>6284456</v>
      </c>
    </row>
    <row r="187" spans="1:14" ht="12.75" customHeight="1" x14ac:dyDescent="0.3">
      <c r="A187" s="24">
        <v>24.05</v>
      </c>
      <c r="B187" s="158" t="s">
        <v>200</v>
      </c>
      <c r="C187" s="159" t="s">
        <v>196</v>
      </c>
      <c r="D187" s="31">
        <v>17</v>
      </c>
      <c r="E187" s="181">
        <v>873895</v>
      </c>
      <c r="F187" s="181">
        <f t="shared" si="14"/>
        <v>14856215</v>
      </c>
      <c r="G187" s="194"/>
      <c r="H187" s="245"/>
      <c r="I187" s="250">
        <v>0.44999999999999996</v>
      </c>
      <c r="J187" s="250">
        <v>0.05</v>
      </c>
      <c r="K187" s="251">
        <f t="shared" si="15"/>
        <v>0.49999999999999994</v>
      </c>
      <c r="L187" s="50">
        <f t="shared" si="16"/>
        <v>6685296.7499999991</v>
      </c>
      <c r="M187" s="50">
        <f t="shared" si="17"/>
        <v>742810.75</v>
      </c>
      <c r="N187" s="50">
        <f t="shared" si="18"/>
        <v>7428107.4999999991</v>
      </c>
    </row>
    <row r="188" spans="1:14" ht="12.75" customHeight="1" x14ac:dyDescent="0.3">
      <c r="A188" s="24">
        <v>24.06</v>
      </c>
      <c r="B188" s="158" t="s">
        <v>201</v>
      </c>
      <c r="C188" s="159" t="s">
        <v>196</v>
      </c>
      <c r="D188" s="31">
        <v>17</v>
      </c>
      <c r="E188" s="181">
        <v>577178</v>
      </c>
      <c r="F188" s="181">
        <f t="shared" si="14"/>
        <v>9812026</v>
      </c>
      <c r="G188" s="194"/>
      <c r="H188" s="245"/>
      <c r="I188" s="250">
        <v>0.44999999999999996</v>
      </c>
      <c r="J188" s="250">
        <v>0.05</v>
      </c>
      <c r="K188" s="251">
        <f t="shared" si="15"/>
        <v>0.49999999999999994</v>
      </c>
      <c r="L188" s="50">
        <f t="shared" si="16"/>
        <v>4415411.6999999993</v>
      </c>
      <c r="M188" s="50">
        <f t="shared" si="17"/>
        <v>490601.30000000005</v>
      </c>
      <c r="N188" s="50">
        <f t="shared" si="18"/>
        <v>4906012.9999999991</v>
      </c>
    </row>
    <row r="189" spans="1:14" ht="12.75" customHeight="1" x14ac:dyDescent="0.3">
      <c r="A189" s="24">
        <v>24.07</v>
      </c>
      <c r="B189" s="158" t="s">
        <v>202</v>
      </c>
      <c r="C189" s="159" t="s">
        <v>29</v>
      </c>
      <c r="D189" s="27">
        <v>1</v>
      </c>
      <c r="E189" s="181">
        <v>5277814</v>
      </c>
      <c r="F189" s="181">
        <f t="shared" si="14"/>
        <v>5277814</v>
      </c>
      <c r="G189" s="194"/>
      <c r="H189" s="245"/>
      <c r="I189" s="250">
        <v>0</v>
      </c>
      <c r="J189" s="250"/>
      <c r="K189" s="251">
        <f t="shared" si="15"/>
        <v>0</v>
      </c>
      <c r="L189" s="50">
        <f t="shared" si="16"/>
        <v>0</v>
      </c>
      <c r="M189" s="50">
        <f t="shared" si="17"/>
        <v>0</v>
      </c>
      <c r="N189" s="50">
        <f t="shared" si="18"/>
        <v>0</v>
      </c>
    </row>
    <row r="190" spans="1:14" ht="12.75" customHeight="1" x14ac:dyDescent="0.3">
      <c r="A190" s="24">
        <v>24.08</v>
      </c>
      <c r="B190" s="158" t="s">
        <v>203</v>
      </c>
      <c r="C190" s="159" t="s">
        <v>196</v>
      </c>
      <c r="D190" s="31">
        <v>17</v>
      </c>
      <c r="E190" s="181">
        <v>399819</v>
      </c>
      <c r="F190" s="181">
        <f t="shared" si="14"/>
        <v>6796923</v>
      </c>
      <c r="G190" s="194"/>
      <c r="H190" s="245"/>
      <c r="I190" s="250">
        <v>0.49999999999999994</v>
      </c>
      <c r="J190" s="250">
        <v>0.1</v>
      </c>
      <c r="K190" s="251">
        <f t="shared" si="15"/>
        <v>0.6</v>
      </c>
      <c r="L190" s="50">
        <f t="shared" si="16"/>
        <v>3398461.4999999995</v>
      </c>
      <c r="M190" s="50">
        <f t="shared" si="17"/>
        <v>679692.3</v>
      </c>
      <c r="N190" s="50">
        <f t="shared" si="18"/>
        <v>4078153.8</v>
      </c>
    </row>
    <row r="191" spans="1:14" ht="12.75" customHeight="1" x14ac:dyDescent="0.3">
      <c r="A191" s="24">
        <v>24.09</v>
      </c>
      <c r="B191" s="160" t="s">
        <v>204</v>
      </c>
      <c r="C191" s="161" t="s">
        <v>196</v>
      </c>
      <c r="D191" s="31">
        <v>17</v>
      </c>
      <c r="E191" s="189">
        <v>347657</v>
      </c>
      <c r="F191" s="189">
        <f t="shared" si="14"/>
        <v>5910169</v>
      </c>
      <c r="G191" s="194"/>
      <c r="H191" s="245"/>
      <c r="I191" s="250">
        <v>0.42999999999999994</v>
      </c>
      <c r="J191" s="250">
        <v>7.0000000000000007E-2</v>
      </c>
      <c r="K191" s="251">
        <f t="shared" si="15"/>
        <v>0.49999999999999994</v>
      </c>
      <c r="L191" s="50">
        <f t="shared" si="16"/>
        <v>2541372.6699999995</v>
      </c>
      <c r="M191" s="50">
        <f t="shared" si="17"/>
        <v>413711.83</v>
      </c>
      <c r="N191" s="50">
        <f t="shared" si="18"/>
        <v>2955084.4999999995</v>
      </c>
    </row>
    <row r="192" spans="1:14" ht="12.75" customHeight="1" x14ac:dyDescent="0.3">
      <c r="A192" s="13">
        <v>25</v>
      </c>
      <c r="B192" s="40" t="s">
        <v>205</v>
      </c>
      <c r="C192" s="18"/>
      <c r="D192" s="19"/>
      <c r="E192" s="19"/>
      <c r="F192" s="19"/>
      <c r="G192" s="192">
        <f>+SUM(F193:F194)</f>
        <v>110386593</v>
      </c>
      <c r="H192" s="245">
        <f t="shared" si="19"/>
        <v>0.13065894998086086</v>
      </c>
      <c r="I192" s="246"/>
      <c r="J192" s="247"/>
      <c r="K192" s="247"/>
      <c r="L192" s="178"/>
      <c r="M192" s="178"/>
      <c r="N192" s="179"/>
    </row>
    <row r="193" spans="1:14" ht="12.75" customHeight="1" x14ac:dyDescent="0.3">
      <c r="A193" s="20">
        <v>25.01</v>
      </c>
      <c r="B193" s="21" t="s">
        <v>206</v>
      </c>
      <c r="C193" s="93" t="s">
        <v>196</v>
      </c>
      <c r="D193" s="94">
        <v>17</v>
      </c>
      <c r="E193" s="184">
        <v>5826965</v>
      </c>
      <c r="F193" s="183">
        <f t="shared" si="14"/>
        <v>99058405</v>
      </c>
      <c r="G193" s="195"/>
      <c r="H193" s="245"/>
      <c r="I193" s="250">
        <v>0.54999999999999993</v>
      </c>
      <c r="J193" s="250">
        <v>0.05</v>
      </c>
      <c r="K193" s="251">
        <f t="shared" si="15"/>
        <v>0.6</v>
      </c>
      <c r="L193" s="50">
        <f t="shared" si="16"/>
        <v>54482122.749999993</v>
      </c>
      <c r="M193" s="50">
        <f t="shared" si="17"/>
        <v>4952920.25</v>
      </c>
      <c r="N193" s="50">
        <f t="shared" si="18"/>
        <v>59435043</v>
      </c>
    </row>
    <row r="194" spans="1:14" ht="12.75" customHeight="1" x14ac:dyDescent="0.3">
      <c r="A194" s="33">
        <v>25.02</v>
      </c>
      <c r="B194" s="38" t="s">
        <v>207</v>
      </c>
      <c r="C194" s="34" t="s">
        <v>196</v>
      </c>
      <c r="D194" s="35">
        <v>17</v>
      </c>
      <c r="E194" s="184">
        <v>666364</v>
      </c>
      <c r="F194" s="181">
        <f t="shared" si="14"/>
        <v>11328188</v>
      </c>
      <c r="G194" s="196"/>
      <c r="H194" s="245"/>
      <c r="I194" s="255">
        <v>0.54999999999999993</v>
      </c>
      <c r="J194" s="255">
        <v>0.05</v>
      </c>
      <c r="K194" s="256">
        <f t="shared" si="15"/>
        <v>0.6</v>
      </c>
      <c r="L194" s="257">
        <f t="shared" si="16"/>
        <v>6230503.3999999994</v>
      </c>
      <c r="M194" s="257">
        <f t="shared" si="17"/>
        <v>566409.4</v>
      </c>
      <c r="N194" s="257">
        <f t="shared" si="18"/>
        <v>6796912.7999999998</v>
      </c>
    </row>
    <row r="195" spans="1:14" ht="12.75" customHeight="1" x14ac:dyDescent="0.3">
      <c r="A195" s="13"/>
      <c r="B195" s="40" t="s">
        <v>208</v>
      </c>
      <c r="C195" s="18"/>
      <c r="D195" s="19"/>
      <c r="E195" s="19"/>
      <c r="F195" s="197">
        <f>SUM(F9:F194)</f>
        <v>844845248</v>
      </c>
      <c r="G195" s="192">
        <f>SUM(G9:G194)</f>
        <v>844845248</v>
      </c>
      <c r="H195" s="245">
        <f>+SUM(H9:H194)</f>
        <v>0.99999999999999978</v>
      </c>
      <c r="I195" s="258"/>
      <c r="J195" s="259"/>
      <c r="K195" s="259"/>
      <c r="L195" s="260">
        <f>+SUM(L10:L194)</f>
        <v>184168824.23199999</v>
      </c>
      <c r="M195" s="260">
        <f>+SUM(M10:M194)</f>
        <v>27953961.629999995</v>
      </c>
      <c r="N195" s="261">
        <f>+SUM(N10:N194)</f>
        <v>212122785.86200002</v>
      </c>
    </row>
    <row r="196" spans="1:14" s="41" customFormat="1" ht="13" x14ac:dyDescent="0.3">
      <c r="A196" s="43"/>
      <c r="B196" s="44"/>
      <c r="C196" s="45"/>
      <c r="D196" s="46"/>
      <c r="E196" s="198"/>
      <c r="F196" s="198"/>
      <c r="G196" s="199"/>
      <c r="H196" s="177"/>
      <c r="I196" s="200"/>
      <c r="J196" s="200"/>
      <c r="K196" s="326"/>
      <c r="L196" s="200"/>
      <c r="M196" s="287">
        <f>+M195/G195</f>
        <v>3.3087671021616485E-2</v>
      </c>
      <c r="N196" s="254">
        <f>+N195/G195</f>
        <v>0.25107886487396092</v>
      </c>
    </row>
    <row r="197" spans="1:14" s="41" customFormat="1" ht="13" x14ac:dyDescent="0.3">
      <c r="A197" s="42"/>
      <c r="B197" s="88"/>
      <c r="C197" s="89"/>
      <c r="D197" s="9"/>
      <c r="E197" s="201"/>
      <c r="F197" s="201"/>
      <c r="G197" s="166"/>
      <c r="H197" s="177"/>
      <c r="I197" s="200"/>
      <c r="J197" s="200"/>
      <c r="K197" s="326"/>
      <c r="L197" s="200"/>
      <c r="M197" s="287"/>
      <c r="N197" s="254"/>
    </row>
    <row r="198" spans="1:14" s="41" customFormat="1" ht="13" x14ac:dyDescent="0.3">
      <c r="A198" s="42"/>
      <c r="B198" s="90" t="s">
        <v>234</v>
      </c>
      <c r="C198" s="305"/>
      <c r="D198" s="166"/>
      <c r="E198" s="201"/>
      <c r="F198" s="201"/>
      <c r="G198" s="166"/>
      <c r="H198" s="177"/>
      <c r="I198" s="200"/>
      <c r="J198" s="200"/>
      <c r="K198" s="326"/>
      <c r="L198" s="200"/>
      <c r="M198" s="287"/>
      <c r="N198" s="254"/>
    </row>
    <row r="199" spans="1:14" s="41" customFormat="1" ht="13" x14ac:dyDescent="0.3">
      <c r="A199" s="13">
        <v>4</v>
      </c>
      <c r="B199" s="17" t="s">
        <v>17</v>
      </c>
      <c r="C199" s="310"/>
      <c r="D199" s="197"/>
      <c r="E199" s="190"/>
      <c r="F199" s="190"/>
      <c r="G199" s="192">
        <f>+SUM(F200)</f>
        <v>-713352</v>
      </c>
      <c r="H199" s="177"/>
      <c r="I199" s="246"/>
      <c r="J199" s="247"/>
      <c r="K199" s="247"/>
      <c r="L199" s="178"/>
      <c r="M199" s="178"/>
      <c r="N199" s="179"/>
    </row>
    <row r="200" spans="1:14" s="41" customFormat="1" ht="13" x14ac:dyDescent="0.3">
      <c r="A200" s="39">
        <v>4.12</v>
      </c>
      <c r="B200" s="107" t="s">
        <v>32</v>
      </c>
      <c r="C200" s="108" t="s">
        <v>33</v>
      </c>
      <c r="D200" s="309">
        <v>-3</v>
      </c>
      <c r="E200" s="201">
        <f>+E21</f>
        <v>237784</v>
      </c>
      <c r="F200" s="183">
        <f t="shared" ref="F200:F212" si="20">+E200*D200</f>
        <v>-713352</v>
      </c>
      <c r="G200" s="166"/>
      <c r="H200" s="177"/>
      <c r="I200" s="248"/>
      <c r="J200" s="248"/>
      <c r="K200" s="249">
        <f t="shared" ref="K200" si="21">+I200+J200</f>
        <v>0</v>
      </c>
      <c r="L200" s="50">
        <f t="shared" ref="L200" si="22">+F200*I200</f>
        <v>0</v>
      </c>
      <c r="M200" s="50">
        <f t="shared" ref="M200" si="23">+F200*J200</f>
        <v>0</v>
      </c>
      <c r="N200" s="50">
        <f t="shared" ref="N200" si="24">+F200*K200</f>
        <v>0</v>
      </c>
    </row>
    <row r="201" spans="1:14" s="41" customFormat="1" ht="13" x14ac:dyDescent="0.3">
      <c r="A201" s="13">
        <v>5</v>
      </c>
      <c r="B201" s="17" t="s">
        <v>36</v>
      </c>
      <c r="C201" s="310"/>
      <c r="D201" s="197"/>
      <c r="E201" s="190"/>
      <c r="F201" s="190"/>
      <c r="G201" s="192">
        <f>+SUM(F202)</f>
        <v>-2438774</v>
      </c>
      <c r="H201" s="177"/>
      <c r="I201" s="246"/>
      <c r="J201" s="247"/>
      <c r="K201" s="247"/>
      <c r="L201" s="178"/>
      <c r="M201" s="178"/>
      <c r="N201" s="179"/>
    </row>
    <row r="202" spans="1:14" s="41" customFormat="1" ht="13" x14ac:dyDescent="0.3">
      <c r="A202" s="39">
        <v>5.07</v>
      </c>
      <c r="B202" s="107" t="s">
        <v>43</v>
      </c>
      <c r="C202" s="108" t="s">
        <v>29</v>
      </c>
      <c r="D202" s="309">
        <v>-1</v>
      </c>
      <c r="E202" s="201">
        <f>+E31</f>
        <v>2438774</v>
      </c>
      <c r="F202" s="183">
        <f t="shared" si="20"/>
        <v>-2438774</v>
      </c>
      <c r="G202" s="166"/>
      <c r="H202" s="177"/>
      <c r="I202" s="248"/>
      <c r="J202" s="248"/>
      <c r="K202" s="249">
        <f t="shared" ref="K202" si="25">+I202+J202</f>
        <v>0</v>
      </c>
      <c r="L202" s="50">
        <f t="shared" ref="L202" si="26">+F202*I202</f>
        <v>0</v>
      </c>
      <c r="M202" s="50">
        <f t="shared" ref="M202" si="27">+F202*J202</f>
        <v>0</v>
      </c>
      <c r="N202" s="50">
        <f t="shared" ref="N202" si="28">+F202*K202</f>
        <v>0</v>
      </c>
    </row>
    <row r="203" spans="1:14" s="41" customFormat="1" ht="13" x14ac:dyDescent="0.3">
      <c r="A203" s="13">
        <v>14</v>
      </c>
      <c r="B203" s="17" t="s">
        <v>93</v>
      </c>
      <c r="C203" s="310"/>
      <c r="D203" s="197"/>
      <c r="E203" s="190"/>
      <c r="F203" s="190"/>
      <c r="G203" s="192">
        <f>+SUM(F204:F205)</f>
        <v>-18097046</v>
      </c>
      <c r="H203" s="177"/>
      <c r="I203" s="246"/>
      <c r="J203" s="247"/>
      <c r="K203" s="247"/>
      <c r="L203" s="178"/>
      <c r="M203" s="178"/>
      <c r="N203" s="179"/>
    </row>
    <row r="204" spans="1:14" s="41" customFormat="1" ht="13" x14ac:dyDescent="0.3">
      <c r="A204" s="115">
        <v>14.01</v>
      </c>
      <c r="B204" s="312" t="s">
        <v>94</v>
      </c>
      <c r="C204" s="313" t="s">
        <v>19</v>
      </c>
      <c r="D204" s="123">
        <v>-460</v>
      </c>
      <c r="E204" s="180">
        <f>+E81</f>
        <v>23624</v>
      </c>
      <c r="F204" s="180">
        <f t="shared" si="20"/>
        <v>-10867040</v>
      </c>
      <c r="G204" s="166"/>
      <c r="H204" s="177"/>
      <c r="I204" s="248"/>
      <c r="J204" s="248"/>
      <c r="K204" s="249">
        <f t="shared" ref="K204:K205" si="29">+I204+J204</f>
        <v>0</v>
      </c>
      <c r="L204" s="50">
        <f t="shared" ref="L204:L205" si="30">+F204*I204</f>
        <v>0</v>
      </c>
      <c r="M204" s="50">
        <f t="shared" ref="M204:M205" si="31">+F204*J204</f>
        <v>0</v>
      </c>
      <c r="N204" s="50">
        <f t="shared" ref="N204:N205" si="32">+F204*K204</f>
        <v>0</v>
      </c>
    </row>
    <row r="205" spans="1:14" s="41" customFormat="1" ht="13" x14ac:dyDescent="0.3">
      <c r="A205" s="130">
        <v>14.02</v>
      </c>
      <c r="B205" s="314" t="s">
        <v>95</v>
      </c>
      <c r="C205" s="315" t="s">
        <v>27</v>
      </c>
      <c r="D205" s="139">
        <v>-434</v>
      </c>
      <c r="E205" s="189">
        <f>+E82</f>
        <v>16659</v>
      </c>
      <c r="F205" s="189">
        <f t="shared" si="20"/>
        <v>-7230006</v>
      </c>
      <c r="G205" s="166"/>
      <c r="H205" s="177"/>
      <c r="I205" s="248"/>
      <c r="J205" s="248"/>
      <c r="K205" s="249">
        <f t="shared" si="29"/>
        <v>0</v>
      </c>
      <c r="L205" s="50">
        <f t="shared" si="30"/>
        <v>0</v>
      </c>
      <c r="M205" s="50">
        <f t="shared" si="31"/>
        <v>0</v>
      </c>
      <c r="N205" s="50">
        <f t="shared" si="32"/>
        <v>0</v>
      </c>
    </row>
    <row r="206" spans="1:14" s="41" customFormat="1" ht="13" x14ac:dyDescent="0.3">
      <c r="A206" s="13">
        <v>15</v>
      </c>
      <c r="B206" s="17" t="s">
        <v>101</v>
      </c>
      <c r="C206" s="310"/>
      <c r="D206" s="197"/>
      <c r="E206" s="190"/>
      <c r="F206" s="190"/>
      <c r="G206" s="192">
        <f>+SUM(F207)</f>
        <v>-4086180</v>
      </c>
      <c r="H206" s="177"/>
      <c r="I206" s="246"/>
      <c r="J206" s="247"/>
      <c r="K206" s="247"/>
      <c r="L206" s="178"/>
      <c r="M206" s="178"/>
      <c r="N206" s="179"/>
    </row>
    <row r="207" spans="1:14" s="41" customFormat="1" ht="13" x14ac:dyDescent="0.3">
      <c r="A207" s="39">
        <v>15.05</v>
      </c>
      <c r="B207" s="107" t="s">
        <v>106</v>
      </c>
      <c r="C207" s="108" t="s">
        <v>19</v>
      </c>
      <c r="D207" s="309">
        <v>-460</v>
      </c>
      <c r="E207" s="201">
        <f>+E93</f>
        <v>8883</v>
      </c>
      <c r="F207" s="183">
        <f t="shared" si="20"/>
        <v>-4086180</v>
      </c>
      <c r="G207" s="166"/>
      <c r="H207" s="177"/>
      <c r="I207" s="248"/>
      <c r="J207" s="248"/>
      <c r="K207" s="249">
        <f t="shared" ref="K207" si="33">+I207+J207</f>
        <v>0</v>
      </c>
      <c r="L207" s="50">
        <f t="shared" ref="L207" si="34">+F207*I207</f>
        <v>0</v>
      </c>
      <c r="M207" s="50">
        <f t="shared" ref="M207" si="35">+F207*J207</f>
        <v>0</v>
      </c>
      <c r="N207" s="50">
        <f t="shared" ref="N207" si="36">+F207*K207</f>
        <v>0</v>
      </c>
    </row>
    <row r="208" spans="1:14" s="41" customFormat="1" ht="13" x14ac:dyDescent="0.3">
      <c r="A208" s="13">
        <v>18</v>
      </c>
      <c r="B208" s="40" t="s">
        <v>120</v>
      </c>
      <c r="C208" s="310"/>
      <c r="D208" s="197"/>
      <c r="E208" s="190"/>
      <c r="F208" s="190"/>
      <c r="G208" s="192">
        <f>+SUM(F209:F212)</f>
        <v>-2527808</v>
      </c>
      <c r="H208" s="177"/>
      <c r="I208" s="246"/>
      <c r="J208" s="247"/>
      <c r="K208" s="247"/>
      <c r="L208" s="178"/>
      <c r="M208" s="178"/>
      <c r="N208" s="179"/>
    </row>
    <row r="209" spans="1:14" s="41" customFormat="1" ht="13" x14ac:dyDescent="0.3">
      <c r="A209" s="115">
        <v>18.09</v>
      </c>
      <c r="B209" s="131" t="s">
        <v>129</v>
      </c>
      <c r="C209" s="132" t="s">
        <v>33</v>
      </c>
      <c r="D209" s="94">
        <v>-8</v>
      </c>
      <c r="E209" s="180">
        <f>+E117</f>
        <v>69154</v>
      </c>
      <c r="F209" s="180">
        <f t="shared" si="20"/>
        <v>-553232</v>
      </c>
      <c r="G209" s="166"/>
      <c r="H209" s="177"/>
      <c r="I209" s="248"/>
      <c r="J209" s="248"/>
      <c r="K209" s="249">
        <f t="shared" ref="K209:K212" si="37">+I209+J209</f>
        <v>0</v>
      </c>
      <c r="L209" s="50">
        <f t="shared" ref="L209:L212" si="38">+F209*I209</f>
        <v>0</v>
      </c>
      <c r="M209" s="50">
        <f t="shared" ref="M209:M212" si="39">+F209*J209</f>
        <v>0</v>
      </c>
      <c r="N209" s="50">
        <f t="shared" ref="N209:N212" si="40">+F209*K209</f>
        <v>0</v>
      </c>
    </row>
    <row r="210" spans="1:14" s="41" customFormat="1" ht="13" x14ac:dyDescent="0.3">
      <c r="A210" s="100">
        <v>18.11</v>
      </c>
      <c r="B210" s="98" t="s">
        <v>131</v>
      </c>
      <c r="C210" s="133" t="s">
        <v>33</v>
      </c>
      <c r="D210" s="31">
        <v>-26</v>
      </c>
      <c r="E210" s="181">
        <f>+E119</f>
        <v>50616</v>
      </c>
      <c r="F210" s="181">
        <f t="shared" si="20"/>
        <v>-1316016</v>
      </c>
      <c r="G210" s="166"/>
      <c r="H210" s="177"/>
      <c r="I210" s="248"/>
      <c r="J210" s="248"/>
      <c r="K210" s="249">
        <f t="shared" si="37"/>
        <v>0</v>
      </c>
      <c r="L210" s="50">
        <f t="shared" si="38"/>
        <v>0</v>
      </c>
      <c r="M210" s="50">
        <f t="shared" si="39"/>
        <v>0</v>
      </c>
      <c r="N210" s="50">
        <f t="shared" si="40"/>
        <v>0</v>
      </c>
    </row>
    <row r="211" spans="1:14" s="41" customFormat="1" ht="13" x14ac:dyDescent="0.3">
      <c r="A211" s="100">
        <v>18.13</v>
      </c>
      <c r="B211" s="98" t="s">
        <v>133</v>
      </c>
      <c r="C211" s="133" t="s">
        <v>33</v>
      </c>
      <c r="D211" s="31">
        <v>-9</v>
      </c>
      <c r="E211" s="181">
        <f>+E121</f>
        <v>50616</v>
      </c>
      <c r="F211" s="181">
        <f t="shared" si="20"/>
        <v>-455544</v>
      </c>
      <c r="G211" s="166"/>
      <c r="H211" s="177"/>
      <c r="I211" s="248"/>
      <c r="J211" s="248"/>
      <c r="K211" s="249">
        <f t="shared" si="37"/>
        <v>0</v>
      </c>
      <c r="L211" s="50">
        <f t="shared" si="38"/>
        <v>0</v>
      </c>
      <c r="M211" s="50">
        <f t="shared" si="39"/>
        <v>0</v>
      </c>
      <c r="N211" s="50">
        <f t="shared" si="40"/>
        <v>0</v>
      </c>
    </row>
    <row r="212" spans="1:14" s="41" customFormat="1" ht="13" x14ac:dyDescent="0.3">
      <c r="A212" s="130">
        <v>18.260000000000002</v>
      </c>
      <c r="B212" s="311" t="s">
        <v>146</v>
      </c>
      <c r="C212" s="135" t="s">
        <v>33</v>
      </c>
      <c r="D212" s="35">
        <v>-8</v>
      </c>
      <c r="E212" s="189">
        <f>+E134</f>
        <v>25377</v>
      </c>
      <c r="F212" s="189">
        <f t="shared" si="20"/>
        <v>-203016</v>
      </c>
      <c r="G212" s="166"/>
      <c r="H212" s="177"/>
      <c r="I212" s="248"/>
      <c r="J212" s="248"/>
      <c r="K212" s="249">
        <f t="shared" si="37"/>
        <v>0</v>
      </c>
      <c r="L212" s="50">
        <f t="shared" si="38"/>
        <v>0</v>
      </c>
      <c r="M212" s="50">
        <f t="shared" si="39"/>
        <v>0</v>
      </c>
      <c r="N212" s="50">
        <f t="shared" si="40"/>
        <v>0</v>
      </c>
    </row>
    <row r="213" spans="1:14" s="41" customFormat="1" ht="13" x14ac:dyDescent="0.3">
      <c r="A213" s="13"/>
      <c r="B213" s="40" t="s">
        <v>235</v>
      </c>
      <c r="C213" s="18"/>
      <c r="D213" s="19"/>
      <c r="E213" s="19"/>
      <c r="F213" s="197"/>
      <c r="G213" s="192">
        <f>+SUM(G199:G212)</f>
        <v>-27863160</v>
      </c>
      <c r="H213" s="177"/>
      <c r="I213" s="258"/>
      <c r="J213" s="259"/>
      <c r="K213" s="259"/>
      <c r="L213" s="260">
        <f>+SUM(L200:L212)</f>
        <v>0</v>
      </c>
      <c r="M213" s="260">
        <f>+SUM(M200:M212)</f>
        <v>0</v>
      </c>
      <c r="N213" s="261">
        <f>+SUM(N200:N212)</f>
        <v>0</v>
      </c>
    </row>
    <row r="214" spans="1:14" s="41" customFormat="1" ht="13" x14ac:dyDescent="0.3">
      <c r="A214" s="39"/>
      <c r="B214" s="306"/>
      <c r="C214" s="307"/>
      <c r="D214" s="308"/>
      <c r="E214" s="201"/>
      <c r="F214" s="201"/>
      <c r="G214" s="166"/>
      <c r="H214" s="177"/>
      <c r="I214" s="200"/>
      <c r="J214" s="200"/>
      <c r="K214" s="326"/>
      <c r="L214" s="200"/>
      <c r="M214" s="51"/>
      <c r="N214" s="51"/>
    </row>
    <row r="215" spans="1:14" ht="12.75" customHeight="1" x14ac:dyDescent="0.3">
      <c r="A215" s="39"/>
      <c r="B215" s="47"/>
      <c r="D215" s="48"/>
      <c r="E215" s="9"/>
      <c r="F215" s="9"/>
      <c r="G215" s="202"/>
      <c r="I215" s="200"/>
      <c r="J215" s="200"/>
      <c r="K215" s="326"/>
      <c r="L215" s="200"/>
      <c r="M215" s="51"/>
      <c r="N215" s="51"/>
    </row>
    <row r="216" spans="1:14" ht="12.75" customHeight="1" x14ac:dyDescent="0.3">
      <c r="A216" s="52"/>
      <c r="B216" s="53" t="s">
        <v>209</v>
      </c>
      <c r="C216" s="54"/>
      <c r="D216" s="55"/>
      <c r="E216" s="203"/>
      <c r="F216" s="204"/>
      <c r="G216" s="205"/>
      <c r="H216" s="205"/>
      <c r="I216" s="204"/>
      <c r="J216" s="206"/>
      <c r="K216" s="327" t="s">
        <v>210</v>
      </c>
      <c r="L216" s="208">
        <f>+J5</f>
        <v>12</v>
      </c>
      <c r="M216" s="209"/>
      <c r="N216" s="57">
        <f>+N5</f>
        <v>46080</v>
      </c>
    </row>
    <row r="217" spans="1:14" ht="12.75" customHeight="1" x14ac:dyDescent="0.3">
      <c r="A217" s="58"/>
      <c r="B217" s="53" t="s">
        <v>9</v>
      </c>
      <c r="C217" s="56"/>
      <c r="D217" s="59"/>
      <c r="E217" s="211"/>
      <c r="F217" s="205"/>
      <c r="G217" s="205"/>
      <c r="H217" s="205"/>
      <c r="I217" s="205"/>
      <c r="J217" s="209"/>
      <c r="K217" s="259"/>
      <c r="L217" s="205"/>
      <c r="M217" s="209" t="s">
        <v>211</v>
      </c>
      <c r="N217" s="210" t="s">
        <v>212</v>
      </c>
    </row>
    <row r="218" spans="1:14" ht="12.75" customHeight="1" x14ac:dyDescent="0.3">
      <c r="A218" s="275" t="s">
        <v>213</v>
      </c>
      <c r="B218" s="61" t="s">
        <v>214</v>
      </c>
      <c r="C218" s="60"/>
      <c r="D218" s="62"/>
      <c r="E218" s="212"/>
      <c r="F218" s="213"/>
      <c r="G218" s="214"/>
      <c r="H218" s="214"/>
      <c r="I218" s="213"/>
      <c r="J218" s="215"/>
      <c r="K218" s="328"/>
      <c r="L218" s="213"/>
      <c r="M218" s="213"/>
      <c r="N218" s="63">
        <f>+G195</f>
        <v>844845248</v>
      </c>
    </row>
    <row r="219" spans="1:14" ht="12.75" customHeight="1" x14ac:dyDescent="0.3">
      <c r="A219" s="64" t="s">
        <v>215</v>
      </c>
      <c r="B219" s="65" t="s">
        <v>216</v>
      </c>
      <c r="C219" s="66"/>
      <c r="D219" s="67"/>
      <c r="E219" s="216"/>
      <c r="F219" s="217"/>
      <c r="G219" s="218"/>
      <c r="H219" s="218"/>
      <c r="I219" s="217"/>
      <c r="J219" s="219"/>
      <c r="K219" s="238"/>
      <c r="L219" s="217"/>
      <c r="M219" s="236">
        <v>0.1</v>
      </c>
      <c r="N219" s="220">
        <f>+M219*N218</f>
        <v>84484524.800000012</v>
      </c>
    </row>
    <row r="220" spans="1:14" ht="12.75" customHeight="1" x14ac:dyDescent="0.3">
      <c r="A220" s="276" t="s">
        <v>217</v>
      </c>
      <c r="B220" s="69" t="s">
        <v>218</v>
      </c>
      <c r="C220" s="70"/>
      <c r="D220" s="71"/>
      <c r="E220" s="221"/>
      <c r="F220" s="222"/>
      <c r="G220" s="223"/>
      <c r="H220" s="223"/>
      <c r="I220" s="222"/>
      <c r="J220" s="224"/>
      <c r="K220" s="237"/>
      <c r="L220" s="222"/>
      <c r="M220" s="237"/>
      <c r="N220" s="225">
        <f>+M195</f>
        <v>27953961.629999995</v>
      </c>
    </row>
    <row r="221" spans="1:14" ht="12.75" customHeight="1" x14ac:dyDescent="0.3">
      <c r="A221" s="264" t="s">
        <v>219</v>
      </c>
      <c r="B221" s="265" t="s">
        <v>220</v>
      </c>
      <c r="C221" s="266"/>
      <c r="D221" s="267"/>
      <c r="E221" s="268"/>
      <c r="F221" s="269"/>
      <c r="G221" s="270"/>
      <c r="H221" s="270"/>
      <c r="I221" s="269"/>
      <c r="J221" s="271"/>
      <c r="K221" s="272"/>
      <c r="L221" s="269"/>
      <c r="M221" s="272">
        <f>-M219</f>
        <v>-0.1</v>
      </c>
      <c r="N221" s="273">
        <f>+M221*N220</f>
        <v>-2795396.1629999997</v>
      </c>
    </row>
    <row r="222" spans="1:14" ht="12.75" customHeight="1" x14ac:dyDescent="0.3">
      <c r="A222" s="276" t="s">
        <v>221</v>
      </c>
      <c r="B222" s="69" t="s">
        <v>233</v>
      </c>
      <c r="C222" s="70"/>
      <c r="D222" s="71"/>
      <c r="E222" s="221"/>
      <c r="F222" s="222"/>
      <c r="G222" s="223"/>
      <c r="H222" s="223"/>
      <c r="I222" s="222"/>
      <c r="J222" s="224"/>
      <c r="K222" s="237"/>
      <c r="L222" s="222"/>
      <c r="M222" s="237"/>
      <c r="N222" s="225">
        <f>+M213</f>
        <v>0</v>
      </c>
    </row>
    <row r="223" spans="1:14" ht="12.75" customHeight="1" x14ac:dyDescent="0.3">
      <c r="A223" s="295" t="s">
        <v>225</v>
      </c>
      <c r="B223" s="296" t="s">
        <v>222</v>
      </c>
      <c r="C223" s="297"/>
      <c r="D223" s="298"/>
      <c r="E223" s="299"/>
      <c r="F223" s="300"/>
      <c r="G223" s="300"/>
      <c r="H223" s="300"/>
      <c r="I223" s="300"/>
      <c r="J223" s="301"/>
      <c r="K223" s="302"/>
      <c r="L223" s="300"/>
      <c r="M223" s="302"/>
      <c r="N223" s="303">
        <f>+N220+N221+N222</f>
        <v>25158565.466999996</v>
      </c>
    </row>
    <row r="224" spans="1:14" ht="12.75" customHeight="1" x14ac:dyDescent="0.3">
      <c r="H224" s="245"/>
    </row>
    <row r="225" spans="2:8" ht="12.75" customHeight="1" x14ac:dyDescent="0.3">
      <c r="B225" s="2" t="s">
        <v>236</v>
      </c>
      <c r="H225" s="245"/>
    </row>
  </sheetData>
  <mergeCells count="2">
    <mergeCell ref="I7:K7"/>
    <mergeCell ref="L7:N7"/>
  </mergeCells>
  <conditionalFormatting sqref="C3:C214">
    <cfRule type="cellIs" dxfId="27" priority="6" operator="equal">
      <formula>"x"</formula>
    </cfRule>
  </conditionalFormatting>
  <conditionalFormatting sqref="K10:K23 K25:K31 K33 K35:K40 K42:K49 K51:K53 K55:K58 K60:K70 K72:K74 K76:K79 K81:K87 K89:K100 K102 K104:K107 K144:K146 K148:K150 K152:K156 K158 K160:K161 K163 K165:K168 K170:K171 K173 K175:K176 K178:K181 K183:K191 K193:K194">
    <cfRule type="cellIs" dxfId="26" priority="7" operator="lessThan">
      <formula>1</formula>
    </cfRule>
  </conditionalFormatting>
  <conditionalFormatting sqref="K109:K141">
    <cfRule type="cellIs" dxfId="25" priority="5" operator="lessThan">
      <formula>1</formula>
    </cfRule>
  </conditionalFormatting>
  <conditionalFormatting sqref="K200 K202">
    <cfRule type="cellIs" dxfId="24" priority="4" operator="lessThan">
      <formula>1</formula>
    </cfRule>
  </conditionalFormatting>
  <conditionalFormatting sqref="K204:K205">
    <cfRule type="cellIs" dxfId="23" priority="3" operator="lessThan">
      <formula>1</formula>
    </cfRule>
  </conditionalFormatting>
  <conditionalFormatting sqref="K207">
    <cfRule type="cellIs" dxfId="22" priority="2" operator="lessThan">
      <formula>1</formula>
    </cfRule>
  </conditionalFormatting>
  <conditionalFormatting sqref="K209:K212">
    <cfRule type="cellIs" dxfId="21" priority="1" operator="lessThan">
      <formula>1</formula>
    </cfRule>
  </conditionalFormatting>
  <pageMargins left="0.45" right="0.25" top="0.63" bottom="0.55118110236220474" header="0.31496062992125984" footer="0.31496062992125984"/>
  <pageSetup paperSize="9" scale="54" fitToHeight="8" orientation="landscape" r:id="rId1"/>
  <headerFooter>
    <oddFooter>&amp;C&amp;P de &amp;N</oddFooter>
  </headerFooter>
  <rowBreaks count="1" manualBreakCount="1">
    <brk id="139" max="13" man="1"/>
  </rowBreaks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A5B1E-0C12-4F94-AF8B-3C94615F96D2}">
  <dimension ref="A1:S225"/>
  <sheetViews>
    <sheetView topLeftCell="B101" zoomScaleNormal="100" zoomScaleSheetLayoutView="100" workbookViewId="0">
      <selection activeCell="N195" sqref="N195"/>
    </sheetView>
  </sheetViews>
  <sheetFormatPr defaultColWidth="11.54296875" defaultRowHeight="12.75" customHeight="1" x14ac:dyDescent="0.3"/>
  <cols>
    <col min="1" max="1" width="7" style="1" bestFit="1" customWidth="1"/>
    <col min="2" max="2" width="98.453125" style="2" customWidth="1"/>
    <col min="3" max="3" width="5.36328125" style="3" bestFit="1" customWidth="1"/>
    <col min="4" max="4" width="6.54296875" style="4" bestFit="1" customWidth="1"/>
    <col min="5" max="5" width="11" style="86" bestFit="1" customWidth="1"/>
    <col min="6" max="6" width="12" style="86" bestFit="1" customWidth="1"/>
    <col min="7" max="7" width="12" style="87" bestFit="1" customWidth="1"/>
    <col min="8" max="8" width="5.36328125" style="92" bestFit="1" customWidth="1"/>
    <col min="9" max="10" width="13.81640625" style="92" customWidth="1"/>
    <col min="11" max="11" width="13.81640625" style="245" customWidth="1"/>
    <col min="12" max="12" width="12.1796875" style="92" bestFit="1" customWidth="1"/>
    <col min="13" max="13" width="13.81640625" style="92" customWidth="1"/>
    <col min="14" max="14" width="13.6328125" style="92" bestFit="1" customWidth="1"/>
    <col min="15" max="15" width="12.08984375" style="5" customWidth="1"/>
    <col min="16" max="16" width="13.453125" style="5" bestFit="1" customWidth="1"/>
    <col min="17" max="16384" width="11.54296875" style="5"/>
  </cols>
  <sheetData>
    <row r="1" spans="1:18" ht="12.75" customHeight="1" x14ac:dyDescent="0.3">
      <c r="F1" s="162" t="s">
        <v>0</v>
      </c>
      <c r="G1" s="162" t="s">
        <v>1</v>
      </c>
    </row>
    <row r="2" spans="1:18" ht="13" x14ac:dyDescent="0.3">
      <c r="F2" s="163">
        <v>1066.5</v>
      </c>
      <c r="G2" s="163">
        <v>1170</v>
      </c>
    </row>
    <row r="3" spans="1:18" s="10" customFormat="1" ht="13" x14ac:dyDescent="0.25">
      <c r="A3" s="6"/>
      <c r="B3" s="7"/>
      <c r="C3" s="8"/>
      <c r="D3" s="9"/>
      <c r="E3" s="9"/>
      <c r="F3" s="9"/>
      <c r="G3" s="164"/>
      <c r="H3" s="165"/>
      <c r="I3" s="165"/>
      <c r="J3" s="165"/>
      <c r="K3" s="324"/>
      <c r="L3" s="165"/>
      <c r="M3" s="165"/>
      <c r="N3" s="165"/>
    </row>
    <row r="4" spans="1:18" s="10" customFormat="1" ht="13" x14ac:dyDescent="0.25">
      <c r="A4" s="6"/>
      <c r="B4" s="7"/>
      <c r="C4" s="8"/>
      <c r="D4" s="9"/>
      <c r="E4" s="9"/>
      <c r="F4" s="286">
        <v>45667</v>
      </c>
      <c r="G4" s="164"/>
      <c r="H4" s="165"/>
      <c r="I4" s="165"/>
      <c r="J4" s="165"/>
      <c r="K4" s="324"/>
      <c r="L4" s="165"/>
      <c r="M4" s="165"/>
      <c r="N4" s="165"/>
    </row>
    <row r="5" spans="1:18" s="10" customFormat="1" ht="13" x14ac:dyDescent="0.3">
      <c r="A5" s="6"/>
      <c r="B5" s="90" t="s">
        <v>2</v>
      </c>
      <c r="C5" s="8"/>
      <c r="D5" s="9"/>
      <c r="E5" s="167"/>
      <c r="F5" s="167"/>
      <c r="G5" s="164"/>
      <c r="H5" s="165"/>
      <c r="I5" s="168" t="s">
        <v>3</v>
      </c>
      <c r="J5" s="169">
        <v>13</v>
      </c>
      <c r="K5" s="245"/>
      <c r="L5" s="170"/>
      <c r="M5" s="171"/>
      <c r="N5" s="49">
        <v>46108</v>
      </c>
    </row>
    <row r="6" spans="1:18" s="10" customFormat="1" ht="13" x14ac:dyDescent="0.25">
      <c r="A6" s="6"/>
      <c r="B6" s="90" t="s">
        <v>4</v>
      </c>
      <c r="C6" s="8"/>
      <c r="D6" s="9"/>
      <c r="E6" s="172"/>
      <c r="F6" s="172"/>
      <c r="G6" s="164"/>
      <c r="H6" s="165"/>
      <c r="I6" s="165"/>
      <c r="J6" s="165"/>
      <c r="K6" s="324"/>
      <c r="L6" s="165"/>
      <c r="M6" s="165"/>
      <c r="N6" s="165"/>
    </row>
    <row r="7" spans="1:18" s="10" customFormat="1" ht="13" x14ac:dyDescent="0.25">
      <c r="A7" s="6"/>
      <c r="B7" s="91" t="s">
        <v>5</v>
      </c>
      <c r="C7" s="11"/>
      <c r="D7" s="12"/>
      <c r="E7" s="173"/>
      <c r="F7" s="172"/>
      <c r="G7" s="164"/>
      <c r="H7" s="165"/>
      <c r="I7" s="330" t="s">
        <v>6</v>
      </c>
      <c r="J7" s="330"/>
      <c r="K7" s="330"/>
      <c r="L7" s="330" t="s">
        <v>7</v>
      </c>
      <c r="M7" s="330"/>
      <c r="N7" s="330"/>
    </row>
    <row r="8" spans="1:18" ht="13" x14ac:dyDescent="0.3">
      <c r="A8" s="13" t="s">
        <v>8</v>
      </c>
      <c r="B8" s="14" t="s">
        <v>9</v>
      </c>
      <c r="C8" s="15" t="s">
        <v>10</v>
      </c>
      <c r="D8" s="16" t="s">
        <v>11</v>
      </c>
      <c r="E8" s="175" t="s">
        <v>12</v>
      </c>
      <c r="F8" s="175" t="s">
        <v>13</v>
      </c>
      <c r="I8" s="174" t="s">
        <v>14</v>
      </c>
      <c r="J8" s="174" t="s">
        <v>15</v>
      </c>
      <c r="K8" s="325" t="s">
        <v>16</v>
      </c>
      <c r="L8" s="174" t="s">
        <v>14</v>
      </c>
      <c r="M8" s="174" t="s">
        <v>15</v>
      </c>
      <c r="N8" s="174" t="s">
        <v>16</v>
      </c>
    </row>
    <row r="9" spans="1:18" ht="12.75" customHeight="1" x14ac:dyDescent="0.3">
      <c r="A9" s="13">
        <v>4</v>
      </c>
      <c r="B9" s="17" t="s">
        <v>17</v>
      </c>
      <c r="C9" s="18"/>
      <c r="D9" s="19"/>
      <c r="E9" s="19"/>
      <c r="F9" s="19"/>
      <c r="G9" s="176">
        <f>+SUM(F10:F23)</f>
        <v>51045774</v>
      </c>
      <c r="H9" s="245">
        <f>+G9/$G$195</f>
        <v>6.0420265274428106E-2</v>
      </c>
      <c r="I9" s="246"/>
      <c r="J9" s="247"/>
      <c r="K9" s="247"/>
      <c r="L9" s="178"/>
      <c r="M9" s="178"/>
      <c r="N9" s="179"/>
    </row>
    <row r="10" spans="1:18" ht="12.75" customHeight="1" x14ac:dyDescent="0.3">
      <c r="A10" s="20">
        <v>4.01</v>
      </c>
      <c r="B10" s="21" t="s">
        <v>18</v>
      </c>
      <c r="C10" s="93" t="s">
        <v>19</v>
      </c>
      <c r="D10" s="94">
        <v>621</v>
      </c>
      <c r="E10" s="180">
        <v>22140</v>
      </c>
      <c r="F10" s="181">
        <f t="shared" ref="F10:F73" si="0">+E10*D10</f>
        <v>13748940</v>
      </c>
      <c r="G10" s="182"/>
      <c r="H10" s="245"/>
      <c r="I10" s="248">
        <v>0.85</v>
      </c>
      <c r="J10" s="248">
        <v>0.02</v>
      </c>
      <c r="K10" s="249">
        <f t="shared" ref="K10:K73" si="1">+I10+J10</f>
        <v>0.87</v>
      </c>
      <c r="L10" s="50">
        <f t="shared" ref="L10:L73" si="2">+F10*I10</f>
        <v>11686599</v>
      </c>
      <c r="M10" s="50">
        <f t="shared" ref="M10:M73" si="3">+F10*J10</f>
        <v>274978.8</v>
      </c>
      <c r="N10" s="50">
        <f t="shared" ref="N10:N73" si="4">+F10*K10</f>
        <v>11961577.800000001</v>
      </c>
      <c r="P10" s="92"/>
      <c r="R10" s="245"/>
    </row>
    <row r="11" spans="1:18" ht="12.75" customHeight="1" x14ac:dyDescent="0.3">
      <c r="A11" s="24">
        <v>4.0199999999999996</v>
      </c>
      <c r="B11" s="95" t="s">
        <v>20</v>
      </c>
      <c r="C11" s="30" t="s">
        <v>19</v>
      </c>
      <c r="D11" s="31">
        <v>780</v>
      </c>
      <c r="E11" s="183">
        <v>24437</v>
      </c>
      <c r="F11" s="181">
        <f t="shared" si="0"/>
        <v>19060860</v>
      </c>
      <c r="G11" s="182"/>
      <c r="H11" s="245"/>
      <c r="I11" s="250">
        <v>0.85</v>
      </c>
      <c r="J11" s="250">
        <v>0.05</v>
      </c>
      <c r="K11" s="251">
        <f t="shared" si="1"/>
        <v>0.9</v>
      </c>
      <c r="L11" s="50">
        <f t="shared" si="2"/>
        <v>16201731</v>
      </c>
      <c r="M11" s="50">
        <f t="shared" si="3"/>
        <v>953043</v>
      </c>
      <c r="N11" s="50">
        <f t="shared" si="4"/>
        <v>17154774</v>
      </c>
      <c r="O11" s="304"/>
      <c r="P11" s="92"/>
      <c r="R11" s="245"/>
    </row>
    <row r="12" spans="1:18" ht="12.75" customHeight="1" x14ac:dyDescent="0.3">
      <c r="A12" s="24">
        <v>4.03</v>
      </c>
      <c r="B12" s="25" t="s">
        <v>21</v>
      </c>
      <c r="C12" s="30" t="s">
        <v>19</v>
      </c>
      <c r="D12" s="31">
        <v>56</v>
      </c>
      <c r="E12" s="183">
        <v>23248</v>
      </c>
      <c r="F12" s="181">
        <f t="shared" si="0"/>
        <v>1301888</v>
      </c>
      <c r="G12" s="182"/>
      <c r="H12" s="245"/>
      <c r="I12" s="250">
        <v>1</v>
      </c>
      <c r="J12" s="250"/>
      <c r="K12" s="251">
        <f t="shared" si="1"/>
        <v>1</v>
      </c>
      <c r="L12" s="50">
        <f t="shared" si="2"/>
        <v>1301888</v>
      </c>
      <c r="M12" s="50">
        <f t="shared" si="3"/>
        <v>0</v>
      </c>
      <c r="N12" s="50">
        <f t="shared" si="4"/>
        <v>1301888</v>
      </c>
      <c r="O12" s="304"/>
      <c r="P12" s="92"/>
      <c r="R12" s="245"/>
    </row>
    <row r="13" spans="1:18" ht="12.75" customHeight="1" x14ac:dyDescent="0.3">
      <c r="A13" s="24">
        <v>4.04</v>
      </c>
      <c r="B13" s="25" t="s">
        <v>22</v>
      </c>
      <c r="C13" s="30" t="s">
        <v>19</v>
      </c>
      <c r="D13" s="31">
        <v>42</v>
      </c>
      <c r="E13" s="183">
        <v>28746</v>
      </c>
      <c r="F13" s="181">
        <f t="shared" si="0"/>
        <v>1207332</v>
      </c>
      <c r="G13" s="182"/>
      <c r="H13" s="245"/>
      <c r="I13" s="250">
        <v>0.7</v>
      </c>
      <c r="J13" s="250">
        <v>0.15</v>
      </c>
      <c r="K13" s="251">
        <f t="shared" si="1"/>
        <v>0.85</v>
      </c>
      <c r="L13" s="50">
        <f t="shared" si="2"/>
        <v>845132.39999999991</v>
      </c>
      <c r="M13" s="50">
        <f t="shared" si="3"/>
        <v>181099.8</v>
      </c>
      <c r="N13" s="50">
        <f t="shared" si="4"/>
        <v>1026232.2</v>
      </c>
      <c r="O13" s="304"/>
      <c r="P13" s="92"/>
    </row>
    <row r="14" spans="1:18" ht="12.75" customHeight="1" x14ac:dyDescent="0.3">
      <c r="A14" s="24">
        <v>4.05</v>
      </c>
      <c r="B14" s="25" t="s">
        <v>23</v>
      </c>
      <c r="C14" s="30" t="s">
        <v>19</v>
      </c>
      <c r="D14" s="31">
        <v>70</v>
      </c>
      <c r="E14" s="183">
        <v>36933</v>
      </c>
      <c r="F14" s="181">
        <f t="shared" si="0"/>
        <v>2585310</v>
      </c>
      <c r="G14" s="182"/>
      <c r="H14" s="245"/>
      <c r="I14" s="250">
        <v>0.1</v>
      </c>
      <c r="J14" s="250"/>
      <c r="K14" s="251">
        <f t="shared" si="1"/>
        <v>0.1</v>
      </c>
      <c r="L14" s="50">
        <f t="shared" si="2"/>
        <v>258531</v>
      </c>
      <c r="M14" s="50">
        <f t="shared" si="3"/>
        <v>0</v>
      </c>
      <c r="N14" s="50">
        <f t="shared" si="4"/>
        <v>258531</v>
      </c>
      <c r="O14" s="304"/>
      <c r="P14" s="92"/>
    </row>
    <row r="15" spans="1:18" ht="12.75" customHeight="1" x14ac:dyDescent="0.3">
      <c r="A15" s="24">
        <v>4.0599999999999996</v>
      </c>
      <c r="B15" s="25" t="s">
        <v>24</v>
      </c>
      <c r="C15" s="30" t="s">
        <v>19</v>
      </c>
      <c r="D15" s="31">
        <v>5</v>
      </c>
      <c r="E15" s="183">
        <v>28672</v>
      </c>
      <c r="F15" s="181">
        <f t="shared" si="0"/>
        <v>143360</v>
      </c>
      <c r="G15" s="182"/>
      <c r="H15" s="245"/>
      <c r="I15" s="250">
        <v>0.1</v>
      </c>
      <c r="J15" s="250"/>
      <c r="K15" s="251">
        <f t="shared" si="1"/>
        <v>0.1</v>
      </c>
      <c r="L15" s="50">
        <f t="shared" si="2"/>
        <v>14336</v>
      </c>
      <c r="M15" s="50">
        <f t="shared" si="3"/>
        <v>0</v>
      </c>
      <c r="N15" s="50">
        <f t="shared" si="4"/>
        <v>14336</v>
      </c>
      <c r="O15" s="304"/>
    </row>
    <row r="16" spans="1:18" ht="12.75" customHeight="1" x14ac:dyDescent="0.3">
      <c r="A16" s="24">
        <v>4.07</v>
      </c>
      <c r="B16" s="25" t="s">
        <v>25</v>
      </c>
      <c r="C16" s="30" t="s">
        <v>19</v>
      </c>
      <c r="D16" s="37">
        <v>193</v>
      </c>
      <c r="E16" s="183">
        <v>18611</v>
      </c>
      <c r="F16" s="181">
        <f t="shared" si="0"/>
        <v>3591923</v>
      </c>
      <c r="G16" s="182"/>
      <c r="H16" s="245"/>
      <c r="I16" s="250">
        <v>0</v>
      </c>
      <c r="J16" s="250"/>
      <c r="K16" s="251">
        <f t="shared" si="1"/>
        <v>0</v>
      </c>
      <c r="L16" s="50">
        <f t="shared" si="2"/>
        <v>0</v>
      </c>
      <c r="M16" s="50">
        <f t="shared" si="3"/>
        <v>0</v>
      </c>
      <c r="N16" s="50">
        <f t="shared" si="4"/>
        <v>0</v>
      </c>
      <c r="O16" s="304"/>
    </row>
    <row r="17" spans="1:15" ht="12.75" customHeight="1" x14ac:dyDescent="0.3">
      <c r="A17" s="24">
        <v>4.08</v>
      </c>
      <c r="B17" s="25" t="s">
        <v>26</v>
      </c>
      <c r="C17" s="30" t="s">
        <v>27</v>
      </c>
      <c r="D17" s="37">
        <v>61</v>
      </c>
      <c r="E17" s="183">
        <v>28578</v>
      </c>
      <c r="F17" s="181">
        <f t="shared" si="0"/>
        <v>1743258</v>
      </c>
      <c r="G17" s="182"/>
      <c r="H17" s="245"/>
      <c r="I17" s="250">
        <v>0.60000000000000009</v>
      </c>
      <c r="J17" s="274">
        <v>0.4</v>
      </c>
      <c r="K17" s="251">
        <f t="shared" si="1"/>
        <v>1</v>
      </c>
      <c r="L17" s="50">
        <f t="shared" si="2"/>
        <v>1045954.8000000002</v>
      </c>
      <c r="M17" s="50">
        <f t="shared" si="3"/>
        <v>697303.20000000007</v>
      </c>
      <c r="N17" s="50">
        <f t="shared" si="4"/>
        <v>1743258</v>
      </c>
      <c r="O17" s="304"/>
    </row>
    <row r="18" spans="1:15" ht="12.75" customHeight="1" x14ac:dyDescent="0.3">
      <c r="A18" s="24">
        <v>4.09</v>
      </c>
      <c r="B18" s="25" t="s">
        <v>28</v>
      </c>
      <c r="C18" s="30" t="s">
        <v>29</v>
      </c>
      <c r="D18" s="37">
        <v>1</v>
      </c>
      <c r="E18" s="183">
        <v>280823</v>
      </c>
      <c r="F18" s="181">
        <f t="shared" si="0"/>
        <v>280823</v>
      </c>
      <c r="G18" s="182"/>
      <c r="H18" s="245"/>
      <c r="I18" s="250">
        <v>0</v>
      </c>
      <c r="J18" s="250"/>
      <c r="K18" s="251">
        <f t="shared" si="1"/>
        <v>0</v>
      </c>
      <c r="L18" s="50">
        <f t="shared" si="2"/>
        <v>0</v>
      </c>
      <c r="M18" s="50">
        <f t="shared" si="3"/>
        <v>0</v>
      </c>
      <c r="N18" s="50">
        <f t="shared" si="4"/>
        <v>0</v>
      </c>
    </row>
    <row r="19" spans="1:15" ht="12.75" customHeight="1" x14ac:dyDescent="0.3">
      <c r="A19" s="24">
        <v>4.0999999999999996</v>
      </c>
      <c r="B19" s="25" t="s">
        <v>30</v>
      </c>
      <c r="C19" s="30" t="s">
        <v>29</v>
      </c>
      <c r="D19" s="37">
        <v>1</v>
      </c>
      <c r="E19" s="183">
        <v>801214</v>
      </c>
      <c r="F19" s="181">
        <f t="shared" si="0"/>
        <v>801214</v>
      </c>
      <c r="G19" s="182"/>
      <c r="H19" s="245"/>
      <c r="I19" s="250">
        <v>0</v>
      </c>
      <c r="J19" s="250"/>
      <c r="K19" s="251">
        <f t="shared" si="1"/>
        <v>0</v>
      </c>
      <c r="L19" s="50">
        <f t="shared" si="2"/>
        <v>0</v>
      </c>
      <c r="M19" s="50">
        <f t="shared" si="3"/>
        <v>0</v>
      </c>
      <c r="N19" s="50">
        <f t="shared" si="4"/>
        <v>0</v>
      </c>
    </row>
    <row r="20" spans="1:15" ht="12.75" customHeight="1" x14ac:dyDescent="0.3">
      <c r="A20" s="24">
        <v>4.1100000000000003</v>
      </c>
      <c r="B20" s="25" t="s">
        <v>31</v>
      </c>
      <c r="C20" s="30" t="s">
        <v>29</v>
      </c>
      <c r="D20" s="37">
        <v>1</v>
      </c>
      <c r="E20" s="183">
        <v>525234</v>
      </c>
      <c r="F20" s="181">
        <f t="shared" si="0"/>
        <v>525234</v>
      </c>
      <c r="G20" s="182"/>
      <c r="H20" s="245"/>
      <c r="I20" s="250">
        <v>0</v>
      </c>
      <c r="J20" s="250"/>
      <c r="K20" s="251">
        <f t="shared" si="1"/>
        <v>0</v>
      </c>
      <c r="L20" s="50">
        <f t="shared" si="2"/>
        <v>0</v>
      </c>
      <c r="M20" s="50">
        <f t="shared" si="3"/>
        <v>0</v>
      </c>
      <c r="N20" s="50">
        <f t="shared" si="4"/>
        <v>0</v>
      </c>
    </row>
    <row r="21" spans="1:15" ht="12.75" customHeight="1" x14ac:dyDescent="0.3">
      <c r="A21" s="24">
        <v>4.12</v>
      </c>
      <c r="B21" s="25" t="s">
        <v>32</v>
      </c>
      <c r="C21" s="30" t="s">
        <v>33</v>
      </c>
      <c r="D21" s="37">
        <v>3</v>
      </c>
      <c r="E21" s="183">
        <v>237784</v>
      </c>
      <c r="F21" s="181">
        <f t="shared" si="0"/>
        <v>713352</v>
      </c>
      <c r="G21" s="182"/>
      <c r="H21" s="245"/>
      <c r="I21" s="250">
        <v>0</v>
      </c>
      <c r="J21" s="250"/>
      <c r="K21" s="251">
        <f t="shared" si="1"/>
        <v>0</v>
      </c>
      <c r="L21" s="50">
        <f t="shared" si="2"/>
        <v>0</v>
      </c>
      <c r="M21" s="50">
        <f t="shared" si="3"/>
        <v>0</v>
      </c>
      <c r="N21" s="50">
        <f t="shared" si="4"/>
        <v>0</v>
      </c>
    </row>
    <row r="22" spans="1:15" ht="12.75" customHeight="1" x14ac:dyDescent="0.3">
      <c r="A22" s="24">
        <v>4.13</v>
      </c>
      <c r="B22" s="25" t="s">
        <v>34</v>
      </c>
      <c r="C22" s="30" t="s">
        <v>27</v>
      </c>
      <c r="D22" s="37">
        <v>40</v>
      </c>
      <c r="E22" s="183">
        <v>98026</v>
      </c>
      <c r="F22" s="181">
        <f t="shared" si="0"/>
        <v>3921040</v>
      </c>
      <c r="G22" s="182"/>
      <c r="H22" s="245"/>
      <c r="I22" s="250">
        <v>0</v>
      </c>
      <c r="J22" s="250"/>
      <c r="K22" s="251">
        <f t="shared" si="1"/>
        <v>0</v>
      </c>
      <c r="L22" s="50">
        <f t="shared" si="2"/>
        <v>0</v>
      </c>
      <c r="M22" s="50">
        <f t="shared" si="3"/>
        <v>0</v>
      </c>
      <c r="N22" s="50">
        <f t="shared" si="4"/>
        <v>0</v>
      </c>
    </row>
    <row r="23" spans="1:15" ht="12.75" customHeight="1" x14ac:dyDescent="0.3">
      <c r="A23" s="24">
        <v>4.1399999999999997</v>
      </c>
      <c r="B23" s="38" t="s">
        <v>35</v>
      </c>
      <c r="C23" s="34" t="s">
        <v>33</v>
      </c>
      <c r="D23" s="96">
        <v>8</v>
      </c>
      <c r="E23" s="183">
        <v>177655</v>
      </c>
      <c r="F23" s="181">
        <f t="shared" si="0"/>
        <v>1421240</v>
      </c>
      <c r="G23" s="182"/>
      <c r="H23" s="245"/>
      <c r="I23" s="250">
        <v>0</v>
      </c>
      <c r="J23" s="250"/>
      <c r="K23" s="251">
        <f t="shared" si="1"/>
        <v>0</v>
      </c>
      <c r="L23" s="50">
        <f t="shared" si="2"/>
        <v>0</v>
      </c>
      <c r="M23" s="50">
        <f t="shared" si="3"/>
        <v>0</v>
      </c>
      <c r="N23" s="50">
        <f t="shared" si="4"/>
        <v>0</v>
      </c>
    </row>
    <row r="24" spans="1:15" ht="12.75" customHeight="1" x14ac:dyDescent="0.3">
      <c r="A24" s="13">
        <v>5</v>
      </c>
      <c r="B24" s="40" t="s">
        <v>36</v>
      </c>
      <c r="C24" s="18"/>
      <c r="D24" s="19"/>
      <c r="E24" s="19"/>
      <c r="F24" s="19"/>
      <c r="G24" s="176">
        <f>+SUM(F25:F31)</f>
        <v>19239698</v>
      </c>
      <c r="H24" s="245">
        <f>+G24/$G$195</f>
        <v>2.2773043993022494E-2</v>
      </c>
      <c r="I24" s="246"/>
      <c r="J24" s="247"/>
      <c r="K24" s="247"/>
      <c r="L24" s="178"/>
      <c r="M24" s="178"/>
      <c r="N24" s="179"/>
    </row>
    <row r="25" spans="1:15" ht="12.75" customHeight="1" x14ac:dyDescent="0.3">
      <c r="A25" s="20">
        <v>5.01</v>
      </c>
      <c r="B25" s="21" t="s">
        <v>37</v>
      </c>
      <c r="C25" s="93" t="s">
        <v>27</v>
      </c>
      <c r="D25" s="97">
        <v>136</v>
      </c>
      <c r="E25" s="183">
        <v>6496</v>
      </c>
      <c r="F25" s="181">
        <f t="shared" si="0"/>
        <v>883456</v>
      </c>
      <c r="G25" s="182"/>
      <c r="H25" s="245"/>
      <c r="I25" s="250">
        <v>0</v>
      </c>
      <c r="J25" s="250"/>
      <c r="K25" s="251">
        <f t="shared" si="1"/>
        <v>0</v>
      </c>
      <c r="L25" s="50">
        <f t="shared" si="2"/>
        <v>0</v>
      </c>
      <c r="M25" s="50">
        <f t="shared" si="3"/>
        <v>0</v>
      </c>
      <c r="N25" s="50">
        <f t="shared" si="4"/>
        <v>0</v>
      </c>
    </row>
    <row r="26" spans="1:15" ht="12.75" customHeight="1" x14ac:dyDescent="0.3">
      <c r="A26" s="24">
        <v>5.0199999999999996</v>
      </c>
      <c r="B26" s="98" t="s">
        <v>38</v>
      </c>
      <c r="C26" s="30" t="s">
        <v>19</v>
      </c>
      <c r="D26" s="31">
        <v>77</v>
      </c>
      <c r="E26" s="184">
        <v>33270</v>
      </c>
      <c r="F26" s="183">
        <f t="shared" si="0"/>
        <v>2561790</v>
      </c>
      <c r="G26" s="182"/>
      <c r="H26" s="245"/>
      <c r="I26" s="250">
        <v>0</v>
      </c>
      <c r="J26" s="250"/>
      <c r="K26" s="251">
        <f t="shared" si="1"/>
        <v>0</v>
      </c>
      <c r="L26" s="50">
        <f t="shared" si="2"/>
        <v>0</v>
      </c>
      <c r="M26" s="50">
        <f t="shared" si="3"/>
        <v>0</v>
      </c>
      <c r="N26" s="50">
        <f t="shared" si="4"/>
        <v>0</v>
      </c>
    </row>
    <row r="27" spans="1:15" ht="12.75" customHeight="1" x14ac:dyDescent="0.3">
      <c r="A27" s="24">
        <v>5.03</v>
      </c>
      <c r="B27" s="25" t="s">
        <v>39</v>
      </c>
      <c r="C27" s="30" t="s">
        <v>19</v>
      </c>
      <c r="D27" s="31">
        <v>107</v>
      </c>
      <c r="E27" s="184">
        <v>6496</v>
      </c>
      <c r="F27" s="181">
        <f t="shared" si="0"/>
        <v>695072</v>
      </c>
      <c r="G27" s="182"/>
      <c r="H27" s="245"/>
      <c r="I27" s="250">
        <v>0</v>
      </c>
      <c r="J27" s="250"/>
      <c r="K27" s="251">
        <f t="shared" si="1"/>
        <v>0</v>
      </c>
      <c r="L27" s="50">
        <f t="shared" si="2"/>
        <v>0</v>
      </c>
      <c r="M27" s="50">
        <f t="shared" si="3"/>
        <v>0</v>
      </c>
      <c r="N27" s="50">
        <f t="shared" si="4"/>
        <v>0</v>
      </c>
    </row>
    <row r="28" spans="1:15" ht="12.75" customHeight="1" x14ac:dyDescent="0.3">
      <c r="A28" s="24">
        <v>5.04</v>
      </c>
      <c r="B28" s="25" t="s">
        <v>40</v>
      </c>
      <c r="C28" s="30" t="s">
        <v>19</v>
      </c>
      <c r="D28" s="31">
        <v>186</v>
      </c>
      <c r="E28" s="184">
        <v>4832</v>
      </c>
      <c r="F28" s="181">
        <f t="shared" si="0"/>
        <v>898752</v>
      </c>
      <c r="G28" s="182"/>
      <c r="H28" s="245"/>
      <c r="I28" s="250">
        <v>0</v>
      </c>
      <c r="J28" s="250"/>
      <c r="K28" s="251">
        <f t="shared" si="1"/>
        <v>0</v>
      </c>
      <c r="L28" s="50">
        <f t="shared" si="2"/>
        <v>0</v>
      </c>
      <c r="M28" s="50">
        <f t="shared" si="3"/>
        <v>0</v>
      </c>
      <c r="N28" s="50">
        <f t="shared" si="4"/>
        <v>0</v>
      </c>
    </row>
    <row r="29" spans="1:15" ht="12.75" customHeight="1" x14ac:dyDescent="0.3">
      <c r="A29" s="24">
        <v>5.05</v>
      </c>
      <c r="B29" s="25" t="s">
        <v>41</v>
      </c>
      <c r="C29" s="30" t="s">
        <v>19</v>
      </c>
      <c r="D29" s="31">
        <v>186</v>
      </c>
      <c r="E29" s="184">
        <v>4134</v>
      </c>
      <c r="F29" s="181">
        <f t="shared" si="0"/>
        <v>768924</v>
      </c>
      <c r="G29" s="182"/>
      <c r="H29" s="245"/>
      <c r="I29" s="250">
        <v>1</v>
      </c>
      <c r="J29" s="250"/>
      <c r="K29" s="251">
        <f t="shared" si="1"/>
        <v>1</v>
      </c>
      <c r="L29" s="50">
        <f t="shared" si="2"/>
        <v>768924</v>
      </c>
      <c r="M29" s="50">
        <f t="shared" si="3"/>
        <v>0</v>
      </c>
      <c r="N29" s="50">
        <f t="shared" si="4"/>
        <v>768924</v>
      </c>
    </row>
    <row r="30" spans="1:15" ht="12.75" customHeight="1" x14ac:dyDescent="0.3">
      <c r="A30" s="24">
        <v>5.0599999999999996</v>
      </c>
      <c r="B30" s="25" t="s">
        <v>42</v>
      </c>
      <c r="C30" s="99" t="s">
        <v>19</v>
      </c>
      <c r="D30" s="31">
        <v>390</v>
      </c>
      <c r="E30" s="184">
        <v>28187</v>
      </c>
      <c r="F30" s="181">
        <f t="shared" si="0"/>
        <v>10992930</v>
      </c>
      <c r="G30" s="185"/>
      <c r="H30" s="245"/>
      <c r="I30" s="250">
        <v>0</v>
      </c>
      <c r="J30" s="250"/>
      <c r="K30" s="251">
        <f t="shared" si="1"/>
        <v>0</v>
      </c>
      <c r="L30" s="50">
        <f t="shared" si="2"/>
        <v>0</v>
      </c>
      <c r="M30" s="50">
        <f t="shared" si="3"/>
        <v>0</v>
      </c>
      <c r="N30" s="50">
        <f t="shared" si="4"/>
        <v>0</v>
      </c>
    </row>
    <row r="31" spans="1:15" ht="12.75" customHeight="1" x14ac:dyDescent="0.3">
      <c r="A31" s="24">
        <v>5.07</v>
      </c>
      <c r="B31" s="25" t="s">
        <v>43</v>
      </c>
      <c r="C31" s="99" t="s">
        <v>29</v>
      </c>
      <c r="D31" s="31">
        <v>1</v>
      </c>
      <c r="E31" s="184">
        <v>2438774</v>
      </c>
      <c r="F31" s="181">
        <f t="shared" si="0"/>
        <v>2438774</v>
      </c>
      <c r="G31" s="186"/>
      <c r="H31" s="245"/>
      <c r="I31" s="250">
        <v>0</v>
      </c>
      <c r="J31" s="250"/>
      <c r="K31" s="251">
        <f t="shared" si="1"/>
        <v>0</v>
      </c>
      <c r="L31" s="50">
        <f t="shared" si="2"/>
        <v>0</v>
      </c>
      <c r="M31" s="50">
        <f t="shared" si="3"/>
        <v>0</v>
      </c>
      <c r="N31" s="50">
        <f t="shared" si="4"/>
        <v>0</v>
      </c>
    </row>
    <row r="32" spans="1:15" ht="12.75" customHeight="1" x14ac:dyDescent="0.3">
      <c r="A32" s="13">
        <v>6</v>
      </c>
      <c r="B32" s="17" t="s">
        <v>44</v>
      </c>
      <c r="C32" s="18"/>
      <c r="D32" s="19"/>
      <c r="E32" s="19"/>
      <c r="F32" s="19"/>
      <c r="G32" s="176">
        <f>+SUM(F33)</f>
        <v>1722875</v>
      </c>
      <c r="H32" s="245">
        <f>+G32/$G$195</f>
        <v>2.0392787958251023E-3</v>
      </c>
      <c r="I32" s="246"/>
      <c r="J32" s="247"/>
      <c r="K32" s="247"/>
      <c r="L32" s="178"/>
      <c r="M32" s="178"/>
      <c r="N32" s="179"/>
    </row>
    <row r="33" spans="1:14" ht="12.75" customHeight="1" x14ac:dyDescent="0.3">
      <c r="A33" s="100">
        <v>6.02</v>
      </c>
      <c r="B33" s="38" t="s">
        <v>45</v>
      </c>
      <c r="C33" s="101" t="s">
        <v>27</v>
      </c>
      <c r="D33" s="102">
        <v>55</v>
      </c>
      <c r="E33" s="181">
        <v>31325</v>
      </c>
      <c r="F33" s="181">
        <f t="shared" si="0"/>
        <v>1722875</v>
      </c>
      <c r="G33" s="185"/>
      <c r="H33" s="245"/>
      <c r="I33" s="250">
        <v>0</v>
      </c>
      <c r="J33" s="250"/>
      <c r="K33" s="251">
        <f t="shared" si="1"/>
        <v>0</v>
      </c>
      <c r="L33" s="50">
        <f t="shared" si="2"/>
        <v>0</v>
      </c>
      <c r="M33" s="50">
        <f t="shared" si="3"/>
        <v>0</v>
      </c>
      <c r="N33" s="50">
        <f t="shared" si="4"/>
        <v>0</v>
      </c>
    </row>
    <row r="34" spans="1:14" ht="12.75" customHeight="1" x14ac:dyDescent="0.3">
      <c r="A34" s="13">
        <v>7</v>
      </c>
      <c r="B34" s="40" t="s">
        <v>46</v>
      </c>
      <c r="C34" s="18"/>
      <c r="D34" s="19"/>
      <c r="E34" s="19"/>
      <c r="F34" s="19"/>
      <c r="G34" s="176">
        <f>+SUM(F35:F40)</f>
        <v>92324467</v>
      </c>
      <c r="H34" s="245">
        <f>+G34/$G$195</f>
        <v>0.10927973758337338</v>
      </c>
      <c r="I34" s="246"/>
      <c r="J34" s="247"/>
      <c r="K34" s="247"/>
      <c r="L34" s="178"/>
      <c r="M34" s="178"/>
      <c r="N34" s="179"/>
    </row>
    <row r="35" spans="1:14" ht="12.75" customHeight="1" x14ac:dyDescent="0.3">
      <c r="A35" s="20">
        <v>7.01</v>
      </c>
      <c r="B35" s="103" t="s">
        <v>47</v>
      </c>
      <c r="C35" s="93" t="s">
        <v>19</v>
      </c>
      <c r="D35" s="94">
        <v>879</v>
      </c>
      <c r="E35" s="180">
        <v>19943</v>
      </c>
      <c r="F35" s="180">
        <f t="shared" si="0"/>
        <v>17529897</v>
      </c>
      <c r="G35" s="187"/>
      <c r="H35" s="245"/>
      <c r="I35" s="250">
        <v>0</v>
      </c>
      <c r="J35" s="250"/>
      <c r="K35" s="251">
        <f t="shared" si="1"/>
        <v>0</v>
      </c>
      <c r="L35" s="50">
        <f t="shared" si="2"/>
        <v>0</v>
      </c>
      <c r="M35" s="50">
        <f t="shared" si="3"/>
        <v>0</v>
      </c>
      <c r="N35" s="50">
        <f t="shared" si="4"/>
        <v>0</v>
      </c>
    </row>
    <row r="36" spans="1:14" ht="12.75" customHeight="1" x14ac:dyDescent="0.3">
      <c r="A36" s="24">
        <v>7.02</v>
      </c>
      <c r="B36" s="104" t="s">
        <v>48</v>
      </c>
      <c r="C36" s="30" t="s">
        <v>19</v>
      </c>
      <c r="D36" s="31">
        <v>716</v>
      </c>
      <c r="E36" s="181">
        <v>26767</v>
      </c>
      <c r="F36" s="181">
        <f t="shared" si="0"/>
        <v>19165172</v>
      </c>
      <c r="G36" s="185"/>
      <c r="H36" s="245"/>
      <c r="I36" s="250">
        <v>0.4</v>
      </c>
      <c r="J36" s="274">
        <v>0.15</v>
      </c>
      <c r="K36" s="251">
        <f t="shared" si="1"/>
        <v>0.55000000000000004</v>
      </c>
      <c r="L36" s="50">
        <f t="shared" si="2"/>
        <v>7666068.8000000007</v>
      </c>
      <c r="M36" s="50">
        <f t="shared" si="3"/>
        <v>2874775.8</v>
      </c>
      <c r="N36" s="50">
        <f t="shared" si="4"/>
        <v>10540844.600000001</v>
      </c>
    </row>
    <row r="37" spans="1:14" ht="12.75" customHeight="1" x14ac:dyDescent="0.3">
      <c r="A37" s="24">
        <v>7.03</v>
      </c>
      <c r="B37" s="25" t="s">
        <v>49</v>
      </c>
      <c r="C37" s="30" t="s">
        <v>19</v>
      </c>
      <c r="D37" s="31">
        <v>1439</v>
      </c>
      <c r="E37" s="181">
        <v>22963</v>
      </c>
      <c r="F37" s="181">
        <f t="shared" si="0"/>
        <v>33043757</v>
      </c>
      <c r="G37" s="185"/>
      <c r="H37" s="245"/>
      <c r="I37" s="250">
        <v>0.1</v>
      </c>
      <c r="J37" s="274">
        <v>0.7</v>
      </c>
      <c r="K37" s="251">
        <f t="shared" si="1"/>
        <v>0.79999999999999993</v>
      </c>
      <c r="L37" s="50">
        <f t="shared" si="2"/>
        <v>3304375.7</v>
      </c>
      <c r="M37" s="50">
        <f t="shared" si="3"/>
        <v>23130629.899999999</v>
      </c>
      <c r="N37" s="50">
        <f t="shared" si="4"/>
        <v>26435005.599999998</v>
      </c>
    </row>
    <row r="38" spans="1:14" ht="13" x14ac:dyDescent="0.3">
      <c r="A38" s="100">
        <v>7.04</v>
      </c>
      <c r="B38" s="105" t="s">
        <v>50</v>
      </c>
      <c r="C38" s="30" t="s">
        <v>27</v>
      </c>
      <c r="D38" s="31">
        <v>347</v>
      </c>
      <c r="E38" s="181">
        <v>16909</v>
      </c>
      <c r="F38" s="181">
        <f t="shared" si="0"/>
        <v>5867423</v>
      </c>
      <c r="G38" s="185"/>
      <c r="H38" s="245"/>
      <c r="I38" s="250">
        <v>0.1</v>
      </c>
      <c r="J38" s="274">
        <v>0.7</v>
      </c>
      <c r="K38" s="251">
        <f t="shared" si="1"/>
        <v>0.79999999999999993</v>
      </c>
      <c r="L38" s="50">
        <f t="shared" si="2"/>
        <v>586742.30000000005</v>
      </c>
      <c r="M38" s="50">
        <f t="shared" si="3"/>
        <v>4107196.0999999996</v>
      </c>
      <c r="N38" s="50">
        <f t="shared" si="4"/>
        <v>4693938.3999999994</v>
      </c>
    </row>
    <row r="39" spans="1:14" ht="12.75" customHeight="1" x14ac:dyDescent="0.3">
      <c r="A39" s="24">
        <v>7.05</v>
      </c>
      <c r="B39" s="105" t="s">
        <v>51</v>
      </c>
      <c r="C39" s="30" t="s">
        <v>52</v>
      </c>
      <c r="D39" s="31">
        <v>132</v>
      </c>
      <c r="E39" s="181">
        <v>19384</v>
      </c>
      <c r="F39" s="181">
        <f t="shared" si="0"/>
        <v>2558688</v>
      </c>
      <c r="G39" s="185"/>
      <c r="H39" s="245"/>
      <c r="I39" s="250">
        <v>0.1</v>
      </c>
      <c r="J39" s="274">
        <v>0.7</v>
      </c>
      <c r="K39" s="251">
        <f t="shared" si="1"/>
        <v>0.79999999999999993</v>
      </c>
      <c r="L39" s="50">
        <f t="shared" si="2"/>
        <v>255868.80000000002</v>
      </c>
      <c r="M39" s="50">
        <f t="shared" si="3"/>
        <v>1791081.5999999999</v>
      </c>
      <c r="N39" s="50">
        <f t="shared" si="4"/>
        <v>2046950.3999999999</v>
      </c>
    </row>
    <row r="40" spans="1:14" ht="12.75" customHeight="1" x14ac:dyDescent="0.3">
      <c r="A40" s="100">
        <v>7.06</v>
      </c>
      <c r="B40" s="25" t="s">
        <v>53</v>
      </c>
      <c r="C40" s="30" t="s">
        <v>19</v>
      </c>
      <c r="D40" s="31">
        <v>710</v>
      </c>
      <c r="E40" s="181">
        <v>19943</v>
      </c>
      <c r="F40" s="181">
        <f t="shared" si="0"/>
        <v>14159530</v>
      </c>
      <c r="G40" s="185"/>
      <c r="H40" s="245"/>
      <c r="I40" s="250">
        <v>0.05</v>
      </c>
      <c r="J40" s="250">
        <v>0.2</v>
      </c>
      <c r="K40" s="251">
        <f t="shared" si="1"/>
        <v>0.25</v>
      </c>
      <c r="L40" s="50">
        <f t="shared" si="2"/>
        <v>707976.5</v>
      </c>
      <c r="M40" s="50">
        <f t="shared" si="3"/>
        <v>2831906</v>
      </c>
      <c r="N40" s="50">
        <f t="shared" si="4"/>
        <v>3539882.5</v>
      </c>
    </row>
    <row r="41" spans="1:14" ht="12.75" customHeight="1" x14ac:dyDescent="0.3">
      <c r="A41" s="13">
        <v>8</v>
      </c>
      <c r="B41" s="17" t="s">
        <v>54</v>
      </c>
      <c r="C41" s="18"/>
      <c r="D41" s="19"/>
      <c r="E41" s="19"/>
      <c r="F41" s="19"/>
      <c r="G41" s="176">
        <f>+SUM(F42:F49)</f>
        <v>49520833</v>
      </c>
      <c r="H41" s="245">
        <f>+G41/$G$195</f>
        <v>5.8615270805192479E-2</v>
      </c>
      <c r="I41" s="246"/>
      <c r="J41" s="247"/>
      <c r="K41" s="247"/>
      <c r="L41" s="178"/>
      <c r="M41" s="178"/>
      <c r="N41" s="179"/>
    </row>
    <row r="42" spans="1:14" ht="12.75" customHeight="1" x14ac:dyDescent="0.3">
      <c r="A42" s="20">
        <v>8.01</v>
      </c>
      <c r="B42" s="21" t="s">
        <v>55</v>
      </c>
      <c r="C42" s="93" t="s">
        <v>19</v>
      </c>
      <c r="D42" s="94">
        <v>107</v>
      </c>
      <c r="E42" s="183">
        <v>58580</v>
      </c>
      <c r="F42" s="183">
        <f t="shared" si="0"/>
        <v>6268060</v>
      </c>
      <c r="G42" s="182"/>
      <c r="H42" s="245"/>
      <c r="I42" s="250">
        <v>0</v>
      </c>
      <c r="J42" s="250"/>
      <c r="K42" s="251">
        <f t="shared" si="1"/>
        <v>0</v>
      </c>
      <c r="L42" s="50">
        <f t="shared" si="2"/>
        <v>0</v>
      </c>
      <c r="M42" s="50">
        <f t="shared" si="3"/>
        <v>0</v>
      </c>
      <c r="N42" s="50">
        <f t="shared" si="4"/>
        <v>0</v>
      </c>
    </row>
    <row r="43" spans="1:14" ht="12.75" customHeight="1" x14ac:dyDescent="0.3">
      <c r="A43" s="106">
        <v>8.02</v>
      </c>
      <c r="B43" s="107" t="s">
        <v>56</v>
      </c>
      <c r="C43" s="108" t="s">
        <v>19</v>
      </c>
      <c r="D43" s="32">
        <v>258</v>
      </c>
      <c r="E43" s="183">
        <v>38729</v>
      </c>
      <c r="F43" s="183">
        <f t="shared" si="0"/>
        <v>9992082</v>
      </c>
      <c r="G43" s="182"/>
      <c r="H43" s="245"/>
      <c r="I43" s="250">
        <v>0</v>
      </c>
      <c r="J43" s="250"/>
      <c r="K43" s="251">
        <f t="shared" si="1"/>
        <v>0</v>
      </c>
      <c r="L43" s="50">
        <f t="shared" si="2"/>
        <v>0</v>
      </c>
      <c r="M43" s="50">
        <f t="shared" si="3"/>
        <v>0</v>
      </c>
      <c r="N43" s="50">
        <f t="shared" si="4"/>
        <v>0</v>
      </c>
    </row>
    <row r="44" spans="1:14" ht="12.75" customHeight="1" x14ac:dyDescent="0.3">
      <c r="A44" s="24">
        <v>8.0299999999999994</v>
      </c>
      <c r="B44" s="25" t="s">
        <v>57</v>
      </c>
      <c r="C44" s="30" t="s">
        <v>19</v>
      </c>
      <c r="D44" s="31">
        <v>425</v>
      </c>
      <c r="E44" s="183">
        <v>22943</v>
      </c>
      <c r="F44" s="183">
        <f t="shared" si="0"/>
        <v>9750775</v>
      </c>
      <c r="G44" s="182"/>
      <c r="H44" s="245"/>
      <c r="I44" s="250">
        <v>0</v>
      </c>
      <c r="J44" s="250"/>
      <c r="K44" s="251">
        <f t="shared" si="1"/>
        <v>0</v>
      </c>
      <c r="L44" s="50">
        <f t="shared" si="2"/>
        <v>0</v>
      </c>
      <c r="M44" s="50">
        <f t="shared" si="3"/>
        <v>0</v>
      </c>
      <c r="N44" s="50">
        <f t="shared" si="4"/>
        <v>0</v>
      </c>
    </row>
    <row r="45" spans="1:14" ht="12.75" customHeight="1" x14ac:dyDescent="0.3">
      <c r="A45" s="106">
        <v>8.0399999999999991</v>
      </c>
      <c r="B45" s="25" t="s">
        <v>58</v>
      </c>
      <c r="C45" s="30" t="s">
        <v>19</v>
      </c>
      <c r="D45" s="31">
        <v>200</v>
      </c>
      <c r="E45" s="183">
        <v>40355</v>
      </c>
      <c r="F45" s="183">
        <f t="shared" si="0"/>
        <v>8071000</v>
      </c>
      <c r="G45" s="182"/>
      <c r="H45" s="245"/>
      <c r="I45" s="250">
        <v>0</v>
      </c>
      <c r="J45" s="250"/>
      <c r="K45" s="251">
        <f t="shared" si="1"/>
        <v>0</v>
      </c>
      <c r="L45" s="50">
        <f t="shared" si="2"/>
        <v>0</v>
      </c>
      <c r="M45" s="50">
        <f t="shared" si="3"/>
        <v>0</v>
      </c>
      <c r="N45" s="50">
        <f t="shared" si="4"/>
        <v>0</v>
      </c>
    </row>
    <row r="46" spans="1:14" ht="12.75" customHeight="1" x14ac:dyDescent="0.3">
      <c r="A46" s="24">
        <v>8.0500000000000007</v>
      </c>
      <c r="B46" s="25" t="s">
        <v>59</v>
      </c>
      <c r="C46" s="30" t="s">
        <v>19</v>
      </c>
      <c r="D46" s="31">
        <v>77</v>
      </c>
      <c r="E46" s="183">
        <v>31515</v>
      </c>
      <c r="F46" s="183">
        <f t="shared" si="0"/>
        <v>2426655</v>
      </c>
      <c r="G46" s="182"/>
      <c r="H46" s="245"/>
      <c r="I46" s="250">
        <v>0</v>
      </c>
      <c r="J46" s="250"/>
      <c r="K46" s="251">
        <f t="shared" si="1"/>
        <v>0</v>
      </c>
      <c r="L46" s="50">
        <f t="shared" si="2"/>
        <v>0</v>
      </c>
      <c r="M46" s="50">
        <f t="shared" si="3"/>
        <v>0</v>
      </c>
      <c r="N46" s="50">
        <f t="shared" si="4"/>
        <v>0</v>
      </c>
    </row>
    <row r="47" spans="1:14" ht="12.75" customHeight="1" x14ac:dyDescent="0.3">
      <c r="A47" s="106">
        <v>8.06</v>
      </c>
      <c r="B47" s="25" t="s">
        <v>60</v>
      </c>
      <c r="C47" s="30" t="s">
        <v>19</v>
      </c>
      <c r="D47" s="31">
        <v>77</v>
      </c>
      <c r="E47" s="183">
        <v>19683</v>
      </c>
      <c r="F47" s="183">
        <f t="shared" si="0"/>
        <v>1515591</v>
      </c>
      <c r="G47" s="182"/>
      <c r="H47" s="245"/>
      <c r="I47" s="250">
        <v>0</v>
      </c>
      <c r="J47" s="250"/>
      <c r="K47" s="251">
        <f t="shared" si="1"/>
        <v>0</v>
      </c>
      <c r="L47" s="50">
        <f t="shared" si="2"/>
        <v>0</v>
      </c>
      <c r="M47" s="50">
        <f t="shared" si="3"/>
        <v>0</v>
      </c>
      <c r="N47" s="50">
        <f t="shared" si="4"/>
        <v>0</v>
      </c>
    </row>
    <row r="48" spans="1:14" ht="12.75" customHeight="1" x14ac:dyDescent="0.3">
      <c r="A48" s="24">
        <v>8.07</v>
      </c>
      <c r="B48" s="25" t="s">
        <v>61</v>
      </c>
      <c r="C48" s="30" t="s">
        <v>19</v>
      </c>
      <c r="D48" s="31">
        <v>442</v>
      </c>
      <c r="E48" s="183">
        <v>14335</v>
      </c>
      <c r="F48" s="183">
        <f t="shared" si="0"/>
        <v>6336070</v>
      </c>
      <c r="G48" s="182"/>
      <c r="H48" s="245"/>
      <c r="I48" s="250">
        <v>0</v>
      </c>
      <c r="J48" s="250"/>
      <c r="K48" s="251">
        <f t="shared" si="1"/>
        <v>0</v>
      </c>
      <c r="L48" s="50">
        <f t="shared" si="2"/>
        <v>0</v>
      </c>
      <c r="M48" s="50">
        <f t="shared" si="3"/>
        <v>0</v>
      </c>
      <c r="N48" s="50">
        <f t="shared" si="4"/>
        <v>0</v>
      </c>
    </row>
    <row r="49" spans="1:14" ht="12.75" customHeight="1" x14ac:dyDescent="0.3">
      <c r="A49" s="106">
        <v>8.08</v>
      </c>
      <c r="B49" s="25" t="s">
        <v>62</v>
      </c>
      <c r="C49" s="30" t="s">
        <v>19</v>
      </c>
      <c r="D49" s="31">
        <v>360</v>
      </c>
      <c r="E49" s="183">
        <v>14335</v>
      </c>
      <c r="F49" s="183">
        <f t="shared" si="0"/>
        <v>5160600</v>
      </c>
      <c r="G49" s="182"/>
      <c r="H49" s="245"/>
      <c r="I49" s="250">
        <v>0</v>
      </c>
      <c r="J49" s="250"/>
      <c r="K49" s="251">
        <f t="shared" si="1"/>
        <v>0</v>
      </c>
      <c r="L49" s="50">
        <f t="shared" si="2"/>
        <v>0</v>
      </c>
      <c r="M49" s="50">
        <f t="shared" si="3"/>
        <v>0</v>
      </c>
      <c r="N49" s="50">
        <f t="shared" si="4"/>
        <v>0</v>
      </c>
    </row>
    <row r="50" spans="1:14" ht="12.75" customHeight="1" x14ac:dyDescent="0.3">
      <c r="A50" s="13">
        <v>9</v>
      </c>
      <c r="B50" s="17" t="s">
        <v>63</v>
      </c>
      <c r="C50" s="18"/>
      <c r="D50" s="19"/>
      <c r="E50" s="19"/>
      <c r="F50" s="19"/>
      <c r="G50" s="176">
        <f>+SUM(F51:F53)</f>
        <v>4852846</v>
      </c>
      <c r="H50" s="245">
        <f>+G50/$G$195</f>
        <v>5.7440649769743392E-3</v>
      </c>
      <c r="I50" s="246"/>
      <c r="J50" s="247"/>
      <c r="K50" s="247"/>
      <c r="L50" s="178"/>
      <c r="M50" s="178"/>
      <c r="N50" s="179"/>
    </row>
    <row r="51" spans="1:14" ht="12.75" customHeight="1" x14ac:dyDescent="0.3">
      <c r="A51" s="20">
        <v>9.01</v>
      </c>
      <c r="B51" s="21" t="s">
        <v>64</v>
      </c>
      <c r="C51" s="109" t="s">
        <v>29</v>
      </c>
      <c r="D51" s="94">
        <v>1</v>
      </c>
      <c r="E51" s="181">
        <v>2109310</v>
      </c>
      <c r="F51" s="181">
        <f t="shared" si="0"/>
        <v>2109310</v>
      </c>
      <c r="G51" s="186"/>
      <c r="H51" s="245"/>
      <c r="I51" s="250">
        <v>0</v>
      </c>
      <c r="J51" s="250"/>
      <c r="K51" s="251">
        <f t="shared" si="1"/>
        <v>0</v>
      </c>
      <c r="L51" s="50">
        <f t="shared" si="2"/>
        <v>0</v>
      </c>
      <c r="M51" s="50">
        <f t="shared" si="3"/>
        <v>0</v>
      </c>
      <c r="N51" s="50">
        <f t="shared" si="4"/>
        <v>0</v>
      </c>
    </row>
    <row r="52" spans="1:14" ht="12.75" customHeight="1" x14ac:dyDescent="0.3">
      <c r="A52" s="24">
        <v>9.02</v>
      </c>
      <c r="B52" s="25" t="s">
        <v>65</v>
      </c>
      <c r="C52" s="110" t="s">
        <v>52</v>
      </c>
      <c r="D52" s="31">
        <v>81</v>
      </c>
      <c r="E52" s="181">
        <v>28022</v>
      </c>
      <c r="F52" s="181">
        <f t="shared" si="0"/>
        <v>2269782</v>
      </c>
      <c r="G52" s="186"/>
      <c r="H52" s="252"/>
      <c r="I52" s="250">
        <v>0</v>
      </c>
      <c r="J52" s="250"/>
      <c r="K52" s="251">
        <f t="shared" si="1"/>
        <v>0</v>
      </c>
      <c r="L52" s="50">
        <f t="shared" si="2"/>
        <v>0</v>
      </c>
      <c r="M52" s="50">
        <f t="shared" si="3"/>
        <v>0</v>
      </c>
      <c r="N52" s="50">
        <f t="shared" si="4"/>
        <v>0</v>
      </c>
    </row>
    <row r="53" spans="1:14" ht="12.75" customHeight="1" x14ac:dyDescent="0.3">
      <c r="A53" s="33">
        <v>9.0299999999999994</v>
      </c>
      <c r="B53" s="38" t="s">
        <v>66</v>
      </c>
      <c r="C53" s="111" t="s">
        <v>27</v>
      </c>
      <c r="D53" s="35">
        <v>46</v>
      </c>
      <c r="E53" s="181">
        <v>10299</v>
      </c>
      <c r="F53" s="181">
        <f t="shared" si="0"/>
        <v>473754</v>
      </c>
      <c r="G53" s="186"/>
      <c r="H53" s="252"/>
      <c r="I53" s="250">
        <v>0</v>
      </c>
      <c r="J53" s="250"/>
      <c r="K53" s="251">
        <f t="shared" si="1"/>
        <v>0</v>
      </c>
      <c r="L53" s="50">
        <f t="shared" si="2"/>
        <v>0</v>
      </c>
      <c r="M53" s="50">
        <f t="shared" si="3"/>
        <v>0</v>
      </c>
      <c r="N53" s="50">
        <f t="shared" si="4"/>
        <v>0</v>
      </c>
    </row>
    <row r="54" spans="1:14" ht="12.75" customHeight="1" x14ac:dyDescent="0.3">
      <c r="A54" s="13">
        <v>10</v>
      </c>
      <c r="B54" s="40" t="s">
        <v>67</v>
      </c>
      <c r="C54" s="18"/>
      <c r="D54" s="19"/>
      <c r="E54" s="19"/>
      <c r="F54" s="19"/>
      <c r="G54" s="176">
        <f>+SUM(F55:F58)</f>
        <v>4184652</v>
      </c>
      <c r="H54" s="245">
        <f>+G54/$G$195</f>
        <v>4.9531580013100814E-3</v>
      </c>
      <c r="I54" s="246"/>
      <c r="J54" s="247"/>
      <c r="K54" s="247"/>
      <c r="L54" s="178"/>
      <c r="M54" s="178"/>
      <c r="N54" s="179"/>
    </row>
    <row r="55" spans="1:14" ht="12.75" customHeight="1" x14ac:dyDescent="0.3">
      <c r="A55" s="24">
        <v>10.01</v>
      </c>
      <c r="B55" s="25" t="s">
        <v>68</v>
      </c>
      <c r="C55" s="112" t="s">
        <v>29</v>
      </c>
      <c r="D55" s="27">
        <v>1</v>
      </c>
      <c r="E55" s="181">
        <v>1844532</v>
      </c>
      <c r="F55" s="181">
        <f t="shared" si="0"/>
        <v>1844532</v>
      </c>
      <c r="G55" s="188"/>
      <c r="H55" s="245"/>
      <c r="I55" s="250">
        <v>0</v>
      </c>
      <c r="J55" s="250">
        <v>0.75</v>
      </c>
      <c r="K55" s="251">
        <f t="shared" si="1"/>
        <v>0.75</v>
      </c>
      <c r="L55" s="50">
        <f t="shared" si="2"/>
        <v>0</v>
      </c>
      <c r="M55" s="50">
        <f t="shared" si="3"/>
        <v>1383399</v>
      </c>
      <c r="N55" s="50">
        <f t="shared" si="4"/>
        <v>1383399</v>
      </c>
    </row>
    <row r="56" spans="1:14" ht="12.75" customHeight="1" x14ac:dyDescent="0.3">
      <c r="A56" s="24">
        <v>10.02</v>
      </c>
      <c r="B56" s="25" t="s">
        <v>69</v>
      </c>
      <c r="C56" s="112" t="s">
        <v>29</v>
      </c>
      <c r="D56" s="27">
        <v>1</v>
      </c>
      <c r="E56" s="181">
        <v>1214937</v>
      </c>
      <c r="F56" s="181">
        <f t="shared" si="0"/>
        <v>1214937</v>
      </c>
      <c r="H56" s="245"/>
      <c r="I56" s="250">
        <v>0</v>
      </c>
      <c r="J56" s="250"/>
      <c r="K56" s="251">
        <f t="shared" si="1"/>
        <v>0</v>
      </c>
      <c r="L56" s="50">
        <f t="shared" si="2"/>
        <v>0</v>
      </c>
      <c r="M56" s="50">
        <f t="shared" si="3"/>
        <v>0</v>
      </c>
      <c r="N56" s="50">
        <f t="shared" si="4"/>
        <v>0</v>
      </c>
    </row>
    <row r="57" spans="1:14" ht="12.75" customHeight="1" x14ac:dyDescent="0.3">
      <c r="A57" s="24">
        <v>10.029999999999999</v>
      </c>
      <c r="B57" s="25" t="s">
        <v>70</v>
      </c>
      <c r="C57" s="112" t="s">
        <v>29</v>
      </c>
      <c r="D57" s="27">
        <v>1</v>
      </c>
      <c r="E57" s="181">
        <v>539833</v>
      </c>
      <c r="F57" s="181">
        <f t="shared" si="0"/>
        <v>539833</v>
      </c>
      <c r="H57" s="245"/>
      <c r="I57" s="250">
        <v>0</v>
      </c>
      <c r="J57" s="250"/>
      <c r="K57" s="251">
        <f t="shared" si="1"/>
        <v>0</v>
      </c>
      <c r="L57" s="50">
        <f t="shared" si="2"/>
        <v>0</v>
      </c>
      <c r="M57" s="50">
        <f t="shared" si="3"/>
        <v>0</v>
      </c>
      <c r="N57" s="50">
        <f t="shared" si="4"/>
        <v>0</v>
      </c>
    </row>
    <row r="58" spans="1:14" ht="12.75" customHeight="1" x14ac:dyDescent="0.3">
      <c r="A58" s="24">
        <v>10.039999999999999</v>
      </c>
      <c r="B58" s="25" t="s">
        <v>71</v>
      </c>
      <c r="C58" s="30" t="s">
        <v>33</v>
      </c>
      <c r="D58" s="31">
        <v>10</v>
      </c>
      <c r="E58" s="181">
        <v>58535</v>
      </c>
      <c r="F58" s="181">
        <f t="shared" si="0"/>
        <v>585350</v>
      </c>
      <c r="G58" s="182"/>
      <c r="H58" s="245"/>
      <c r="I58" s="250">
        <v>0</v>
      </c>
      <c r="J58" s="250"/>
      <c r="K58" s="251">
        <f t="shared" si="1"/>
        <v>0</v>
      </c>
      <c r="L58" s="50">
        <f t="shared" si="2"/>
        <v>0</v>
      </c>
      <c r="M58" s="50">
        <f t="shared" si="3"/>
        <v>0</v>
      </c>
      <c r="N58" s="50">
        <f t="shared" si="4"/>
        <v>0</v>
      </c>
    </row>
    <row r="59" spans="1:14" ht="12.75" customHeight="1" x14ac:dyDescent="0.3">
      <c r="A59" s="13">
        <v>11</v>
      </c>
      <c r="B59" s="17" t="s">
        <v>72</v>
      </c>
      <c r="C59" s="18"/>
      <c r="D59" s="19"/>
      <c r="E59" s="19"/>
      <c r="F59" s="19"/>
      <c r="G59" s="176">
        <f>+SUM(F60:F70)</f>
        <v>31170783</v>
      </c>
      <c r="H59" s="245">
        <f>+G59/$G$195</f>
        <v>3.6895257532418527E-2</v>
      </c>
      <c r="I59" s="246"/>
      <c r="J59" s="247"/>
      <c r="K59" s="247"/>
      <c r="L59" s="178"/>
      <c r="M59" s="178"/>
      <c r="N59" s="179"/>
    </row>
    <row r="60" spans="1:14" ht="12.75" customHeight="1" x14ac:dyDescent="0.3">
      <c r="A60" s="20">
        <v>11.01</v>
      </c>
      <c r="B60" s="21" t="s">
        <v>73</v>
      </c>
      <c r="C60" s="109" t="s">
        <v>19</v>
      </c>
      <c r="D60" s="94">
        <v>0</v>
      </c>
      <c r="E60" s="181">
        <v>0</v>
      </c>
      <c r="F60" s="181">
        <f t="shared" si="0"/>
        <v>0</v>
      </c>
      <c r="G60" s="185"/>
      <c r="H60" s="252"/>
      <c r="I60" s="250">
        <v>0</v>
      </c>
      <c r="J60" s="250"/>
      <c r="K60" s="251">
        <f t="shared" si="1"/>
        <v>0</v>
      </c>
      <c r="L60" s="50">
        <f t="shared" si="2"/>
        <v>0</v>
      </c>
      <c r="M60" s="50">
        <f t="shared" si="3"/>
        <v>0</v>
      </c>
      <c r="N60" s="50">
        <f t="shared" si="4"/>
        <v>0</v>
      </c>
    </row>
    <row r="61" spans="1:14" ht="12.75" customHeight="1" x14ac:dyDescent="0.3">
      <c r="A61" s="24">
        <v>11.02</v>
      </c>
      <c r="B61" s="25" t="s">
        <v>74</v>
      </c>
      <c r="C61" s="110" t="s">
        <v>19</v>
      </c>
      <c r="D61" s="31">
        <v>39</v>
      </c>
      <c r="E61" s="181">
        <v>19280</v>
      </c>
      <c r="F61" s="181">
        <f t="shared" si="0"/>
        <v>751920</v>
      </c>
      <c r="G61" s="186"/>
      <c r="H61" s="252"/>
      <c r="I61" s="250">
        <v>0</v>
      </c>
      <c r="J61" s="250"/>
      <c r="K61" s="251">
        <f t="shared" si="1"/>
        <v>0</v>
      </c>
      <c r="L61" s="50">
        <f t="shared" si="2"/>
        <v>0</v>
      </c>
      <c r="M61" s="50">
        <f t="shared" si="3"/>
        <v>0</v>
      </c>
      <c r="N61" s="50">
        <f t="shared" si="4"/>
        <v>0</v>
      </c>
    </row>
    <row r="62" spans="1:14" ht="12.75" customHeight="1" x14ac:dyDescent="0.3">
      <c r="A62" s="24">
        <v>11.03</v>
      </c>
      <c r="B62" s="25" t="s">
        <v>75</v>
      </c>
      <c r="C62" s="110" t="s">
        <v>19</v>
      </c>
      <c r="D62" s="31">
        <v>48</v>
      </c>
      <c r="E62" s="181">
        <v>25362</v>
      </c>
      <c r="F62" s="181">
        <f t="shared" si="0"/>
        <v>1217376</v>
      </c>
      <c r="G62" s="186"/>
      <c r="H62" s="252"/>
      <c r="I62" s="250">
        <v>0</v>
      </c>
      <c r="J62" s="250"/>
      <c r="K62" s="251">
        <f t="shared" si="1"/>
        <v>0</v>
      </c>
      <c r="L62" s="50">
        <f t="shared" si="2"/>
        <v>0</v>
      </c>
      <c r="M62" s="50">
        <f t="shared" si="3"/>
        <v>0</v>
      </c>
      <c r="N62" s="50">
        <f t="shared" si="4"/>
        <v>0</v>
      </c>
    </row>
    <row r="63" spans="1:14" ht="12.75" customHeight="1" x14ac:dyDescent="0.3">
      <c r="A63" s="24">
        <v>11.04</v>
      </c>
      <c r="B63" s="25" t="s">
        <v>76</v>
      </c>
      <c r="C63" s="30" t="s">
        <v>19</v>
      </c>
      <c r="D63" s="31">
        <v>174</v>
      </c>
      <c r="E63" s="181">
        <v>19164</v>
      </c>
      <c r="F63" s="181">
        <f t="shared" si="0"/>
        <v>3334536</v>
      </c>
      <c r="G63" s="182"/>
      <c r="H63" s="245"/>
      <c r="I63" s="250">
        <v>0</v>
      </c>
      <c r="J63" s="250"/>
      <c r="K63" s="251">
        <f t="shared" si="1"/>
        <v>0</v>
      </c>
      <c r="L63" s="50">
        <f t="shared" si="2"/>
        <v>0</v>
      </c>
      <c r="M63" s="50">
        <f t="shared" si="3"/>
        <v>0</v>
      </c>
      <c r="N63" s="50">
        <f t="shared" si="4"/>
        <v>0</v>
      </c>
    </row>
    <row r="64" spans="1:14" ht="12.75" customHeight="1" x14ac:dyDescent="0.3">
      <c r="A64" s="24">
        <v>11.05</v>
      </c>
      <c r="B64" s="25" t="s">
        <v>77</v>
      </c>
      <c r="C64" s="110" t="s">
        <v>19</v>
      </c>
      <c r="D64" s="31">
        <v>92</v>
      </c>
      <c r="E64" s="181">
        <v>19164</v>
      </c>
      <c r="F64" s="181">
        <f t="shared" si="0"/>
        <v>1763088</v>
      </c>
      <c r="G64" s="185"/>
      <c r="H64" s="252"/>
      <c r="I64" s="250">
        <v>0</v>
      </c>
      <c r="J64" s="250"/>
      <c r="K64" s="251">
        <f t="shared" si="1"/>
        <v>0</v>
      </c>
      <c r="L64" s="50">
        <f t="shared" si="2"/>
        <v>0</v>
      </c>
      <c r="M64" s="50">
        <f t="shared" si="3"/>
        <v>0</v>
      </c>
      <c r="N64" s="50">
        <f t="shared" si="4"/>
        <v>0</v>
      </c>
    </row>
    <row r="65" spans="1:14" ht="12.75" customHeight="1" x14ac:dyDescent="0.3">
      <c r="A65" s="24">
        <v>11.06</v>
      </c>
      <c r="B65" s="25" t="s">
        <v>78</v>
      </c>
      <c r="C65" s="30" t="s">
        <v>19</v>
      </c>
      <c r="D65" s="31">
        <v>8</v>
      </c>
      <c r="E65" s="181">
        <v>14043</v>
      </c>
      <c r="F65" s="181">
        <f t="shared" si="0"/>
        <v>112344</v>
      </c>
      <c r="G65" s="182"/>
      <c r="H65" s="245"/>
      <c r="I65" s="250">
        <v>0</v>
      </c>
      <c r="J65" s="250"/>
      <c r="K65" s="251">
        <f t="shared" si="1"/>
        <v>0</v>
      </c>
      <c r="L65" s="50">
        <f t="shared" si="2"/>
        <v>0</v>
      </c>
      <c r="M65" s="50">
        <f t="shared" si="3"/>
        <v>0</v>
      </c>
      <c r="N65" s="50">
        <f t="shared" si="4"/>
        <v>0</v>
      </c>
    </row>
    <row r="66" spans="1:14" ht="12.75" customHeight="1" x14ac:dyDescent="0.3">
      <c r="A66" s="24">
        <v>11.07</v>
      </c>
      <c r="B66" s="25" t="s">
        <v>79</v>
      </c>
      <c r="C66" s="110" t="s">
        <v>19</v>
      </c>
      <c r="D66" s="31">
        <v>46</v>
      </c>
      <c r="E66" s="181">
        <v>26630</v>
      </c>
      <c r="F66" s="181">
        <f t="shared" si="0"/>
        <v>1224980</v>
      </c>
      <c r="G66" s="186"/>
      <c r="H66" s="252"/>
      <c r="I66" s="250">
        <v>0</v>
      </c>
      <c r="J66" s="250"/>
      <c r="K66" s="251">
        <f t="shared" si="1"/>
        <v>0</v>
      </c>
      <c r="L66" s="50">
        <f t="shared" si="2"/>
        <v>0</v>
      </c>
      <c r="M66" s="50">
        <f t="shared" si="3"/>
        <v>0</v>
      </c>
      <c r="N66" s="50">
        <f t="shared" si="4"/>
        <v>0</v>
      </c>
    </row>
    <row r="67" spans="1:14" ht="12.75" customHeight="1" x14ac:dyDescent="0.3">
      <c r="A67" s="24">
        <v>11.08</v>
      </c>
      <c r="B67" s="25" t="s">
        <v>80</v>
      </c>
      <c r="C67" s="110" t="s">
        <v>19</v>
      </c>
      <c r="D67" s="31">
        <v>562</v>
      </c>
      <c r="E67" s="181">
        <v>25362</v>
      </c>
      <c r="F67" s="181">
        <f t="shared" si="0"/>
        <v>14253444</v>
      </c>
      <c r="G67" s="186"/>
      <c r="H67" s="252"/>
      <c r="I67" s="250">
        <v>0</v>
      </c>
      <c r="J67" s="250"/>
      <c r="K67" s="251">
        <f t="shared" si="1"/>
        <v>0</v>
      </c>
      <c r="L67" s="50">
        <f t="shared" si="2"/>
        <v>0</v>
      </c>
      <c r="M67" s="50">
        <f t="shared" si="3"/>
        <v>0</v>
      </c>
      <c r="N67" s="50">
        <f t="shared" si="4"/>
        <v>0</v>
      </c>
    </row>
    <row r="68" spans="1:14" ht="12.75" customHeight="1" x14ac:dyDescent="0.3">
      <c r="A68" s="24">
        <v>11.09</v>
      </c>
      <c r="B68" s="25" t="s">
        <v>81</v>
      </c>
      <c r="C68" s="113" t="s">
        <v>19</v>
      </c>
      <c r="D68" s="32">
        <v>73</v>
      </c>
      <c r="E68" s="181">
        <v>30109</v>
      </c>
      <c r="F68" s="181">
        <f t="shared" si="0"/>
        <v>2197957</v>
      </c>
      <c r="G68" s="186"/>
      <c r="H68" s="252"/>
      <c r="I68" s="250">
        <v>0</v>
      </c>
      <c r="J68" s="250"/>
      <c r="K68" s="251">
        <f t="shared" si="1"/>
        <v>0</v>
      </c>
      <c r="L68" s="50">
        <f t="shared" si="2"/>
        <v>0</v>
      </c>
      <c r="M68" s="50">
        <f t="shared" si="3"/>
        <v>0</v>
      </c>
      <c r="N68" s="50">
        <f t="shared" si="4"/>
        <v>0</v>
      </c>
    </row>
    <row r="69" spans="1:14" ht="12.75" customHeight="1" x14ac:dyDescent="0.3">
      <c r="A69" s="24">
        <v>11.1</v>
      </c>
      <c r="B69" s="25" t="s">
        <v>82</v>
      </c>
      <c r="C69" s="113" t="s">
        <v>19</v>
      </c>
      <c r="D69" s="32">
        <v>143</v>
      </c>
      <c r="E69" s="181">
        <v>25362</v>
      </c>
      <c r="F69" s="181">
        <f t="shared" si="0"/>
        <v>3626766</v>
      </c>
      <c r="G69" s="186"/>
      <c r="H69" s="252"/>
      <c r="I69" s="250">
        <v>0</v>
      </c>
      <c r="J69" s="250"/>
      <c r="K69" s="251">
        <f t="shared" si="1"/>
        <v>0</v>
      </c>
      <c r="L69" s="50">
        <f t="shared" si="2"/>
        <v>0</v>
      </c>
      <c r="M69" s="50">
        <f t="shared" si="3"/>
        <v>0</v>
      </c>
      <c r="N69" s="50">
        <f t="shared" si="4"/>
        <v>0</v>
      </c>
    </row>
    <row r="70" spans="1:14" ht="12.75" customHeight="1" x14ac:dyDescent="0.3">
      <c r="A70" s="24">
        <v>11.11</v>
      </c>
      <c r="B70" s="25" t="s">
        <v>83</v>
      </c>
      <c r="C70" s="111" t="s">
        <v>19</v>
      </c>
      <c r="D70" s="35">
        <v>106</v>
      </c>
      <c r="E70" s="181">
        <v>25362</v>
      </c>
      <c r="F70" s="181">
        <f t="shared" si="0"/>
        <v>2688372</v>
      </c>
      <c r="G70" s="186"/>
      <c r="H70" s="252"/>
      <c r="I70" s="250">
        <v>0</v>
      </c>
      <c r="J70" s="250"/>
      <c r="K70" s="251">
        <f t="shared" si="1"/>
        <v>0</v>
      </c>
      <c r="L70" s="50">
        <f t="shared" si="2"/>
        <v>0</v>
      </c>
      <c r="M70" s="50">
        <f t="shared" si="3"/>
        <v>0</v>
      </c>
      <c r="N70" s="50">
        <f t="shared" si="4"/>
        <v>0</v>
      </c>
    </row>
    <row r="71" spans="1:14" ht="12.75" customHeight="1" x14ac:dyDescent="0.3">
      <c r="A71" s="13">
        <v>12</v>
      </c>
      <c r="B71" s="17" t="s">
        <v>84</v>
      </c>
      <c r="C71" s="18"/>
      <c r="D71" s="19"/>
      <c r="E71" s="19"/>
      <c r="F71" s="19"/>
      <c r="G71" s="176">
        <f>+SUM(F72:F74)</f>
        <v>8990052</v>
      </c>
      <c r="H71" s="245">
        <f>+G71/$G$195</f>
        <v>1.0641063580912749E-2</v>
      </c>
      <c r="I71" s="246"/>
      <c r="J71" s="247"/>
      <c r="K71" s="247"/>
      <c r="L71" s="178"/>
      <c r="M71" s="178"/>
      <c r="N71" s="179"/>
    </row>
    <row r="72" spans="1:14" ht="12.75" customHeight="1" x14ac:dyDescent="0.3">
      <c r="A72" s="20">
        <f>+A71+0.01</f>
        <v>12.01</v>
      </c>
      <c r="B72" s="21" t="s">
        <v>85</v>
      </c>
      <c r="C72" s="109" t="s">
        <v>27</v>
      </c>
      <c r="D72" s="94">
        <v>19</v>
      </c>
      <c r="E72" s="181">
        <v>6496</v>
      </c>
      <c r="F72" s="181">
        <f t="shared" si="0"/>
        <v>123424</v>
      </c>
      <c r="H72" s="245"/>
      <c r="I72" s="250">
        <v>0</v>
      </c>
      <c r="J72" s="250"/>
      <c r="K72" s="251">
        <f t="shared" si="1"/>
        <v>0</v>
      </c>
      <c r="L72" s="50">
        <f t="shared" si="2"/>
        <v>0</v>
      </c>
      <c r="M72" s="50">
        <f t="shared" si="3"/>
        <v>0</v>
      </c>
      <c r="N72" s="50">
        <f t="shared" si="4"/>
        <v>0</v>
      </c>
    </row>
    <row r="73" spans="1:14" ht="12.75" customHeight="1" x14ac:dyDescent="0.3">
      <c r="A73" s="106">
        <v>12.02</v>
      </c>
      <c r="B73" s="25" t="s">
        <v>86</v>
      </c>
      <c r="C73" s="114" t="s">
        <v>27</v>
      </c>
      <c r="D73" s="31">
        <v>626</v>
      </c>
      <c r="E73" s="181">
        <v>9059</v>
      </c>
      <c r="F73" s="181">
        <f t="shared" si="0"/>
        <v>5670934</v>
      </c>
      <c r="H73" s="245"/>
      <c r="I73" s="250">
        <v>0</v>
      </c>
      <c r="J73" s="250"/>
      <c r="K73" s="251">
        <f t="shared" si="1"/>
        <v>0</v>
      </c>
      <c r="L73" s="50">
        <f t="shared" si="2"/>
        <v>0</v>
      </c>
      <c r="M73" s="50">
        <f t="shared" si="3"/>
        <v>0</v>
      </c>
      <c r="N73" s="50">
        <f t="shared" si="4"/>
        <v>0</v>
      </c>
    </row>
    <row r="74" spans="1:14" ht="12.75" customHeight="1" x14ac:dyDescent="0.3">
      <c r="A74" s="106">
        <v>12.03</v>
      </c>
      <c r="B74" s="107" t="s">
        <v>87</v>
      </c>
      <c r="C74" s="114" t="s">
        <v>27</v>
      </c>
      <c r="D74" s="35">
        <v>386</v>
      </c>
      <c r="E74" s="181">
        <v>8279</v>
      </c>
      <c r="F74" s="181">
        <f t="shared" ref="F74:F137" si="5">+E74*D74</f>
        <v>3195694</v>
      </c>
      <c r="H74" s="245"/>
      <c r="I74" s="250">
        <v>0</v>
      </c>
      <c r="J74" s="250"/>
      <c r="K74" s="251">
        <f t="shared" ref="K74" si="6">+I74+J74</f>
        <v>0</v>
      </c>
      <c r="L74" s="50">
        <f t="shared" ref="L74" si="7">+F74*I74</f>
        <v>0</v>
      </c>
      <c r="M74" s="50">
        <f t="shared" ref="M74" si="8">+F74*J74</f>
        <v>0</v>
      </c>
      <c r="N74" s="50">
        <f t="shared" ref="N74" si="9">+F74*K74</f>
        <v>0</v>
      </c>
    </row>
    <row r="75" spans="1:14" ht="12.75" customHeight="1" x14ac:dyDescent="0.3">
      <c r="A75" s="13">
        <v>13</v>
      </c>
      <c r="B75" s="17" t="s">
        <v>88</v>
      </c>
      <c r="C75" s="18"/>
      <c r="D75" s="19"/>
      <c r="E75" s="19"/>
      <c r="F75" s="19"/>
      <c r="G75" s="176">
        <f>+SUM(F76:F79)</f>
        <v>14836279</v>
      </c>
      <c r="H75" s="245">
        <f>+G75/$G$195</f>
        <v>1.7560942711250239E-2</v>
      </c>
      <c r="I75" s="246"/>
      <c r="J75" s="247"/>
      <c r="K75" s="247"/>
      <c r="L75" s="178"/>
      <c r="M75" s="178"/>
      <c r="N75" s="179"/>
    </row>
    <row r="76" spans="1:14" ht="12.75" customHeight="1" x14ac:dyDescent="0.3">
      <c r="A76" s="115">
        <v>13.01</v>
      </c>
      <c r="B76" s="116" t="s">
        <v>89</v>
      </c>
      <c r="C76" s="117" t="s">
        <v>19</v>
      </c>
      <c r="D76" s="23">
        <v>413</v>
      </c>
      <c r="E76" s="181">
        <v>30109</v>
      </c>
      <c r="F76" s="181">
        <f t="shared" si="5"/>
        <v>12435017</v>
      </c>
      <c r="H76" s="245"/>
      <c r="I76" s="250">
        <v>0</v>
      </c>
      <c r="J76" s="250"/>
      <c r="K76" s="251">
        <f t="shared" ref="K76:K139" si="10">+I76+J76</f>
        <v>0</v>
      </c>
      <c r="L76" s="50">
        <f t="shared" ref="L76:L139" si="11">+F76*I76</f>
        <v>0</v>
      </c>
      <c r="M76" s="50">
        <f t="shared" ref="M76:M139" si="12">+F76*J76</f>
        <v>0</v>
      </c>
      <c r="N76" s="50">
        <f t="shared" ref="N76:N139" si="13">+F76*K76</f>
        <v>0</v>
      </c>
    </row>
    <row r="77" spans="1:14" ht="12.75" customHeight="1" x14ac:dyDescent="0.3">
      <c r="A77" s="118">
        <v>13.02</v>
      </c>
      <c r="B77" s="119" t="s">
        <v>90</v>
      </c>
      <c r="C77" s="120" t="s">
        <v>19</v>
      </c>
      <c r="D77" s="121">
        <v>18</v>
      </c>
      <c r="E77" s="181">
        <v>30109</v>
      </c>
      <c r="F77" s="181">
        <f t="shared" si="5"/>
        <v>541962</v>
      </c>
      <c r="H77" s="245"/>
      <c r="I77" s="250">
        <v>0</v>
      </c>
      <c r="J77" s="250"/>
      <c r="K77" s="251">
        <f t="shared" si="10"/>
        <v>0</v>
      </c>
      <c r="L77" s="50">
        <f t="shared" si="11"/>
        <v>0</v>
      </c>
      <c r="M77" s="50">
        <f t="shared" si="12"/>
        <v>0</v>
      </c>
      <c r="N77" s="50">
        <f t="shared" si="13"/>
        <v>0</v>
      </c>
    </row>
    <row r="78" spans="1:14" ht="12.75" customHeight="1" x14ac:dyDescent="0.3">
      <c r="A78" s="100">
        <v>13.03</v>
      </c>
      <c r="B78" s="119" t="s">
        <v>91</v>
      </c>
      <c r="C78" s="110" t="s">
        <v>19</v>
      </c>
      <c r="D78" s="31">
        <v>20</v>
      </c>
      <c r="E78" s="181">
        <v>92965</v>
      </c>
      <c r="F78" s="181">
        <f t="shared" si="5"/>
        <v>1859300</v>
      </c>
      <c r="G78" s="186"/>
      <c r="H78" s="252"/>
      <c r="I78" s="250">
        <v>0</v>
      </c>
      <c r="J78" s="250"/>
      <c r="K78" s="251">
        <f t="shared" si="10"/>
        <v>0</v>
      </c>
      <c r="L78" s="50">
        <f t="shared" si="11"/>
        <v>0</v>
      </c>
      <c r="M78" s="50">
        <f t="shared" si="12"/>
        <v>0</v>
      </c>
      <c r="N78" s="50">
        <f t="shared" si="13"/>
        <v>0</v>
      </c>
    </row>
    <row r="79" spans="1:14" ht="12.75" customHeight="1" x14ac:dyDescent="0.3">
      <c r="A79" s="100">
        <v>13.04</v>
      </c>
      <c r="B79" s="25" t="s">
        <v>92</v>
      </c>
      <c r="C79" s="110" t="s">
        <v>19</v>
      </c>
      <c r="D79" s="31">
        <v>0</v>
      </c>
      <c r="E79" s="181">
        <v>0</v>
      </c>
      <c r="F79" s="181">
        <f t="shared" si="5"/>
        <v>0</v>
      </c>
      <c r="G79" s="186"/>
      <c r="H79" s="252"/>
      <c r="I79" s="250">
        <v>0</v>
      </c>
      <c r="J79" s="250"/>
      <c r="K79" s="251">
        <f t="shared" si="10"/>
        <v>0</v>
      </c>
      <c r="L79" s="50">
        <f t="shared" si="11"/>
        <v>0</v>
      </c>
      <c r="M79" s="50">
        <f t="shared" si="12"/>
        <v>0</v>
      </c>
      <c r="N79" s="50">
        <f t="shared" si="13"/>
        <v>0</v>
      </c>
    </row>
    <row r="80" spans="1:14" ht="12.75" customHeight="1" x14ac:dyDescent="0.3">
      <c r="A80" s="13">
        <v>14</v>
      </c>
      <c r="B80" s="17" t="s">
        <v>93</v>
      </c>
      <c r="C80" s="18"/>
      <c r="D80" s="19"/>
      <c r="E80" s="19"/>
      <c r="F80" s="19"/>
      <c r="G80" s="176">
        <f>+SUM(F81:F87)</f>
        <v>33813897</v>
      </c>
      <c r="H80" s="245">
        <f>+G80/$G$195</f>
        <v>4.0023776046616291E-2</v>
      </c>
      <c r="I80" s="246"/>
      <c r="J80" s="247"/>
      <c r="K80" s="247"/>
      <c r="L80" s="178"/>
      <c r="M80" s="178"/>
      <c r="N80" s="179"/>
    </row>
    <row r="81" spans="1:14" ht="12.75" customHeight="1" x14ac:dyDescent="0.3">
      <c r="A81" s="20">
        <f>+A80+0.01</f>
        <v>14.01</v>
      </c>
      <c r="B81" s="21" t="s">
        <v>94</v>
      </c>
      <c r="C81" s="117" t="s">
        <v>19</v>
      </c>
      <c r="D81" s="23">
        <v>460</v>
      </c>
      <c r="E81" s="181">
        <v>23624</v>
      </c>
      <c r="F81" s="181">
        <f t="shared" si="5"/>
        <v>10867040</v>
      </c>
      <c r="H81" s="245"/>
      <c r="I81" s="250">
        <v>0</v>
      </c>
      <c r="J81" s="250"/>
      <c r="K81" s="251">
        <f t="shared" si="10"/>
        <v>0</v>
      </c>
      <c r="L81" s="50">
        <f t="shared" si="11"/>
        <v>0</v>
      </c>
      <c r="M81" s="50">
        <f t="shared" si="12"/>
        <v>0</v>
      </c>
      <c r="N81" s="50">
        <f t="shared" si="13"/>
        <v>0</v>
      </c>
    </row>
    <row r="82" spans="1:14" ht="12.75" customHeight="1" x14ac:dyDescent="0.3">
      <c r="A82" s="106">
        <v>14.02</v>
      </c>
      <c r="B82" s="107" t="s">
        <v>95</v>
      </c>
      <c r="C82" s="120" t="s">
        <v>27</v>
      </c>
      <c r="D82" s="121">
        <v>434</v>
      </c>
      <c r="E82" s="181">
        <v>16659</v>
      </c>
      <c r="F82" s="181">
        <f t="shared" si="5"/>
        <v>7230006</v>
      </c>
      <c r="H82" s="245"/>
      <c r="I82" s="250">
        <v>0</v>
      </c>
      <c r="J82" s="250"/>
      <c r="K82" s="251">
        <f t="shared" si="10"/>
        <v>0</v>
      </c>
      <c r="L82" s="50">
        <f t="shared" si="11"/>
        <v>0</v>
      </c>
      <c r="M82" s="50">
        <f t="shared" si="12"/>
        <v>0</v>
      </c>
      <c r="N82" s="50">
        <f t="shared" si="13"/>
        <v>0</v>
      </c>
    </row>
    <row r="83" spans="1:14" ht="12.75" customHeight="1" x14ac:dyDescent="0.3">
      <c r="A83" s="24">
        <v>14.03</v>
      </c>
      <c r="B83" s="25" t="s">
        <v>96</v>
      </c>
      <c r="C83" s="112" t="s">
        <v>19</v>
      </c>
      <c r="D83" s="27">
        <v>115</v>
      </c>
      <c r="E83" s="181">
        <v>35817</v>
      </c>
      <c r="F83" s="181">
        <f t="shared" si="5"/>
        <v>4118955</v>
      </c>
      <c r="H83" s="245"/>
      <c r="I83" s="250">
        <v>0.1</v>
      </c>
      <c r="J83" s="250">
        <v>0.1</v>
      </c>
      <c r="K83" s="251">
        <f t="shared" si="10"/>
        <v>0.2</v>
      </c>
      <c r="L83" s="50">
        <f t="shared" si="11"/>
        <v>411895.5</v>
      </c>
      <c r="M83" s="50">
        <f t="shared" si="12"/>
        <v>411895.5</v>
      </c>
      <c r="N83" s="50">
        <f t="shared" si="13"/>
        <v>823791</v>
      </c>
    </row>
    <row r="84" spans="1:14" ht="12.75" customHeight="1" x14ac:dyDescent="0.3">
      <c r="A84" s="106">
        <v>14.04</v>
      </c>
      <c r="B84" s="25" t="s">
        <v>97</v>
      </c>
      <c r="C84" s="112" t="s">
        <v>19</v>
      </c>
      <c r="D84" s="27">
        <v>89</v>
      </c>
      <c r="E84" s="181">
        <v>41132</v>
      </c>
      <c r="F84" s="181">
        <f t="shared" si="5"/>
        <v>3660748</v>
      </c>
      <c r="H84" s="245"/>
      <c r="I84" s="250">
        <v>0.1</v>
      </c>
      <c r="J84" s="250">
        <v>0.1</v>
      </c>
      <c r="K84" s="251">
        <f t="shared" si="10"/>
        <v>0.2</v>
      </c>
      <c r="L84" s="50">
        <f t="shared" si="11"/>
        <v>366074.80000000005</v>
      </c>
      <c r="M84" s="50">
        <f t="shared" si="12"/>
        <v>366074.80000000005</v>
      </c>
      <c r="N84" s="50">
        <f t="shared" si="13"/>
        <v>732149.60000000009</v>
      </c>
    </row>
    <row r="85" spans="1:14" ht="12.75" customHeight="1" x14ac:dyDescent="0.3">
      <c r="A85" s="24">
        <v>14.05</v>
      </c>
      <c r="B85" s="25" t="s">
        <v>98</v>
      </c>
      <c r="C85" s="112" t="s">
        <v>27</v>
      </c>
      <c r="D85" s="27">
        <v>530</v>
      </c>
      <c r="E85" s="181">
        <v>9274</v>
      </c>
      <c r="F85" s="181">
        <f t="shared" si="5"/>
        <v>4915220</v>
      </c>
      <c r="H85" s="245"/>
      <c r="I85" s="250">
        <v>0</v>
      </c>
      <c r="J85" s="250"/>
      <c r="K85" s="251">
        <f t="shared" si="10"/>
        <v>0</v>
      </c>
      <c r="L85" s="50">
        <f t="shared" si="11"/>
        <v>0</v>
      </c>
      <c r="M85" s="50">
        <f t="shared" si="12"/>
        <v>0</v>
      </c>
      <c r="N85" s="50">
        <f t="shared" si="13"/>
        <v>0</v>
      </c>
    </row>
    <row r="86" spans="1:14" ht="12.75" customHeight="1" x14ac:dyDescent="0.3">
      <c r="A86" s="106">
        <v>14.06</v>
      </c>
      <c r="B86" s="25" t="s">
        <v>99</v>
      </c>
      <c r="C86" s="112" t="s">
        <v>27</v>
      </c>
      <c r="D86" s="27">
        <v>56</v>
      </c>
      <c r="E86" s="181">
        <v>9274</v>
      </c>
      <c r="F86" s="181">
        <f t="shared" si="5"/>
        <v>519344</v>
      </c>
      <c r="H86" s="245"/>
      <c r="I86" s="250">
        <v>0</v>
      </c>
      <c r="J86" s="250"/>
      <c r="K86" s="251">
        <f t="shared" si="10"/>
        <v>0</v>
      </c>
      <c r="L86" s="50">
        <f t="shared" si="11"/>
        <v>0</v>
      </c>
      <c r="M86" s="50">
        <f t="shared" si="12"/>
        <v>0</v>
      </c>
      <c r="N86" s="50">
        <f t="shared" si="13"/>
        <v>0</v>
      </c>
    </row>
    <row r="87" spans="1:14" ht="12.75" customHeight="1" x14ac:dyDescent="0.3">
      <c r="A87" s="24">
        <v>14.07</v>
      </c>
      <c r="B87" s="25" t="s">
        <v>100</v>
      </c>
      <c r="C87" s="112" t="s">
        <v>19</v>
      </c>
      <c r="D87" s="27">
        <v>469</v>
      </c>
      <c r="E87" s="181">
        <v>5336</v>
      </c>
      <c r="F87" s="181">
        <f t="shared" si="5"/>
        <v>2502584</v>
      </c>
      <c r="H87" s="245"/>
      <c r="I87" s="250">
        <v>0.15000000000000002</v>
      </c>
      <c r="J87" s="250"/>
      <c r="K87" s="251">
        <f t="shared" si="10"/>
        <v>0.15000000000000002</v>
      </c>
      <c r="L87" s="50">
        <f t="shared" si="11"/>
        <v>375387.60000000003</v>
      </c>
      <c r="M87" s="50">
        <f t="shared" si="12"/>
        <v>0</v>
      </c>
      <c r="N87" s="50">
        <f t="shared" si="13"/>
        <v>375387.60000000003</v>
      </c>
    </row>
    <row r="88" spans="1:14" ht="12.75" customHeight="1" x14ac:dyDescent="0.3">
      <c r="A88" s="13">
        <v>15</v>
      </c>
      <c r="B88" s="17" t="s">
        <v>101</v>
      </c>
      <c r="C88" s="18"/>
      <c r="D88" s="19"/>
      <c r="E88" s="19"/>
      <c r="F88" s="19"/>
      <c r="G88" s="176">
        <f>+SUM(F89:F100)</f>
        <v>81675029</v>
      </c>
      <c r="H88" s="245">
        <f>+G88/$G$195</f>
        <v>9.667454388049064E-2</v>
      </c>
      <c r="I88" s="246"/>
      <c r="J88" s="247"/>
      <c r="K88" s="247"/>
      <c r="L88" s="178"/>
      <c r="M88" s="178"/>
      <c r="N88" s="179"/>
    </row>
    <row r="89" spans="1:14" ht="12.75" customHeight="1" x14ac:dyDescent="0.3">
      <c r="A89" s="115">
        <v>15.01</v>
      </c>
      <c r="B89" s="116" t="s">
        <v>102</v>
      </c>
      <c r="C89" s="122" t="s">
        <v>19</v>
      </c>
      <c r="D89" s="123">
        <v>739</v>
      </c>
      <c r="E89" s="181">
        <v>22075</v>
      </c>
      <c r="F89" s="181">
        <f t="shared" si="5"/>
        <v>16313425</v>
      </c>
      <c r="G89" s="186"/>
      <c r="H89" s="253"/>
      <c r="I89" s="250">
        <v>0</v>
      </c>
      <c r="J89" s="250"/>
      <c r="K89" s="251">
        <f t="shared" si="10"/>
        <v>0</v>
      </c>
      <c r="L89" s="50">
        <f t="shared" si="11"/>
        <v>0</v>
      </c>
      <c r="M89" s="50">
        <f t="shared" si="12"/>
        <v>0</v>
      </c>
      <c r="N89" s="50">
        <f t="shared" si="13"/>
        <v>0</v>
      </c>
    </row>
    <row r="90" spans="1:14" ht="12.75" customHeight="1" x14ac:dyDescent="0.3">
      <c r="A90" s="100">
        <v>15.02</v>
      </c>
      <c r="B90" s="25" t="s">
        <v>103</v>
      </c>
      <c r="C90" s="110" t="s">
        <v>19</v>
      </c>
      <c r="D90" s="29">
        <v>1439</v>
      </c>
      <c r="E90" s="181">
        <v>8883</v>
      </c>
      <c r="F90" s="181">
        <f t="shared" si="5"/>
        <v>12782637</v>
      </c>
      <c r="G90" s="186"/>
      <c r="H90" s="253"/>
      <c r="I90" s="250">
        <v>0</v>
      </c>
      <c r="J90" s="250"/>
      <c r="K90" s="251">
        <f t="shared" si="10"/>
        <v>0</v>
      </c>
      <c r="L90" s="50">
        <f t="shared" si="11"/>
        <v>0</v>
      </c>
      <c r="M90" s="50">
        <f t="shared" si="12"/>
        <v>0</v>
      </c>
      <c r="N90" s="50">
        <f t="shared" si="13"/>
        <v>0</v>
      </c>
    </row>
    <row r="91" spans="1:14" ht="12.75" customHeight="1" x14ac:dyDescent="0.3">
      <c r="A91" s="100">
        <v>15.03</v>
      </c>
      <c r="B91" s="25" t="s">
        <v>104</v>
      </c>
      <c r="C91" s="110" t="s">
        <v>19</v>
      </c>
      <c r="D91" s="29">
        <v>462</v>
      </c>
      <c r="E91" s="181">
        <v>14295</v>
      </c>
      <c r="F91" s="181">
        <f t="shared" si="5"/>
        <v>6604290</v>
      </c>
      <c r="G91" s="186"/>
      <c r="H91" s="253"/>
      <c r="I91" s="250">
        <v>0</v>
      </c>
      <c r="J91" s="250"/>
      <c r="K91" s="251">
        <f t="shared" si="10"/>
        <v>0</v>
      </c>
      <c r="L91" s="50">
        <f t="shared" si="11"/>
        <v>0</v>
      </c>
      <c r="M91" s="50">
        <f t="shared" si="12"/>
        <v>0</v>
      </c>
      <c r="N91" s="50">
        <f t="shared" si="13"/>
        <v>0</v>
      </c>
    </row>
    <row r="92" spans="1:14" ht="12.75" customHeight="1" x14ac:dyDescent="0.3">
      <c r="A92" s="100">
        <v>15.04</v>
      </c>
      <c r="B92" s="25" t="s">
        <v>105</v>
      </c>
      <c r="C92" s="110" t="s">
        <v>19</v>
      </c>
      <c r="D92" s="29">
        <v>144</v>
      </c>
      <c r="E92" s="181">
        <v>7538</v>
      </c>
      <c r="F92" s="181">
        <f t="shared" si="5"/>
        <v>1085472</v>
      </c>
      <c r="G92" s="186"/>
      <c r="H92" s="253"/>
      <c r="I92" s="250">
        <v>0</v>
      </c>
      <c r="J92" s="250"/>
      <c r="K92" s="251">
        <f t="shared" si="10"/>
        <v>0</v>
      </c>
      <c r="L92" s="50">
        <f t="shared" si="11"/>
        <v>0</v>
      </c>
      <c r="M92" s="50">
        <f t="shared" si="12"/>
        <v>0</v>
      </c>
      <c r="N92" s="50">
        <f t="shared" si="13"/>
        <v>0</v>
      </c>
    </row>
    <row r="93" spans="1:14" ht="12.75" customHeight="1" x14ac:dyDescent="0.3">
      <c r="A93" s="100">
        <v>15.05</v>
      </c>
      <c r="B93" s="25" t="s">
        <v>106</v>
      </c>
      <c r="C93" s="110" t="s">
        <v>19</v>
      </c>
      <c r="D93" s="29">
        <v>460</v>
      </c>
      <c r="E93" s="181">
        <v>8883</v>
      </c>
      <c r="F93" s="181">
        <f t="shared" si="5"/>
        <v>4086180</v>
      </c>
      <c r="G93" s="186"/>
      <c r="H93" s="253"/>
      <c r="I93" s="250">
        <v>0</v>
      </c>
      <c r="J93" s="250"/>
      <c r="K93" s="251">
        <f t="shared" si="10"/>
        <v>0</v>
      </c>
      <c r="L93" s="50">
        <f t="shared" si="11"/>
        <v>0</v>
      </c>
      <c r="M93" s="50">
        <f t="shared" si="12"/>
        <v>0</v>
      </c>
      <c r="N93" s="50">
        <f t="shared" si="13"/>
        <v>0</v>
      </c>
    </row>
    <row r="94" spans="1:14" ht="12.75" customHeight="1" x14ac:dyDescent="0.3">
      <c r="A94" s="100">
        <v>15.06</v>
      </c>
      <c r="B94" s="25" t="s">
        <v>107</v>
      </c>
      <c r="C94" s="110" t="s">
        <v>19</v>
      </c>
      <c r="D94" s="29">
        <v>204</v>
      </c>
      <c r="E94" s="181">
        <v>15750</v>
      </c>
      <c r="F94" s="181">
        <f t="shared" si="5"/>
        <v>3213000</v>
      </c>
      <c r="G94" s="186"/>
      <c r="H94" s="253"/>
      <c r="I94" s="250">
        <v>0</v>
      </c>
      <c r="J94" s="250"/>
      <c r="K94" s="251">
        <f t="shared" si="10"/>
        <v>0</v>
      </c>
      <c r="L94" s="50">
        <f t="shared" si="11"/>
        <v>0</v>
      </c>
      <c r="M94" s="50">
        <f t="shared" si="12"/>
        <v>0</v>
      </c>
      <c r="N94" s="50">
        <f t="shared" si="13"/>
        <v>0</v>
      </c>
    </row>
    <row r="95" spans="1:14" ht="12.75" customHeight="1" x14ac:dyDescent="0.3">
      <c r="A95" s="100">
        <v>15.07</v>
      </c>
      <c r="B95" s="25" t="s">
        <v>108</v>
      </c>
      <c r="C95" s="28" t="s">
        <v>19</v>
      </c>
      <c r="D95" s="29">
        <v>262</v>
      </c>
      <c r="E95" s="181">
        <v>17154</v>
      </c>
      <c r="F95" s="181">
        <f t="shared" si="5"/>
        <v>4494348</v>
      </c>
      <c r="G95" s="186"/>
      <c r="H95" s="245"/>
      <c r="I95" s="250">
        <v>0</v>
      </c>
      <c r="J95" s="250"/>
      <c r="K95" s="251">
        <f t="shared" si="10"/>
        <v>0</v>
      </c>
      <c r="L95" s="50">
        <f t="shared" si="11"/>
        <v>0</v>
      </c>
      <c r="M95" s="50">
        <f t="shared" si="12"/>
        <v>0</v>
      </c>
      <c r="N95" s="50">
        <f t="shared" si="13"/>
        <v>0</v>
      </c>
    </row>
    <row r="96" spans="1:14" ht="12.75" customHeight="1" x14ac:dyDescent="0.3">
      <c r="A96" s="100">
        <v>15.08</v>
      </c>
      <c r="B96" s="25" t="s">
        <v>109</v>
      </c>
      <c r="C96" s="110" t="s">
        <v>19</v>
      </c>
      <c r="D96" s="31">
        <v>756</v>
      </c>
      <c r="E96" s="181">
        <v>26534</v>
      </c>
      <c r="F96" s="181">
        <f t="shared" si="5"/>
        <v>20059704</v>
      </c>
      <c r="G96" s="186"/>
      <c r="H96" s="252"/>
      <c r="I96" s="250">
        <v>0</v>
      </c>
      <c r="J96" s="250"/>
      <c r="K96" s="251">
        <f t="shared" si="10"/>
        <v>0</v>
      </c>
      <c r="L96" s="50">
        <f t="shared" si="11"/>
        <v>0</v>
      </c>
      <c r="M96" s="50">
        <f t="shared" si="12"/>
        <v>0</v>
      </c>
      <c r="N96" s="50">
        <f t="shared" si="13"/>
        <v>0</v>
      </c>
    </row>
    <row r="97" spans="1:19" ht="12.75" customHeight="1" x14ac:dyDescent="0.3">
      <c r="A97" s="100">
        <v>15.09</v>
      </c>
      <c r="B97" s="25" t="s">
        <v>110</v>
      </c>
      <c r="C97" s="110" t="s">
        <v>19</v>
      </c>
      <c r="D97" s="31">
        <v>56</v>
      </c>
      <c r="E97" s="181">
        <v>31737</v>
      </c>
      <c r="F97" s="181">
        <f t="shared" si="5"/>
        <v>1777272</v>
      </c>
      <c r="G97" s="186"/>
      <c r="H97" s="252"/>
      <c r="I97" s="250">
        <v>0</v>
      </c>
      <c r="J97" s="250"/>
      <c r="K97" s="251">
        <f t="shared" si="10"/>
        <v>0</v>
      </c>
      <c r="L97" s="50">
        <f t="shared" si="11"/>
        <v>0</v>
      </c>
      <c r="M97" s="50">
        <f t="shared" si="12"/>
        <v>0</v>
      </c>
      <c r="N97" s="50">
        <f t="shared" si="13"/>
        <v>0</v>
      </c>
    </row>
    <row r="98" spans="1:19" ht="12.75" customHeight="1" x14ac:dyDescent="0.3">
      <c r="A98" s="100">
        <v>15.1</v>
      </c>
      <c r="B98" s="25" t="s">
        <v>111</v>
      </c>
      <c r="C98" s="110" t="s">
        <v>29</v>
      </c>
      <c r="D98" s="31">
        <v>1</v>
      </c>
      <c r="E98" s="181">
        <v>885031</v>
      </c>
      <c r="F98" s="181">
        <f t="shared" si="5"/>
        <v>885031</v>
      </c>
      <c r="H98" s="245"/>
      <c r="I98" s="250">
        <v>0</v>
      </c>
      <c r="J98" s="250"/>
      <c r="K98" s="251">
        <f t="shared" si="10"/>
        <v>0</v>
      </c>
      <c r="L98" s="50">
        <f t="shared" si="11"/>
        <v>0</v>
      </c>
      <c r="M98" s="50">
        <f t="shared" si="12"/>
        <v>0</v>
      </c>
      <c r="N98" s="50">
        <f t="shared" si="13"/>
        <v>0</v>
      </c>
    </row>
    <row r="99" spans="1:19" ht="12.75" customHeight="1" x14ac:dyDescent="0.3">
      <c r="A99" s="100">
        <v>15.11</v>
      </c>
      <c r="B99" s="25" t="s">
        <v>112</v>
      </c>
      <c r="C99" s="110" t="s">
        <v>52</v>
      </c>
      <c r="D99" s="31">
        <v>73</v>
      </c>
      <c r="E99" s="181">
        <v>83386</v>
      </c>
      <c r="F99" s="181">
        <f t="shared" si="5"/>
        <v>6087178</v>
      </c>
      <c r="H99" s="245"/>
      <c r="I99" s="250">
        <v>0</v>
      </c>
      <c r="J99" s="250"/>
      <c r="K99" s="251">
        <f t="shared" si="10"/>
        <v>0</v>
      </c>
      <c r="L99" s="50">
        <f t="shared" si="11"/>
        <v>0</v>
      </c>
      <c r="M99" s="50">
        <f t="shared" si="12"/>
        <v>0</v>
      </c>
      <c r="N99" s="50">
        <f t="shared" si="13"/>
        <v>0</v>
      </c>
    </row>
    <row r="100" spans="1:19" ht="12.75" customHeight="1" x14ac:dyDescent="0.3">
      <c r="A100" s="100">
        <v>15.12</v>
      </c>
      <c r="B100" s="124" t="s">
        <v>113</v>
      </c>
      <c r="C100" s="111" t="s">
        <v>29</v>
      </c>
      <c r="D100" s="35">
        <v>1</v>
      </c>
      <c r="E100" s="181">
        <v>4286492</v>
      </c>
      <c r="F100" s="181">
        <f t="shared" si="5"/>
        <v>4286492</v>
      </c>
      <c r="H100" s="245"/>
      <c r="I100" s="250">
        <v>0</v>
      </c>
      <c r="J100" s="250"/>
      <c r="K100" s="251">
        <f t="shared" si="10"/>
        <v>0</v>
      </c>
      <c r="L100" s="50">
        <f t="shared" si="11"/>
        <v>0</v>
      </c>
      <c r="M100" s="50">
        <f t="shared" si="12"/>
        <v>0</v>
      </c>
      <c r="N100" s="50">
        <f t="shared" si="13"/>
        <v>0</v>
      </c>
    </row>
    <row r="101" spans="1:19" ht="12.75" customHeight="1" x14ac:dyDescent="0.3">
      <c r="A101" s="13">
        <v>16</v>
      </c>
      <c r="B101" s="125" t="s">
        <v>114</v>
      </c>
      <c r="C101" s="18"/>
      <c r="D101" s="19"/>
      <c r="E101" s="19"/>
      <c r="F101" s="19"/>
      <c r="G101" s="176">
        <f>+SUM(F102)</f>
        <v>0</v>
      </c>
      <c r="H101" s="245">
        <f>+G101/$G$195</f>
        <v>0</v>
      </c>
      <c r="I101" s="246"/>
      <c r="J101" s="247"/>
      <c r="K101" s="247"/>
      <c r="L101" s="178"/>
      <c r="M101" s="178"/>
      <c r="N101" s="179"/>
    </row>
    <row r="102" spans="1:19" ht="12.75" customHeight="1" x14ac:dyDescent="0.3">
      <c r="A102" s="20"/>
      <c r="B102" s="21"/>
      <c r="C102" s="93"/>
      <c r="D102" s="94"/>
      <c r="E102" s="184">
        <v>0</v>
      </c>
      <c r="F102" s="183">
        <f t="shared" si="5"/>
        <v>0</v>
      </c>
      <c r="G102" s="185"/>
      <c r="H102" s="252"/>
      <c r="I102" s="250">
        <v>0</v>
      </c>
      <c r="J102" s="250"/>
      <c r="K102" s="251">
        <f t="shared" si="10"/>
        <v>0</v>
      </c>
      <c r="L102" s="50">
        <f t="shared" si="11"/>
        <v>0</v>
      </c>
      <c r="M102" s="50">
        <f t="shared" si="12"/>
        <v>0</v>
      </c>
      <c r="N102" s="50">
        <f t="shared" si="13"/>
        <v>0</v>
      </c>
    </row>
    <row r="103" spans="1:19" ht="12.75" customHeight="1" x14ac:dyDescent="0.3">
      <c r="A103" s="13">
        <v>17</v>
      </c>
      <c r="B103" s="17" t="s">
        <v>115</v>
      </c>
      <c r="C103" s="18"/>
      <c r="D103" s="19"/>
      <c r="E103" s="19"/>
      <c r="F103" s="19"/>
      <c r="G103" s="176">
        <f>+SUM(F104:F107)</f>
        <v>9415299</v>
      </c>
      <c r="H103" s="245">
        <f>+G103/$G$195</f>
        <v>1.1144406649962005E-2</v>
      </c>
      <c r="I103" s="246"/>
      <c r="J103" s="247"/>
      <c r="K103" s="247"/>
      <c r="L103" s="178"/>
      <c r="M103" s="178"/>
      <c r="N103" s="179"/>
    </row>
    <row r="104" spans="1:19" ht="12.75" customHeight="1" x14ac:dyDescent="0.3">
      <c r="A104" s="20">
        <f>+A103+0.01</f>
        <v>17.010000000000002</v>
      </c>
      <c r="B104" s="126" t="s">
        <v>116</v>
      </c>
      <c r="C104" s="127" t="s">
        <v>33</v>
      </c>
      <c r="D104" s="94">
        <v>57</v>
      </c>
      <c r="E104" s="180">
        <v>79321</v>
      </c>
      <c r="F104" s="180">
        <f t="shared" si="5"/>
        <v>4521297</v>
      </c>
      <c r="G104" s="182"/>
      <c r="H104" s="245"/>
      <c r="I104" s="250">
        <v>0.7</v>
      </c>
      <c r="J104" s="274">
        <v>0.3</v>
      </c>
      <c r="K104" s="251">
        <f t="shared" si="10"/>
        <v>1</v>
      </c>
      <c r="L104" s="50">
        <f t="shared" si="11"/>
        <v>3164907.9</v>
      </c>
      <c r="M104" s="50">
        <f t="shared" si="12"/>
        <v>1356389.0999999999</v>
      </c>
      <c r="N104" s="50">
        <f t="shared" si="13"/>
        <v>4521297</v>
      </c>
    </row>
    <row r="105" spans="1:19" ht="12.75" customHeight="1" x14ac:dyDescent="0.3">
      <c r="A105" s="24">
        <v>17.02</v>
      </c>
      <c r="B105" s="128" t="s">
        <v>117</v>
      </c>
      <c r="C105" s="129" t="s">
        <v>33</v>
      </c>
      <c r="D105" s="31">
        <v>11</v>
      </c>
      <c r="E105" s="181">
        <v>79321</v>
      </c>
      <c r="F105" s="181">
        <f t="shared" si="5"/>
        <v>872531</v>
      </c>
      <c r="G105" s="182"/>
      <c r="H105" s="245"/>
      <c r="I105" s="250">
        <v>0</v>
      </c>
      <c r="J105" s="250"/>
      <c r="K105" s="251">
        <f t="shared" si="10"/>
        <v>0</v>
      </c>
      <c r="L105" s="50">
        <f t="shared" si="11"/>
        <v>0</v>
      </c>
      <c r="M105" s="50">
        <f t="shared" si="12"/>
        <v>0</v>
      </c>
      <c r="N105" s="50">
        <f t="shared" si="13"/>
        <v>0</v>
      </c>
    </row>
    <row r="106" spans="1:19" ht="12.75" customHeight="1" x14ac:dyDescent="0.3">
      <c r="A106" s="24">
        <v>17.03</v>
      </c>
      <c r="B106" s="128" t="s">
        <v>118</v>
      </c>
      <c r="C106" s="129" t="s">
        <v>33</v>
      </c>
      <c r="D106" s="31">
        <v>65</v>
      </c>
      <c r="E106" s="181">
        <v>51161</v>
      </c>
      <c r="F106" s="181">
        <f t="shared" si="5"/>
        <v>3325465</v>
      </c>
      <c r="G106" s="182"/>
      <c r="H106" s="245"/>
      <c r="I106" s="250">
        <v>0.7</v>
      </c>
      <c r="J106" s="274">
        <v>0.2</v>
      </c>
      <c r="K106" s="251">
        <f t="shared" si="10"/>
        <v>0.89999999999999991</v>
      </c>
      <c r="L106" s="50">
        <f t="shared" si="11"/>
        <v>2327825.5</v>
      </c>
      <c r="M106" s="50">
        <f t="shared" si="12"/>
        <v>665093</v>
      </c>
      <c r="N106" s="50">
        <f t="shared" si="13"/>
        <v>2992918.4999999995</v>
      </c>
      <c r="Q106" s="245"/>
    </row>
    <row r="107" spans="1:19" ht="12.75" customHeight="1" x14ac:dyDescent="0.3">
      <c r="A107" s="130">
        <v>17.04</v>
      </c>
      <c r="B107" s="38" t="s">
        <v>119</v>
      </c>
      <c r="C107" s="34" t="s">
        <v>33</v>
      </c>
      <c r="D107" s="35">
        <v>6</v>
      </c>
      <c r="E107" s="189">
        <v>116001</v>
      </c>
      <c r="F107" s="189">
        <f t="shared" si="5"/>
        <v>696006</v>
      </c>
      <c r="G107" s="182"/>
      <c r="H107" s="245"/>
      <c r="I107" s="250">
        <v>0</v>
      </c>
      <c r="J107" s="250"/>
      <c r="K107" s="251">
        <f t="shared" si="10"/>
        <v>0</v>
      </c>
      <c r="L107" s="50">
        <f t="shared" si="11"/>
        <v>0</v>
      </c>
      <c r="M107" s="50">
        <f t="shared" si="12"/>
        <v>0</v>
      </c>
      <c r="N107" s="50">
        <f t="shared" si="13"/>
        <v>0</v>
      </c>
    </row>
    <row r="108" spans="1:19" ht="12.75" customHeight="1" x14ac:dyDescent="0.3">
      <c r="A108" s="13">
        <v>18</v>
      </c>
      <c r="B108" s="40" t="s">
        <v>120</v>
      </c>
      <c r="C108" s="18"/>
      <c r="D108" s="19"/>
      <c r="E108" s="19"/>
      <c r="F108" s="19"/>
      <c r="G108" s="176">
        <f>+SUM(F109:F141)</f>
        <v>87609553</v>
      </c>
      <c r="H108" s="245">
        <f>+G108/$G$195</f>
        <v>0.10369893564223492</v>
      </c>
      <c r="I108" s="246"/>
      <c r="J108" s="247"/>
      <c r="K108" s="247"/>
      <c r="L108" s="178"/>
      <c r="M108" s="178"/>
      <c r="N108" s="179"/>
    </row>
    <row r="109" spans="1:19" ht="12.75" customHeight="1" x14ac:dyDescent="0.3">
      <c r="A109" s="115">
        <f>+A108+0.01</f>
        <v>18.010000000000002</v>
      </c>
      <c r="B109" s="131" t="s">
        <v>121</v>
      </c>
      <c r="C109" s="132" t="s">
        <v>33</v>
      </c>
      <c r="D109" s="94">
        <v>260</v>
      </c>
      <c r="E109" s="180">
        <v>76531</v>
      </c>
      <c r="F109" s="180">
        <f t="shared" si="5"/>
        <v>19898060</v>
      </c>
      <c r="H109" s="245"/>
      <c r="I109" s="250">
        <v>0.49499999999999994</v>
      </c>
      <c r="J109" s="250">
        <v>0.02</v>
      </c>
      <c r="K109" s="251">
        <f t="shared" si="10"/>
        <v>0.5149999999999999</v>
      </c>
      <c r="L109" s="50">
        <f t="shared" si="11"/>
        <v>9849539.6999999993</v>
      </c>
      <c r="M109" s="50">
        <f t="shared" si="12"/>
        <v>397961.2</v>
      </c>
      <c r="N109" s="50">
        <f t="shared" si="13"/>
        <v>10247500.899999999</v>
      </c>
      <c r="Q109" s="263"/>
      <c r="S109" s="262"/>
    </row>
    <row r="110" spans="1:19" ht="12.75" customHeight="1" x14ac:dyDescent="0.3">
      <c r="A110" s="100">
        <v>18.02</v>
      </c>
      <c r="B110" s="98" t="s">
        <v>122</v>
      </c>
      <c r="C110" s="133" t="s">
        <v>33</v>
      </c>
      <c r="D110" s="31">
        <v>62</v>
      </c>
      <c r="E110" s="181">
        <v>73235</v>
      </c>
      <c r="F110" s="181">
        <f t="shared" si="5"/>
        <v>4540570</v>
      </c>
      <c r="H110" s="245"/>
      <c r="I110" s="250">
        <v>0.44500000000000001</v>
      </c>
      <c r="J110" s="250">
        <v>0.02</v>
      </c>
      <c r="K110" s="251">
        <f t="shared" si="10"/>
        <v>0.46500000000000002</v>
      </c>
      <c r="L110" s="50">
        <f t="shared" si="11"/>
        <v>2020553.6500000001</v>
      </c>
      <c r="M110" s="50">
        <f t="shared" si="12"/>
        <v>90811.400000000009</v>
      </c>
      <c r="N110" s="50">
        <f t="shared" si="13"/>
        <v>2111365.0500000003</v>
      </c>
      <c r="Q110" s="263"/>
      <c r="S110" s="262"/>
    </row>
    <row r="111" spans="1:19" ht="12.75" customHeight="1" x14ac:dyDescent="0.3">
      <c r="A111" s="100">
        <v>18.03</v>
      </c>
      <c r="B111" s="98" t="s">
        <v>123</v>
      </c>
      <c r="C111" s="133" t="s">
        <v>33</v>
      </c>
      <c r="D111" s="31">
        <v>12</v>
      </c>
      <c r="E111" s="181">
        <v>73235</v>
      </c>
      <c r="F111" s="181">
        <f t="shared" si="5"/>
        <v>878820</v>
      </c>
      <c r="H111" s="245"/>
      <c r="I111" s="250">
        <v>0.65499999999999992</v>
      </c>
      <c r="J111" s="250"/>
      <c r="K111" s="251">
        <f t="shared" si="10"/>
        <v>0.65499999999999992</v>
      </c>
      <c r="L111" s="50">
        <f t="shared" si="11"/>
        <v>575627.1</v>
      </c>
      <c r="M111" s="50">
        <f t="shared" si="12"/>
        <v>0</v>
      </c>
      <c r="N111" s="50">
        <f t="shared" si="13"/>
        <v>575627.1</v>
      </c>
      <c r="Q111" s="263"/>
      <c r="S111" s="262"/>
    </row>
    <row r="112" spans="1:19" ht="12.75" customHeight="1" x14ac:dyDescent="0.3">
      <c r="A112" s="100">
        <v>18.04</v>
      </c>
      <c r="B112" s="98" t="s">
        <v>124</v>
      </c>
      <c r="C112" s="133" t="s">
        <v>33</v>
      </c>
      <c r="D112" s="31">
        <v>16</v>
      </c>
      <c r="E112" s="181">
        <v>73235</v>
      </c>
      <c r="F112" s="181">
        <f t="shared" si="5"/>
        <v>1171760</v>
      </c>
      <c r="H112" s="245"/>
      <c r="I112" s="250">
        <v>0.55499999999999994</v>
      </c>
      <c r="J112" s="250"/>
      <c r="K112" s="251">
        <f t="shared" si="10"/>
        <v>0.55499999999999994</v>
      </c>
      <c r="L112" s="50">
        <f t="shared" si="11"/>
        <v>650326.79999999993</v>
      </c>
      <c r="M112" s="50">
        <f t="shared" si="12"/>
        <v>0</v>
      </c>
      <c r="N112" s="50">
        <f t="shared" si="13"/>
        <v>650326.79999999993</v>
      </c>
      <c r="Q112" s="263"/>
      <c r="S112" s="262"/>
    </row>
    <row r="113" spans="1:19" ht="12.75" customHeight="1" x14ac:dyDescent="0.3">
      <c r="A113" s="100">
        <v>18.05</v>
      </c>
      <c r="B113" s="98" t="s">
        <v>125</v>
      </c>
      <c r="C113" s="133" t="s">
        <v>33</v>
      </c>
      <c r="D113" s="31">
        <v>1</v>
      </c>
      <c r="E113" s="181">
        <v>73235</v>
      </c>
      <c r="F113" s="181">
        <f t="shared" si="5"/>
        <v>73235</v>
      </c>
      <c r="H113" s="245"/>
      <c r="I113" s="250">
        <v>0.4</v>
      </c>
      <c r="J113" s="250"/>
      <c r="K113" s="251">
        <f t="shared" si="10"/>
        <v>0.4</v>
      </c>
      <c r="L113" s="50">
        <f t="shared" si="11"/>
        <v>29294</v>
      </c>
      <c r="M113" s="50">
        <f t="shared" si="12"/>
        <v>0</v>
      </c>
      <c r="N113" s="50">
        <f t="shared" si="13"/>
        <v>29294</v>
      </c>
    </row>
    <row r="114" spans="1:19" ht="12.75" customHeight="1" x14ac:dyDescent="0.3">
      <c r="A114" s="100">
        <v>18.059999999999999</v>
      </c>
      <c r="B114" s="98" t="s">
        <v>126</v>
      </c>
      <c r="C114" s="133" t="s">
        <v>33</v>
      </c>
      <c r="D114" s="31">
        <v>24</v>
      </c>
      <c r="E114" s="181">
        <v>73235</v>
      </c>
      <c r="F114" s="181">
        <f t="shared" si="5"/>
        <v>1757640</v>
      </c>
      <c r="H114" s="245"/>
      <c r="I114" s="250">
        <v>0.4</v>
      </c>
      <c r="J114" s="250"/>
      <c r="K114" s="251">
        <f t="shared" si="10"/>
        <v>0.4</v>
      </c>
      <c r="L114" s="50">
        <f t="shared" si="11"/>
        <v>703056</v>
      </c>
      <c r="M114" s="50">
        <f t="shared" si="12"/>
        <v>0</v>
      </c>
      <c r="N114" s="50">
        <f t="shared" si="13"/>
        <v>703056</v>
      </c>
      <c r="P114" s="262"/>
    </row>
    <row r="115" spans="1:19" ht="12.75" customHeight="1" x14ac:dyDescent="0.3">
      <c r="A115" s="100">
        <v>18.07</v>
      </c>
      <c r="B115" s="98" t="s">
        <v>127</v>
      </c>
      <c r="C115" s="133" t="s">
        <v>33</v>
      </c>
      <c r="D115" s="31">
        <v>226</v>
      </c>
      <c r="E115" s="181">
        <v>69154</v>
      </c>
      <c r="F115" s="181">
        <f t="shared" si="5"/>
        <v>15628804</v>
      </c>
      <c r="H115" s="245"/>
      <c r="I115" s="250">
        <v>0.45300000000000001</v>
      </c>
      <c r="J115" s="250">
        <v>0.02</v>
      </c>
      <c r="K115" s="251">
        <f t="shared" si="10"/>
        <v>0.47300000000000003</v>
      </c>
      <c r="L115" s="50">
        <f t="shared" si="11"/>
        <v>7079848.2120000003</v>
      </c>
      <c r="M115" s="50">
        <f t="shared" si="12"/>
        <v>312576.08</v>
      </c>
      <c r="N115" s="50">
        <f t="shared" si="13"/>
        <v>7392424.2920000004</v>
      </c>
      <c r="Q115" s="263"/>
    </row>
    <row r="116" spans="1:19" ht="12.75" customHeight="1" x14ac:dyDescent="0.3">
      <c r="A116" s="100">
        <v>18.079999999999998</v>
      </c>
      <c r="B116" s="98" t="s">
        <v>128</v>
      </c>
      <c r="C116" s="133" t="s">
        <v>33</v>
      </c>
      <c r="D116" s="31">
        <v>32</v>
      </c>
      <c r="E116" s="181">
        <v>95308</v>
      </c>
      <c r="F116" s="181">
        <f t="shared" si="5"/>
        <v>3049856</v>
      </c>
      <c r="H116" s="245"/>
      <c r="I116" s="250">
        <v>0.45</v>
      </c>
      <c r="J116" s="250">
        <v>0.02</v>
      </c>
      <c r="K116" s="251">
        <f t="shared" si="10"/>
        <v>0.47000000000000003</v>
      </c>
      <c r="L116" s="50">
        <f t="shared" si="11"/>
        <v>1372435.2</v>
      </c>
      <c r="M116" s="50">
        <f t="shared" si="12"/>
        <v>60997.120000000003</v>
      </c>
      <c r="N116" s="50">
        <f t="shared" si="13"/>
        <v>1433432.32</v>
      </c>
    </row>
    <row r="117" spans="1:19" ht="12.75" customHeight="1" x14ac:dyDescent="0.3">
      <c r="A117" s="100">
        <v>18.09</v>
      </c>
      <c r="B117" s="98" t="s">
        <v>129</v>
      </c>
      <c r="C117" s="133" t="s">
        <v>33</v>
      </c>
      <c r="D117" s="31">
        <v>8</v>
      </c>
      <c r="E117" s="181">
        <v>69154</v>
      </c>
      <c r="F117" s="181">
        <f t="shared" si="5"/>
        <v>553232</v>
      </c>
      <c r="H117" s="245"/>
      <c r="I117" s="250">
        <v>0</v>
      </c>
      <c r="J117" s="250"/>
      <c r="K117" s="251">
        <f t="shared" si="10"/>
        <v>0</v>
      </c>
      <c r="L117" s="50">
        <f t="shared" si="11"/>
        <v>0</v>
      </c>
      <c r="M117" s="50">
        <f t="shared" si="12"/>
        <v>0</v>
      </c>
      <c r="N117" s="50">
        <f t="shared" si="13"/>
        <v>0</v>
      </c>
    </row>
    <row r="118" spans="1:19" ht="12.75" customHeight="1" x14ac:dyDescent="0.3">
      <c r="A118" s="100">
        <v>18.100000000000001</v>
      </c>
      <c r="B118" s="98" t="s">
        <v>130</v>
      </c>
      <c r="C118" s="133" t="s">
        <v>33</v>
      </c>
      <c r="D118" s="31">
        <v>8</v>
      </c>
      <c r="E118" s="181">
        <v>69154</v>
      </c>
      <c r="F118" s="181">
        <f t="shared" si="5"/>
        <v>553232</v>
      </c>
      <c r="H118" s="245"/>
      <c r="I118" s="250">
        <v>0.45</v>
      </c>
      <c r="J118" s="250"/>
      <c r="K118" s="251">
        <f t="shared" si="10"/>
        <v>0.45</v>
      </c>
      <c r="L118" s="50">
        <f t="shared" si="11"/>
        <v>248954.4</v>
      </c>
      <c r="M118" s="50">
        <f t="shared" si="12"/>
        <v>0</v>
      </c>
      <c r="N118" s="50">
        <f t="shared" si="13"/>
        <v>248954.4</v>
      </c>
    </row>
    <row r="119" spans="1:19" ht="12.75" customHeight="1" x14ac:dyDescent="0.3">
      <c r="A119" s="100">
        <v>18.11</v>
      </c>
      <c r="B119" s="98" t="s">
        <v>131</v>
      </c>
      <c r="C119" s="133" t="s">
        <v>33</v>
      </c>
      <c r="D119" s="31">
        <v>26</v>
      </c>
      <c r="E119" s="181">
        <v>50616</v>
      </c>
      <c r="F119" s="181">
        <f t="shared" si="5"/>
        <v>1316016</v>
      </c>
      <c r="H119" s="245"/>
      <c r="I119" s="250">
        <v>0</v>
      </c>
      <c r="J119" s="250"/>
      <c r="K119" s="251">
        <f t="shared" si="10"/>
        <v>0</v>
      </c>
      <c r="L119" s="50">
        <f t="shared" si="11"/>
        <v>0</v>
      </c>
      <c r="M119" s="50">
        <f t="shared" si="12"/>
        <v>0</v>
      </c>
      <c r="N119" s="50">
        <f t="shared" si="13"/>
        <v>0</v>
      </c>
    </row>
    <row r="120" spans="1:19" ht="12.75" customHeight="1" x14ac:dyDescent="0.3">
      <c r="A120" s="100">
        <v>18.12</v>
      </c>
      <c r="B120" s="98" t="s">
        <v>132</v>
      </c>
      <c r="C120" s="133" t="s">
        <v>33</v>
      </c>
      <c r="D120" s="31">
        <v>27</v>
      </c>
      <c r="E120" s="181">
        <v>50616</v>
      </c>
      <c r="F120" s="181">
        <f t="shared" si="5"/>
        <v>1366632</v>
      </c>
      <c r="H120" s="245"/>
      <c r="I120" s="250">
        <v>0.55000000000000004</v>
      </c>
      <c r="J120" s="250">
        <v>0.02</v>
      </c>
      <c r="K120" s="251">
        <f t="shared" si="10"/>
        <v>0.57000000000000006</v>
      </c>
      <c r="L120" s="50">
        <f t="shared" si="11"/>
        <v>751647.60000000009</v>
      </c>
      <c r="M120" s="50">
        <f t="shared" si="12"/>
        <v>27332.639999999999</v>
      </c>
      <c r="N120" s="50">
        <f t="shared" si="13"/>
        <v>778980.24000000011</v>
      </c>
    </row>
    <row r="121" spans="1:19" ht="12.75" customHeight="1" x14ac:dyDescent="0.3">
      <c r="A121" s="100">
        <v>18.13</v>
      </c>
      <c r="B121" s="98" t="s">
        <v>133</v>
      </c>
      <c r="C121" s="133" t="s">
        <v>33</v>
      </c>
      <c r="D121" s="31">
        <v>9</v>
      </c>
      <c r="E121" s="181">
        <v>50616</v>
      </c>
      <c r="F121" s="181">
        <f t="shared" si="5"/>
        <v>455544</v>
      </c>
      <c r="H121" s="245"/>
      <c r="I121" s="250">
        <v>0</v>
      </c>
      <c r="J121" s="250"/>
      <c r="K121" s="251">
        <f t="shared" si="10"/>
        <v>0</v>
      </c>
      <c r="L121" s="50">
        <f t="shared" si="11"/>
        <v>0</v>
      </c>
      <c r="M121" s="50">
        <f t="shared" si="12"/>
        <v>0</v>
      </c>
      <c r="N121" s="50">
        <f t="shared" si="13"/>
        <v>0</v>
      </c>
    </row>
    <row r="122" spans="1:19" ht="12.75" customHeight="1" x14ac:dyDescent="0.3">
      <c r="A122" s="100">
        <v>18.14</v>
      </c>
      <c r="B122" s="98" t="s">
        <v>134</v>
      </c>
      <c r="C122" s="133" t="s">
        <v>33</v>
      </c>
      <c r="D122" s="31">
        <v>29</v>
      </c>
      <c r="E122" s="181">
        <v>50616</v>
      </c>
      <c r="F122" s="181">
        <f t="shared" si="5"/>
        <v>1467864</v>
      </c>
      <c r="H122" s="245"/>
      <c r="I122" s="250">
        <v>0.55000000000000004</v>
      </c>
      <c r="J122" s="250">
        <v>0.02</v>
      </c>
      <c r="K122" s="251">
        <f t="shared" si="10"/>
        <v>0.57000000000000006</v>
      </c>
      <c r="L122" s="50">
        <f t="shared" si="11"/>
        <v>807325.20000000007</v>
      </c>
      <c r="M122" s="50">
        <f t="shared" si="12"/>
        <v>29357.279999999999</v>
      </c>
      <c r="N122" s="50">
        <f t="shared" si="13"/>
        <v>836682.4800000001</v>
      </c>
    </row>
    <row r="123" spans="1:19" ht="12.75" customHeight="1" x14ac:dyDescent="0.3">
      <c r="A123" s="100">
        <v>18.149999999999999</v>
      </c>
      <c r="B123" s="98" t="s">
        <v>135</v>
      </c>
      <c r="C123" s="133" t="s">
        <v>33</v>
      </c>
      <c r="D123" s="31">
        <v>3</v>
      </c>
      <c r="E123" s="181">
        <v>50616</v>
      </c>
      <c r="F123" s="181">
        <f t="shared" si="5"/>
        <v>151848</v>
      </c>
      <c r="H123" s="245"/>
      <c r="I123" s="250">
        <v>0.4</v>
      </c>
      <c r="J123" s="250"/>
      <c r="K123" s="251">
        <f t="shared" si="10"/>
        <v>0.4</v>
      </c>
      <c r="L123" s="50">
        <f t="shared" si="11"/>
        <v>60739.200000000004</v>
      </c>
      <c r="M123" s="50">
        <f t="shared" si="12"/>
        <v>0</v>
      </c>
      <c r="N123" s="50">
        <f t="shared" si="13"/>
        <v>60739.200000000004</v>
      </c>
      <c r="Q123" s="263"/>
      <c r="S123" s="262"/>
    </row>
    <row r="124" spans="1:19" ht="12.75" customHeight="1" x14ac:dyDescent="0.3">
      <c r="A124" s="100">
        <v>18.16</v>
      </c>
      <c r="B124" s="98" t="s">
        <v>136</v>
      </c>
      <c r="C124" s="133" t="s">
        <v>33</v>
      </c>
      <c r="D124" s="31">
        <v>1</v>
      </c>
      <c r="E124" s="181">
        <v>2245770</v>
      </c>
      <c r="F124" s="181">
        <f t="shared" si="5"/>
        <v>2245770</v>
      </c>
      <c r="H124" s="245"/>
      <c r="I124" s="250">
        <v>0</v>
      </c>
      <c r="J124" s="250"/>
      <c r="K124" s="251">
        <f t="shared" si="10"/>
        <v>0</v>
      </c>
      <c r="L124" s="50">
        <f t="shared" si="11"/>
        <v>0</v>
      </c>
      <c r="M124" s="50">
        <f t="shared" si="12"/>
        <v>0</v>
      </c>
      <c r="N124" s="50">
        <f t="shared" si="13"/>
        <v>0</v>
      </c>
    </row>
    <row r="125" spans="1:19" ht="12.75" customHeight="1" x14ac:dyDescent="0.3">
      <c r="A125" s="100">
        <v>18.170000000000002</v>
      </c>
      <c r="B125" s="98" t="s">
        <v>137</v>
      </c>
      <c r="C125" s="133" t="s">
        <v>33</v>
      </c>
      <c r="D125" s="31">
        <v>1</v>
      </c>
      <c r="E125" s="181">
        <v>1116033</v>
      </c>
      <c r="F125" s="181">
        <f t="shared" si="5"/>
        <v>1116033</v>
      </c>
      <c r="H125" s="245"/>
      <c r="I125" s="250">
        <v>0</v>
      </c>
      <c r="J125" s="250"/>
      <c r="K125" s="251">
        <f t="shared" si="10"/>
        <v>0</v>
      </c>
      <c r="L125" s="50">
        <f t="shared" si="11"/>
        <v>0</v>
      </c>
      <c r="M125" s="50">
        <f t="shared" si="12"/>
        <v>0</v>
      </c>
      <c r="N125" s="50">
        <f t="shared" si="13"/>
        <v>0</v>
      </c>
    </row>
    <row r="126" spans="1:19" ht="12.75" customHeight="1" x14ac:dyDescent="0.3">
      <c r="A126" s="100">
        <v>18.18</v>
      </c>
      <c r="B126" s="98" t="s">
        <v>138</v>
      </c>
      <c r="C126" s="133" t="s">
        <v>33</v>
      </c>
      <c r="D126" s="31">
        <v>2</v>
      </c>
      <c r="E126" s="181">
        <v>530996</v>
      </c>
      <c r="F126" s="181">
        <f t="shared" si="5"/>
        <v>1061992</v>
      </c>
      <c r="H126" s="245"/>
      <c r="I126" s="250">
        <v>0</v>
      </c>
      <c r="J126" s="250"/>
      <c r="K126" s="251">
        <f t="shared" si="10"/>
        <v>0</v>
      </c>
      <c r="L126" s="50">
        <f t="shared" si="11"/>
        <v>0</v>
      </c>
      <c r="M126" s="50">
        <f t="shared" si="12"/>
        <v>0</v>
      </c>
      <c r="N126" s="50">
        <f t="shared" si="13"/>
        <v>0</v>
      </c>
    </row>
    <row r="127" spans="1:19" ht="12.75" customHeight="1" x14ac:dyDescent="0.3">
      <c r="A127" s="100">
        <v>18.190000000000001</v>
      </c>
      <c r="B127" s="98" t="s">
        <v>139</v>
      </c>
      <c r="C127" s="133" t="s">
        <v>33</v>
      </c>
      <c r="D127" s="31">
        <v>9</v>
      </c>
      <c r="E127" s="181">
        <v>595409</v>
      </c>
      <c r="F127" s="181">
        <f t="shared" si="5"/>
        <v>5358681</v>
      </c>
      <c r="H127" s="245"/>
      <c r="I127" s="250">
        <v>0.2</v>
      </c>
      <c r="J127" s="250"/>
      <c r="K127" s="251">
        <f t="shared" si="10"/>
        <v>0.2</v>
      </c>
      <c r="L127" s="50">
        <f t="shared" si="11"/>
        <v>1071736.2</v>
      </c>
      <c r="M127" s="50">
        <f t="shared" si="12"/>
        <v>0</v>
      </c>
      <c r="N127" s="50">
        <f t="shared" si="13"/>
        <v>1071736.2</v>
      </c>
    </row>
    <row r="128" spans="1:19" ht="12.75" customHeight="1" x14ac:dyDescent="0.3">
      <c r="A128" s="100">
        <v>18.2</v>
      </c>
      <c r="B128" s="98" t="s">
        <v>140</v>
      </c>
      <c r="C128" s="133" t="s">
        <v>29</v>
      </c>
      <c r="D128" s="31">
        <v>1</v>
      </c>
      <c r="E128" s="181">
        <v>6378278</v>
      </c>
      <c r="F128" s="181">
        <f t="shared" si="5"/>
        <v>6378278</v>
      </c>
      <c r="H128" s="245"/>
      <c r="I128" s="250">
        <v>0</v>
      </c>
      <c r="J128" s="250">
        <v>0.15</v>
      </c>
      <c r="K128" s="251">
        <f t="shared" si="10"/>
        <v>0.15</v>
      </c>
      <c r="L128" s="50">
        <f t="shared" si="11"/>
        <v>0</v>
      </c>
      <c r="M128" s="50">
        <f t="shared" si="12"/>
        <v>956741.7</v>
      </c>
      <c r="N128" s="50">
        <f t="shared" si="13"/>
        <v>956741.7</v>
      </c>
    </row>
    <row r="129" spans="1:14" ht="12.75" customHeight="1" x14ac:dyDescent="0.3">
      <c r="A129" s="100">
        <v>18.21</v>
      </c>
      <c r="B129" s="98" t="s">
        <v>141</v>
      </c>
      <c r="C129" s="133" t="s">
        <v>29</v>
      </c>
      <c r="D129" s="31">
        <v>1</v>
      </c>
      <c r="E129" s="181">
        <v>1695726</v>
      </c>
      <c r="F129" s="181">
        <f t="shared" si="5"/>
        <v>1695726</v>
      </c>
      <c r="H129" s="245"/>
      <c r="I129" s="250">
        <v>0</v>
      </c>
      <c r="J129" s="250">
        <v>0.15</v>
      </c>
      <c r="K129" s="251">
        <f t="shared" si="10"/>
        <v>0.15</v>
      </c>
      <c r="L129" s="50">
        <f t="shared" si="11"/>
        <v>0</v>
      </c>
      <c r="M129" s="50">
        <f t="shared" si="12"/>
        <v>254358.9</v>
      </c>
      <c r="N129" s="50">
        <f t="shared" si="13"/>
        <v>254358.9</v>
      </c>
    </row>
    <row r="130" spans="1:14" ht="12.75" customHeight="1" x14ac:dyDescent="0.3">
      <c r="A130" s="100">
        <v>18.22</v>
      </c>
      <c r="B130" s="98" t="s">
        <v>142</v>
      </c>
      <c r="C130" s="133" t="s">
        <v>29</v>
      </c>
      <c r="D130" s="31">
        <v>1</v>
      </c>
      <c r="E130" s="181">
        <v>1695726</v>
      </c>
      <c r="F130" s="181">
        <f t="shared" si="5"/>
        <v>1695726</v>
      </c>
      <c r="H130" s="245"/>
      <c r="I130" s="250">
        <v>0</v>
      </c>
      <c r="J130" s="250">
        <v>0.15</v>
      </c>
      <c r="K130" s="251">
        <f t="shared" si="10"/>
        <v>0.15</v>
      </c>
      <c r="L130" s="50">
        <f t="shared" si="11"/>
        <v>0</v>
      </c>
      <c r="M130" s="50">
        <f t="shared" si="12"/>
        <v>254358.9</v>
      </c>
      <c r="N130" s="50">
        <f t="shared" si="13"/>
        <v>254358.9</v>
      </c>
    </row>
    <row r="131" spans="1:14" ht="12.75" customHeight="1" x14ac:dyDescent="0.3">
      <c r="A131" s="100">
        <v>18.23</v>
      </c>
      <c r="B131" s="98" t="s">
        <v>143</v>
      </c>
      <c r="C131" s="133" t="s">
        <v>33</v>
      </c>
      <c r="D131" s="31">
        <v>16</v>
      </c>
      <c r="E131" s="181">
        <v>15984</v>
      </c>
      <c r="F131" s="181">
        <f t="shared" si="5"/>
        <v>255744</v>
      </c>
      <c r="H131" s="245"/>
      <c r="I131" s="250">
        <v>0</v>
      </c>
      <c r="J131" s="250"/>
      <c r="K131" s="251">
        <f t="shared" si="10"/>
        <v>0</v>
      </c>
      <c r="L131" s="50">
        <f t="shared" si="11"/>
        <v>0</v>
      </c>
      <c r="M131" s="50">
        <f t="shared" si="12"/>
        <v>0</v>
      </c>
      <c r="N131" s="50">
        <f t="shared" si="13"/>
        <v>0</v>
      </c>
    </row>
    <row r="132" spans="1:14" ht="12.75" customHeight="1" x14ac:dyDescent="0.3">
      <c r="A132" s="100">
        <v>18.239999999999998</v>
      </c>
      <c r="B132" s="98" t="s">
        <v>144</v>
      </c>
      <c r="C132" s="133" t="s">
        <v>33</v>
      </c>
      <c r="D132" s="31">
        <v>140</v>
      </c>
      <c r="E132" s="181">
        <v>10416</v>
      </c>
      <c r="F132" s="181">
        <f t="shared" si="5"/>
        <v>1458240</v>
      </c>
      <c r="H132" s="245"/>
      <c r="I132" s="250">
        <v>0</v>
      </c>
      <c r="J132" s="250"/>
      <c r="K132" s="251">
        <f t="shared" si="10"/>
        <v>0</v>
      </c>
      <c r="L132" s="50">
        <f t="shared" si="11"/>
        <v>0</v>
      </c>
      <c r="M132" s="50">
        <f t="shared" si="12"/>
        <v>0</v>
      </c>
      <c r="N132" s="50">
        <f t="shared" si="13"/>
        <v>0</v>
      </c>
    </row>
    <row r="133" spans="1:14" ht="12.75" customHeight="1" x14ac:dyDescent="0.3">
      <c r="A133" s="100">
        <v>18.25</v>
      </c>
      <c r="B133" s="98" t="s">
        <v>145</v>
      </c>
      <c r="C133" s="133" t="s">
        <v>33</v>
      </c>
      <c r="D133" s="31">
        <v>226</v>
      </c>
      <c r="E133" s="181">
        <v>10416</v>
      </c>
      <c r="F133" s="181">
        <f t="shared" si="5"/>
        <v>2354016</v>
      </c>
      <c r="H133" s="245"/>
      <c r="I133" s="250">
        <v>0</v>
      </c>
      <c r="J133" s="250"/>
      <c r="K133" s="251">
        <f t="shared" si="10"/>
        <v>0</v>
      </c>
      <c r="L133" s="50">
        <f t="shared" si="11"/>
        <v>0</v>
      </c>
      <c r="M133" s="50">
        <f t="shared" si="12"/>
        <v>0</v>
      </c>
      <c r="N133" s="50">
        <f t="shared" si="13"/>
        <v>0</v>
      </c>
    </row>
    <row r="134" spans="1:14" ht="12.75" customHeight="1" x14ac:dyDescent="0.3">
      <c r="A134" s="100">
        <v>18.260000000000002</v>
      </c>
      <c r="B134" s="98" t="s">
        <v>146</v>
      </c>
      <c r="C134" s="133" t="s">
        <v>33</v>
      </c>
      <c r="D134" s="31">
        <v>8</v>
      </c>
      <c r="E134" s="181">
        <v>25377</v>
      </c>
      <c r="F134" s="181">
        <f t="shared" si="5"/>
        <v>203016</v>
      </c>
      <c r="H134" s="245"/>
      <c r="I134" s="250">
        <v>0</v>
      </c>
      <c r="J134" s="250"/>
      <c r="K134" s="251">
        <f t="shared" si="10"/>
        <v>0</v>
      </c>
      <c r="L134" s="50">
        <f t="shared" si="11"/>
        <v>0</v>
      </c>
      <c r="M134" s="50">
        <f t="shared" si="12"/>
        <v>0</v>
      </c>
      <c r="N134" s="50">
        <f t="shared" si="13"/>
        <v>0</v>
      </c>
    </row>
    <row r="135" spans="1:14" ht="12.75" customHeight="1" x14ac:dyDescent="0.3">
      <c r="A135" s="100">
        <v>18.27</v>
      </c>
      <c r="B135" s="98" t="s">
        <v>147</v>
      </c>
      <c r="C135" s="133" t="s">
        <v>33</v>
      </c>
      <c r="D135" s="31">
        <v>24</v>
      </c>
      <c r="E135" s="181">
        <v>93081</v>
      </c>
      <c r="F135" s="181">
        <f t="shared" si="5"/>
        <v>2233944</v>
      </c>
      <c r="H135" s="245"/>
      <c r="I135" s="250">
        <v>0</v>
      </c>
      <c r="J135" s="250"/>
      <c r="K135" s="251">
        <f t="shared" si="10"/>
        <v>0</v>
      </c>
      <c r="L135" s="50">
        <f t="shared" si="11"/>
        <v>0</v>
      </c>
      <c r="M135" s="50">
        <f t="shared" si="12"/>
        <v>0</v>
      </c>
      <c r="N135" s="50">
        <f t="shared" si="13"/>
        <v>0</v>
      </c>
    </row>
    <row r="136" spans="1:14" ht="12.75" customHeight="1" x14ac:dyDescent="0.3">
      <c r="A136" s="100">
        <v>18.28</v>
      </c>
      <c r="B136" s="98" t="s">
        <v>148</v>
      </c>
      <c r="C136" s="133" t="s">
        <v>33</v>
      </c>
      <c r="D136" s="31">
        <v>12</v>
      </c>
      <c r="E136" s="181">
        <v>25377</v>
      </c>
      <c r="F136" s="181">
        <f t="shared" si="5"/>
        <v>304524</v>
      </c>
      <c r="H136" s="245"/>
      <c r="I136" s="250">
        <v>0</v>
      </c>
      <c r="J136" s="250"/>
      <c r="K136" s="251">
        <f t="shared" si="10"/>
        <v>0</v>
      </c>
      <c r="L136" s="50">
        <f t="shared" si="11"/>
        <v>0</v>
      </c>
      <c r="M136" s="50">
        <f t="shared" si="12"/>
        <v>0</v>
      </c>
      <c r="N136" s="50">
        <f t="shared" si="13"/>
        <v>0</v>
      </c>
    </row>
    <row r="137" spans="1:14" ht="12.75" customHeight="1" x14ac:dyDescent="0.3">
      <c r="A137" s="100">
        <v>18.2899999999999</v>
      </c>
      <c r="B137" s="98" t="s">
        <v>149</v>
      </c>
      <c r="C137" s="133" t="s">
        <v>33</v>
      </c>
      <c r="D137" s="31">
        <v>1</v>
      </c>
      <c r="E137" s="181">
        <v>25377</v>
      </c>
      <c r="F137" s="181">
        <f t="shared" si="5"/>
        <v>25377</v>
      </c>
      <c r="H137" s="245"/>
      <c r="I137" s="250">
        <v>0</v>
      </c>
      <c r="J137" s="250"/>
      <c r="K137" s="251">
        <f t="shared" si="10"/>
        <v>0</v>
      </c>
      <c r="L137" s="50">
        <f t="shared" si="11"/>
        <v>0</v>
      </c>
      <c r="M137" s="50">
        <f t="shared" si="12"/>
        <v>0</v>
      </c>
      <c r="N137" s="50">
        <f t="shared" si="13"/>
        <v>0</v>
      </c>
    </row>
    <row r="138" spans="1:14" ht="12.75" customHeight="1" x14ac:dyDescent="0.3">
      <c r="A138" s="100">
        <v>18.299999999999901</v>
      </c>
      <c r="B138" s="98" t="s">
        <v>150</v>
      </c>
      <c r="C138" s="133" t="s">
        <v>33</v>
      </c>
      <c r="D138" s="31">
        <v>109</v>
      </c>
      <c r="E138" s="181">
        <v>15984</v>
      </c>
      <c r="F138" s="181">
        <f t="shared" ref="F138:F194" si="14">+E138*D138</f>
        <v>1742256</v>
      </c>
      <c r="H138" s="245"/>
      <c r="I138" s="250">
        <v>0</v>
      </c>
      <c r="J138" s="250"/>
      <c r="K138" s="251">
        <f t="shared" si="10"/>
        <v>0</v>
      </c>
      <c r="L138" s="50">
        <f t="shared" si="11"/>
        <v>0</v>
      </c>
      <c r="M138" s="50">
        <f t="shared" si="12"/>
        <v>0</v>
      </c>
      <c r="N138" s="50">
        <f t="shared" si="13"/>
        <v>0</v>
      </c>
    </row>
    <row r="139" spans="1:14" ht="12.75" customHeight="1" x14ac:dyDescent="0.3">
      <c r="A139" s="100">
        <v>18.309999999999899</v>
      </c>
      <c r="B139" s="98" t="s">
        <v>151</v>
      </c>
      <c r="C139" s="133" t="s">
        <v>29</v>
      </c>
      <c r="D139" s="31">
        <v>1</v>
      </c>
      <c r="E139" s="181">
        <v>5516929</v>
      </c>
      <c r="F139" s="181">
        <f t="shared" si="14"/>
        <v>5516929</v>
      </c>
      <c r="H139" s="245"/>
      <c r="I139" s="250">
        <v>0</v>
      </c>
      <c r="J139" s="250"/>
      <c r="K139" s="251">
        <f t="shared" si="10"/>
        <v>0</v>
      </c>
      <c r="L139" s="50">
        <f t="shared" si="11"/>
        <v>0</v>
      </c>
      <c r="M139" s="50">
        <f t="shared" si="12"/>
        <v>0</v>
      </c>
      <c r="N139" s="50">
        <f t="shared" si="13"/>
        <v>0</v>
      </c>
    </row>
    <row r="140" spans="1:14" ht="12.75" customHeight="1" x14ac:dyDescent="0.3">
      <c r="A140" s="100">
        <v>18.319999999999901</v>
      </c>
      <c r="B140" s="294" t="s">
        <v>152</v>
      </c>
      <c r="C140" s="133" t="s">
        <v>29</v>
      </c>
      <c r="D140" s="31">
        <v>1</v>
      </c>
      <c r="E140" s="181">
        <v>957554</v>
      </c>
      <c r="F140" s="181">
        <f t="shared" si="14"/>
        <v>957554</v>
      </c>
      <c r="H140" s="245"/>
      <c r="I140" s="250">
        <v>0</v>
      </c>
      <c r="J140" s="250"/>
      <c r="K140" s="251">
        <f t="shared" ref="K140:K194" si="15">+I140+J140</f>
        <v>0</v>
      </c>
      <c r="L140" s="50">
        <f t="shared" ref="L140:L194" si="16">+F140*I140</f>
        <v>0</v>
      </c>
      <c r="M140" s="50">
        <f t="shared" ref="M140:M194" si="17">+F140*J140</f>
        <v>0</v>
      </c>
      <c r="N140" s="50">
        <f t="shared" ref="N140:N194" si="18">+F140*K140</f>
        <v>0</v>
      </c>
    </row>
    <row r="141" spans="1:14" ht="12.75" customHeight="1" x14ac:dyDescent="0.3">
      <c r="A141" s="100">
        <v>18.329999999999899</v>
      </c>
      <c r="B141" s="134" t="s">
        <v>153</v>
      </c>
      <c r="C141" s="135" t="s">
        <v>29</v>
      </c>
      <c r="D141" s="35">
        <v>1</v>
      </c>
      <c r="E141" s="181">
        <v>142634</v>
      </c>
      <c r="F141" s="181">
        <f t="shared" si="14"/>
        <v>142634</v>
      </c>
      <c r="H141" s="245"/>
      <c r="I141" s="250">
        <v>0</v>
      </c>
      <c r="J141" s="250"/>
      <c r="K141" s="251">
        <f t="shared" si="15"/>
        <v>0</v>
      </c>
      <c r="L141" s="50">
        <f t="shared" si="16"/>
        <v>0</v>
      </c>
      <c r="M141" s="50">
        <f t="shared" si="17"/>
        <v>0</v>
      </c>
      <c r="N141" s="50">
        <f t="shared" si="18"/>
        <v>0</v>
      </c>
    </row>
    <row r="142" spans="1:14" ht="12.75" customHeight="1" x14ac:dyDescent="0.3">
      <c r="A142" s="13">
        <v>19</v>
      </c>
      <c r="B142" s="40" t="s">
        <v>154</v>
      </c>
      <c r="C142" s="18"/>
      <c r="D142" s="19"/>
      <c r="E142" s="190"/>
      <c r="F142" s="190"/>
      <c r="G142" s="191"/>
      <c r="H142" s="245"/>
      <c r="I142" s="246"/>
      <c r="J142" s="247"/>
      <c r="K142" s="247"/>
      <c r="L142" s="178"/>
      <c r="M142" s="178"/>
      <c r="N142" s="179"/>
    </row>
    <row r="143" spans="1:14" ht="12.75" customHeight="1" x14ac:dyDescent="0.3">
      <c r="A143" s="13"/>
      <c r="B143" s="40" t="s">
        <v>155</v>
      </c>
      <c r="C143" s="18"/>
      <c r="D143" s="19"/>
      <c r="E143" s="19"/>
      <c r="F143" s="19"/>
      <c r="G143" s="192">
        <f>+SUM(F144:F146)</f>
        <v>21227962</v>
      </c>
      <c r="H143" s="245">
        <f>+G143/$G$195</f>
        <v>2.5126450140132647E-2</v>
      </c>
      <c r="I143" s="246"/>
      <c r="J143" s="247"/>
      <c r="K143" s="247"/>
      <c r="L143" s="178"/>
      <c r="M143" s="178"/>
      <c r="N143" s="179"/>
    </row>
    <row r="144" spans="1:14" ht="12.75" customHeight="1" x14ac:dyDescent="0.3">
      <c r="A144" s="20">
        <v>19.010000000000002</v>
      </c>
      <c r="B144" s="136" t="s">
        <v>156</v>
      </c>
      <c r="C144" s="122" t="s">
        <v>29</v>
      </c>
      <c r="D144" s="123">
        <v>1</v>
      </c>
      <c r="E144" s="183">
        <v>6793844</v>
      </c>
      <c r="F144" s="183">
        <f t="shared" si="14"/>
        <v>6793844</v>
      </c>
      <c r="H144" s="245"/>
      <c r="I144" s="250">
        <v>0</v>
      </c>
      <c r="J144" s="250"/>
      <c r="K144" s="251">
        <f t="shared" si="15"/>
        <v>0</v>
      </c>
      <c r="L144" s="50">
        <f t="shared" si="16"/>
        <v>0</v>
      </c>
      <c r="M144" s="50">
        <f t="shared" si="17"/>
        <v>0</v>
      </c>
      <c r="N144" s="50">
        <f t="shared" si="18"/>
        <v>0</v>
      </c>
    </row>
    <row r="145" spans="1:14" ht="12.75" customHeight="1" x14ac:dyDescent="0.3">
      <c r="A145" s="24">
        <v>19.02</v>
      </c>
      <c r="B145" s="36" t="s">
        <v>157</v>
      </c>
      <c r="C145" s="28" t="s">
        <v>29</v>
      </c>
      <c r="D145" s="29">
        <v>1</v>
      </c>
      <c r="E145" s="181">
        <v>9552583</v>
      </c>
      <c r="F145" s="181">
        <f t="shared" si="14"/>
        <v>9552583</v>
      </c>
      <c r="H145" s="245"/>
      <c r="I145" s="250">
        <v>0.35</v>
      </c>
      <c r="J145" s="250">
        <v>0.2</v>
      </c>
      <c r="K145" s="251">
        <f t="shared" si="15"/>
        <v>0.55000000000000004</v>
      </c>
      <c r="L145" s="50">
        <f t="shared" si="16"/>
        <v>3343404.05</v>
      </c>
      <c r="M145" s="50">
        <f t="shared" si="17"/>
        <v>1910516.6</v>
      </c>
      <c r="N145" s="50">
        <f t="shared" si="18"/>
        <v>5253920.6500000004</v>
      </c>
    </row>
    <row r="146" spans="1:14" ht="12.75" customHeight="1" x14ac:dyDescent="0.3">
      <c r="A146" s="33">
        <v>19.03</v>
      </c>
      <c r="B146" s="137" t="s">
        <v>158</v>
      </c>
      <c r="C146" s="138" t="s">
        <v>29</v>
      </c>
      <c r="D146" s="139">
        <v>1</v>
      </c>
      <c r="E146" s="181">
        <v>4881535</v>
      </c>
      <c r="F146" s="181">
        <f t="shared" si="14"/>
        <v>4881535</v>
      </c>
      <c r="H146" s="245"/>
      <c r="I146" s="250">
        <v>0.35</v>
      </c>
      <c r="J146" s="250">
        <v>0.1</v>
      </c>
      <c r="K146" s="251">
        <f t="shared" si="15"/>
        <v>0.44999999999999996</v>
      </c>
      <c r="L146" s="50">
        <f t="shared" si="16"/>
        <v>1708537.25</v>
      </c>
      <c r="M146" s="50">
        <f t="shared" si="17"/>
        <v>488153.5</v>
      </c>
      <c r="N146" s="50">
        <f t="shared" si="18"/>
        <v>2196690.75</v>
      </c>
    </row>
    <row r="147" spans="1:14" ht="12.75" customHeight="1" x14ac:dyDescent="0.3">
      <c r="A147" s="140"/>
      <c r="B147" s="141" t="s">
        <v>159</v>
      </c>
      <c r="C147" s="11"/>
      <c r="D147" s="12"/>
      <c r="E147" s="19"/>
      <c r="F147" s="19"/>
      <c r="G147" s="192">
        <f>+SUM(F148:F150)</f>
        <v>7075989</v>
      </c>
      <c r="H147" s="245">
        <f>+G147/$G$195</f>
        <v>8.3754853527920892E-3</v>
      </c>
      <c r="I147" s="246"/>
      <c r="J147" s="247"/>
      <c r="K147" s="247"/>
      <c r="L147" s="178"/>
      <c r="M147" s="178"/>
      <c r="N147" s="179"/>
    </row>
    <row r="148" spans="1:14" ht="12.75" customHeight="1" x14ac:dyDescent="0.3">
      <c r="A148" s="20">
        <v>19.04</v>
      </c>
      <c r="B148" s="136" t="s">
        <v>160</v>
      </c>
      <c r="C148" s="122" t="s">
        <v>29</v>
      </c>
      <c r="D148" s="123">
        <v>1</v>
      </c>
      <c r="E148" s="181">
        <v>2476596</v>
      </c>
      <c r="F148" s="181">
        <f t="shared" si="14"/>
        <v>2476596</v>
      </c>
      <c r="H148" s="245"/>
      <c r="I148" s="250">
        <v>0</v>
      </c>
      <c r="J148" s="250"/>
      <c r="K148" s="251">
        <f t="shared" si="15"/>
        <v>0</v>
      </c>
      <c r="L148" s="50">
        <f t="shared" si="16"/>
        <v>0</v>
      </c>
      <c r="M148" s="50">
        <f t="shared" si="17"/>
        <v>0</v>
      </c>
      <c r="N148" s="50">
        <f t="shared" si="18"/>
        <v>0</v>
      </c>
    </row>
    <row r="149" spans="1:14" ht="12.75" customHeight="1" x14ac:dyDescent="0.3">
      <c r="A149" s="24">
        <v>19.05</v>
      </c>
      <c r="B149" s="36" t="s">
        <v>161</v>
      </c>
      <c r="C149" s="28" t="s">
        <v>29</v>
      </c>
      <c r="D149" s="29">
        <v>1</v>
      </c>
      <c r="E149" s="181">
        <v>3537994</v>
      </c>
      <c r="F149" s="181">
        <f t="shared" si="14"/>
        <v>3537994</v>
      </c>
      <c r="H149" s="245"/>
      <c r="I149" s="250">
        <v>0.39999999999999997</v>
      </c>
      <c r="J149" s="250">
        <v>0.05</v>
      </c>
      <c r="K149" s="251">
        <f t="shared" si="15"/>
        <v>0.44999999999999996</v>
      </c>
      <c r="L149" s="50">
        <f t="shared" si="16"/>
        <v>1415197.5999999999</v>
      </c>
      <c r="M149" s="50">
        <f t="shared" si="17"/>
        <v>176899.7</v>
      </c>
      <c r="N149" s="50">
        <f t="shared" si="18"/>
        <v>1592097.2999999998</v>
      </c>
    </row>
    <row r="150" spans="1:14" ht="12.75" customHeight="1" x14ac:dyDescent="0.3">
      <c r="A150" s="33">
        <v>19.059999999999999</v>
      </c>
      <c r="B150" s="137" t="s">
        <v>162</v>
      </c>
      <c r="C150" s="138" t="s">
        <v>29</v>
      </c>
      <c r="D150" s="139">
        <v>1</v>
      </c>
      <c r="E150" s="181">
        <v>1061399</v>
      </c>
      <c r="F150" s="181">
        <f t="shared" si="14"/>
        <v>1061399</v>
      </c>
      <c r="H150" s="245"/>
      <c r="I150" s="250">
        <v>0</v>
      </c>
      <c r="J150" s="250"/>
      <c r="K150" s="251">
        <f t="shared" si="15"/>
        <v>0</v>
      </c>
      <c r="L150" s="50">
        <f t="shared" si="16"/>
        <v>0</v>
      </c>
      <c r="M150" s="50">
        <f t="shared" si="17"/>
        <v>0</v>
      </c>
      <c r="N150" s="50">
        <f t="shared" si="18"/>
        <v>0</v>
      </c>
    </row>
    <row r="151" spans="1:14" ht="12.75" customHeight="1" x14ac:dyDescent="0.3">
      <c r="A151" s="13"/>
      <c r="B151" s="40" t="s">
        <v>163</v>
      </c>
      <c r="C151" s="18"/>
      <c r="D151" s="19"/>
      <c r="E151" s="19"/>
      <c r="F151" s="19"/>
      <c r="G151" s="192">
        <f>+SUM(F152:F156)</f>
        <v>34829620</v>
      </c>
      <c r="H151" s="245">
        <f>+G151/$G$195</f>
        <v>4.1226035279777064E-2</v>
      </c>
      <c r="I151" s="246"/>
      <c r="J151" s="247"/>
      <c r="K151" s="247"/>
      <c r="L151" s="178"/>
      <c r="M151" s="178"/>
      <c r="N151" s="179"/>
    </row>
    <row r="152" spans="1:14" ht="12.75" customHeight="1" x14ac:dyDescent="0.3">
      <c r="A152" s="115">
        <v>19.07</v>
      </c>
      <c r="B152" s="142" t="s">
        <v>164</v>
      </c>
      <c r="C152" s="122" t="s">
        <v>29</v>
      </c>
      <c r="D152" s="123">
        <v>1</v>
      </c>
      <c r="E152" s="180">
        <v>3263223</v>
      </c>
      <c r="F152" s="180">
        <f t="shared" si="14"/>
        <v>3263223</v>
      </c>
      <c r="H152" s="245"/>
      <c r="I152" s="250">
        <v>0</v>
      </c>
      <c r="J152" s="250"/>
      <c r="K152" s="251">
        <f t="shared" si="15"/>
        <v>0</v>
      </c>
      <c r="L152" s="50">
        <f t="shared" si="16"/>
        <v>0</v>
      </c>
      <c r="M152" s="50">
        <f t="shared" si="17"/>
        <v>0</v>
      </c>
      <c r="N152" s="50">
        <f t="shared" si="18"/>
        <v>0</v>
      </c>
    </row>
    <row r="153" spans="1:14" ht="12.75" customHeight="1" x14ac:dyDescent="0.3">
      <c r="A153" s="100">
        <v>19.079999999999998</v>
      </c>
      <c r="B153" s="143" t="s">
        <v>165</v>
      </c>
      <c r="C153" s="28" t="s">
        <v>29</v>
      </c>
      <c r="D153" s="29">
        <v>1</v>
      </c>
      <c r="E153" s="181">
        <v>3665831</v>
      </c>
      <c r="F153" s="181">
        <f t="shared" si="14"/>
        <v>3665831</v>
      </c>
      <c r="H153" s="245"/>
      <c r="I153" s="250">
        <v>0</v>
      </c>
      <c r="J153" s="250"/>
      <c r="K153" s="251">
        <f t="shared" si="15"/>
        <v>0</v>
      </c>
      <c r="L153" s="50">
        <f t="shared" si="16"/>
        <v>0</v>
      </c>
      <c r="M153" s="50">
        <f t="shared" si="17"/>
        <v>0</v>
      </c>
      <c r="N153" s="50">
        <f t="shared" si="18"/>
        <v>0</v>
      </c>
    </row>
    <row r="154" spans="1:14" ht="12.75" customHeight="1" x14ac:dyDescent="0.3">
      <c r="A154" s="100">
        <v>19.09</v>
      </c>
      <c r="B154" s="144" t="s">
        <v>166</v>
      </c>
      <c r="C154" s="28" t="s">
        <v>29</v>
      </c>
      <c r="D154" s="29">
        <v>1</v>
      </c>
      <c r="E154" s="181">
        <v>3263223</v>
      </c>
      <c r="F154" s="181">
        <f t="shared" si="14"/>
        <v>3263223</v>
      </c>
      <c r="H154" s="245"/>
      <c r="I154" s="250">
        <v>0</v>
      </c>
      <c r="J154" s="250"/>
      <c r="K154" s="251">
        <f t="shared" si="15"/>
        <v>0</v>
      </c>
      <c r="L154" s="50">
        <f t="shared" si="16"/>
        <v>0</v>
      </c>
      <c r="M154" s="50">
        <f t="shared" si="17"/>
        <v>0</v>
      </c>
      <c r="N154" s="50">
        <f t="shared" si="18"/>
        <v>0</v>
      </c>
    </row>
    <row r="155" spans="1:14" ht="12.75" customHeight="1" x14ac:dyDescent="0.3">
      <c r="A155" s="100">
        <v>19.100000000000001</v>
      </c>
      <c r="B155" s="143" t="s">
        <v>167</v>
      </c>
      <c r="C155" s="28" t="s">
        <v>29</v>
      </c>
      <c r="D155" s="29">
        <v>1</v>
      </c>
      <c r="E155" s="181">
        <v>18413869</v>
      </c>
      <c r="F155" s="181">
        <f t="shared" si="14"/>
        <v>18413869</v>
      </c>
      <c r="H155" s="245"/>
      <c r="I155" s="250">
        <v>0.4</v>
      </c>
      <c r="J155" s="250">
        <v>0.2</v>
      </c>
      <c r="K155" s="251">
        <f t="shared" si="15"/>
        <v>0.60000000000000009</v>
      </c>
      <c r="L155" s="50">
        <f t="shared" si="16"/>
        <v>7365547.6000000006</v>
      </c>
      <c r="M155" s="50">
        <f t="shared" si="17"/>
        <v>3682773.8000000003</v>
      </c>
      <c r="N155" s="50">
        <f t="shared" si="18"/>
        <v>11048321.400000002</v>
      </c>
    </row>
    <row r="156" spans="1:14" ht="12.75" customHeight="1" x14ac:dyDescent="0.3">
      <c r="A156" s="100">
        <v>19.11</v>
      </c>
      <c r="B156" s="145" t="s">
        <v>168</v>
      </c>
      <c r="C156" s="138" t="s">
        <v>29</v>
      </c>
      <c r="D156" s="139">
        <v>1</v>
      </c>
      <c r="E156" s="189">
        <v>6223474</v>
      </c>
      <c r="F156" s="189">
        <f t="shared" si="14"/>
        <v>6223474</v>
      </c>
      <c r="H156" s="245"/>
      <c r="I156" s="250">
        <v>0</v>
      </c>
      <c r="J156" s="250"/>
      <c r="K156" s="251">
        <f t="shared" si="15"/>
        <v>0</v>
      </c>
      <c r="L156" s="50">
        <f t="shared" si="16"/>
        <v>0</v>
      </c>
      <c r="M156" s="50">
        <f t="shared" si="17"/>
        <v>0</v>
      </c>
      <c r="N156" s="50">
        <f t="shared" si="18"/>
        <v>0</v>
      </c>
    </row>
    <row r="157" spans="1:14" ht="12.75" customHeight="1" x14ac:dyDescent="0.3">
      <c r="A157" s="13"/>
      <c r="B157" s="40" t="s">
        <v>169</v>
      </c>
      <c r="C157" s="18"/>
      <c r="D157" s="19"/>
      <c r="E157" s="19"/>
      <c r="F157" s="19"/>
      <c r="G157" s="192">
        <f>+SUM(F158)</f>
        <v>2637801</v>
      </c>
      <c r="H157" s="245">
        <f>+G157/$G$195</f>
        <v>3.1222297885257206E-3</v>
      </c>
      <c r="I157" s="246"/>
      <c r="J157" s="247"/>
      <c r="K157" s="247"/>
      <c r="L157" s="178"/>
      <c r="M157" s="178"/>
      <c r="N157" s="179"/>
    </row>
    <row r="158" spans="1:14" ht="12.75" customHeight="1" x14ac:dyDescent="0.3">
      <c r="A158" s="24">
        <v>19.12</v>
      </c>
      <c r="B158" s="36" t="s">
        <v>170</v>
      </c>
      <c r="C158" s="28" t="s">
        <v>29</v>
      </c>
      <c r="D158" s="29">
        <v>1</v>
      </c>
      <c r="E158" s="181">
        <v>2637801</v>
      </c>
      <c r="F158" s="181">
        <f t="shared" si="14"/>
        <v>2637801</v>
      </c>
      <c r="H158" s="245"/>
      <c r="I158" s="250">
        <v>0.30000000000000004</v>
      </c>
      <c r="J158" s="250">
        <v>0.5</v>
      </c>
      <c r="K158" s="251">
        <f t="shared" si="15"/>
        <v>0.8</v>
      </c>
      <c r="L158" s="50">
        <f t="shared" si="16"/>
        <v>791340.30000000016</v>
      </c>
      <c r="M158" s="50">
        <f t="shared" si="17"/>
        <v>1318900.5</v>
      </c>
      <c r="N158" s="50">
        <f t="shared" si="18"/>
        <v>2110240.8000000003</v>
      </c>
    </row>
    <row r="159" spans="1:14" ht="12.75" customHeight="1" x14ac:dyDescent="0.3">
      <c r="A159" s="13"/>
      <c r="B159" s="40" t="s">
        <v>171</v>
      </c>
      <c r="C159" s="18"/>
      <c r="D159" s="19"/>
      <c r="E159" s="19"/>
      <c r="F159" s="19"/>
      <c r="G159" s="192">
        <f>+SUM(F160:F161)</f>
        <v>39784561</v>
      </c>
      <c r="H159" s="245">
        <f>+G159/$G$195</f>
        <v>4.7090944873255651E-2</v>
      </c>
      <c r="I159" s="246"/>
      <c r="J159" s="247"/>
      <c r="K159" s="247"/>
      <c r="L159" s="178"/>
      <c r="M159" s="178"/>
      <c r="N159" s="179"/>
    </row>
    <row r="160" spans="1:14" ht="12.75" customHeight="1" x14ac:dyDescent="0.3">
      <c r="A160" s="20">
        <v>19.13</v>
      </c>
      <c r="B160" s="136" t="s">
        <v>172</v>
      </c>
      <c r="C160" s="122" t="s">
        <v>29</v>
      </c>
      <c r="D160" s="123">
        <v>1</v>
      </c>
      <c r="E160" s="181">
        <v>36002858</v>
      </c>
      <c r="F160" s="181">
        <f t="shared" si="14"/>
        <v>36002858</v>
      </c>
      <c r="H160" s="245"/>
      <c r="I160" s="250">
        <v>0.15000000000000002</v>
      </c>
      <c r="J160" s="274"/>
      <c r="K160" s="251">
        <f t="shared" si="15"/>
        <v>0.15000000000000002</v>
      </c>
      <c r="L160" s="50">
        <f t="shared" si="16"/>
        <v>5400428.7000000011</v>
      </c>
      <c r="M160" s="50">
        <f t="shared" si="17"/>
        <v>0</v>
      </c>
      <c r="N160" s="50">
        <f t="shared" si="18"/>
        <v>5400428.7000000011</v>
      </c>
    </row>
    <row r="161" spans="1:14" ht="12.75" customHeight="1" x14ac:dyDescent="0.3">
      <c r="A161" s="33">
        <v>19.14</v>
      </c>
      <c r="B161" s="137" t="s">
        <v>173</v>
      </c>
      <c r="C161" s="138" t="s">
        <v>29</v>
      </c>
      <c r="D161" s="139">
        <v>1</v>
      </c>
      <c r="E161" s="181">
        <v>3781703</v>
      </c>
      <c r="F161" s="181">
        <f t="shared" si="14"/>
        <v>3781703</v>
      </c>
      <c r="H161" s="245"/>
      <c r="I161" s="250">
        <v>0</v>
      </c>
      <c r="J161" s="250"/>
      <c r="K161" s="251">
        <f t="shared" si="15"/>
        <v>0</v>
      </c>
      <c r="L161" s="50">
        <f t="shared" si="16"/>
        <v>0</v>
      </c>
      <c r="M161" s="50">
        <f t="shared" si="17"/>
        <v>0</v>
      </c>
      <c r="N161" s="50">
        <f t="shared" si="18"/>
        <v>0</v>
      </c>
    </row>
    <row r="162" spans="1:14" ht="12.75" customHeight="1" x14ac:dyDescent="0.3">
      <c r="A162" s="13"/>
      <c r="B162" s="40" t="s">
        <v>174</v>
      </c>
      <c r="C162" s="18"/>
      <c r="D162" s="19"/>
      <c r="E162" s="19"/>
      <c r="F162" s="19"/>
      <c r="G162" s="192">
        <f>+SUM(F163)</f>
        <v>6439007</v>
      </c>
      <c r="H162" s="245">
        <f>+G162/$G$195</f>
        <v>7.6215224211097178E-3</v>
      </c>
      <c r="I162" s="246"/>
      <c r="J162" s="247"/>
      <c r="K162" s="247"/>
      <c r="L162" s="178"/>
      <c r="M162" s="178"/>
      <c r="N162" s="179"/>
    </row>
    <row r="163" spans="1:14" ht="12.75" customHeight="1" x14ac:dyDescent="0.3">
      <c r="A163" s="24">
        <v>19.149999999999999</v>
      </c>
      <c r="B163" s="98" t="s">
        <v>175</v>
      </c>
      <c r="C163" s="28" t="s">
        <v>29</v>
      </c>
      <c r="D163" s="29">
        <v>1</v>
      </c>
      <c r="E163" s="181">
        <v>6439007</v>
      </c>
      <c r="F163" s="181">
        <f t="shared" si="14"/>
        <v>6439007</v>
      </c>
      <c r="H163" s="245"/>
      <c r="I163" s="250">
        <v>0</v>
      </c>
      <c r="J163" s="250"/>
      <c r="K163" s="251">
        <f t="shared" si="15"/>
        <v>0</v>
      </c>
      <c r="L163" s="50">
        <f t="shared" si="16"/>
        <v>0</v>
      </c>
      <c r="M163" s="50">
        <f t="shared" si="17"/>
        <v>0</v>
      </c>
      <c r="N163" s="50">
        <f t="shared" si="18"/>
        <v>0</v>
      </c>
    </row>
    <row r="164" spans="1:14" ht="12.75" customHeight="1" x14ac:dyDescent="0.3">
      <c r="A164" s="13"/>
      <c r="B164" s="40" t="s">
        <v>176</v>
      </c>
      <c r="C164" s="18"/>
      <c r="D164" s="19"/>
      <c r="E164" s="19"/>
      <c r="F164" s="19"/>
      <c r="G164" s="192">
        <f>+SUM(F165:F168)</f>
        <v>33172785</v>
      </c>
      <c r="H164" s="245">
        <f t="shared" ref="H164:H192" si="19">+G164/$G$195</f>
        <v>3.9264924645702685E-2</v>
      </c>
      <c r="I164" s="246"/>
      <c r="J164" s="247"/>
      <c r="K164" s="247"/>
      <c r="L164" s="178"/>
      <c r="M164" s="178"/>
      <c r="N164" s="179"/>
    </row>
    <row r="165" spans="1:14" ht="12.75" customHeight="1" x14ac:dyDescent="0.3">
      <c r="A165" s="24">
        <v>19.16</v>
      </c>
      <c r="B165" s="143" t="s">
        <v>177</v>
      </c>
      <c r="C165" s="28" t="s">
        <v>29</v>
      </c>
      <c r="D165" s="29">
        <v>1</v>
      </c>
      <c r="E165" s="181">
        <v>27794007</v>
      </c>
      <c r="F165" s="181">
        <f t="shared" si="14"/>
        <v>27794007</v>
      </c>
      <c r="H165" s="245"/>
      <c r="I165" s="250">
        <v>0.1</v>
      </c>
      <c r="J165" s="274">
        <v>0.15</v>
      </c>
      <c r="K165" s="251">
        <f t="shared" si="15"/>
        <v>0.25</v>
      </c>
      <c r="L165" s="50">
        <f t="shared" si="16"/>
        <v>2779400.7</v>
      </c>
      <c r="M165" s="50">
        <f t="shared" si="17"/>
        <v>4169101.05</v>
      </c>
      <c r="N165" s="50">
        <f t="shared" si="18"/>
        <v>6948501.75</v>
      </c>
    </row>
    <row r="166" spans="1:14" ht="12.75" customHeight="1" x14ac:dyDescent="0.3">
      <c r="A166" s="24">
        <v>19.170000000000002</v>
      </c>
      <c r="B166" s="146" t="s">
        <v>178</v>
      </c>
      <c r="C166" s="147" t="s">
        <v>33</v>
      </c>
      <c r="D166" s="148">
        <v>8</v>
      </c>
      <c r="E166" s="181">
        <v>59973</v>
      </c>
      <c r="F166" s="181">
        <f t="shared" si="14"/>
        <v>479784</v>
      </c>
      <c r="H166" s="245"/>
      <c r="I166" s="250">
        <v>0</v>
      </c>
      <c r="J166" s="250"/>
      <c r="K166" s="251">
        <f t="shared" si="15"/>
        <v>0</v>
      </c>
      <c r="L166" s="50">
        <f t="shared" si="16"/>
        <v>0</v>
      </c>
      <c r="M166" s="50">
        <f t="shared" si="17"/>
        <v>0</v>
      </c>
      <c r="N166" s="50">
        <f t="shared" si="18"/>
        <v>0</v>
      </c>
    </row>
    <row r="167" spans="1:14" ht="12.75" customHeight="1" x14ac:dyDescent="0.3">
      <c r="A167" s="24">
        <v>19.18</v>
      </c>
      <c r="B167" s="146" t="s">
        <v>179</v>
      </c>
      <c r="C167" s="147" t="s">
        <v>29</v>
      </c>
      <c r="D167" s="148">
        <v>8</v>
      </c>
      <c r="E167" s="181">
        <v>27640</v>
      </c>
      <c r="F167" s="181">
        <f t="shared" si="14"/>
        <v>221120</v>
      </c>
      <c r="H167" s="245"/>
      <c r="I167" s="250">
        <v>0</v>
      </c>
      <c r="J167" s="250"/>
      <c r="K167" s="251">
        <f t="shared" si="15"/>
        <v>0</v>
      </c>
      <c r="L167" s="50">
        <f t="shared" si="16"/>
        <v>0</v>
      </c>
      <c r="M167" s="50">
        <f t="shared" si="17"/>
        <v>0</v>
      </c>
      <c r="N167" s="50">
        <f t="shared" si="18"/>
        <v>0</v>
      </c>
    </row>
    <row r="168" spans="1:14" ht="12.75" customHeight="1" x14ac:dyDescent="0.3">
      <c r="A168" s="100">
        <v>19.190000000000001</v>
      </c>
      <c r="B168" s="145" t="s">
        <v>180</v>
      </c>
      <c r="C168" s="138" t="s">
        <v>29</v>
      </c>
      <c r="D168" s="139">
        <v>1</v>
      </c>
      <c r="E168" s="181">
        <v>4677874</v>
      </c>
      <c r="F168" s="181">
        <f t="shared" si="14"/>
        <v>4677874</v>
      </c>
      <c r="H168" s="245"/>
      <c r="I168" s="250">
        <v>0.2</v>
      </c>
      <c r="J168" s="250"/>
      <c r="K168" s="251">
        <f t="shared" si="15"/>
        <v>0.2</v>
      </c>
      <c r="L168" s="50">
        <f t="shared" si="16"/>
        <v>935574.8</v>
      </c>
      <c r="M168" s="50">
        <f t="shared" si="17"/>
        <v>0</v>
      </c>
      <c r="N168" s="50">
        <f t="shared" si="18"/>
        <v>935574.8</v>
      </c>
    </row>
    <row r="169" spans="1:14" ht="12.75" customHeight="1" x14ac:dyDescent="0.3">
      <c r="A169" s="13">
        <v>20</v>
      </c>
      <c r="B169" s="40" t="s">
        <v>181</v>
      </c>
      <c r="C169" s="18"/>
      <c r="D169" s="19"/>
      <c r="E169" s="19"/>
      <c r="F169" s="19"/>
      <c r="G169" s="192">
        <f>+SUM(F170:F171)</f>
        <v>0</v>
      </c>
      <c r="H169" s="245">
        <f t="shared" si="19"/>
        <v>0</v>
      </c>
      <c r="I169" s="246"/>
      <c r="J169" s="247"/>
      <c r="K169" s="247"/>
      <c r="L169" s="178"/>
      <c r="M169" s="178"/>
      <c r="N169" s="179"/>
    </row>
    <row r="170" spans="1:14" ht="12.75" customHeight="1" x14ac:dyDescent="0.3">
      <c r="A170" s="106">
        <v>20.010000000000002</v>
      </c>
      <c r="B170" s="107" t="s">
        <v>182</v>
      </c>
      <c r="C170" s="120" t="s">
        <v>33</v>
      </c>
      <c r="D170" s="121">
        <v>0</v>
      </c>
      <c r="E170" s="183">
        <v>0</v>
      </c>
      <c r="F170" s="183">
        <f t="shared" si="14"/>
        <v>0</v>
      </c>
      <c r="H170" s="245"/>
      <c r="I170" s="250">
        <v>0</v>
      </c>
      <c r="J170" s="250"/>
      <c r="K170" s="251">
        <f t="shared" si="15"/>
        <v>0</v>
      </c>
      <c r="L170" s="50">
        <f t="shared" si="16"/>
        <v>0</v>
      </c>
      <c r="M170" s="50">
        <f t="shared" si="17"/>
        <v>0</v>
      </c>
      <c r="N170" s="50">
        <f t="shared" si="18"/>
        <v>0</v>
      </c>
    </row>
    <row r="171" spans="1:14" ht="12.75" customHeight="1" x14ac:dyDescent="0.3">
      <c r="A171" s="24">
        <v>20.02</v>
      </c>
      <c r="B171" s="25" t="s">
        <v>183</v>
      </c>
      <c r="C171" s="112" t="s">
        <v>33</v>
      </c>
      <c r="D171" s="27">
        <v>0</v>
      </c>
      <c r="E171" s="181">
        <v>0</v>
      </c>
      <c r="F171" s="181">
        <f t="shared" si="14"/>
        <v>0</v>
      </c>
      <c r="H171" s="245"/>
      <c r="I171" s="250">
        <v>0</v>
      </c>
      <c r="J171" s="250"/>
      <c r="K171" s="251">
        <f t="shared" si="15"/>
        <v>0</v>
      </c>
      <c r="L171" s="50">
        <f t="shared" si="16"/>
        <v>0</v>
      </c>
      <c r="M171" s="50">
        <f t="shared" si="17"/>
        <v>0</v>
      </c>
      <c r="N171" s="50">
        <f t="shared" si="18"/>
        <v>0</v>
      </c>
    </row>
    <row r="172" spans="1:14" ht="12.75" customHeight="1" x14ac:dyDescent="0.3">
      <c r="A172" s="13">
        <v>21</v>
      </c>
      <c r="B172" s="40" t="s">
        <v>184</v>
      </c>
      <c r="C172" s="18"/>
      <c r="D172" s="19"/>
      <c r="E172" s="19"/>
      <c r="F172" s="19"/>
      <c r="G172" s="192">
        <f>+SUM(F173)</f>
        <v>0</v>
      </c>
      <c r="H172" s="245">
        <f t="shared" si="19"/>
        <v>0</v>
      </c>
      <c r="I172" s="246"/>
      <c r="J172" s="247"/>
      <c r="K172" s="247"/>
      <c r="L172" s="178"/>
      <c r="M172" s="178"/>
      <c r="N172" s="179"/>
    </row>
    <row r="173" spans="1:14" ht="12.75" customHeight="1" x14ac:dyDescent="0.3">
      <c r="A173" s="149">
        <v>21.01</v>
      </c>
      <c r="B173" s="150" t="s">
        <v>185</v>
      </c>
      <c r="C173" s="151" t="s">
        <v>29</v>
      </c>
      <c r="D173" s="152">
        <v>1</v>
      </c>
      <c r="E173" s="184">
        <v>0</v>
      </c>
      <c r="F173" s="181">
        <f t="shared" si="14"/>
        <v>0</v>
      </c>
      <c r="G173" s="182"/>
      <c r="H173" s="245"/>
      <c r="I173" s="250">
        <v>0</v>
      </c>
      <c r="J173" s="250"/>
      <c r="K173" s="251">
        <f t="shared" si="15"/>
        <v>0</v>
      </c>
      <c r="L173" s="50">
        <f t="shared" si="16"/>
        <v>0</v>
      </c>
      <c r="M173" s="50">
        <f t="shared" si="17"/>
        <v>0</v>
      </c>
      <c r="N173" s="50">
        <f t="shared" si="18"/>
        <v>0</v>
      </c>
    </row>
    <row r="174" spans="1:14" ht="12.75" customHeight="1" x14ac:dyDescent="0.3">
      <c r="A174" s="13">
        <v>22</v>
      </c>
      <c r="B174" s="40" t="s">
        <v>186</v>
      </c>
      <c r="C174" s="18"/>
      <c r="D174" s="19"/>
      <c r="E174" s="19"/>
      <c r="F174" s="19"/>
      <c r="G174" s="192">
        <f>+SUM(F175:F176)</f>
        <v>2934560</v>
      </c>
      <c r="H174" s="245">
        <f t="shared" si="19"/>
        <v>3.4734882002910904E-3</v>
      </c>
      <c r="I174" s="246"/>
      <c r="J174" s="247"/>
      <c r="K174" s="247"/>
      <c r="L174" s="178"/>
      <c r="M174" s="178"/>
      <c r="N174" s="179"/>
    </row>
    <row r="175" spans="1:14" ht="12.75" customHeight="1" x14ac:dyDescent="0.3">
      <c r="A175" s="115">
        <v>22.01</v>
      </c>
      <c r="B175" s="131" t="s">
        <v>187</v>
      </c>
      <c r="C175" s="132" t="s">
        <v>33</v>
      </c>
      <c r="D175" s="153">
        <v>8</v>
      </c>
      <c r="E175" s="184">
        <v>91705</v>
      </c>
      <c r="F175" s="183">
        <f t="shared" si="14"/>
        <v>733640</v>
      </c>
      <c r="H175" s="245"/>
      <c r="I175" s="250">
        <v>0</v>
      </c>
      <c r="J175" s="250"/>
      <c r="K175" s="251">
        <f t="shared" si="15"/>
        <v>0</v>
      </c>
      <c r="L175" s="50">
        <f t="shared" si="16"/>
        <v>0</v>
      </c>
      <c r="M175" s="50">
        <f t="shared" si="17"/>
        <v>0</v>
      </c>
      <c r="N175" s="50">
        <f t="shared" si="18"/>
        <v>0</v>
      </c>
    </row>
    <row r="176" spans="1:14" ht="12.75" customHeight="1" x14ac:dyDescent="0.3">
      <c r="A176" s="100">
        <v>22.02</v>
      </c>
      <c r="B176" s="98" t="s">
        <v>188</v>
      </c>
      <c r="C176" s="133" t="s">
        <v>33</v>
      </c>
      <c r="D176" s="153">
        <v>24</v>
      </c>
      <c r="E176" s="184">
        <v>91705</v>
      </c>
      <c r="F176" s="183">
        <f t="shared" si="14"/>
        <v>2200920</v>
      </c>
      <c r="H176" s="245"/>
      <c r="I176" s="250">
        <v>0</v>
      </c>
      <c r="J176" s="250"/>
      <c r="K176" s="251">
        <f t="shared" si="15"/>
        <v>0</v>
      </c>
      <c r="L176" s="50">
        <f t="shared" si="16"/>
        <v>0</v>
      </c>
      <c r="M176" s="50">
        <f t="shared" si="17"/>
        <v>0</v>
      </c>
      <c r="N176" s="50">
        <f t="shared" si="18"/>
        <v>0</v>
      </c>
    </row>
    <row r="177" spans="1:14" ht="12.75" customHeight="1" x14ac:dyDescent="0.3">
      <c r="A177" s="13">
        <v>23</v>
      </c>
      <c r="B177" s="40" t="s">
        <v>189</v>
      </c>
      <c r="C177" s="18"/>
      <c r="D177" s="19"/>
      <c r="E177" s="19"/>
      <c r="F177" s="19"/>
      <c r="G177" s="192">
        <f>+SUM(F178:F181)</f>
        <v>19050437</v>
      </c>
      <c r="H177" s="245">
        <f t="shared" si="19"/>
        <v>2.2549025451818604E-2</v>
      </c>
      <c r="I177" s="246"/>
      <c r="J177" s="247"/>
      <c r="K177" s="247"/>
      <c r="L177" s="178"/>
      <c r="M177" s="178"/>
      <c r="N177" s="179"/>
    </row>
    <row r="178" spans="1:14" ht="12.75" customHeight="1" x14ac:dyDescent="0.3">
      <c r="A178" s="115">
        <v>23.01</v>
      </c>
      <c r="B178" s="21" t="s">
        <v>190</v>
      </c>
      <c r="C178" s="93" t="s">
        <v>29</v>
      </c>
      <c r="D178" s="94">
        <v>6</v>
      </c>
      <c r="E178" s="180">
        <v>259063</v>
      </c>
      <c r="F178" s="180">
        <f t="shared" si="14"/>
        <v>1554378</v>
      </c>
      <c r="G178" s="182"/>
      <c r="H178" s="245"/>
      <c r="I178" s="250">
        <v>0</v>
      </c>
      <c r="J178" s="250">
        <v>0.15</v>
      </c>
      <c r="K178" s="251">
        <f t="shared" si="15"/>
        <v>0.15</v>
      </c>
      <c r="L178" s="50">
        <f t="shared" si="16"/>
        <v>0</v>
      </c>
      <c r="M178" s="50">
        <f t="shared" si="17"/>
        <v>233156.69999999998</v>
      </c>
      <c r="N178" s="50">
        <f t="shared" si="18"/>
        <v>233156.69999999998</v>
      </c>
    </row>
    <row r="179" spans="1:14" ht="12.75" customHeight="1" x14ac:dyDescent="0.3">
      <c r="A179" s="100">
        <v>23.02</v>
      </c>
      <c r="B179" s="25" t="s">
        <v>191</v>
      </c>
      <c r="C179" s="30" t="s">
        <v>29</v>
      </c>
      <c r="D179" s="31">
        <v>1</v>
      </c>
      <c r="E179" s="181">
        <v>793947</v>
      </c>
      <c r="F179" s="181">
        <f t="shared" si="14"/>
        <v>793947</v>
      </c>
      <c r="H179" s="245"/>
      <c r="I179" s="250">
        <v>0</v>
      </c>
      <c r="J179" s="250"/>
      <c r="K179" s="251">
        <f t="shared" si="15"/>
        <v>0</v>
      </c>
      <c r="L179" s="50">
        <f t="shared" si="16"/>
        <v>0</v>
      </c>
      <c r="M179" s="50">
        <f t="shared" si="17"/>
        <v>0</v>
      </c>
      <c r="N179" s="50">
        <f t="shared" si="18"/>
        <v>0</v>
      </c>
    </row>
    <row r="180" spans="1:14" ht="12.75" customHeight="1" x14ac:dyDescent="0.3">
      <c r="A180" s="100">
        <v>23.03</v>
      </c>
      <c r="B180" s="25" t="s">
        <v>192</v>
      </c>
      <c r="C180" s="30" t="s">
        <v>19</v>
      </c>
      <c r="D180" s="31">
        <v>26</v>
      </c>
      <c r="E180" s="181">
        <v>27076</v>
      </c>
      <c r="F180" s="181">
        <f t="shared" si="14"/>
        <v>703976</v>
      </c>
      <c r="H180" s="245"/>
      <c r="I180" s="250">
        <v>0</v>
      </c>
      <c r="J180" s="250"/>
      <c r="K180" s="251">
        <f t="shared" si="15"/>
        <v>0</v>
      </c>
      <c r="L180" s="50">
        <f t="shared" si="16"/>
        <v>0</v>
      </c>
      <c r="M180" s="50">
        <f t="shared" si="17"/>
        <v>0</v>
      </c>
      <c r="N180" s="50">
        <f t="shared" si="18"/>
        <v>0</v>
      </c>
    </row>
    <row r="181" spans="1:14" ht="12.75" customHeight="1" x14ac:dyDescent="0.3">
      <c r="A181" s="130">
        <v>23.04</v>
      </c>
      <c r="B181" s="154" t="s">
        <v>193</v>
      </c>
      <c r="C181" s="155" t="s">
        <v>19</v>
      </c>
      <c r="D181" s="102">
        <v>231</v>
      </c>
      <c r="E181" s="189">
        <v>69256</v>
      </c>
      <c r="F181" s="189">
        <f t="shared" si="14"/>
        <v>15998136</v>
      </c>
      <c r="H181" s="245"/>
      <c r="I181" s="250">
        <v>0</v>
      </c>
      <c r="J181" s="250"/>
      <c r="K181" s="251">
        <f t="shared" si="15"/>
        <v>0</v>
      </c>
      <c r="L181" s="50">
        <f t="shared" si="16"/>
        <v>0</v>
      </c>
      <c r="M181" s="50">
        <f t="shared" si="17"/>
        <v>0</v>
      </c>
      <c r="N181" s="50">
        <f t="shared" si="18"/>
        <v>0</v>
      </c>
    </row>
    <row r="182" spans="1:14" ht="12.75" customHeight="1" x14ac:dyDescent="0.3">
      <c r="A182" s="13">
        <v>24</v>
      </c>
      <c r="B182" s="40" t="s">
        <v>194</v>
      </c>
      <c r="C182" s="18"/>
      <c r="D182" s="19"/>
      <c r="E182" s="19"/>
      <c r="F182" s="19"/>
      <c r="G182" s="192">
        <f>+SUM(F183:F191)</f>
        <v>76903896</v>
      </c>
      <c r="H182" s="245">
        <f t="shared" si="19"/>
        <v>9.1027198391722505E-2</v>
      </c>
      <c r="I182" s="246"/>
      <c r="J182" s="247"/>
      <c r="K182" s="247"/>
      <c r="L182" s="178"/>
      <c r="M182" s="178"/>
      <c r="N182" s="179"/>
    </row>
    <row r="183" spans="1:14" ht="12.75" customHeight="1" x14ac:dyDescent="0.3">
      <c r="A183" s="20">
        <v>24.01</v>
      </c>
      <c r="B183" s="156" t="s">
        <v>195</v>
      </c>
      <c r="C183" s="22" t="s">
        <v>196</v>
      </c>
      <c r="D183" s="94">
        <v>17</v>
      </c>
      <c r="E183" s="181">
        <v>973327</v>
      </c>
      <c r="F183" s="181">
        <f t="shared" si="14"/>
        <v>16546559</v>
      </c>
      <c r="H183" s="245"/>
      <c r="I183" s="250">
        <v>0.6</v>
      </c>
      <c r="J183" s="250">
        <v>0.05</v>
      </c>
      <c r="K183" s="251">
        <f t="shared" si="15"/>
        <v>0.65</v>
      </c>
      <c r="L183" s="50">
        <f t="shared" si="16"/>
        <v>9927935.4000000004</v>
      </c>
      <c r="M183" s="50">
        <f t="shared" si="17"/>
        <v>827327.95000000007</v>
      </c>
      <c r="N183" s="50">
        <f t="shared" si="18"/>
        <v>10755263.35</v>
      </c>
    </row>
    <row r="184" spans="1:14" ht="12.75" customHeight="1" x14ac:dyDescent="0.3">
      <c r="A184" s="24">
        <v>24.02</v>
      </c>
      <c r="B184" s="157" t="s">
        <v>197</v>
      </c>
      <c r="C184" s="26" t="s">
        <v>196</v>
      </c>
      <c r="D184" s="31">
        <v>4</v>
      </c>
      <c r="E184" s="181">
        <v>2005316</v>
      </c>
      <c r="F184" s="181">
        <f t="shared" si="14"/>
        <v>8021264</v>
      </c>
      <c r="H184" s="245"/>
      <c r="I184" s="250">
        <v>1</v>
      </c>
      <c r="J184" s="250"/>
      <c r="K184" s="251">
        <f t="shared" si="15"/>
        <v>1</v>
      </c>
      <c r="L184" s="50">
        <f t="shared" si="16"/>
        <v>8021264</v>
      </c>
      <c r="M184" s="50">
        <f t="shared" si="17"/>
        <v>0</v>
      </c>
      <c r="N184" s="50">
        <f t="shared" si="18"/>
        <v>8021264</v>
      </c>
    </row>
    <row r="185" spans="1:14" ht="12.75" customHeight="1" x14ac:dyDescent="0.3">
      <c r="A185" s="24">
        <v>24.03</v>
      </c>
      <c r="B185" s="158" t="s">
        <v>198</v>
      </c>
      <c r="C185" s="26" t="s">
        <v>196</v>
      </c>
      <c r="D185" s="31">
        <v>17</v>
      </c>
      <c r="E185" s="181">
        <v>199910</v>
      </c>
      <c r="F185" s="181">
        <f t="shared" si="14"/>
        <v>3398470</v>
      </c>
      <c r="H185" s="245"/>
      <c r="I185" s="250">
        <v>0.6</v>
      </c>
      <c r="J185" s="250">
        <v>0.05</v>
      </c>
      <c r="K185" s="251">
        <f t="shared" si="15"/>
        <v>0.65</v>
      </c>
      <c r="L185" s="50">
        <f t="shared" si="16"/>
        <v>2039082</v>
      </c>
      <c r="M185" s="50">
        <f t="shared" si="17"/>
        <v>169923.5</v>
      </c>
      <c r="N185" s="50">
        <f t="shared" si="18"/>
        <v>2209005.5</v>
      </c>
    </row>
    <row r="186" spans="1:14" ht="12.75" customHeight="1" x14ac:dyDescent="0.3">
      <c r="A186" s="24">
        <v>24.04</v>
      </c>
      <c r="B186" s="158" t="s">
        <v>199</v>
      </c>
      <c r="C186" s="26" t="s">
        <v>29</v>
      </c>
      <c r="D186" s="27">
        <v>1</v>
      </c>
      <c r="E186" s="181">
        <v>6284456</v>
      </c>
      <c r="F186" s="181">
        <f t="shared" si="14"/>
        <v>6284456</v>
      </c>
      <c r="H186" s="245"/>
      <c r="I186" s="250">
        <v>1</v>
      </c>
      <c r="J186" s="274"/>
      <c r="K186" s="251">
        <f t="shared" si="15"/>
        <v>1</v>
      </c>
      <c r="L186" s="50">
        <f t="shared" si="16"/>
        <v>6284456</v>
      </c>
      <c r="M186" s="50">
        <f t="shared" si="17"/>
        <v>0</v>
      </c>
      <c r="N186" s="50">
        <f t="shared" si="18"/>
        <v>6284456</v>
      </c>
    </row>
    <row r="187" spans="1:14" ht="12.75" customHeight="1" x14ac:dyDescent="0.3">
      <c r="A187" s="24">
        <v>24.05</v>
      </c>
      <c r="B187" s="158" t="s">
        <v>200</v>
      </c>
      <c r="C187" s="159" t="s">
        <v>196</v>
      </c>
      <c r="D187" s="31">
        <v>17</v>
      </c>
      <c r="E187" s="181">
        <v>873895</v>
      </c>
      <c r="F187" s="181">
        <f t="shared" si="14"/>
        <v>14856215</v>
      </c>
      <c r="G187" s="194"/>
      <c r="H187" s="245"/>
      <c r="I187" s="250">
        <v>0.49999999999999994</v>
      </c>
      <c r="J187" s="250">
        <v>0.05</v>
      </c>
      <c r="K187" s="251">
        <f t="shared" si="15"/>
        <v>0.54999999999999993</v>
      </c>
      <c r="L187" s="50">
        <f t="shared" si="16"/>
        <v>7428107.4999999991</v>
      </c>
      <c r="M187" s="50">
        <f t="shared" si="17"/>
        <v>742810.75</v>
      </c>
      <c r="N187" s="50">
        <f t="shared" si="18"/>
        <v>8170918.2499999991</v>
      </c>
    </row>
    <row r="188" spans="1:14" ht="12.75" customHeight="1" x14ac:dyDescent="0.3">
      <c r="A188" s="24">
        <v>24.06</v>
      </c>
      <c r="B188" s="158" t="s">
        <v>201</v>
      </c>
      <c r="C188" s="159" t="s">
        <v>196</v>
      </c>
      <c r="D188" s="31">
        <v>17</v>
      </c>
      <c r="E188" s="181">
        <v>577178</v>
      </c>
      <c r="F188" s="181">
        <f t="shared" si="14"/>
        <v>9812026</v>
      </c>
      <c r="G188" s="194"/>
      <c r="H188" s="245"/>
      <c r="I188" s="250">
        <v>0.49999999999999994</v>
      </c>
      <c r="J188" s="250">
        <v>0.05</v>
      </c>
      <c r="K188" s="251">
        <f t="shared" si="15"/>
        <v>0.54999999999999993</v>
      </c>
      <c r="L188" s="50">
        <f t="shared" si="16"/>
        <v>4906012.9999999991</v>
      </c>
      <c r="M188" s="50">
        <f t="shared" si="17"/>
        <v>490601.30000000005</v>
      </c>
      <c r="N188" s="50">
        <f t="shared" si="18"/>
        <v>5396614.2999999989</v>
      </c>
    </row>
    <row r="189" spans="1:14" ht="12.75" customHeight="1" x14ac:dyDescent="0.3">
      <c r="A189" s="24">
        <v>24.07</v>
      </c>
      <c r="B189" s="158" t="s">
        <v>202</v>
      </c>
      <c r="C189" s="159" t="s">
        <v>29</v>
      </c>
      <c r="D189" s="27">
        <v>1</v>
      </c>
      <c r="E189" s="181">
        <v>5277814</v>
      </c>
      <c r="F189" s="181">
        <f t="shared" si="14"/>
        <v>5277814</v>
      </c>
      <c r="G189" s="194"/>
      <c r="H189" s="245"/>
      <c r="I189" s="250">
        <v>0</v>
      </c>
      <c r="J189" s="250"/>
      <c r="K189" s="251">
        <f t="shared" si="15"/>
        <v>0</v>
      </c>
      <c r="L189" s="50">
        <f t="shared" si="16"/>
        <v>0</v>
      </c>
      <c r="M189" s="50">
        <f t="shared" si="17"/>
        <v>0</v>
      </c>
      <c r="N189" s="50">
        <f t="shared" si="18"/>
        <v>0</v>
      </c>
    </row>
    <row r="190" spans="1:14" ht="12.75" customHeight="1" x14ac:dyDescent="0.3">
      <c r="A190" s="24">
        <v>24.08</v>
      </c>
      <c r="B190" s="158" t="s">
        <v>203</v>
      </c>
      <c r="C190" s="159" t="s">
        <v>196</v>
      </c>
      <c r="D190" s="31">
        <v>17</v>
      </c>
      <c r="E190" s="181">
        <v>399819</v>
      </c>
      <c r="F190" s="181">
        <f t="shared" si="14"/>
        <v>6796923</v>
      </c>
      <c r="G190" s="194"/>
      <c r="H190" s="245"/>
      <c r="I190" s="250">
        <v>0.6</v>
      </c>
      <c r="J190" s="250">
        <v>0.05</v>
      </c>
      <c r="K190" s="251">
        <f t="shared" si="15"/>
        <v>0.65</v>
      </c>
      <c r="L190" s="50">
        <f t="shared" si="16"/>
        <v>4078153.8</v>
      </c>
      <c r="M190" s="50">
        <f t="shared" si="17"/>
        <v>339846.15</v>
      </c>
      <c r="N190" s="50">
        <f t="shared" si="18"/>
        <v>4417999.95</v>
      </c>
    </row>
    <row r="191" spans="1:14" ht="12.75" customHeight="1" x14ac:dyDescent="0.3">
      <c r="A191" s="24">
        <v>24.09</v>
      </c>
      <c r="B191" s="160" t="s">
        <v>204</v>
      </c>
      <c r="C191" s="161" t="s">
        <v>196</v>
      </c>
      <c r="D191" s="31">
        <v>17</v>
      </c>
      <c r="E191" s="189">
        <v>347657</v>
      </c>
      <c r="F191" s="189">
        <f t="shared" si="14"/>
        <v>5910169</v>
      </c>
      <c r="G191" s="194"/>
      <c r="H191" s="245"/>
      <c r="I191" s="250">
        <v>0.49999999999999994</v>
      </c>
      <c r="J191" s="250">
        <v>0.05</v>
      </c>
      <c r="K191" s="251">
        <f t="shared" si="15"/>
        <v>0.54999999999999993</v>
      </c>
      <c r="L191" s="50">
        <f t="shared" si="16"/>
        <v>2955084.4999999995</v>
      </c>
      <c r="M191" s="50">
        <f t="shared" si="17"/>
        <v>295508.45</v>
      </c>
      <c r="N191" s="50">
        <f t="shared" si="18"/>
        <v>3250592.9499999997</v>
      </c>
    </row>
    <row r="192" spans="1:14" ht="12.75" customHeight="1" x14ac:dyDescent="0.3">
      <c r="A192" s="13">
        <v>25</v>
      </c>
      <c r="B192" s="40" t="s">
        <v>205</v>
      </c>
      <c r="C192" s="18"/>
      <c r="D192" s="19"/>
      <c r="E192" s="19"/>
      <c r="F192" s="19"/>
      <c r="G192" s="192">
        <f>+SUM(F193:F194)</f>
        <v>110386593</v>
      </c>
      <c r="H192" s="245">
        <f t="shared" si="19"/>
        <v>0.13065894998086086</v>
      </c>
      <c r="I192" s="246"/>
      <c r="J192" s="247"/>
      <c r="K192" s="247"/>
      <c r="L192" s="178"/>
      <c r="M192" s="178"/>
      <c r="N192" s="179"/>
    </row>
    <row r="193" spans="1:16" ht="12.75" customHeight="1" x14ac:dyDescent="0.3">
      <c r="A193" s="20">
        <v>25.01</v>
      </c>
      <c r="B193" s="21" t="s">
        <v>206</v>
      </c>
      <c r="C193" s="93" t="s">
        <v>196</v>
      </c>
      <c r="D193" s="94">
        <v>17</v>
      </c>
      <c r="E193" s="184">
        <v>5826965</v>
      </c>
      <c r="F193" s="183">
        <f t="shared" si="14"/>
        <v>99058405</v>
      </c>
      <c r="G193" s="195"/>
      <c r="H193" s="245"/>
      <c r="I193" s="250">
        <v>0.6</v>
      </c>
      <c r="J193" s="250">
        <v>0.05</v>
      </c>
      <c r="K193" s="251">
        <f t="shared" si="15"/>
        <v>0.65</v>
      </c>
      <c r="L193" s="50">
        <f t="shared" si="16"/>
        <v>59435043</v>
      </c>
      <c r="M193" s="50">
        <f t="shared" si="17"/>
        <v>4952920.25</v>
      </c>
      <c r="N193" s="50">
        <f t="shared" si="18"/>
        <v>64387963.25</v>
      </c>
    </row>
    <row r="194" spans="1:16" ht="12.75" customHeight="1" x14ac:dyDescent="0.3">
      <c r="A194" s="33">
        <v>25.02</v>
      </c>
      <c r="B194" s="38" t="s">
        <v>207</v>
      </c>
      <c r="C194" s="34" t="s">
        <v>196</v>
      </c>
      <c r="D194" s="35">
        <v>17</v>
      </c>
      <c r="E194" s="184">
        <v>666364</v>
      </c>
      <c r="F194" s="181">
        <f t="shared" si="14"/>
        <v>11328188</v>
      </c>
      <c r="G194" s="196"/>
      <c r="H194" s="245"/>
      <c r="I194" s="255">
        <v>0.6</v>
      </c>
      <c r="J194" s="255">
        <v>0.05</v>
      </c>
      <c r="K194" s="256">
        <f t="shared" si="15"/>
        <v>0.65</v>
      </c>
      <c r="L194" s="257">
        <f t="shared" si="16"/>
        <v>6796912.7999999998</v>
      </c>
      <c r="M194" s="257">
        <f t="shared" si="17"/>
        <v>566409.4</v>
      </c>
      <c r="N194" s="257">
        <f t="shared" si="18"/>
        <v>7363322.2000000002</v>
      </c>
    </row>
    <row r="195" spans="1:16" ht="12.75" customHeight="1" x14ac:dyDescent="0.3">
      <c r="A195" s="13"/>
      <c r="B195" s="40" t="s">
        <v>208</v>
      </c>
      <c r="C195" s="18"/>
      <c r="D195" s="19"/>
      <c r="E195" s="19"/>
      <c r="F195" s="197">
        <f>SUM(F9:F194)</f>
        <v>844845248</v>
      </c>
      <c r="G195" s="192">
        <f>SUM(G9:G194)</f>
        <v>844845248</v>
      </c>
      <c r="H195" s="245">
        <f>+SUM(H9:H194)</f>
        <v>0.99999999999999978</v>
      </c>
      <c r="I195" s="258"/>
      <c r="J195" s="259"/>
      <c r="K195" s="259"/>
      <c r="L195" s="260">
        <f>+SUM(L10:L194)</f>
        <v>212122785.86200002</v>
      </c>
      <c r="M195" s="260">
        <f>+SUM(M10:M194)</f>
        <v>63774210.420000002</v>
      </c>
      <c r="N195" s="261">
        <f>+SUM(N10:N194)</f>
        <v>275896996.28200001</v>
      </c>
      <c r="P195" s="92"/>
    </row>
    <row r="196" spans="1:16" s="41" customFormat="1" ht="13" x14ac:dyDescent="0.3">
      <c r="A196" s="43"/>
      <c r="B196" s="44"/>
      <c r="C196" s="45"/>
      <c r="D196" s="46"/>
      <c r="E196" s="198"/>
      <c r="F196" s="198"/>
      <c r="G196" s="199"/>
      <c r="H196" s="177"/>
      <c r="I196" s="200"/>
      <c r="J196" s="200"/>
      <c r="K196" s="326"/>
      <c r="L196" s="200"/>
      <c r="M196" s="287">
        <f>+M195/G195</f>
        <v>7.5486262804901283E-2</v>
      </c>
      <c r="N196" s="254">
        <f>+N195/G195</f>
        <v>0.3265651276788622</v>
      </c>
    </row>
    <row r="197" spans="1:16" s="41" customFormat="1" ht="13" x14ac:dyDescent="0.3">
      <c r="A197" s="42"/>
      <c r="B197" s="88"/>
      <c r="C197" s="89"/>
      <c r="D197" s="9"/>
      <c r="E197" s="201"/>
      <c r="F197" s="201"/>
      <c r="G197" s="166"/>
      <c r="H197" s="177"/>
      <c r="I197" s="200"/>
      <c r="J197" s="200"/>
      <c r="K197" s="326"/>
      <c r="L197" s="200"/>
      <c r="M197" s="287"/>
      <c r="N197" s="254"/>
    </row>
    <row r="198" spans="1:16" s="41" customFormat="1" ht="13" x14ac:dyDescent="0.3">
      <c r="A198" s="42"/>
      <c r="B198" s="90" t="s">
        <v>234</v>
      </c>
      <c r="C198" s="305"/>
      <c r="D198" s="166"/>
      <c r="E198" s="201"/>
      <c r="F198" s="201"/>
      <c r="G198" s="166"/>
      <c r="H198" s="177"/>
      <c r="I198" s="200"/>
      <c r="J198" s="200"/>
      <c r="K198" s="326"/>
      <c r="L198" s="200"/>
      <c r="M198" s="287"/>
      <c r="N198" s="254"/>
    </row>
    <row r="199" spans="1:16" s="41" customFormat="1" ht="13" x14ac:dyDescent="0.3">
      <c r="A199" s="13">
        <v>4</v>
      </c>
      <c r="B199" s="17" t="s">
        <v>17</v>
      </c>
      <c r="C199" s="310"/>
      <c r="D199" s="197"/>
      <c r="E199" s="190"/>
      <c r="F199" s="190"/>
      <c r="G199" s="192">
        <f>+SUM(F200)</f>
        <v>-713352</v>
      </c>
      <c r="H199" s="177"/>
      <c r="I199" s="246"/>
      <c r="J199" s="247"/>
      <c r="K199" s="247"/>
      <c r="L199" s="178"/>
      <c r="M199" s="178"/>
      <c r="N199" s="179"/>
    </row>
    <row r="200" spans="1:16" s="41" customFormat="1" ht="13" x14ac:dyDescent="0.3">
      <c r="A200" s="39">
        <v>4.12</v>
      </c>
      <c r="B200" s="107" t="s">
        <v>32</v>
      </c>
      <c r="C200" s="108" t="s">
        <v>33</v>
      </c>
      <c r="D200" s="309">
        <v>-3</v>
      </c>
      <c r="E200" s="201">
        <f>+E21</f>
        <v>237784</v>
      </c>
      <c r="F200" s="183">
        <f t="shared" ref="F200:F212" si="20">+E200*D200</f>
        <v>-713352</v>
      </c>
      <c r="G200" s="166"/>
      <c r="H200" s="177"/>
      <c r="I200" s="248"/>
      <c r="J200" s="248"/>
      <c r="K200" s="249">
        <f t="shared" ref="K200" si="21">+I200+J200</f>
        <v>0</v>
      </c>
      <c r="L200" s="50">
        <f t="shared" ref="L200" si="22">+F200*I200</f>
        <v>0</v>
      </c>
      <c r="M200" s="50">
        <f t="shared" ref="M200" si="23">+F200*J200</f>
        <v>0</v>
      </c>
      <c r="N200" s="50">
        <f t="shared" ref="N200" si="24">+F200*K200</f>
        <v>0</v>
      </c>
    </row>
    <row r="201" spans="1:16" s="41" customFormat="1" ht="13" x14ac:dyDescent="0.3">
      <c r="A201" s="13">
        <v>5</v>
      </c>
      <c r="B201" s="17" t="s">
        <v>36</v>
      </c>
      <c r="C201" s="310"/>
      <c r="D201" s="197"/>
      <c r="E201" s="190"/>
      <c r="F201" s="190"/>
      <c r="G201" s="192">
        <f>+SUM(F202)</f>
        <v>-2438774</v>
      </c>
      <c r="H201" s="177"/>
      <c r="I201" s="246"/>
      <c r="J201" s="247"/>
      <c r="K201" s="247"/>
      <c r="L201" s="178"/>
      <c r="M201" s="178"/>
      <c r="N201" s="179"/>
    </row>
    <row r="202" spans="1:16" s="41" customFormat="1" ht="13" x14ac:dyDescent="0.3">
      <c r="A202" s="39">
        <v>5.07</v>
      </c>
      <c r="B202" s="107" t="s">
        <v>43</v>
      </c>
      <c r="C202" s="108" t="s">
        <v>29</v>
      </c>
      <c r="D202" s="309">
        <v>-1</v>
      </c>
      <c r="E202" s="201">
        <f>+E31</f>
        <v>2438774</v>
      </c>
      <c r="F202" s="183">
        <f t="shared" si="20"/>
        <v>-2438774</v>
      </c>
      <c r="G202" s="166"/>
      <c r="H202" s="177"/>
      <c r="I202" s="248"/>
      <c r="J202" s="248"/>
      <c r="K202" s="249">
        <f t="shared" ref="K202" si="25">+I202+J202</f>
        <v>0</v>
      </c>
      <c r="L202" s="50">
        <f t="shared" ref="L202" si="26">+F202*I202</f>
        <v>0</v>
      </c>
      <c r="M202" s="50">
        <f t="shared" ref="M202" si="27">+F202*J202</f>
        <v>0</v>
      </c>
      <c r="N202" s="50">
        <f t="shared" ref="N202" si="28">+F202*K202</f>
        <v>0</v>
      </c>
    </row>
    <row r="203" spans="1:16" s="41" customFormat="1" ht="13" x14ac:dyDescent="0.3">
      <c r="A203" s="13">
        <v>14</v>
      </c>
      <c r="B203" s="17" t="s">
        <v>93</v>
      </c>
      <c r="C203" s="310"/>
      <c r="D203" s="197"/>
      <c r="E203" s="190"/>
      <c r="F203" s="190"/>
      <c r="G203" s="192">
        <f>+SUM(F204:F205)</f>
        <v>-18097046</v>
      </c>
      <c r="H203" s="177"/>
      <c r="I203" s="246"/>
      <c r="J203" s="247"/>
      <c r="K203" s="247"/>
      <c r="L203" s="178"/>
      <c r="M203" s="178"/>
      <c r="N203" s="179"/>
    </row>
    <row r="204" spans="1:16" s="41" customFormat="1" ht="13" x14ac:dyDescent="0.3">
      <c r="A204" s="115">
        <v>14.01</v>
      </c>
      <c r="B204" s="312" t="s">
        <v>94</v>
      </c>
      <c r="C204" s="313" t="s">
        <v>19</v>
      </c>
      <c r="D204" s="123">
        <v>-460</v>
      </c>
      <c r="E204" s="180">
        <f>+E81</f>
        <v>23624</v>
      </c>
      <c r="F204" s="180">
        <f t="shared" si="20"/>
        <v>-10867040</v>
      </c>
      <c r="G204" s="166"/>
      <c r="H204" s="177"/>
      <c r="I204" s="248"/>
      <c r="J204" s="248"/>
      <c r="K204" s="249">
        <f t="shared" ref="K204:K205" si="29">+I204+J204</f>
        <v>0</v>
      </c>
      <c r="L204" s="50">
        <f t="shared" ref="L204:L205" si="30">+F204*I204</f>
        <v>0</v>
      </c>
      <c r="M204" s="50">
        <f t="shared" ref="M204:M205" si="31">+F204*J204</f>
        <v>0</v>
      </c>
      <c r="N204" s="50">
        <f t="shared" ref="N204:N205" si="32">+F204*K204</f>
        <v>0</v>
      </c>
    </row>
    <row r="205" spans="1:16" s="41" customFormat="1" ht="13" x14ac:dyDescent="0.3">
      <c r="A205" s="130">
        <v>14.02</v>
      </c>
      <c r="B205" s="314" t="s">
        <v>95</v>
      </c>
      <c r="C205" s="315" t="s">
        <v>27</v>
      </c>
      <c r="D205" s="139">
        <v>-434</v>
      </c>
      <c r="E205" s="189">
        <f>+E82</f>
        <v>16659</v>
      </c>
      <c r="F205" s="189">
        <f t="shared" si="20"/>
        <v>-7230006</v>
      </c>
      <c r="G205" s="166"/>
      <c r="H205" s="177"/>
      <c r="I205" s="248"/>
      <c r="J205" s="248"/>
      <c r="K205" s="249">
        <f t="shared" si="29"/>
        <v>0</v>
      </c>
      <c r="L205" s="50">
        <f t="shared" si="30"/>
        <v>0</v>
      </c>
      <c r="M205" s="50">
        <f t="shared" si="31"/>
        <v>0</v>
      </c>
      <c r="N205" s="50">
        <f t="shared" si="32"/>
        <v>0</v>
      </c>
    </row>
    <row r="206" spans="1:16" s="41" customFormat="1" ht="13" x14ac:dyDescent="0.3">
      <c r="A206" s="13">
        <v>15</v>
      </c>
      <c r="B206" s="17" t="s">
        <v>101</v>
      </c>
      <c r="C206" s="310"/>
      <c r="D206" s="197"/>
      <c r="E206" s="190"/>
      <c r="F206" s="190"/>
      <c r="G206" s="192">
        <f>+SUM(F207)</f>
        <v>-4086180</v>
      </c>
      <c r="H206" s="177"/>
      <c r="I206" s="246"/>
      <c r="J206" s="247"/>
      <c r="K206" s="247"/>
      <c r="L206" s="178"/>
      <c r="M206" s="178"/>
      <c r="N206" s="179"/>
    </row>
    <row r="207" spans="1:16" s="41" customFormat="1" ht="13" x14ac:dyDescent="0.3">
      <c r="A207" s="39">
        <v>15.05</v>
      </c>
      <c r="B207" s="107" t="s">
        <v>106</v>
      </c>
      <c r="C207" s="108" t="s">
        <v>19</v>
      </c>
      <c r="D207" s="309">
        <v>-460</v>
      </c>
      <c r="E207" s="201">
        <f>+E93</f>
        <v>8883</v>
      </c>
      <c r="F207" s="183">
        <f t="shared" si="20"/>
        <v>-4086180</v>
      </c>
      <c r="G207" s="166"/>
      <c r="H207" s="177"/>
      <c r="I207" s="248"/>
      <c r="J207" s="248"/>
      <c r="K207" s="249">
        <f t="shared" ref="K207" si="33">+I207+J207</f>
        <v>0</v>
      </c>
      <c r="L207" s="50">
        <f t="shared" ref="L207" si="34">+F207*I207</f>
        <v>0</v>
      </c>
      <c r="M207" s="50">
        <f t="shared" ref="M207" si="35">+F207*J207</f>
        <v>0</v>
      </c>
      <c r="N207" s="50">
        <f t="shared" ref="N207" si="36">+F207*K207</f>
        <v>0</v>
      </c>
    </row>
    <row r="208" spans="1:16" s="41" customFormat="1" ht="13" x14ac:dyDescent="0.3">
      <c r="A208" s="13">
        <v>18</v>
      </c>
      <c r="B208" s="40" t="s">
        <v>120</v>
      </c>
      <c r="C208" s="310"/>
      <c r="D208" s="197"/>
      <c r="E208" s="190"/>
      <c r="F208" s="190"/>
      <c r="G208" s="192">
        <f>+SUM(F209:F212)</f>
        <v>-2527808</v>
      </c>
      <c r="H208" s="177"/>
      <c r="I208" s="246"/>
      <c r="J208" s="247"/>
      <c r="K208" s="247"/>
      <c r="L208" s="178"/>
      <c r="M208" s="178"/>
      <c r="N208" s="179"/>
    </row>
    <row r="209" spans="1:14" s="41" customFormat="1" ht="13" x14ac:dyDescent="0.3">
      <c r="A209" s="115">
        <v>18.09</v>
      </c>
      <c r="B209" s="131" t="s">
        <v>129</v>
      </c>
      <c r="C209" s="132" t="s">
        <v>33</v>
      </c>
      <c r="D209" s="94">
        <v>-8</v>
      </c>
      <c r="E209" s="180">
        <f>+E117</f>
        <v>69154</v>
      </c>
      <c r="F209" s="180">
        <f t="shared" si="20"/>
        <v>-553232</v>
      </c>
      <c r="G209" s="166"/>
      <c r="H209" s="177"/>
      <c r="I209" s="248"/>
      <c r="J209" s="248"/>
      <c r="K209" s="249">
        <f t="shared" ref="K209:K212" si="37">+I209+J209</f>
        <v>0</v>
      </c>
      <c r="L209" s="50">
        <f t="shared" ref="L209:L212" si="38">+F209*I209</f>
        <v>0</v>
      </c>
      <c r="M209" s="50">
        <f t="shared" ref="M209:M212" si="39">+F209*J209</f>
        <v>0</v>
      </c>
      <c r="N209" s="50">
        <f t="shared" ref="N209:N212" si="40">+F209*K209</f>
        <v>0</v>
      </c>
    </row>
    <row r="210" spans="1:14" s="41" customFormat="1" ht="13" x14ac:dyDescent="0.3">
      <c r="A210" s="100">
        <v>18.11</v>
      </c>
      <c r="B210" s="98" t="s">
        <v>131</v>
      </c>
      <c r="C210" s="133" t="s">
        <v>33</v>
      </c>
      <c r="D210" s="31">
        <v>-26</v>
      </c>
      <c r="E210" s="181">
        <f>+E119</f>
        <v>50616</v>
      </c>
      <c r="F210" s="181">
        <f t="shared" si="20"/>
        <v>-1316016</v>
      </c>
      <c r="G210" s="166"/>
      <c r="H210" s="177"/>
      <c r="I210" s="248"/>
      <c r="J210" s="248"/>
      <c r="K210" s="249">
        <f t="shared" si="37"/>
        <v>0</v>
      </c>
      <c r="L210" s="50">
        <f t="shared" si="38"/>
        <v>0</v>
      </c>
      <c r="M210" s="50">
        <f t="shared" si="39"/>
        <v>0</v>
      </c>
      <c r="N210" s="50">
        <f t="shared" si="40"/>
        <v>0</v>
      </c>
    </row>
    <row r="211" spans="1:14" s="41" customFormat="1" ht="13" x14ac:dyDescent="0.3">
      <c r="A211" s="100">
        <v>18.13</v>
      </c>
      <c r="B211" s="98" t="s">
        <v>133</v>
      </c>
      <c r="C211" s="133" t="s">
        <v>33</v>
      </c>
      <c r="D211" s="31">
        <v>-9</v>
      </c>
      <c r="E211" s="181">
        <f>+E121</f>
        <v>50616</v>
      </c>
      <c r="F211" s="181">
        <f t="shared" si="20"/>
        <v>-455544</v>
      </c>
      <c r="G211" s="166"/>
      <c r="H211" s="177"/>
      <c r="I211" s="248"/>
      <c r="J211" s="248"/>
      <c r="K211" s="249">
        <f t="shared" si="37"/>
        <v>0</v>
      </c>
      <c r="L211" s="50">
        <f t="shared" si="38"/>
        <v>0</v>
      </c>
      <c r="M211" s="50">
        <f t="shared" si="39"/>
        <v>0</v>
      </c>
      <c r="N211" s="50">
        <f t="shared" si="40"/>
        <v>0</v>
      </c>
    </row>
    <row r="212" spans="1:14" s="41" customFormat="1" ht="13" x14ac:dyDescent="0.3">
      <c r="A212" s="130">
        <v>18.260000000000002</v>
      </c>
      <c r="B212" s="311" t="s">
        <v>146</v>
      </c>
      <c r="C212" s="135" t="s">
        <v>33</v>
      </c>
      <c r="D212" s="35">
        <v>-8</v>
      </c>
      <c r="E212" s="189">
        <f>+E134</f>
        <v>25377</v>
      </c>
      <c r="F212" s="189">
        <f t="shared" si="20"/>
        <v>-203016</v>
      </c>
      <c r="G212" s="166"/>
      <c r="H212" s="177"/>
      <c r="I212" s="248"/>
      <c r="J212" s="248"/>
      <c r="K212" s="249">
        <f t="shared" si="37"/>
        <v>0</v>
      </c>
      <c r="L212" s="50">
        <f t="shared" si="38"/>
        <v>0</v>
      </c>
      <c r="M212" s="50">
        <f t="shared" si="39"/>
        <v>0</v>
      </c>
      <c r="N212" s="50">
        <f t="shared" si="40"/>
        <v>0</v>
      </c>
    </row>
    <row r="213" spans="1:14" s="41" customFormat="1" ht="13" x14ac:dyDescent="0.3">
      <c r="A213" s="13"/>
      <c r="B213" s="40" t="s">
        <v>235</v>
      </c>
      <c r="C213" s="18"/>
      <c r="D213" s="19"/>
      <c r="E213" s="19"/>
      <c r="F213" s="197"/>
      <c r="G213" s="192">
        <f>+SUM(G199:G212)</f>
        <v>-27863160</v>
      </c>
      <c r="H213" s="177"/>
      <c r="I213" s="258"/>
      <c r="J213" s="259"/>
      <c r="K213" s="259"/>
      <c r="L213" s="260">
        <f>+SUM(L200:L212)</f>
        <v>0</v>
      </c>
      <c r="M213" s="260">
        <f>+SUM(M200:M212)</f>
        <v>0</v>
      </c>
      <c r="N213" s="261">
        <f>+SUM(N200:N212)</f>
        <v>0</v>
      </c>
    </row>
    <row r="214" spans="1:14" s="41" customFormat="1" ht="13" x14ac:dyDescent="0.3">
      <c r="A214" s="39"/>
      <c r="B214" s="306"/>
      <c r="C214" s="307"/>
      <c r="D214" s="308"/>
      <c r="E214" s="201"/>
      <c r="F214" s="201"/>
      <c r="G214" s="166"/>
      <c r="H214" s="177"/>
      <c r="I214" s="200"/>
      <c r="J214" s="200"/>
      <c r="K214" s="326"/>
      <c r="L214" s="200"/>
      <c r="M214" s="51"/>
      <c r="N214" s="51"/>
    </row>
    <row r="215" spans="1:14" ht="12.75" customHeight="1" x14ac:dyDescent="0.3">
      <c r="A215" s="39"/>
      <c r="B215" s="47"/>
      <c r="D215" s="48"/>
      <c r="E215" s="9"/>
      <c r="F215" s="9"/>
      <c r="G215" s="202"/>
      <c r="I215" s="200"/>
      <c r="J215" s="200"/>
      <c r="K215" s="326"/>
      <c r="L215" s="200"/>
      <c r="M215" s="51"/>
      <c r="N215" s="51"/>
    </row>
    <row r="216" spans="1:14" ht="12.75" customHeight="1" x14ac:dyDescent="0.3">
      <c r="A216" s="52"/>
      <c r="B216" s="53" t="s">
        <v>209</v>
      </c>
      <c r="C216" s="54"/>
      <c r="D216" s="55"/>
      <c r="E216" s="203"/>
      <c r="F216" s="204"/>
      <c r="G216" s="205"/>
      <c r="H216" s="205"/>
      <c r="I216" s="204"/>
      <c r="J216" s="206"/>
      <c r="K216" s="327" t="s">
        <v>210</v>
      </c>
      <c r="L216" s="208">
        <f>+J5</f>
        <v>13</v>
      </c>
      <c r="M216" s="209"/>
      <c r="N216" s="57">
        <f>+N5</f>
        <v>46108</v>
      </c>
    </row>
    <row r="217" spans="1:14" ht="12.75" customHeight="1" x14ac:dyDescent="0.3">
      <c r="A217" s="58"/>
      <c r="B217" s="53" t="s">
        <v>9</v>
      </c>
      <c r="C217" s="56"/>
      <c r="D217" s="59"/>
      <c r="E217" s="211"/>
      <c r="F217" s="205"/>
      <c r="G217" s="205"/>
      <c r="H217" s="205"/>
      <c r="I217" s="205"/>
      <c r="J217" s="209"/>
      <c r="K217" s="259"/>
      <c r="L217" s="205"/>
      <c r="M217" s="209" t="s">
        <v>211</v>
      </c>
      <c r="N217" s="210" t="s">
        <v>212</v>
      </c>
    </row>
    <row r="218" spans="1:14" ht="12.75" customHeight="1" x14ac:dyDescent="0.3">
      <c r="A218" s="275" t="s">
        <v>213</v>
      </c>
      <c r="B218" s="61" t="s">
        <v>214</v>
      </c>
      <c r="C218" s="60"/>
      <c r="D218" s="62"/>
      <c r="E218" s="212"/>
      <c r="F218" s="213"/>
      <c r="G218" s="214"/>
      <c r="H218" s="214"/>
      <c r="I218" s="213"/>
      <c r="J218" s="215"/>
      <c r="K218" s="328"/>
      <c r="L218" s="213"/>
      <c r="M218" s="213"/>
      <c r="N218" s="63">
        <f>+G195</f>
        <v>844845248</v>
      </c>
    </row>
    <row r="219" spans="1:14" ht="12.75" customHeight="1" x14ac:dyDescent="0.3">
      <c r="A219" s="64" t="s">
        <v>215</v>
      </c>
      <c r="B219" s="65" t="s">
        <v>216</v>
      </c>
      <c r="C219" s="66"/>
      <c r="D219" s="67"/>
      <c r="E219" s="216"/>
      <c r="F219" s="217"/>
      <c r="G219" s="218"/>
      <c r="H219" s="218"/>
      <c r="I219" s="217"/>
      <c r="J219" s="219"/>
      <c r="K219" s="238"/>
      <c r="L219" s="217"/>
      <c r="M219" s="236">
        <v>0.1</v>
      </c>
      <c r="N219" s="220">
        <f>+M219*N218</f>
        <v>84484524.800000012</v>
      </c>
    </row>
    <row r="220" spans="1:14" ht="12.75" customHeight="1" x14ac:dyDescent="0.3">
      <c r="A220" s="276" t="s">
        <v>217</v>
      </c>
      <c r="B220" s="69" t="s">
        <v>218</v>
      </c>
      <c r="C220" s="70"/>
      <c r="D220" s="71"/>
      <c r="E220" s="221"/>
      <c r="F220" s="222"/>
      <c r="G220" s="223"/>
      <c r="H220" s="223"/>
      <c r="I220" s="222"/>
      <c r="J220" s="224"/>
      <c r="K220" s="237"/>
      <c r="L220" s="222"/>
      <c r="M220" s="237"/>
      <c r="N220" s="225">
        <f>+M195</f>
        <v>63774210.420000002</v>
      </c>
    </row>
    <row r="221" spans="1:14" ht="12.75" customHeight="1" x14ac:dyDescent="0.3">
      <c r="A221" s="264" t="s">
        <v>219</v>
      </c>
      <c r="B221" s="265" t="s">
        <v>220</v>
      </c>
      <c r="C221" s="266"/>
      <c r="D221" s="267"/>
      <c r="E221" s="268"/>
      <c r="F221" s="269"/>
      <c r="G221" s="270"/>
      <c r="H221" s="270"/>
      <c r="I221" s="269"/>
      <c r="J221" s="271"/>
      <c r="K221" s="272"/>
      <c r="L221" s="269"/>
      <c r="M221" s="272">
        <f>-M219</f>
        <v>-0.1</v>
      </c>
      <c r="N221" s="273">
        <f>+M221*N220</f>
        <v>-6377421.0420000004</v>
      </c>
    </row>
    <row r="222" spans="1:14" ht="12.75" customHeight="1" x14ac:dyDescent="0.3">
      <c r="A222" s="276" t="s">
        <v>221</v>
      </c>
      <c r="B222" s="69" t="s">
        <v>233</v>
      </c>
      <c r="C222" s="70"/>
      <c r="D222" s="71"/>
      <c r="E222" s="221"/>
      <c r="F222" s="222"/>
      <c r="G222" s="223"/>
      <c r="H222" s="223"/>
      <c r="I222" s="222"/>
      <c r="J222" s="224"/>
      <c r="K222" s="237"/>
      <c r="L222" s="222"/>
      <c r="M222" s="237"/>
      <c r="N222" s="225">
        <f>+M213</f>
        <v>0</v>
      </c>
    </row>
    <row r="223" spans="1:14" ht="12.75" customHeight="1" x14ac:dyDescent="0.3">
      <c r="A223" s="295" t="s">
        <v>225</v>
      </c>
      <c r="B223" s="296" t="s">
        <v>222</v>
      </c>
      <c r="C223" s="297"/>
      <c r="D223" s="298"/>
      <c r="E223" s="299"/>
      <c r="F223" s="300"/>
      <c r="G223" s="300"/>
      <c r="H223" s="300"/>
      <c r="I223" s="300"/>
      <c r="J223" s="301"/>
      <c r="K223" s="302"/>
      <c r="L223" s="300"/>
      <c r="M223" s="302"/>
      <c r="N223" s="303">
        <f>+N220+N221+N222</f>
        <v>57396789.377999999</v>
      </c>
    </row>
    <row r="224" spans="1:14" ht="12.75" customHeight="1" x14ac:dyDescent="0.3">
      <c r="H224" s="245"/>
    </row>
    <row r="225" spans="2:8" ht="12.75" customHeight="1" x14ac:dyDescent="0.3">
      <c r="B225" s="2" t="s">
        <v>236</v>
      </c>
      <c r="H225" s="245"/>
    </row>
  </sheetData>
  <mergeCells count="2">
    <mergeCell ref="I7:K7"/>
    <mergeCell ref="L7:N7"/>
  </mergeCells>
  <conditionalFormatting sqref="C3:C214">
    <cfRule type="cellIs" dxfId="20" priority="6" operator="equal">
      <formula>"x"</formula>
    </cfRule>
  </conditionalFormatting>
  <conditionalFormatting sqref="K10:K23 K25:K31 K33 K35:K40 K42:K49 K51:K53 K55:K58 K60:K70 K72:K74 K76:K79 K81:K87 K89:K100 K102 K104:K107 K144:K146 K148:K150 K152:K156 K158 K160:K161 K163 K165:K168 K170:K171 K173 K175:K176 K178:K181 K183:K191 K193:K194">
    <cfRule type="cellIs" dxfId="19" priority="7" operator="lessThan">
      <formula>1</formula>
    </cfRule>
  </conditionalFormatting>
  <conditionalFormatting sqref="K109:K141">
    <cfRule type="cellIs" dxfId="18" priority="5" operator="lessThan">
      <formula>1</formula>
    </cfRule>
  </conditionalFormatting>
  <conditionalFormatting sqref="K200 K202">
    <cfRule type="cellIs" dxfId="17" priority="4" operator="lessThan">
      <formula>1</formula>
    </cfRule>
  </conditionalFormatting>
  <conditionalFormatting sqref="K204:K205">
    <cfRule type="cellIs" dxfId="16" priority="3" operator="lessThan">
      <formula>1</formula>
    </cfRule>
  </conditionalFormatting>
  <conditionalFormatting sqref="K207">
    <cfRule type="cellIs" dxfId="15" priority="2" operator="lessThan">
      <formula>1</formula>
    </cfRule>
  </conditionalFormatting>
  <conditionalFormatting sqref="K209:K212">
    <cfRule type="cellIs" dxfId="14" priority="1" operator="lessThan">
      <formula>1</formula>
    </cfRule>
  </conditionalFormatting>
  <pageMargins left="0.45" right="0.25" top="0.63" bottom="0.55118110236220474" header="0.31496062992125984" footer="0.31496062992125984"/>
  <pageSetup paperSize="9" scale="54" fitToHeight="8" orientation="landscape" r:id="rId1"/>
  <headerFooter>
    <oddFooter>&amp;C&amp;P de &amp;N</oddFooter>
  </headerFooter>
  <rowBreaks count="1" manualBreakCount="1">
    <brk id="139" max="13" man="1"/>
  </rowBreaks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D92CC7-979C-4A73-AED1-02AD0FE3993A}">
  <dimension ref="A1:S225"/>
  <sheetViews>
    <sheetView topLeftCell="A180" zoomScaleNormal="100" zoomScaleSheetLayoutView="100" workbookViewId="0">
      <selection activeCell="N195" sqref="N195"/>
    </sheetView>
  </sheetViews>
  <sheetFormatPr defaultColWidth="11.54296875" defaultRowHeight="12.75" customHeight="1" x14ac:dyDescent="0.3"/>
  <cols>
    <col min="1" max="1" width="7" style="1" bestFit="1" customWidth="1"/>
    <col min="2" max="2" width="61.90625" style="2" customWidth="1"/>
    <col min="3" max="3" width="5.36328125" style="3" bestFit="1" customWidth="1"/>
    <col min="4" max="4" width="6.54296875" style="4" bestFit="1" customWidth="1"/>
    <col min="5" max="5" width="11" style="86" bestFit="1" customWidth="1"/>
    <col min="6" max="6" width="12" style="86" bestFit="1" customWidth="1"/>
    <col min="7" max="7" width="12" style="87" bestFit="1" customWidth="1"/>
    <col min="8" max="8" width="6.36328125" style="92" bestFit="1" customWidth="1"/>
    <col min="9" max="10" width="13.81640625" style="92" customWidth="1"/>
    <col min="11" max="11" width="13.81640625" style="245" customWidth="1"/>
    <col min="12" max="12" width="12.1796875" style="92" bestFit="1" customWidth="1"/>
    <col min="13" max="13" width="13.81640625" style="92" customWidth="1"/>
    <col min="14" max="14" width="13.6328125" style="92" bestFit="1" customWidth="1"/>
    <col min="15" max="15" width="12.08984375" style="5" customWidth="1"/>
    <col min="16" max="16" width="13.453125" style="5" bestFit="1" customWidth="1"/>
    <col min="17" max="16384" width="11.54296875" style="5"/>
  </cols>
  <sheetData>
    <row r="1" spans="1:18" ht="12.75" customHeight="1" x14ac:dyDescent="0.3">
      <c r="F1" s="162" t="s">
        <v>0</v>
      </c>
      <c r="G1" s="162" t="s">
        <v>1</v>
      </c>
    </row>
    <row r="2" spans="1:18" ht="13" x14ac:dyDescent="0.3">
      <c r="F2" s="163">
        <v>1066.5</v>
      </c>
      <c r="G2" s="163">
        <v>1170</v>
      </c>
    </row>
    <row r="3" spans="1:18" s="10" customFormat="1" ht="13" x14ac:dyDescent="0.25">
      <c r="A3" s="6"/>
      <c r="B3" s="7"/>
      <c r="C3" s="8"/>
      <c r="D3" s="9"/>
      <c r="E3" s="9"/>
      <c r="F3" s="9"/>
      <c r="G3" s="164"/>
      <c r="H3" s="165"/>
      <c r="I3" s="165"/>
      <c r="J3" s="165"/>
      <c r="K3" s="324"/>
      <c r="L3" s="165"/>
      <c r="M3" s="165"/>
      <c r="N3" s="165"/>
    </row>
    <row r="4" spans="1:18" s="10" customFormat="1" ht="13" x14ac:dyDescent="0.25">
      <c r="A4" s="6"/>
      <c r="B4" s="7"/>
      <c r="C4" s="8"/>
      <c r="D4" s="9"/>
      <c r="E4" s="9"/>
      <c r="F4" s="286">
        <v>45667</v>
      </c>
      <c r="G4" s="164"/>
      <c r="H4" s="165"/>
      <c r="I4" s="165"/>
      <c r="J4" s="165"/>
      <c r="K4" s="324"/>
      <c r="L4" s="165"/>
      <c r="M4" s="165"/>
      <c r="N4" s="165"/>
    </row>
    <row r="5" spans="1:18" s="10" customFormat="1" ht="13" x14ac:dyDescent="0.3">
      <c r="A5" s="6"/>
      <c r="B5" s="90" t="s">
        <v>2</v>
      </c>
      <c r="C5" s="8"/>
      <c r="D5" s="9"/>
      <c r="E5" s="167"/>
      <c r="F5" s="167"/>
      <c r="G5" s="164"/>
      <c r="H5" s="165"/>
      <c r="I5" s="168" t="s">
        <v>3</v>
      </c>
      <c r="J5" s="169">
        <v>14</v>
      </c>
      <c r="K5" s="245"/>
      <c r="L5" s="170"/>
      <c r="M5" s="171"/>
      <c r="N5" s="49">
        <v>46140</v>
      </c>
    </row>
    <row r="6" spans="1:18" s="10" customFormat="1" ht="13" x14ac:dyDescent="0.25">
      <c r="A6" s="6"/>
      <c r="B6" s="90" t="s">
        <v>4</v>
      </c>
      <c r="C6" s="8"/>
      <c r="D6" s="9"/>
      <c r="E6" s="172"/>
      <c r="F6" s="172"/>
      <c r="G6" s="164"/>
      <c r="H6" s="165"/>
      <c r="I6" s="165"/>
      <c r="J6" s="165"/>
      <c r="K6" s="324"/>
      <c r="L6" s="165"/>
      <c r="M6" s="165"/>
      <c r="N6" s="165"/>
    </row>
    <row r="7" spans="1:18" s="10" customFormat="1" ht="13" x14ac:dyDescent="0.25">
      <c r="A7" s="6"/>
      <c r="B7" s="91" t="s">
        <v>5</v>
      </c>
      <c r="C7" s="11"/>
      <c r="D7" s="12"/>
      <c r="E7" s="173"/>
      <c r="F7" s="172"/>
      <c r="G7" s="164"/>
      <c r="H7" s="165"/>
      <c r="I7" s="330" t="s">
        <v>6</v>
      </c>
      <c r="J7" s="330"/>
      <c r="K7" s="330"/>
      <c r="L7" s="330" t="s">
        <v>7</v>
      </c>
      <c r="M7" s="330"/>
      <c r="N7" s="330"/>
    </row>
    <row r="8" spans="1:18" ht="13" x14ac:dyDescent="0.3">
      <c r="A8" s="13" t="s">
        <v>8</v>
      </c>
      <c r="B8" s="14" t="s">
        <v>9</v>
      </c>
      <c r="C8" s="15" t="s">
        <v>10</v>
      </c>
      <c r="D8" s="16" t="s">
        <v>11</v>
      </c>
      <c r="E8" s="175" t="s">
        <v>12</v>
      </c>
      <c r="F8" s="175" t="s">
        <v>13</v>
      </c>
      <c r="I8" s="174" t="s">
        <v>14</v>
      </c>
      <c r="J8" s="174" t="s">
        <v>15</v>
      </c>
      <c r="K8" s="325" t="s">
        <v>16</v>
      </c>
      <c r="L8" s="174" t="s">
        <v>14</v>
      </c>
      <c r="M8" s="174" t="s">
        <v>15</v>
      </c>
      <c r="N8" s="174" t="s">
        <v>16</v>
      </c>
    </row>
    <row r="9" spans="1:18" ht="12.75" customHeight="1" x14ac:dyDescent="0.3">
      <c r="A9" s="13">
        <v>4</v>
      </c>
      <c r="B9" s="17" t="s">
        <v>17</v>
      </c>
      <c r="C9" s="18"/>
      <c r="D9" s="19"/>
      <c r="E9" s="19"/>
      <c r="F9" s="19"/>
      <c r="G9" s="176">
        <f>+SUM(F10:F23)</f>
        <v>51045774</v>
      </c>
      <c r="H9" s="245">
        <f>+G9/$G$195</f>
        <v>6.0420265274428106E-2</v>
      </c>
      <c r="I9" s="246"/>
      <c r="J9" s="247"/>
      <c r="K9" s="247"/>
      <c r="L9" s="178"/>
      <c r="M9" s="178"/>
      <c r="N9" s="179"/>
    </row>
    <row r="10" spans="1:18" ht="12.75" customHeight="1" x14ac:dyDescent="0.3">
      <c r="A10" s="20">
        <v>4.01</v>
      </c>
      <c r="B10" s="21" t="s">
        <v>18</v>
      </c>
      <c r="C10" s="93" t="s">
        <v>19</v>
      </c>
      <c r="D10" s="94">
        <v>621</v>
      </c>
      <c r="E10" s="180">
        <v>22140</v>
      </c>
      <c r="F10" s="181">
        <f t="shared" ref="F10:F73" si="0">+E10*D10</f>
        <v>13748940</v>
      </c>
      <c r="G10" s="182"/>
      <c r="H10" s="245"/>
      <c r="I10" s="248">
        <v>0.87</v>
      </c>
      <c r="J10" s="248">
        <v>0.03</v>
      </c>
      <c r="K10" s="249">
        <f t="shared" ref="K10:K73" si="1">+I10+J10</f>
        <v>0.9</v>
      </c>
      <c r="L10" s="50">
        <f t="shared" ref="L10:L73" si="2">+F10*I10</f>
        <v>11961577.800000001</v>
      </c>
      <c r="M10" s="50">
        <f t="shared" ref="M10:M73" si="3">+F10*J10</f>
        <v>412468.2</v>
      </c>
      <c r="N10" s="50">
        <f t="shared" ref="N10:N73" si="4">+F10*K10</f>
        <v>12374046</v>
      </c>
      <c r="P10" s="92"/>
      <c r="R10" s="245"/>
    </row>
    <row r="11" spans="1:18" ht="12.75" customHeight="1" x14ac:dyDescent="0.3">
      <c r="A11" s="24">
        <v>4.0199999999999996</v>
      </c>
      <c r="B11" s="95" t="s">
        <v>20</v>
      </c>
      <c r="C11" s="30" t="s">
        <v>19</v>
      </c>
      <c r="D11" s="31">
        <v>780</v>
      </c>
      <c r="E11" s="183">
        <v>24437</v>
      </c>
      <c r="F11" s="181">
        <f t="shared" si="0"/>
        <v>19060860</v>
      </c>
      <c r="G11" s="182"/>
      <c r="H11" s="245"/>
      <c r="I11" s="250">
        <v>0.9</v>
      </c>
      <c r="J11" s="250">
        <v>0.02</v>
      </c>
      <c r="K11" s="251">
        <f t="shared" si="1"/>
        <v>0.92</v>
      </c>
      <c r="L11" s="50">
        <f t="shared" si="2"/>
        <v>17154774</v>
      </c>
      <c r="M11" s="50">
        <f t="shared" si="3"/>
        <v>381217.2</v>
      </c>
      <c r="N11" s="50">
        <f t="shared" si="4"/>
        <v>17535991.199999999</v>
      </c>
      <c r="O11" s="304"/>
      <c r="P11" s="92"/>
      <c r="R11" s="245"/>
    </row>
    <row r="12" spans="1:18" ht="12.75" customHeight="1" x14ac:dyDescent="0.3">
      <c r="A12" s="24">
        <v>4.03</v>
      </c>
      <c r="B12" s="25" t="s">
        <v>21</v>
      </c>
      <c r="C12" s="30" t="s">
        <v>19</v>
      </c>
      <c r="D12" s="31">
        <v>56</v>
      </c>
      <c r="E12" s="183">
        <v>23248</v>
      </c>
      <c r="F12" s="181">
        <f t="shared" si="0"/>
        <v>1301888</v>
      </c>
      <c r="G12" s="182"/>
      <c r="H12" s="245"/>
      <c r="I12" s="250">
        <v>1</v>
      </c>
      <c r="J12" s="250"/>
      <c r="K12" s="251">
        <f t="shared" si="1"/>
        <v>1</v>
      </c>
      <c r="L12" s="50">
        <f t="shared" si="2"/>
        <v>1301888</v>
      </c>
      <c r="M12" s="50">
        <f t="shared" si="3"/>
        <v>0</v>
      </c>
      <c r="N12" s="50">
        <f t="shared" si="4"/>
        <v>1301888</v>
      </c>
      <c r="O12" s="304"/>
      <c r="P12" s="92"/>
      <c r="R12" s="245"/>
    </row>
    <row r="13" spans="1:18" ht="12.75" customHeight="1" x14ac:dyDescent="0.3">
      <c r="A13" s="24">
        <v>4.04</v>
      </c>
      <c r="B13" s="25" t="s">
        <v>22</v>
      </c>
      <c r="C13" s="30" t="s">
        <v>19</v>
      </c>
      <c r="D13" s="31">
        <v>42</v>
      </c>
      <c r="E13" s="183">
        <v>28746</v>
      </c>
      <c r="F13" s="181">
        <f t="shared" si="0"/>
        <v>1207332</v>
      </c>
      <c r="G13" s="182"/>
      <c r="H13" s="245"/>
      <c r="I13" s="250">
        <v>0.85</v>
      </c>
      <c r="J13" s="250">
        <v>0.1</v>
      </c>
      <c r="K13" s="251">
        <f t="shared" si="1"/>
        <v>0.95</v>
      </c>
      <c r="L13" s="50">
        <f t="shared" si="2"/>
        <v>1026232.2</v>
      </c>
      <c r="M13" s="50">
        <f t="shared" si="3"/>
        <v>120733.20000000001</v>
      </c>
      <c r="N13" s="50">
        <f t="shared" si="4"/>
        <v>1146965.3999999999</v>
      </c>
      <c r="O13" s="304"/>
      <c r="P13" s="92"/>
    </row>
    <row r="14" spans="1:18" ht="12.75" customHeight="1" x14ac:dyDescent="0.3">
      <c r="A14" s="24">
        <v>4.05</v>
      </c>
      <c r="B14" s="25" t="s">
        <v>23</v>
      </c>
      <c r="C14" s="30" t="s">
        <v>19</v>
      </c>
      <c r="D14" s="31">
        <v>70</v>
      </c>
      <c r="E14" s="183">
        <v>36933</v>
      </c>
      <c r="F14" s="181">
        <f t="shared" si="0"/>
        <v>2585310</v>
      </c>
      <c r="G14" s="182"/>
      <c r="H14" s="245"/>
      <c r="I14" s="250">
        <v>0.1</v>
      </c>
      <c r="J14" s="250">
        <v>0.4</v>
      </c>
      <c r="K14" s="251">
        <f t="shared" si="1"/>
        <v>0.5</v>
      </c>
      <c r="L14" s="50">
        <f t="shared" si="2"/>
        <v>258531</v>
      </c>
      <c r="M14" s="50">
        <f t="shared" si="3"/>
        <v>1034124</v>
      </c>
      <c r="N14" s="50">
        <f t="shared" si="4"/>
        <v>1292655</v>
      </c>
      <c r="O14" s="304"/>
      <c r="P14" s="92"/>
    </row>
    <row r="15" spans="1:18" ht="12.75" customHeight="1" x14ac:dyDescent="0.3">
      <c r="A15" s="24">
        <v>4.0599999999999996</v>
      </c>
      <c r="B15" s="25" t="s">
        <v>24</v>
      </c>
      <c r="C15" s="30" t="s">
        <v>19</v>
      </c>
      <c r="D15" s="31">
        <v>5</v>
      </c>
      <c r="E15" s="183">
        <v>28672</v>
      </c>
      <c r="F15" s="181">
        <f t="shared" si="0"/>
        <v>143360</v>
      </c>
      <c r="G15" s="182"/>
      <c r="H15" s="245"/>
      <c r="I15" s="250">
        <v>0.1</v>
      </c>
      <c r="J15" s="250">
        <v>0.9</v>
      </c>
      <c r="K15" s="251">
        <f t="shared" si="1"/>
        <v>1</v>
      </c>
      <c r="L15" s="50">
        <f t="shared" si="2"/>
        <v>14336</v>
      </c>
      <c r="M15" s="50">
        <f t="shared" si="3"/>
        <v>129024</v>
      </c>
      <c r="N15" s="50">
        <f t="shared" si="4"/>
        <v>143360</v>
      </c>
      <c r="O15" s="304"/>
    </row>
    <row r="16" spans="1:18" ht="12.75" customHeight="1" x14ac:dyDescent="0.3">
      <c r="A16" s="24">
        <v>4.07</v>
      </c>
      <c r="B16" s="25" t="s">
        <v>25</v>
      </c>
      <c r="C16" s="30" t="s">
        <v>19</v>
      </c>
      <c r="D16" s="37">
        <v>193</v>
      </c>
      <c r="E16" s="183">
        <v>18611</v>
      </c>
      <c r="F16" s="181">
        <f t="shared" si="0"/>
        <v>3591923</v>
      </c>
      <c r="G16" s="182"/>
      <c r="H16" s="245"/>
      <c r="I16" s="250">
        <v>0</v>
      </c>
      <c r="J16" s="250"/>
      <c r="K16" s="251">
        <f t="shared" si="1"/>
        <v>0</v>
      </c>
      <c r="L16" s="50">
        <f t="shared" si="2"/>
        <v>0</v>
      </c>
      <c r="M16" s="50">
        <f t="shared" si="3"/>
        <v>0</v>
      </c>
      <c r="N16" s="50">
        <f t="shared" si="4"/>
        <v>0</v>
      </c>
      <c r="O16" s="304"/>
    </row>
    <row r="17" spans="1:15" ht="12.75" customHeight="1" x14ac:dyDescent="0.3">
      <c r="A17" s="24">
        <v>4.08</v>
      </c>
      <c r="B17" s="25" t="s">
        <v>26</v>
      </c>
      <c r="C17" s="30" t="s">
        <v>27</v>
      </c>
      <c r="D17" s="37">
        <v>61</v>
      </c>
      <c r="E17" s="183">
        <v>28578</v>
      </c>
      <c r="F17" s="181">
        <f t="shared" si="0"/>
        <v>1743258</v>
      </c>
      <c r="G17" s="182"/>
      <c r="H17" s="245"/>
      <c r="I17" s="250">
        <v>1</v>
      </c>
      <c r="J17" s="274"/>
      <c r="K17" s="251">
        <f t="shared" si="1"/>
        <v>1</v>
      </c>
      <c r="L17" s="50">
        <f t="shared" si="2"/>
        <v>1743258</v>
      </c>
      <c r="M17" s="50">
        <f t="shared" si="3"/>
        <v>0</v>
      </c>
      <c r="N17" s="50">
        <f t="shared" si="4"/>
        <v>1743258</v>
      </c>
      <c r="O17" s="304"/>
    </row>
    <row r="18" spans="1:15" ht="12.75" customHeight="1" x14ac:dyDescent="0.3">
      <c r="A18" s="24">
        <v>4.09</v>
      </c>
      <c r="B18" s="25" t="s">
        <v>28</v>
      </c>
      <c r="C18" s="30" t="s">
        <v>29</v>
      </c>
      <c r="D18" s="37">
        <v>1</v>
      </c>
      <c r="E18" s="183">
        <v>280823</v>
      </c>
      <c r="F18" s="181">
        <f t="shared" si="0"/>
        <v>280823</v>
      </c>
      <c r="G18" s="182"/>
      <c r="H18" s="245"/>
      <c r="I18" s="250">
        <v>0</v>
      </c>
      <c r="J18" s="250"/>
      <c r="K18" s="251">
        <f t="shared" si="1"/>
        <v>0</v>
      </c>
      <c r="L18" s="50">
        <f t="shared" si="2"/>
        <v>0</v>
      </c>
      <c r="M18" s="50">
        <f t="shared" si="3"/>
        <v>0</v>
      </c>
      <c r="N18" s="50">
        <f t="shared" si="4"/>
        <v>0</v>
      </c>
    </row>
    <row r="19" spans="1:15" ht="12.75" customHeight="1" x14ac:dyDescent="0.3">
      <c r="A19" s="24">
        <v>4.0999999999999996</v>
      </c>
      <c r="B19" s="25" t="s">
        <v>30</v>
      </c>
      <c r="C19" s="30" t="s">
        <v>29</v>
      </c>
      <c r="D19" s="37">
        <v>1</v>
      </c>
      <c r="E19" s="183">
        <v>801214</v>
      </c>
      <c r="F19" s="181">
        <f t="shared" si="0"/>
        <v>801214</v>
      </c>
      <c r="G19" s="182"/>
      <c r="H19" s="245"/>
      <c r="I19" s="250">
        <v>0</v>
      </c>
      <c r="J19" s="250"/>
      <c r="K19" s="251">
        <f t="shared" si="1"/>
        <v>0</v>
      </c>
      <c r="L19" s="50">
        <f t="shared" si="2"/>
        <v>0</v>
      </c>
      <c r="M19" s="50">
        <f t="shared" si="3"/>
        <v>0</v>
      </c>
      <c r="N19" s="50">
        <f t="shared" si="4"/>
        <v>0</v>
      </c>
    </row>
    <row r="20" spans="1:15" ht="12.75" customHeight="1" x14ac:dyDescent="0.3">
      <c r="A20" s="24">
        <v>4.1100000000000003</v>
      </c>
      <c r="B20" s="25" t="s">
        <v>31</v>
      </c>
      <c r="C20" s="30" t="s">
        <v>29</v>
      </c>
      <c r="D20" s="37">
        <v>1</v>
      </c>
      <c r="E20" s="183">
        <v>525234</v>
      </c>
      <c r="F20" s="181">
        <f t="shared" si="0"/>
        <v>525234</v>
      </c>
      <c r="G20" s="182"/>
      <c r="H20" s="245"/>
      <c r="I20" s="250">
        <v>0</v>
      </c>
      <c r="J20" s="250"/>
      <c r="K20" s="251">
        <f t="shared" si="1"/>
        <v>0</v>
      </c>
      <c r="L20" s="50">
        <f t="shared" si="2"/>
        <v>0</v>
      </c>
      <c r="M20" s="50">
        <f t="shared" si="3"/>
        <v>0</v>
      </c>
      <c r="N20" s="50">
        <f t="shared" si="4"/>
        <v>0</v>
      </c>
    </row>
    <row r="21" spans="1:15" ht="12.75" customHeight="1" x14ac:dyDescent="0.3">
      <c r="A21" s="24">
        <v>4.12</v>
      </c>
      <c r="B21" s="25" t="s">
        <v>32</v>
      </c>
      <c r="C21" s="30" t="s">
        <v>33</v>
      </c>
      <c r="D21" s="37">
        <v>3</v>
      </c>
      <c r="E21" s="183">
        <v>237784</v>
      </c>
      <c r="F21" s="181">
        <f t="shared" si="0"/>
        <v>713352</v>
      </c>
      <c r="G21" s="182"/>
      <c r="H21" s="245"/>
      <c r="I21" s="250">
        <v>0</v>
      </c>
      <c r="J21" s="250"/>
      <c r="K21" s="251">
        <f t="shared" si="1"/>
        <v>0</v>
      </c>
      <c r="L21" s="50">
        <f t="shared" si="2"/>
        <v>0</v>
      </c>
      <c r="M21" s="50">
        <f t="shared" si="3"/>
        <v>0</v>
      </c>
      <c r="N21" s="50">
        <f t="shared" si="4"/>
        <v>0</v>
      </c>
    </row>
    <row r="22" spans="1:15" ht="12.75" customHeight="1" x14ac:dyDescent="0.3">
      <c r="A22" s="24">
        <v>4.13</v>
      </c>
      <c r="B22" s="25" t="s">
        <v>34</v>
      </c>
      <c r="C22" s="30" t="s">
        <v>27</v>
      </c>
      <c r="D22" s="37">
        <v>40</v>
      </c>
      <c r="E22" s="183">
        <v>98026</v>
      </c>
      <c r="F22" s="181">
        <f t="shared" si="0"/>
        <v>3921040</v>
      </c>
      <c r="G22" s="182"/>
      <c r="H22" s="245"/>
      <c r="I22" s="250">
        <v>0</v>
      </c>
      <c r="J22" s="250"/>
      <c r="K22" s="251">
        <f t="shared" si="1"/>
        <v>0</v>
      </c>
      <c r="L22" s="50">
        <f t="shared" si="2"/>
        <v>0</v>
      </c>
      <c r="M22" s="50">
        <f t="shared" si="3"/>
        <v>0</v>
      </c>
      <c r="N22" s="50">
        <f t="shared" si="4"/>
        <v>0</v>
      </c>
    </row>
    <row r="23" spans="1:15" ht="12.75" customHeight="1" x14ac:dyDescent="0.3">
      <c r="A23" s="24">
        <v>4.1399999999999997</v>
      </c>
      <c r="B23" s="38" t="s">
        <v>35</v>
      </c>
      <c r="C23" s="34" t="s">
        <v>33</v>
      </c>
      <c r="D23" s="96">
        <v>8</v>
      </c>
      <c r="E23" s="183">
        <v>177655</v>
      </c>
      <c r="F23" s="181">
        <f t="shared" si="0"/>
        <v>1421240</v>
      </c>
      <c r="G23" s="182"/>
      <c r="H23" s="245"/>
      <c r="I23" s="250">
        <v>0</v>
      </c>
      <c r="J23" s="250"/>
      <c r="K23" s="251">
        <f t="shared" si="1"/>
        <v>0</v>
      </c>
      <c r="L23" s="50">
        <f t="shared" si="2"/>
        <v>0</v>
      </c>
      <c r="M23" s="50">
        <f t="shared" si="3"/>
        <v>0</v>
      </c>
      <c r="N23" s="50">
        <f t="shared" si="4"/>
        <v>0</v>
      </c>
    </row>
    <row r="24" spans="1:15" ht="12.75" customHeight="1" x14ac:dyDescent="0.3">
      <c r="A24" s="13">
        <v>5</v>
      </c>
      <c r="B24" s="40" t="s">
        <v>36</v>
      </c>
      <c r="C24" s="18"/>
      <c r="D24" s="19"/>
      <c r="E24" s="19"/>
      <c r="F24" s="19"/>
      <c r="G24" s="176">
        <f>+SUM(F25:F31)</f>
        <v>19239698</v>
      </c>
      <c r="H24" s="245">
        <f>+G24/$G$195</f>
        <v>2.2773043993022494E-2</v>
      </c>
      <c r="I24" s="246"/>
      <c r="J24" s="247"/>
      <c r="K24" s="247"/>
      <c r="L24" s="178"/>
      <c r="M24" s="178"/>
      <c r="N24" s="179"/>
    </row>
    <row r="25" spans="1:15" ht="12.75" customHeight="1" x14ac:dyDescent="0.3">
      <c r="A25" s="20">
        <v>5.01</v>
      </c>
      <c r="B25" s="21" t="s">
        <v>37</v>
      </c>
      <c r="C25" s="93" t="s">
        <v>27</v>
      </c>
      <c r="D25" s="97">
        <v>136</v>
      </c>
      <c r="E25" s="183">
        <v>6496</v>
      </c>
      <c r="F25" s="181">
        <f t="shared" si="0"/>
        <v>883456</v>
      </c>
      <c r="G25" s="182"/>
      <c r="H25" s="245"/>
      <c r="I25" s="250">
        <v>0</v>
      </c>
      <c r="J25" s="250">
        <v>0.25</v>
      </c>
      <c r="K25" s="251">
        <f t="shared" si="1"/>
        <v>0.25</v>
      </c>
      <c r="L25" s="50">
        <f t="shared" si="2"/>
        <v>0</v>
      </c>
      <c r="M25" s="50">
        <f t="shared" si="3"/>
        <v>220864</v>
      </c>
      <c r="N25" s="50">
        <f t="shared" si="4"/>
        <v>220864</v>
      </c>
    </row>
    <row r="26" spans="1:15" ht="12.75" customHeight="1" x14ac:dyDescent="0.3">
      <c r="A26" s="24">
        <v>5.0199999999999996</v>
      </c>
      <c r="B26" s="98" t="s">
        <v>38</v>
      </c>
      <c r="C26" s="30" t="s">
        <v>19</v>
      </c>
      <c r="D26" s="31">
        <v>77</v>
      </c>
      <c r="E26" s="184">
        <v>33270</v>
      </c>
      <c r="F26" s="183">
        <f t="shared" si="0"/>
        <v>2561790</v>
      </c>
      <c r="G26" s="182"/>
      <c r="H26" s="245"/>
      <c r="I26" s="250">
        <v>0</v>
      </c>
      <c r="J26" s="250">
        <v>0.3</v>
      </c>
      <c r="K26" s="251">
        <f t="shared" si="1"/>
        <v>0.3</v>
      </c>
      <c r="L26" s="50">
        <f t="shared" si="2"/>
        <v>0</v>
      </c>
      <c r="M26" s="50">
        <f t="shared" si="3"/>
        <v>768537</v>
      </c>
      <c r="N26" s="50">
        <f t="shared" si="4"/>
        <v>768537</v>
      </c>
    </row>
    <row r="27" spans="1:15" ht="12.75" customHeight="1" x14ac:dyDescent="0.3">
      <c r="A27" s="24">
        <v>5.03</v>
      </c>
      <c r="B27" s="25" t="s">
        <v>39</v>
      </c>
      <c r="C27" s="30" t="s">
        <v>19</v>
      </c>
      <c r="D27" s="31">
        <v>107</v>
      </c>
      <c r="E27" s="184">
        <v>6496</v>
      </c>
      <c r="F27" s="181">
        <f t="shared" si="0"/>
        <v>695072</v>
      </c>
      <c r="G27" s="182"/>
      <c r="H27" s="245"/>
      <c r="I27" s="250">
        <v>0</v>
      </c>
      <c r="J27" s="250"/>
      <c r="K27" s="251">
        <f t="shared" si="1"/>
        <v>0</v>
      </c>
      <c r="L27" s="50">
        <f t="shared" si="2"/>
        <v>0</v>
      </c>
      <c r="M27" s="50">
        <f t="shared" si="3"/>
        <v>0</v>
      </c>
      <c r="N27" s="50">
        <f t="shared" si="4"/>
        <v>0</v>
      </c>
    </row>
    <row r="28" spans="1:15" ht="12.75" customHeight="1" x14ac:dyDescent="0.3">
      <c r="A28" s="24">
        <v>5.04</v>
      </c>
      <c r="B28" s="25" t="s">
        <v>40</v>
      </c>
      <c r="C28" s="30" t="s">
        <v>19</v>
      </c>
      <c r="D28" s="31">
        <v>186</v>
      </c>
      <c r="E28" s="184">
        <v>4832</v>
      </c>
      <c r="F28" s="181">
        <f t="shared" si="0"/>
        <v>898752</v>
      </c>
      <c r="G28" s="182"/>
      <c r="H28" s="245"/>
      <c r="I28" s="250">
        <v>0</v>
      </c>
      <c r="J28" s="250"/>
      <c r="K28" s="251">
        <f t="shared" si="1"/>
        <v>0</v>
      </c>
      <c r="L28" s="50">
        <f t="shared" si="2"/>
        <v>0</v>
      </c>
      <c r="M28" s="50">
        <f t="shared" si="3"/>
        <v>0</v>
      </c>
      <c r="N28" s="50">
        <f t="shared" si="4"/>
        <v>0</v>
      </c>
    </row>
    <row r="29" spans="1:15" ht="12.75" customHeight="1" x14ac:dyDescent="0.3">
      <c r="A29" s="24">
        <v>5.05</v>
      </c>
      <c r="B29" s="25" t="s">
        <v>41</v>
      </c>
      <c r="C29" s="30" t="s">
        <v>19</v>
      </c>
      <c r="D29" s="31">
        <v>186</v>
      </c>
      <c r="E29" s="184">
        <v>4134</v>
      </c>
      <c r="F29" s="181">
        <f t="shared" si="0"/>
        <v>768924</v>
      </c>
      <c r="G29" s="182"/>
      <c r="H29" s="245"/>
      <c r="I29" s="250">
        <v>1</v>
      </c>
      <c r="J29" s="250"/>
      <c r="K29" s="251">
        <f t="shared" si="1"/>
        <v>1</v>
      </c>
      <c r="L29" s="50">
        <f t="shared" si="2"/>
        <v>768924</v>
      </c>
      <c r="M29" s="50">
        <f t="shared" si="3"/>
        <v>0</v>
      </c>
      <c r="N29" s="50">
        <f t="shared" si="4"/>
        <v>768924</v>
      </c>
    </row>
    <row r="30" spans="1:15" ht="12.75" customHeight="1" x14ac:dyDescent="0.3">
      <c r="A30" s="24">
        <v>5.0599999999999996</v>
      </c>
      <c r="B30" s="25" t="s">
        <v>42</v>
      </c>
      <c r="C30" s="99" t="s">
        <v>19</v>
      </c>
      <c r="D30" s="31">
        <v>390</v>
      </c>
      <c r="E30" s="184">
        <v>28187</v>
      </c>
      <c r="F30" s="181">
        <f t="shared" si="0"/>
        <v>10992930</v>
      </c>
      <c r="G30" s="185"/>
      <c r="H30" s="245"/>
      <c r="I30" s="250">
        <v>0</v>
      </c>
      <c r="J30" s="250">
        <v>0.3</v>
      </c>
      <c r="K30" s="251">
        <f t="shared" si="1"/>
        <v>0.3</v>
      </c>
      <c r="L30" s="50">
        <f t="shared" si="2"/>
        <v>0</v>
      </c>
      <c r="M30" s="50">
        <f t="shared" si="3"/>
        <v>3297879</v>
      </c>
      <c r="N30" s="50">
        <f t="shared" si="4"/>
        <v>3297879</v>
      </c>
    </row>
    <row r="31" spans="1:15" ht="12.75" customHeight="1" x14ac:dyDescent="0.3">
      <c r="A31" s="24">
        <v>5.07</v>
      </c>
      <c r="B31" s="25" t="s">
        <v>43</v>
      </c>
      <c r="C31" s="99" t="s">
        <v>29</v>
      </c>
      <c r="D31" s="31">
        <v>1</v>
      </c>
      <c r="E31" s="184">
        <v>2438774</v>
      </c>
      <c r="F31" s="181">
        <f t="shared" si="0"/>
        <v>2438774</v>
      </c>
      <c r="G31" s="186"/>
      <c r="H31" s="245"/>
      <c r="I31" s="250">
        <v>0</v>
      </c>
      <c r="J31" s="250"/>
      <c r="K31" s="251">
        <f t="shared" si="1"/>
        <v>0</v>
      </c>
      <c r="L31" s="50">
        <f t="shared" si="2"/>
        <v>0</v>
      </c>
      <c r="M31" s="50">
        <f t="shared" si="3"/>
        <v>0</v>
      </c>
      <c r="N31" s="50">
        <f t="shared" si="4"/>
        <v>0</v>
      </c>
    </row>
    <row r="32" spans="1:15" ht="12.75" customHeight="1" x14ac:dyDescent="0.3">
      <c r="A32" s="13">
        <v>6</v>
      </c>
      <c r="B32" s="17" t="s">
        <v>44</v>
      </c>
      <c r="C32" s="18"/>
      <c r="D32" s="19"/>
      <c r="E32" s="19"/>
      <c r="F32" s="19"/>
      <c r="G32" s="176">
        <f>+SUM(F33)</f>
        <v>1722875</v>
      </c>
      <c r="H32" s="245">
        <f>+G32/$G$195</f>
        <v>2.0392787958251023E-3</v>
      </c>
      <c r="I32" s="246"/>
      <c r="J32" s="247"/>
      <c r="K32" s="247"/>
      <c r="L32" s="178"/>
      <c r="M32" s="178"/>
      <c r="N32" s="179"/>
    </row>
    <row r="33" spans="1:16" ht="12.75" customHeight="1" x14ac:dyDescent="0.3">
      <c r="A33" s="100">
        <v>6.02</v>
      </c>
      <c r="B33" s="38" t="s">
        <v>45</v>
      </c>
      <c r="C33" s="101" t="s">
        <v>27</v>
      </c>
      <c r="D33" s="102">
        <v>55</v>
      </c>
      <c r="E33" s="181">
        <v>31325</v>
      </c>
      <c r="F33" s="181">
        <f t="shared" si="0"/>
        <v>1722875</v>
      </c>
      <c r="G33" s="185"/>
      <c r="H33" s="245"/>
      <c r="I33" s="250">
        <v>0</v>
      </c>
      <c r="J33" s="250"/>
      <c r="K33" s="251">
        <f t="shared" si="1"/>
        <v>0</v>
      </c>
      <c r="L33" s="50">
        <f t="shared" si="2"/>
        <v>0</v>
      </c>
      <c r="M33" s="50">
        <f t="shared" si="3"/>
        <v>0</v>
      </c>
      <c r="N33" s="50">
        <f t="shared" si="4"/>
        <v>0</v>
      </c>
    </row>
    <row r="34" spans="1:16" ht="12.75" customHeight="1" x14ac:dyDescent="0.3">
      <c r="A34" s="13">
        <v>7</v>
      </c>
      <c r="B34" s="40" t="s">
        <v>46</v>
      </c>
      <c r="C34" s="18"/>
      <c r="D34" s="19"/>
      <c r="E34" s="19"/>
      <c r="F34" s="19"/>
      <c r="G34" s="176">
        <f>+SUM(F35:F40)</f>
        <v>92324467</v>
      </c>
      <c r="H34" s="245">
        <f>+G34/$G$195</f>
        <v>0.10927973758337338</v>
      </c>
      <c r="I34" s="246"/>
      <c r="J34" s="247"/>
      <c r="K34" s="247"/>
      <c r="L34" s="178"/>
      <c r="M34" s="178"/>
      <c r="N34" s="179"/>
    </row>
    <row r="35" spans="1:16" ht="12.75" customHeight="1" x14ac:dyDescent="0.3">
      <c r="A35" s="20">
        <v>7.01</v>
      </c>
      <c r="B35" s="103" t="s">
        <v>47</v>
      </c>
      <c r="C35" s="93" t="s">
        <v>19</v>
      </c>
      <c r="D35" s="94">
        <v>879</v>
      </c>
      <c r="E35" s="180">
        <v>19943</v>
      </c>
      <c r="F35" s="180">
        <f t="shared" si="0"/>
        <v>17529897</v>
      </c>
      <c r="G35" s="187"/>
      <c r="H35" s="245"/>
      <c r="I35" s="250">
        <v>0</v>
      </c>
      <c r="J35" s="250">
        <v>0.3</v>
      </c>
      <c r="K35" s="251">
        <f t="shared" si="1"/>
        <v>0.3</v>
      </c>
      <c r="L35" s="50">
        <f t="shared" si="2"/>
        <v>0</v>
      </c>
      <c r="M35" s="50">
        <f t="shared" si="3"/>
        <v>5258969.0999999996</v>
      </c>
      <c r="N35" s="50">
        <f t="shared" si="4"/>
        <v>5258969.0999999996</v>
      </c>
    </row>
    <row r="36" spans="1:16" ht="12.75" customHeight="1" x14ac:dyDescent="0.3">
      <c r="A36" s="24">
        <v>7.02</v>
      </c>
      <c r="B36" s="104" t="s">
        <v>48</v>
      </c>
      <c r="C36" s="30" t="s">
        <v>19</v>
      </c>
      <c r="D36" s="31">
        <v>716</v>
      </c>
      <c r="E36" s="181">
        <v>26767</v>
      </c>
      <c r="F36" s="181">
        <f t="shared" si="0"/>
        <v>19165172</v>
      </c>
      <c r="G36" s="185"/>
      <c r="H36" s="245"/>
      <c r="I36" s="250">
        <v>0.55000000000000004</v>
      </c>
      <c r="J36" s="274">
        <v>0.2</v>
      </c>
      <c r="K36" s="251">
        <f t="shared" si="1"/>
        <v>0.75</v>
      </c>
      <c r="L36" s="50">
        <f t="shared" si="2"/>
        <v>10540844.600000001</v>
      </c>
      <c r="M36" s="50">
        <f t="shared" si="3"/>
        <v>3833034.4000000004</v>
      </c>
      <c r="N36" s="50">
        <f t="shared" si="4"/>
        <v>14373879</v>
      </c>
    </row>
    <row r="37" spans="1:16" ht="12.75" customHeight="1" x14ac:dyDescent="0.3">
      <c r="A37" s="24">
        <v>7.03</v>
      </c>
      <c r="B37" s="25" t="s">
        <v>49</v>
      </c>
      <c r="C37" s="30" t="s">
        <v>19</v>
      </c>
      <c r="D37" s="31">
        <v>1439</v>
      </c>
      <c r="E37" s="181">
        <v>22963</v>
      </c>
      <c r="F37" s="181">
        <f t="shared" si="0"/>
        <v>33043757</v>
      </c>
      <c r="G37" s="185"/>
      <c r="H37" s="245"/>
      <c r="I37" s="250">
        <v>0.79999999999999993</v>
      </c>
      <c r="J37" s="274">
        <v>0.1</v>
      </c>
      <c r="K37" s="251">
        <f t="shared" si="1"/>
        <v>0.89999999999999991</v>
      </c>
      <c r="L37" s="50">
        <f t="shared" si="2"/>
        <v>26435005.599999998</v>
      </c>
      <c r="M37" s="50">
        <f t="shared" si="3"/>
        <v>3304375.7</v>
      </c>
      <c r="N37" s="50">
        <f t="shared" si="4"/>
        <v>29739381.299999997</v>
      </c>
    </row>
    <row r="38" spans="1:16" ht="13" x14ac:dyDescent="0.3">
      <c r="A38" s="100">
        <v>7.04</v>
      </c>
      <c r="B38" s="105" t="s">
        <v>50</v>
      </c>
      <c r="C38" s="30" t="s">
        <v>27</v>
      </c>
      <c r="D38" s="31">
        <v>347</v>
      </c>
      <c r="E38" s="181">
        <v>16909</v>
      </c>
      <c r="F38" s="181">
        <f t="shared" si="0"/>
        <v>5867423</v>
      </c>
      <c r="G38" s="185"/>
      <c r="H38" s="245"/>
      <c r="I38" s="250">
        <v>0.79999999999999993</v>
      </c>
      <c r="J38" s="274">
        <v>0.1</v>
      </c>
      <c r="K38" s="251">
        <f t="shared" si="1"/>
        <v>0.89999999999999991</v>
      </c>
      <c r="L38" s="50">
        <f t="shared" si="2"/>
        <v>4693938.3999999994</v>
      </c>
      <c r="M38" s="50">
        <f t="shared" si="3"/>
        <v>586742.30000000005</v>
      </c>
      <c r="N38" s="50">
        <f t="shared" si="4"/>
        <v>5280680.6999999993</v>
      </c>
    </row>
    <row r="39" spans="1:16" ht="12.75" customHeight="1" x14ac:dyDescent="0.3">
      <c r="A39" s="24">
        <v>7.05</v>
      </c>
      <c r="B39" s="105" t="s">
        <v>51</v>
      </c>
      <c r="C39" s="30" t="s">
        <v>52</v>
      </c>
      <c r="D39" s="31">
        <v>132</v>
      </c>
      <c r="E39" s="181">
        <v>19384</v>
      </c>
      <c r="F39" s="181">
        <f t="shared" si="0"/>
        <v>2558688</v>
      </c>
      <c r="G39" s="185"/>
      <c r="H39" s="245"/>
      <c r="I39" s="250">
        <v>0.79999999999999993</v>
      </c>
      <c r="J39" s="274">
        <v>0.1</v>
      </c>
      <c r="K39" s="251">
        <f t="shared" si="1"/>
        <v>0.89999999999999991</v>
      </c>
      <c r="L39" s="50">
        <f t="shared" si="2"/>
        <v>2046950.3999999999</v>
      </c>
      <c r="M39" s="50">
        <f t="shared" si="3"/>
        <v>255868.80000000002</v>
      </c>
      <c r="N39" s="50">
        <f t="shared" si="4"/>
        <v>2302819.1999999997</v>
      </c>
    </row>
    <row r="40" spans="1:16" ht="12.75" customHeight="1" x14ac:dyDescent="0.3">
      <c r="A40" s="100">
        <v>7.06</v>
      </c>
      <c r="B40" s="25" t="s">
        <v>53</v>
      </c>
      <c r="C40" s="30" t="s">
        <v>19</v>
      </c>
      <c r="D40" s="31">
        <v>710</v>
      </c>
      <c r="E40" s="181">
        <v>19943</v>
      </c>
      <c r="F40" s="181">
        <f t="shared" si="0"/>
        <v>14159530</v>
      </c>
      <c r="G40" s="185"/>
      <c r="H40" s="245"/>
      <c r="I40" s="250">
        <v>0.25</v>
      </c>
      <c r="J40" s="250">
        <v>0.45</v>
      </c>
      <c r="K40" s="251">
        <f t="shared" si="1"/>
        <v>0.7</v>
      </c>
      <c r="L40" s="50">
        <f t="shared" si="2"/>
        <v>3539882.5</v>
      </c>
      <c r="M40" s="50">
        <f t="shared" si="3"/>
        <v>6371788.5</v>
      </c>
      <c r="N40" s="50">
        <f t="shared" si="4"/>
        <v>9911671</v>
      </c>
    </row>
    <row r="41" spans="1:16" ht="12.75" customHeight="1" x14ac:dyDescent="0.3">
      <c r="A41" s="13">
        <v>8</v>
      </c>
      <c r="B41" s="17" t="s">
        <v>54</v>
      </c>
      <c r="C41" s="18"/>
      <c r="D41" s="19"/>
      <c r="E41" s="19"/>
      <c r="F41" s="19"/>
      <c r="G41" s="176">
        <f>+SUM(F42:F49)</f>
        <v>49520833</v>
      </c>
      <c r="H41" s="245">
        <f>+G41/$G$195</f>
        <v>5.8615270805192479E-2</v>
      </c>
      <c r="I41" s="246"/>
      <c r="J41" s="247"/>
      <c r="K41" s="247"/>
      <c r="L41" s="178"/>
      <c r="M41" s="178"/>
      <c r="N41" s="179"/>
    </row>
    <row r="42" spans="1:16" ht="12.75" customHeight="1" x14ac:dyDescent="0.3">
      <c r="A42" s="20">
        <v>8.01</v>
      </c>
      <c r="B42" s="21" t="s">
        <v>55</v>
      </c>
      <c r="C42" s="93" t="s">
        <v>19</v>
      </c>
      <c r="D42" s="94">
        <v>107</v>
      </c>
      <c r="E42" s="183">
        <v>58580</v>
      </c>
      <c r="F42" s="183">
        <f t="shared" si="0"/>
        <v>6268060</v>
      </c>
      <c r="G42" s="182"/>
      <c r="H42" s="245"/>
      <c r="I42" s="250">
        <v>0</v>
      </c>
      <c r="J42" s="250"/>
      <c r="K42" s="251">
        <f t="shared" si="1"/>
        <v>0</v>
      </c>
      <c r="L42" s="50">
        <f t="shared" si="2"/>
        <v>0</v>
      </c>
      <c r="M42" s="50">
        <f t="shared" si="3"/>
        <v>0</v>
      </c>
      <c r="N42" s="50">
        <f t="shared" si="4"/>
        <v>0</v>
      </c>
    </row>
    <row r="43" spans="1:16" ht="12.75" customHeight="1" x14ac:dyDescent="0.3">
      <c r="A43" s="106">
        <v>8.02</v>
      </c>
      <c r="B43" s="107" t="s">
        <v>56</v>
      </c>
      <c r="C43" s="108" t="s">
        <v>19</v>
      </c>
      <c r="D43" s="32">
        <v>258</v>
      </c>
      <c r="E43" s="183">
        <v>38729</v>
      </c>
      <c r="F43" s="183">
        <f t="shared" si="0"/>
        <v>9992082</v>
      </c>
      <c r="G43" s="182"/>
      <c r="H43" s="245"/>
      <c r="I43" s="250">
        <v>0</v>
      </c>
      <c r="J43" s="250"/>
      <c r="K43" s="251">
        <f t="shared" si="1"/>
        <v>0</v>
      </c>
      <c r="L43" s="50">
        <f t="shared" si="2"/>
        <v>0</v>
      </c>
      <c r="M43" s="50">
        <f t="shared" si="3"/>
        <v>0</v>
      </c>
      <c r="N43" s="50">
        <f t="shared" si="4"/>
        <v>0</v>
      </c>
    </row>
    <row r="44" spans="1:16" ht="12.75" customHeight="1" x14ac:dyDescent="0.3">
      <c r="A44" s="24">
        <v>8.0299999999999994</v>
      </c>
      <c r="B44" s="25" t="s">
        <v>57</v>
      </c>
      <c r="C44" s="30" t="s">
        <v>19</v>
      </c>
      <c r="D44" s="31">
        <v>425</v>
      </c>
      <c r="E44" s="183">
        <v>22943</v>
      </c>
      <c r="F44" s="183">
        <f t="shared" si="0"/>
        <v>9750775</v>
      </c>
      <c r="G44" s="182"/>
      <c r="H44" s="245"/>
      <c r="I44" s="250">
        <v>0</v>
      </c>
      <c r="J44" s="250"/>
      <c r="K44" s="251">
        <f t="shared" si="1"/>
        <v>0</v>
      </c>
      <c r="L44" s="50">
        <f t="shared" si="2"/>
        <v>0</v>
      </c>
      <c r="M44" s="50">
        <f t="shared" si="3"/>
        <v>0</v>
      </c>
      <c r="N44" s="50">
        <f t="shared" si="4"/>
        <v>0</v>
      </c>
    </row>
    <row r="45" spans="1:16" ht="12.75" customHeight="1" x14ac:dyDescent="0.3">
      <c r="A45" s="106">
        <v>8.0399999999999991</v>
      </c>
      <c r="B45" s="25" t="s">
        <v>58</v>
      </c>
      <c r="C45" s="30" t="s">
        <v>19</v>
      </c>
      <c r="D45" s="31">
        <v>200</v>
      </c>
      <c r="E45" s="183">
        <v>40355</v>
      </c>
      <c r="F45" s="183">
        <f t="shared" si="0"/>
        <v>8071000</v>
      </c>
      <c r="G45" s="182"/>
      <c r="H45" s="245"/>
      <c r="I45" s="250">
        <v>0</v>
      </c>
      <c r="J45" s="250"/>
      <c r="K45" s="251">
        <f t="shared" si="1"/>
        <v>0</v>
      </c>
      <c r="L45" s="50">
        <f t="shared" si="2"/>
        <v>0</v>
      </c>
      <c r="M45" s="50">
        <f t="shared" si="3"/>
        <v>0</v>
      </c>
      <c r="N45" s="50">
        <f t="shared" si="4"/>
        <v>0</v>
      </c>
    </row>
    <row r="46" spans="1:16" ht="12.75" customHeight="1" x14ac:dyDescent="0.3">
      <c r="A46" s="24">
        <v>8.0500000000000007</v>
      </c>
      <c r="B46" s="25" t="s">
        <v>59</v>
      </c>
      <c r="C46" s="30" t="s">
        <v>19</v>
      </c>
      <c r="D46" s="31">
        <v>77</v>
      </c>
      <c r="E46" s="183">
        <v>31515</v>
      </c>
      <c r="F46" s="183">
        <f t="shared" si="0"/>
        <v>2426655</v>
      </c>
      <c r="G46" s="182"/>
      <c r="H46" s="245"/>
      <c r="I46" s="250">
        <v>0</v>
      </c>
      <c r="J46" s="250"/>
      <c r="K46" s="251">
        <f t="shared" si="1"/>
        <v>0</v>
      </c>
      <c r="L46" s="50">
        <f t="shared" si="2"/>
        <v>0</v>
      </c>
      <c r="M46" s="50">
        <f t="shared" si="3"/>
        <v>0</v>
      </c>
      <c r="N46" s="50">
        <f t="shared" si="4"/>
        <v>0</v>
      </c>
    </row>
    <row r="47" spans="1:16" ht="12.75" customHeight="1" x14ac:dyDescent="0.3">
      <c r="A47" s="106">
        <v>8.06</v>
      </c>
      <c r="B47" s="25" t="s">
        <v>60</v>
      </c>
      <c r="C47" s="30" t="s">
        <v>19</v>
      </c>
      <c r="D47" s="31">
        <v>77</v>
      </c>
      <c r="E47" s="183">
        <v>19683</v>
      </c>
      <c r="F47" s="183">
        <f t="shared" si="0"/>
        <v>1515591</v>
      </c>
      <c r="G47" s="182"/>
      <c r="H47" s="245"/>
      <c r="I47" s="250">
        <v>0</v>
      </c>
      <c r="J47" s="250"/>
      <c r="K47" s="251">
        <f t="shared" si="1"/>
        <v>0</v>
      </c>
      <c r="L47" s="50">
        <f t="shared" si="2"/>
        <v>0</v>
      </c>
      <c r="M47" s="50">
        <f t="shared" si="3"/>
        <v>0</v>
      </c>
      <c r="N47" s="50">
        <f t="shared" si="4"/>
        <v>0</v>
      </c>
    </row>
    <row r="48" spans="1:16" ht="12.75" customHeight="1" x14ac:dyDescent="0.3">
      <c r="A48" s="24">
        <v>8.07</v>
      </c>
      <c r="B48" s="25" t="s">
        <v>61</v>
      </c>
      <c r="C48" s="30" t="s">
        <v>19</v>
      </c>
      <c r="D48" s="31">
        <v>442</v>
      </c>
      <c r="E48" s="183">
        <v>14335</v>
      </c>
      <c r="F48" s="183">
        <f t="shared" si="0"/>
        <v>6336070</v>
      </c>
      <c r="G48" s="182"/>
      <c r="H48" s="245"/>
      <c r="I48" s="250">
        <v>0</v>
      </c>
      <c r="J48" s="250">
        <v>0.05</v>
      </c>
      <c r="K48" s="251">
        <f t="shared" si="1"/>
        <v>0.05</v>
      </c>
      <c r="L48" s="50">
        <f t="shared" si="2"/>
        <v>0</v>
      </c>
      <c r="M48" s="50">
        <f t="shared" si="3"/>
        <v>316803.5</v>
      </c>
      <c r="N48" s="50">
        <f t="shared" si="4"/>
        <v>316803.5</v>
      </c>
      <c r="P48" s="262"/>
    </row>
    <row r="49" spans="1:14" ht="12.75" customHeight="1" x14ac:dyDescent="0.3">
      <c r="A49" s="106">
        <v>8.08</v>
      </c>
      <c r="B49" s="25" t="s">
        <v>62</v>
      </c>
      <c r="C49" s="30" t="s">
        <v>19</v>
      </c>
      <c r="D49" s="31">
        <v>360</v>
      </c>
      <c r="E49" s="183">
        <v>14335</v>
      </c>
      <c r="F49" s="183">
        <f t="shared" si="0"/>
        <v>5160600</v>
      </c>
      <c r="G49" s="182"/>
      <c r="H49" s="245"/>
      <c r="I49" s="250">
        <v>0</v>
      </c>
      <c r="J49" s="250"/>
      <c r="K49" s="251">
        <f t="shared" si="1"/>
        <v>0</v>
      </c>
      <c r="L49" s="50">
        <f t="shared" si="2"/>
        <v>0</v>
      </c>
      <c r="M49" s="50">
        <f t="shared" si="3"/>
        <v>0</v>
      </c>
      <c r="N49" s="50">
        <f t="shared" si="4"/>
        <v>0</v>
      </c>
    </row>
    <row r="50" spans="1:14" ht="12.75" customHeight="1" x14ac:dyDescent="0.3">
      <c r="A50" s="13">
        <v>9</v>
      </c>
      <c r="B50" s="17" t="s">
        <v>63</v>
      </c>
      <c r="C50" s="18"/>
      <c r="D50" s="19"/>
      <c r="E50" s="19"/>
      <c r="F50" s="19"/>
      <c r="G50" s="176">
        <f>+SUM(F51:F53)</f>
        <v>4852846</v>
      </c>
      <c r="H50" s="245">
        <f>+G50/$G$195</f>
        <v>5.7440649769743392E-3</v>
      </c>
      <c r="I50" s="246"/>
      <c r="J50" s="247"/>
      <c r="K50" s="247"/>
      <c r="L50" s="178"/>
      <c r="M50" s="178"/>
      <c r="N50" s="179"/>
    </row>
    <row r="51" spans="1:14" ht="12.75" customHeight="1" x14ac:dyDescent="0.3">
      <c r="A51" s="20">
        <v>9.01</v>
      </c>
      <c r="B51" s="21" t="s">
        <v>64</v>
      </c>
      <c r="C51" s="109" t="s">
        <v>29</v>
      </c>
      <c r="D51" s="94">
        <v>1</v>
      </c>
      <c r="E51" s="181">
        <v>2109310</v>
      </c>
      <c r="F51" s="181">
        <f t="shared" si="0"/>
        <v>2109310</v>
      </c>
      <c r="G51" s="186"/>
      <c r="H51" s="245"/>
      <c r="I51" s="250">
        <v>0</v>
      </c>
      <c r="J51" s="250"/>
      <c r="K51" s="251">
        <f t="shared" si="1"/>
        <v>0</v>
      </c>
      <c r="L51" s="50">
        <f t="shared" si="2"/>
        <v>0</v>
      </c>
      <c r="M51" s="50">
        <f t="shared" si="3"/>
        <v>0</v>
      </c>
      <c r="N51" s="50">
        <f t="shared" si="4"/>
        <v>0</v>
      </c>
    </row>
    <row r="52" spans="1:14" ht="12.75" customHeight="1" x14ac:dyDescent="0.3">
      <c r="A52" s="24">
        <v>9.02</v>
      </c>
      <c r="B52" s="25" t="s">
        <v>65</v>
      </c>
      <c r="C52" s="110" t="s">
        <v>52</v>
      </c>
      <c r="D52" s="31">
        <v>81</v>
      </c>
      <c r="E52" s="181">
        <v>28022</v>
      </c>
      <c r="F52" s="181">
        <f t="shared" si="0"/>
        <v>2269782</v>
      </c>
      <c r="G52" s="186"/>
      <c r="H52" s="252"/>
      <c r="I52" s="250">
        <v>0</v>
      </c>
      <c r="J52" s="250"/>
      <c r="K52" s="251">
        <f t="shared" si="1"/>
        <v>0</v>
      </c>
      <c r="L52" s="50">
        <f t="shared" si="2"/>
        <v>0</v>
      </c>
      <c r="M52" s="50">
        <f t="shared" si="3"/>
        <v>0</v>
      </c>
      <c r="N52" s="50">
        <f t="shared" si="4"/>
        <v>0</v>
      </c>
    </row>
    <row r="53" spans="1:14" ht="12.75" customHeight="1" x14ac:dyDescent="0.3">
      <c r="A53" s="33">
        <v>9.0299999999999994</v>
      </c>
      <c r="B53" s="38" t="s">
        <v>66</v>
      </c>
      <c r="C53" s="111" t="s">
        <v>27</v>
      </c>
      <c r="D53" s="35">
        <v>46</v>
      </c>
      <c r="E53" s="181">
        <v>10299</v>
      </c>
      <c r="F53" s="181">
        <f t="shared" si="0"/>
        <v>473754</v>
      </c>
      <c r="G53" s="186"/>
      <c r="H53" s="252"/>
      <c r="I53" s="250">
        <v>0</v>
      </c>
      <c r="J53" s="250"/>
      <c r="K53" s="251">
        <f t="shared" si="1"/>
        <v>0</v>
      </c>
      <c r="L53" s="50">
        <f t="shared" si="2"/>
        <v>0</v>
      </c>
      <c r="M53" s="50">
        <f t="shared" si="3"/>
        <v>0</v>
      </c>
      <c r="N53" s="50">
        <f t="shared" si="4"/>
        <v>0</v>
      </c>
    </row>
    <row r="54" spans="1:14" ht="12.75" customHeight="1" x14ac:dyDescent="0.3">
      <c r="A54" s="13">
        <v>10</v>
      </c>
      <c r="B54" s="40" t="s">
        <v>67</v>
      </c>
      <c r="C54" s="18"/>
      <c r="D54" s="19"/>
      <c r="E54" s="19"/>
      <c r="F54" s="19"/>
      <c r="G54" s="176">
        <f>+SUM(F55:F58)</f>
        <v>4184652</v>
      </c>
      <c r="H54" s="245">
        <f>+G54/$G$195</f>
        <v>4.9531580013100814E-3</v>
      </c>
      <c r="I54" s="246"/>
      <c r="J54" s="247"/>
      <c r="K54" s="247"/>
      <c r="L54" s="178"/>
      <c r="M54" s="178"/>
      <c r="N54" s="179"/>
    </row>
    <row r="55" spans="1:14" ht="12.75" customHeight="1" x14ac:dyDescent="0.3">
      <c r="A55" s="24">
        <v>10.01</v>
      </c>
      <c r="B55" s="25" t="s">
        <v>68</v>
      </c>
      <c r="C55" s="112" t="s">
        <v>29</v>
      </c>
      <c r="D55" s="27">
        <v>1</v>
      </c>
      <c r="E55" s="181">
        <v>1844532</v>
      </c>
      <c r="F55" s="181">
        <f t="shared" si="0"/>
        <v>1844532</v>
      </c>
      <c r="G55" s="188"/>
      <c r="H55" s="245"/>
      <c r="I55" s="250">
        <v>0.75</v>
      </c>
      <c r="J55" s="250">
        <v>0.15</v>
      </c>
      <c r="K55" s="251">
        <f t="shared" si="1"/>
        <v>0.9</v>
      </c>
      <c r="L55" s="50">
        <f t="shared" si="2"/>
        <v>1383399</v>
      </c>
      <c r="M55" s="50">
        <f t="shared" si="3"/>
        <v>276679.8</v>
      </c>
      <c r="N55" s="50">
        <f t="shared" si="4"/>
        <v>1660078.8</v>
      </c>
    </row>
    <row r="56" spans="1:14" ht="12.75" customHeight="1" x14ac:dyDescent="0.3">
      <c r="A56" s="24">
        <v>10.02</v>
      </c>
      <c r="B56" s="25" t="s">
        <v>69</v>
      </c>
      <c r="C56" s="112" t="s">
        <v>29</v>
      </c>
      <c r="D56" s="27">
        <v>1</v>
      </c>
      <c r="E56" s="181">
        <v>1214937</v>
      </c>
      <c r="F56" s="181">
        <f t="shared" si="0"/>
        <v>1214937</v>
      </c>
      <c r="H56" s="245"/>
      <c r="I56" s="250">
        <v>0</v>
      </c>
      <c r="J56" s="250">
        <v>0.1</v>
      </c>
      <c r="K56" s="251">
        <f t="shared" si="1"/>
        <v>0.1</v>
      </c>
      <c r="L56" s="50">
        <f t="shared" si="2"/>
        <v>0</v>
      </c>
      <c r="M56" s="50">
        <f t="shared" si="3"/>
        <v>121493.70000000001</v>
      </c>
      <c r="N56" s="50">
        <f t="shared" si="4"/>
        <v>121493.70000000001</v>
      </c>
    </row>
    <row r="57" spans="1:14" ht="12.75" customHeight="1" x14ac:dyDescent="0.3">
      <c r="A57" s="24">
        <v>10.029999999999999</v>
      </c>
      <c r="B57" s="25" t="s">
        <v>70</v>
      </c>
      <c r="C57" s="112" t="s">
        <v>29</v>
      </c>
      <c r="D57" s="27">
        <v>1</v>
      </c>
      <c r="E57" s="181">
        <v>539833</v>
      </c>
      <c r="F57" s="181">
        <f t="shared" si="0"/>
        <v>539833</v>
      </c>
      <c r="H57" s="245"/>
      <c r="I57" s="250">
        <v>0</v>
      </c>
      <c r="J57" s="250"/>
      <c r="K57" s="251">
        <f t="shared" si="1"/>
        <v>0</v>
      </c>
      <c r="L57" s="50">
        <f t="shared" si="2"/>
        <v>0</v>
      </c>
      <c r="M57" s="50">
        <f t="shared" si="3"/>
        <v>0</v>
      </c>
      <c r="N57" s="50">
        <f t="shared" si="4"/>
        <v>0</v>
      </c>
    </row>
    <row r="58" spans="1:14" ht="12.75" customHeight="1" x14ac:dyDescent="0.3">
      <c r="A58" s="24">
        <v>10.039999999999999</v>
      </c>
      <c r="B58" s="25" t="s">
        <v>71</v>
      </c>
      <c r="C58" s="30" t="s">
        <v>33</v>
      </c>
      <c r="D58" s="31">
        <v>10</v>
      </c>
      <c r="E58" s="181">
        <v>58535</v>
      </c>
      <c r="F58" s="181">
        <f t="shared" si="0"/>
        <v>585350</v>
      </c>
      <c r="G58" s="182"/>
      <c r="H58" s="245"/>
      <c r="I58" s="250">
        <v>0</v>
      </c>
      <c r="J58" s="250"/>
      <c r="K58" s="251">
        <f t="shared" si="1"/>
        <v>0</v>
      </c>
      <c r="L58" s="50">
        <f t="shared" si="2"/>
        <v>0</v>
      </c>
      <c r="M58" s="50">
        <f t="shared" si="3"/>
        <v>0</v>
      </c>
      <c r="N58" s="50">
        <f t="shared" si="4"/>
        <v>0</v>
      </c>
    </row>
    <row r="59" spans="1:14" ht="12.75" customHeight="1" x14ac:dyDescent="0.3">
      <c r="A59" s="13">
        <v>11</v>
      </c>
      <c r="B59" s="17" t="s">
        <v>72</v>
      </c>
      <c r="C59" s="18"/>
      <c r="D59" s="19"/>
      <c r="E59" s="19"/>
      <c r="F59" s="19"/>
      <c r="G59" s="176">
        <f>+SUM(F60:F70)</f>
        <v>31170783</v>
      </c>
      <c r="H59" s="245">
        <f>+G59/$G$195</f>
        <v>3.6895257532418527E-2</v>
      </c>
      <c r="I59" s="246"/>
      <c r="J59" s="247"/>
      <c r="K59" s="247"/>
      <c r="L59" s="178"/>
      <c r="M59" s="178"/>
      <c r="N59" s="179"/>
    </row>
    <row r="60" spans="1:14" ht="12.75" customHeight="1" x14ac:dyDescent="0.3">
      <c r="A60" s="20">
        <v>11.01</v>
      </c>
      <c r="B60" s="21" t="s">
        <v>73</v>
      </c>
      <c r="C60" s="109" t="s">
        <v>19</v>
      </c>
      <c r="D60" s="94">
        <v>0</v>
      </c>
      <c r="E60" s="181">
        <v>0</v>
      </c>
      <c r="F60" s="181">
        <f t="shared" si="0"/>
        <v>0</v>
      </c>
      <c r="G60" s="185"/>
      <c r="H60" s="252"/>
      <c r="I60" s="250">
        <v>0</v>
      </c>
      <c r="J60" s="250"/>
      <c r="K60" s="251">
        <f t="shared" si="1"/>
        <v>0</v>
      </c>
      <c r="L60" s="50">
        <f t="shared" si="2"/>
        <v>0</v>
      </c>
      <c r="M60" s="50">
        <f t="shared" si="3"/>
        <v>0</v>
      </c>
      <c r="N60" s="50">
        <f t="shared" si="4"/>
        <v>0</v>
      </c>
    </row>
    <row r="61" spans="1:14" ht="12.75" customHeight="1" x14ac:dyDescent="0.3">
      <c r="A61" s="24">
        <v>11.02</v>
      </c>
      <c r="B61" s="25" t="s">
        <v>74</v>
      </c>
      <c r="C61" s="110" t="s">
        <v>19</v>
      </c>
      <c r="D61" s="31">
        <v>39</v>
      </c>
      <c r="E61" s="181">
        <v>19280</v>
      </c>
      <c r="F61" s="181">
        <f t="shared" si="0"/>
        <v>751920</v>
      </c>
      <c r="G61" s="186"/>
      <c r="H61" s="252"/>
      <c r="I61" s="250">
        <v>0</v>
      </c>
      <c r="J61" s="250"/>
      <c r="K61" s="251">
        <f t="shared" si="1"/>
        <v>0</v>
      </c>
      <c r="L61" s="50">
        <f t="shared" si="2"/>
        <v>0</v>
      </c>
      <c r="M61" s="50">
        <f t="shared" si="3"/>
        <v>0</v>
      </c>
      <c r="N61" s="50">
        <f t="shared" si="4"/>
        <v>0</v>
      </c>
    </row>
    <row r="62" spans="1:14" ht="12.75" customHeight="1" x14ac:dyDescent="0.3">
      <c r="A62" s="24">
        <v>11.03</v>
      </c>
      <c r="B62" s="25" t="s">
        <v>75</v>
      </c>
      <c r="C62" s="110" t="s">
        <v>19</v>
      </c>
      <c r="D62" s="31">
        <v>48</v>
      </c>
      <c r="E62" s="181">
        <v>25362</v>
      </c>
      <c r="F62" s="181">
        <f t="shared" si="0"/>
        <v>1217376</v>
      </c>
      <c r="G62" s="186"/>
      <c r="H62" s="252"/>
      <c r="I62" s="250">
        <v>0</v>
      </c>
      <c r="J62" s="250"/>
      <c r="K62" s="251">
        <f t="shared" si="1"/>
        <v>0</v>
      </c>
      <c r="L62" s="50">
        <f t="shared" si="2"/>
        <v>0</v>
      </c>
      <c r="M62" s="50">
        <f t="shared" si="3"/>
        <v>0</v>
      </c>
      <c r="N62" s="50">
        <f t="shared" si="4"/>
        <v>0</v>
      </c>
    </row>
    <row r="63" spans="1:14" ht="12.75" customHeight="1" x14ac:dyDescent="0.3">
      <c r="A63" s="24">
        <v>11.04</v>
      </c>
      <c r="B63" s="25" t="s">
        <v>76</v>
      </c>
      <c r="C63" s="30" t="s">
        <v>19</v>
      </c>
      <c r="D63" s="31">
        <v>174</v>
      </c>
      <c r="E63" s="181">
        <v>19164</v>
      </c>
      <c r="F63" s="181">
        <f t="shared" si="0"/>
        <v>3334536</v>
      </c>
      <c r="G63" s="182"/>
      <c r="H63" s="245"/>
      <c r="I63" s="250">
        <v>0</v>
      </c>
      <c r="J63" s="250"/>
      <c r="K63" s="251">
        <f t="shared" si="1"/>
        <v>0</v>
      </c>
      <c r="L63" s="50">
        <f t="shared" si="2"/>
        <v>0</v>
      </c>
      <c r="M63" s="50">
        <f t="shared" si="3"/>
        <v>0</v>
      </c>
      <c r="N63" s="50">
        <f t="shared" si="4"/>
        <v>0</v>
      </c>
    </row>
    <row r="64" spans="1:14" ht="12.75" customHeight="1" x14ac:dyDescent="0.3">
      <c r="A64" s="24">
        <v>11.05</v>
      </c>
      <c r="B64" s="25" t="s">
        <v>77</v>
      </c>
      <c r="C64" s="110" t="s">
        <v>19</v>
      </c>
      <c r="D64" s="31">
        <v>92</v>
      </c>
      <c r="E64" s="181">
        <v>19164</v>
      </c>
      <c r="F64" s="181">
        <f t="shared" si="0"/>
        <v>1763088</v>
      </c>
      <c r="G64" s="185"/>
      <c r="H64" s="252"/>
      <c r="I64" s="250">
        <v>0</v>
      </c>
      <c r="J64" s="250"/>
      <c r="K64" s="251">
        <f t="shared" si="1"/>
        <v>0</v>
      </c>
      <c r="L64" s="50">
        <f t="shared" si="2"/>
        <v>0</v>
      </c>
      <c r="M64" s="50">
        <f t="shared" si="3"/>
        <v>0</v>
      </c>
      <c r="N64" s="50">
        <f t="shared" si="4"/>
        <v>0</v>
      </c>
    </row>
    <row r="65" spans="1:14" ht="12.75" customHeight="1" x14ac:dyDescent="0.3">
      <c r="A65" s="24">
        <v>11.06</v>
      </c>
      <c r="B65" s="25" t="s">
        <v>78</v>
      </c>
      <c r="C65" s="30" t="s">
        <v>19</v>
      </c>
      <c r="D65" s="31">
        <v>8</v>
      </c>
      <c r="E65" s="181">
        <v>14043</v>
      </c>
      <c r="F65" s="181">
        <f t="shared" si="0"/>
        <v>112344</v>
      </c>
      <c r="G65" s="182"/>
      <c r="H65" s="245"/>
      <c r="I65" s="250">
        <v>0</v>
      </c>
      <c r="J65" s="250"/>
      <c r="K65" s="251">
        <f t="shared" si="1"/>
        <v>0</v>
      </c>
      <c r="L65" s="50">
        <f t="shared" si="2"/>
        <v>0</v>
      </c>
      <c r="M65" s="50">
        <f t="shared" si="3"/>
        <v>0</v>
      </c>
      <c r="N65" s="50">
        <f t="shared" si="4"/>
        <v>0</v>
      </c>
    </row>
    <row r="66" spans="1:14" ht="12.75" customHeight="1" x14ac:dyDescent="0.3">
      <c r="A66" s="24">
        <v>11.07</v>
      </c>
      <c r="B66" s="25" t="s">
        <v>79</v>
      </c>
      <c r="C66" s="110" t="s">
        <v>19</v>
      </c>
      <c r="D66" s="31">
        <v>46</v>
      </c>
      <c r="E66" s="181">
        <v>26630</v>
      </c>
      <c r="F66" s="181">
        <f t="shared" si="0"/>
        <v>1224980</v>
      </c>
      <c r="G66" s="186"/>
      <c r="H66" s="252"/>
      <c r="I66" s="250">
        <v>0</v>
      </c>
      <c r="J66" s="250"/>
      <c r="K66" s="251">
        <f t="shared" si="1"/>
        <v>0</v>
      </c>
      <c r="L66" s="50">
        <f t="shared" si="2"/>
        <v>0</v>
      </c>
      <c r="M66" s="50">
        <f t="shared" si="3"/>
        <v>0</v>
      </c>
      <c r="N66" s="50">
        <f t="shared" si="4"/>
        <v>0</v>
      </c>
    </row>
    <row r="67" spans="1:14" ht="12.75" customHeight="1" x14ac:dyDescent="0.3">
      <c r="A67" s="24">
        <v>11.08</v>
      </c>
      <c r="B67" s="25" t="s">
        <v>80</v>
      </c>
      <c r="C67" s="110" t="s">
        <v>19</v>
      </c>
      <c r="D67" s="31">
        <v>562</v>
      </c>
      <c r="E67" s="181">
        <v>25362</v>
      </c>
      <c r="F67" s="181">
        <f t="shared" si="0"/>
        <v>14253444</v>
      </c>
      <c r="G67" s="186"/>
      <c r="H67" s="252"/>
      <c r="I67" s="250">
        <v>0</v>
      </c>
      <c r="J67" s="250"/>
      <c r="K67" s="251">
        <f t="shared" si="1"/>
        <v>0</v>
      </c>
      <c r="L67" s="50">
        <f t="shared" si="2"/>
        <v>0</v>
      </c>
      <c r="M67" s="50">
        <f t="shared" si="3"/>
        <v>0</v>
      </c>
      <c r="N67" s="50">
        <f t="shared" si="4"/>
        <v>0</v>
      </c>
    </row>
    <row r="68" spans="1:14" ht="12.75" customHeight="1" x14ac:dyDescent="0.3">
      <c r="A68" s="24">
        <v>11.09</v>
      </c>
      <c r="B68" s="25" t="s">
        <v>81</v>
      </c>
      <c r="C68" s="113" t="s">
        <v>19</v>
      </c>
      <c r="D68" s="32">
        <v>73</v>
      </c>
      <c r="E68" s="181">
        <v>30109</v>
      </c>
      <c r="F68" s="181">
        <f t="shared" si="0"/>
        <v>2197957</v>
      </c>
      <c r="G68" s="186"/>
      <c r="H68" s="252"/>
      <c r="I68" s="250">
        <v>0</v>
      </c>
      <c r="J68" s="250"/>
      <c r="K68" s="251">
        <f t="shared" si="1"/>
        <v>0</v>
      </c>
      <c r="L68" s="50">
        <f t="shared" si="2"/>
        <v>0</v>
      </c>
      <c r="M68" s="50">
        <f t="shared" si="3"/>
        <v>0</v>
      </c>
      <c r="N68" s="50">
        <f t="shared" si="4"/>
        <v>0</v>
      </c>
    </row>
    <row r="69" spans="1:14" ht="12.75" customHeight="1" x14ac:dyDescent="0.3">
      <c r="A69" s="24">
        <v>11.1</v>
      </c>
      <c r="B69" s="25" t="s">
        <v>82</v>
      </c>
      <c r="C69" s="113" t="s">
        <v>19</v>
      </c>
      <c r="D69" s="32">
        <v>143</v>
      </c>
      <c r="E69" s="181">
        <v>25362</v>
      </c>
      <c r="F69" s="181">
        <f t="shared" si="0"/>
        <v>3626766</v>
      </c>
      <c r="G69" s="186"/>
      <c r="H69" s="252"/>
      <c r="I69" s="250">
        <v>0</v>
      </c>
      <c r="J69" s="250"/>
      <c r="K69" s="251">
        <f t="shared" si="1"/>
        <v>0</v>
      </c>
      <c r="L69" s="50">
        <f t="shared" si="2"/>
        <v>0</v>
      </c>
      <c r="M69" s="50">
        <f t="shared" si="3"/>
        <v>0</v>
      </c>
      <c r="N69" s="50">
        <f t="shared" si="4"/>
        <v>0</v>
      </c>
    </row>
    <row r="70" spans="1:14" ht="12.75" customHeight="1" x14ac:dyDescent="0.3">
      <c r="A70" s="24">
        <v>11.11</v>
      </c>
      <c r="B70" s="25" t="s">
        <v>83</v>
      </c>
      <c r="C70" s="111" t="s">
        <v>19</v>
      </c>
      <c r="D70" s="35">
        <v>106</v>
      </c>
      <c r="E70" s="181">
        <v>25362</v>
      </c>
      <c r="F70" s="181">
        <f t="shared" si="0"/>
        <v>2688372</v>
      </c>
      <c r="G70" s="186"/>
      <c r="H70" s="252"/>
      <c r="I70" s="250">
        <v>0</v>
      </c>
      <c r="J70" s="250"/>
      <c r="K70" s="251">
        <f t="shared" si="1"/>
        <v>0</v>
      </c>
      <c r="L70" s="50">
        <f t="shared" si="2"/>
        <v>0</v>
      </c>
      <c r="M70" s="50">
        <f t="shared" si="3"/>
        <v>0</v>
      </c>
      <c r="N70" s="50">
        <f t="shared" si="4"/>
        <v>0</v>
      </c>
    </row>
    <row r="71" spans="1:14" ht="12.75" customHeight="1" x14ac:dyDescent="0.3">
      <c r="A71" s="13">
        <v>12</v>
      </c>
      <c r="B71" s="17" t="s">
        <v>84</v>
      </c>
      <c r="C71" s="18"/>
      <c r="D71" s="19"/>
      <c r="E71" s="19"/>
      <c r="F71" s="19"/>
      <c r="G71" s="176">
        <f>+SUM(F72:F74)</f>
        <v>8990052</v>
      </c>
      <c r="H71" s="245">
        <f>+G71/$G$195</f>
        <v>1.0641063580912749E-2</v>
      </c>
      <c r="I71" s="246"/>
      <c r="J71" s="247"/>
      <c r="K71" s="247"/>
      <c r="L71" s="178"/>
      <c r="M71" s="178"/>
      <c r="N71" s="179"/>
    </row>
    <row r="72" spans="1:14" ht="12.75" customHeight="1" x14ac:dyDescent="0.3">
      <c r="A72" s="20">
        <f>+A71+0.01</f>
        <v>12.01</v>
      </c>
      <c r="B72" s="21" t="s">
        <v>85</v>
      </c>
      <c r="C72" s="109" t="s">
        <v>27</v>
      </c>
      <c r="D72" s="94">
        <v>19</v>
      </c>
      <c r="E72" s="181">
        <v>6496</v>
      </c>
      <c r="F72" s="181">
        <f t="shared" si="0"/>
        <v>123424</v>
      </c>
      <c r="H72" s="245"/>
      <c r="I72" s="250">
        <v>0</v>
      </c>
      <c r="J72" s="250"/>
      <c r="K72" s="251">
        <f t="shared" si="1"/>
        <v>0</v>
      </c>
      <c r="L72" s="50">
        <f t="shared" si="2"/>
        <v>0</v>
      </c>
      <c r="M72" s="50">
        <f t="shared" si="3"/>
        <v>0</v>
      </c>
      <c r="N72" s="50">
        <f t="shared" si="4"/>
        <v>0</v>
      </c>
    </row>
    <row r="73" spans="1:14" ht="12.75" customHeight="1" x14ac:dyDescent="0.3">
      <c r="A73" s="106">
        <v>12.02</v>
      </c>
      <c r="B73" s="25" t="s">
        <v>86</v>
      </c>
      <c r="C73" s="114" t="s">
        <v>27</v>
      </c>
      <c r="D73" s="31">
        <v>626</v>
      </c>
      <c r="E73" s="181">
        <v>9059</v>
      </c>
      <c r="F73" s="181">
        <f t="shared" si="0"/>
        <v>5670934</v>
      </c>
      <c r="H73" s="245"/>
      <c r="I73" s="250">
        <v>0</v>
      </c>
      <c r="J73" s="250"/>
      <c r="K73" s="251">
        <f t="shared" si="1"/>
        <v>0</v>
      </c>
      <c r="L73" s="50">
        <f t="shared" si="2"/>
        <v>0</v>
      </c>
      <c r="M73" s="50">
        <f t="shared" si="3"/>
        <v>0</v>
      </c>
      <c r="N73" s="50">
        <f t="shared" si="4"/>
        <v>0</v>
      </c>
    </row>
    <row r="74" spans="1:14" ht="12.75" customHeight="1" x14ac:dyDescent="0.3">
      <c r="A74" s="106">
        <v>12.03</v>
      </c>
      <c r="B74" s="107" t="s">
        <v>87</v>
      </c>
      <c r="C74" s="114" t="s">
        <v>27</v>
      </c>
      <c r="D74" s="35">
        <v>386</v>
      </c>
      <c r="E74" s="181">
        <v>8279</v>
      </c>
      <c r="F74" s="181">
        <f t="shared" ref="F74:F137" si="5">+E74*D74</f>
        <v>3195694</v>
      </c>
      <c r="H74" s="245"/>
      <c r="I74" s="250">
        <v>0</v>
      </c>
      <c r="J74" s="250"/>
      <c r="K74" s="251">
        <f t="shared" ref="K74" si="6">+I74+J74</f>
        <v>0</v>
      </c>
      <c r="L74" s="50">
        <f t="shared" ref="L74" si="7">+F74*I74</f>
        <v>0</v>
      </c>
      <c r="M74" s="50">
        <f t="shared" ref="M74" si="8">+F74*J74</f>
        <v>0</v>
      </c>
      <c r="N74" s="50">
        <f t="shared" ref="N74" si="9">+F74*K74</f>
        <v>0</v>
      </c>
    </row>
    <row r="75" spans="1:14" ht="12.75" customHeight="1" x14ac:dyDescent="0.3">
      <c r="A75" s="13">
        <v>13</v>
      </c>
      <c r="B75" s="17" t="s">
        <v>88</v>
      </c>
      <c r="C75" s="18"/>
      <c r="D75" s="19"/>
      <c r="E75" s="19"/>
      <c r="F75" s="19"/>
      <c r="G75" s="176">
        <f>+SUM(F76:F79)</f>
        <v>14836279</v>
      </c>
      <c r="H75" s="245">
        <f>+G75/$G$195</f>
        <v>1.7560942711250239E-2</v>
      </c>
      <c r="I75" s="246"/>
      <c r="J75" s="247"/>
      <c r="K75" s="247"/>
      <c r="L75" s="178"/>
      <c r="M75" s="178"/>
      <c r="N75" s="179"/>
    </row>
    <row r="76" spans="1:14" ht="12.75" customHeight="1" x14ac:dyDescent="0.3">
      <c r="A76" s="115">
        <v>13.01</v>
      </c>
      <c r="B76" s="116" t="s">
        <v>89</v>
      </c>
      <c r="C76" s="117" t="s">
        <v>19</v>
      </c>
      <c r="D76" s="23">
        <v>413</v>
      </c>
      <c r="E76" s="181">
        <v>30109</v>
      </c>
      <c r="F76" s="181">
        <f t="shared" si="5"/>
        <v>12435017</v>
      </c>
      <c r="H76" s="245"/>
      <c r="I76" s="250">
        <v>0</v>
      </c>
      <c r="J76" s="250"/>
      <c r="K76" s="251">
        <f t="shared" ref="K76:K139" si="10">+I76+J76</f>
        <v>0</v>
      </c>
      <c r="L76" s="50">
        <f t="shared" ref="L76:L139" si="11">+F76*I76</f>
        <v>0</v>
      </c>
      <c r="M76" s="50">
        <f t="shared" ref="M76:M139" si="12">+F76*J76</f>
        <v>0</v>
      </c>
      <c r="N76" s="50">
        <f t="shared" ref="N76:N139" si="13">+F76*K76</f>
        <v>0</v>
      </c>
    </row>
    <row r="77" spans="1:14" ht="12.75" customHeight="1" x14ac:dyDescent="0.3">
      <c r="A77" s="118">
        <v>13.02</v>
      </c>
      <c r="B77" s="119" t="s">
        <v>90</v>
      </c>
      <c r="C77" s="120" t="s">
        <v>19</v>
      </c>
      <c r="D77" s="121">
        <v>18</v>
      </c>
      <c r="E77" s="181">
        <v>30109</v>
      </c>
      <c r="F77" s="181">
        <f t="shared" si="5"/>
        <v>541962</v>
      </c>
      <c r="H77" s="245"/>
      <c r="I77" s="250">
        <v>0</v>
      </c>
      <c r="J77" s="250"/>
      <c r="K77" s="251">
        <f t="shared" si="10"/>
        <v>0</v>
      </c>
      <c r="L77" s="50">
        <f t="shared" si="11"/>
        <v>0</v>
      </c>
      <c r="M77" s="50">
        <f t="shared" si="12"/>
        <v>0</v>
      </c>
      <c r="N77" s="50">
        <f t="shared" si="13"/>
        <v>0</v>
      </c>
    </row>
    <row r="78" spans="1:14" ht="12.75" customHeight="1" x14ac:dyDescent="0.3">
      <c r="A78" s="100">
        <v>13.03</v>
      </c>
      <c r="B78" s="119" t="s">
        <v>91</v>
      </c>
      <c r="C78" s="110" t="s">
        <v>19</v>
      </c>
      <c r="D78" s="31">
        <v>20</v>
      </c>
      <c r="E78" s="181">
        <v>92965</v>
      </c>
      <c r="F78" s="181">
        <f t="shared" si="5"/>
        <v>1859300</v>
      </c>
      <c r="G78" s="186"/>
      <c r="H78" s="252"/>
      <c r="I78" s="250">
        <v>0</v>
      </c>
      <c r="J78" s="250"/>
      <c r="K78" s="251">
        <f t="shared" si="10"/>
        <v>0</v>
      </c>
      <c r="L78" s="50">
        <f t="shared" si="11"/>
        <v>0</v>
      </c>
      <c r="M78" s="50">
        <f t="shared" si="12"/>
        <v>0</v>
      </c>
      <c r="N78" s="50">
        <f t="shared" si="13"/>
        <v>0</v>
      </c>
    </row>
    <row r="79" spans="1:14" ht="12.75" customHeight="1" x14ac:dyDescent="0.3">
      <c r="A79" s="100">
        <v>13.04</v>
      </c>
      <c r="B79" s="25" t="s">
        <v>92</v>
      </c>
      <c r="C79" s="110" t="s">
        <v>19</v>
      </c>
      <c r="D79" s="31">
        <v>0</v>
      </c>
      <c r="E79" s="181">
        <v>0</v>
      </c>
      <c r="F79" s="181">
        <f t="shared" si="5"/>
        <v>0</v>
      </c>
      <c r="G79" s="186"/>
      <c r="H79" s="252"/>
      <c r="I79" s="250">
        <v>0</v>
      </c>
      <c r="J79" s="250"/>
      <c r="K79" s="251">
        <f t="shared" si="10"/>
        <v>0</v>
      </c>
      <c r="L79" s="50">
        <f t="shared" si="11"/>
        <v>0</v>
      </c>
      <c r="M79" s="50">
        <f t="shared" si="12"/>
        <v>0</v>
      </c>
      <c r="N79" s="50">
        <f t="shared" si="13"/>
        <v>0</v>
      </c>
    </row>
    <row r="80" spans="1:14" ht="12.75" customHeight="1" x14ac:dyDescent="0.3">
      <c r="A80" s="13">
        <v>14</v>
      </c>
      <c r="B80" s="17" t="s">
        <v>93</v>
      </c>
      <c r="C80" s="18"/>
      <c r="D80" s="19"/>
      <c r="E80" s="19"/>
      <c r="F80" s="19"/>
      <c r="G80" s="176">
        <f>+SUM(F81:F87)</f>
        <v>33813897</v>
      </c>
      <c r="H80" s="245">
        <f>+G80/$G$195</f>
        <v>4.0023776046616291E-2</v>
      </c>
      <c r="I80" s="246"/>
      <c r="J80" s="247"/>
      <c r="K80" s="247"/>
      <c r="L80" s="178"/>
      <c r="M80" s="178"/>
      <c r="N80" s="179"/>
    </row>
    <row r="81" spans="1:14" ht="12.75" customHeight="1" x14ac:dyDescent="0.3">
      <c r="A81" s="20">
        <f>+A80+0.01</f>
        <v>14.01</v>
      </c>
      <c r="B81" s="21" t="s">
        <v>94</v>
      </c>
      <c r="C81" s="117" t="s">
        <v>19</v>
      </c>
      <c r="D81" s="23">
        <v>460</v>
      </c>
      <c r="E81" s="181">
        <v>23624</v>
      </c>
      <c r="F81" s="181">
        <f t="shared" si="5"/>
        <v>10867040</v>
      </c>
      <c r="H81" s="245"/>
      <c r="I81" s="250">
        <v>0</v>
      </c>
      <c r="J81" s="250"/>
      <c r="K81" s="251">
        <f t="shared" si="10"/>
        <v>0</v>
      </c>
      <c r="L81" s="50">
        <f t="shared" si="11"/>
        <v>0</v>
      </c>
      <c r="M81" s="50">
        <f t="shared" si="12"/>
        <v>0</v>
      </c>
      <c r="N81" s="50">
        <f t="shared" si="13"/>
        <v>0</v>
      </c>
    </row>
    <row r="82" spans="1:14" ht="12.75" customHeight="1" x14ac:dyDescent="0.3">
      <c r="A82" s="106">
        <v>14.02</v>
      </c>
      <c r="B82" s="107" t="s">
        <v>95</v>
      </c>
      <c r="C82" s="120" t="s">
        <v>27</v>
      </c>
      <c r="D82" s="121">
        <v>434</v>
      </c>
      <c r="E82" s="181">
        <v>16659</v>
      </c>
      <c r="F82" s="181">
        <f t="shared" si="5"/>
        <v>7230006</v>
      </c>
      <c r="H82" s="245"/>
      <c r="I82" s="250">
        <v>0</v>
      </c>
      <c r="J82" s="250"/>
      <c r="K82" s="251">
        <f t="shared" si="10"/>
        <v>0</v>
      </c>
      <c r="L82" s="50">
        <f t="shared" si="11"/>
        <v>0</v>
      </c>
      <c r="M82" s="50">
        <f t="shared" si="12"/>
        <v>0</v>
      </c>
      <c r="N82" s="50">
        <f t="shared" si="13"/>
        <v>0</v>
      </c>
    </row>
    <row r="83" spans="1:14" ht="12.75" customHeight="1" x14ac:dyDescent="0.3">
      <c r="A83" s="24">
        <v>14.03</v>
      </c>
      <c r="B83" s="25" t="s">
        <v>96</v>
      </c>
      <c r="C83" s="112" t="s">
        <v>19</v>
      </c>
      <c r="D83" s="27">
        <v>115</v>
      </c>
      <c r="E83" s="181">
        <v>35817</v>
      </c>
      <c r="F83" s="181">
        <f t="shared" si="5"/>
        <v>4118955</v>
      </c>
      <c r="H83" s="245"/>
      <c r="I83" s="250">
        <v>0.2</v>
      </c>
      <c r="J83" s="250">
        <v>0.1</v>
      </c>
      <c r="K83" s="251">
        <f t="shared" si="10"/>
        <v>0.30000000000000004</v>
      </c>
      <c r="L83" s="50">
        <f t="shared" si="11"/>
        <v>823791</v>
      </c>
      <c r="M83" s="50">
        <f t="shared" si="12"/>
        <v>411895.5</v>
      </c>
      <c r="N83" s="50">
        <f t="shared" si="13"/>
        <v>1235686.5000000002</v>
      </c>
    </row>
    <row r="84" spans="1:14" ht="12.75" customHeight="1" x14ac:dyDescent="0.3">
      <c r="A84" s="106">
        <v>14.04</v>
      </c>
      <c r="B84" s="25" t="s">
        <v>97</v>
      </c>
      <c r="C84" s="112" t="s">
        <v>19</v>
      </c>
      <c r="D84" s="27">
        <v>89</v>
      </c>
      <c r="E84" s="181">
        <v>41132</v>
      </c>
      <c r="F84" s="181">
        <f t="shared" si="5"/>
        <v>3660748</v>
      </c>
      <c r="H84" s="245"/>
      <c r="I84" s="250">
        <v>0.2</v>
      </c>
      <c r="J84" s="250">
        <v>0.1</v>
      </c>
      <c r="K84" s="251">
        <f t="shared" si="10"/>
        <v>0.30000000000000004</v>
      </c>
      <c r="L84" s="50">
        <f t="shared" si="11"/>
        <v>732149.60000000009</v>
      </c>
      <c r="M84" s="50">
        <f t="shared" si="12"/>
        <v>366074.80000000005</v>
      </c>
      <c r="N84" s="50">
        <f t="shared" si="13"/>
        <v>1098224.4000000001</v>
      </c>
    </row>
    <row r="85" spans="1:14" ht="12.75" customHeight="1" x14ac:dyDescent="0.3">
      <c r="A85" s="24">
        <v>14.05</v>
      </c>
      <c r="B85" s="25" t="s">
        <v>98</v>
      </c>
      <c r="C85" s="112" t="s">
        <v>27</v>
      </c>
      <c r="D85" s="27">
        <v>530</v>
      </c>
      <c r="E85" s="181">
        <v>9274</v>
      </c>
      <c r="F85" s="181">
        <f t="shared" si="5"/>
        <v>4915220</v>
      </c>
      <c r="H85" s="245"/>
      <c r="I85" s="250">
        <v>0</v>
      </c>
      <c r="J85" s="250"/>
      <c r="K85" s="251">
        <f t="shared" si="10"/>
        <v>0</v>
      </c>
      <c r="L85" s="50">
        <f t="shared" si="11"/>
        <v>0</v>
      </c>
      <c r="M85" s="50">
        <f t="shared" si="12"/>
        <v>0</v>
      </c>
      <c r="N85" s="50">
        <f t="shared" si="13"/>
        <v>0</v>
      </c>
    </row>
    <row r="86" spans="1:14" ht="12.75" customHeight="1" x14ac:dyDescent="0.3">
      <c r="A86" s="106">
        <v>14.06</v>
      </c>
      <c r="B86" s="25" t="s">
        <v>99</v>
      </c>
      <c r="C86" s="112" t="s">
        <v>27</v>
      </c>
      <c r="D86" s="27">
        <v>56</v>
      </c>
      <c r="E86" s="181">
        <v>9274</v>
      </c>
      <c r="F86" s="181">
        <f t="shared" si="5"/>
        <v>519344</v>
      </c>
      <c r="H86" s="245"/>
      <c r="I86" s="250">
        <v>0</v>
      </c>
      <c r="J86" s="250"/>
      <c r="K86" s="251">
        <f t="shared" si="10"/>
        <v>0</v>
      </c>
      <c r="L86" s="50">
        <f t="shared" si="11"/>
        <v>0</v>
      </c>
      <c r="M86" s="50">
        <f t="shared" si="12"/>
        <v>0</v>
      </c>
      <c r="N86" s="50">
        <f t="shared" si="13"/>
        <v>0</v>
      </c>
    </row>
    <row r="87" spans="1:14" ht="12.75" customHeight="1" x14ac:dyDescent="0.3">
      <c r="A87" s="24">
        <v>14.07</v>
      </c>
      <c r="B87" s="25" t="s">
        <v>100</v>
      </c>
      <c r="C87" s="112" t="s">
        <v>19</v>
      </c>
      <c r="D87" s="27">
        <v>469</v>
      </c>
      <c r="E87" s="181">
        <v>5336</v>
      </c>
      <c r="F87" s="181">
        <f t="shared" si="5"/>
        <v>2502584</v>
      </c>
      <c r="H87" s="245"/>
      <c r="I87" s="250">
        <v>0.15000000000000002</v>
      </c>
      <c r="J87" s="250"/>
      <c r="K87" s="251">
        <f t="shared" si="10"/>
        <v>0.15000000000000002</v>
      </c>
      <c r="L87" s="50">
        <f t="shared" si="11"/>
        <v>375387.60000000003</v>
      </c>
      <c r="M87" s="50">
        <f t="shared" si="12"/>
        <v>0</v>
      </c>
      <c r="N87" s="50">
        <f t="shared" si="13"/>
        <v>375387.60000000003</v>
      </c>
    </row>
    <row r="88" spans="1:14" ht="12.75" customHeight="1" x14ac:dyDescent="0.3">
      <c r="A88" s="13">
        <v>15</v>
      </c>
      <c r="B88" s="17" t="s">
        <v>101</v>
      </c>
      <c r="C88" s="18"/>
      <c r="D88" s="19"/>
      <c r="E88" s="19"/>
      <c r="F88" s="19"/>
      <c r="G88" s="176">
        <f>+SUM(F89:F100)</f>
        <v>81675029</v>
      </c>
      <c r="H88" s="245">
        <f>+G88/$G$195</f>
        <v>9.667454388049064E-2</v>
      </c>
      <c r="I88" s="246"/>
      <c r="J88" s="247"/>
      <c r="K88" s="247"/>
      <c r="L88" s="178"/>
      <c r="M88" s="178"/>
      <c r="N88" s="179"/>
    </row>
    <row r="89" spans="1:14" ht="12.75" customHeight="1" x14ac:dyDescent="0.3">
      <c r="A89" s="115">
        <v>15.01</v>
      </c>
      <c r="B89" s="116" t="s">
        <v>102</v>
      </c>
      <c r="C89" s="122" t="s">
        <v>19</v>
      </c>
      <c r="D89" s="123">
        <v>739</v>
      </c>
      <c r="E89" s="181">
        <v>22075</v>
      </c>
      <c r="F89" s="181">
        <f t="shared" si="5"/>
        <v>16313425</v>
      </c>
      <c r="G89" s="186"/>
      <c r="H89" s="253"/>
      <c r="I89" s="250">
        <v>0</v>
      </c>
      <c r="J89" s="250"/>
      <c r="K89" s="251">
        <f t="shared" si="10"/>
        <v>0</v>
      </c>
      <c r="L89" s="50">
        <f t="shared" si="11"/>
        <v>0</v>
      </c>
      <c r="M89" s="50">
        <f t="shared" si="12"/>
        <v>0</v>
      </c>
      <c r="N89" s="50">
        <f t="shared" si="13"/>
        <v>0</v>
      </c>
    </row>
    <row r="90" spans="1:14" ht="12.75" customHeight="1" x14ac:dyDescent="0.3">
      <c r="A90" s="100">
        <v>15.02</v>
      </c>
      <c r="B90" s="25" t="s">
        <v>103</v>
      </c>
      <c r="C90" s="110" t="s">
        <v>19</v>
      </c>
      <c r="D90" s="29">
        <v>1439</v>
      </c>
      <c r="E90" s="181">
        <v>8883</v>
      </c>
      <c r="F90" s="181">
        <f t="shared" si="5"/>
        <v>12782637</v>
      </c>
      <c r="G90" s="186"/>
      <c r="H90" s="253"/>
      <c r="I90" s="250">
        <v>0</v>
      </c>
      <c r="J90" s="250"/>
      <c r="K90" s="251">
        <f t="shared" si="10"/>
        <v>0</v>
      </c>
      <c r="L90" s="50">
        <f t="shared" si="11"/>
        <v>0</v>
      </c>
      <c r="M90" s="50">
        <f t="shared" si="12"/>
        <v>0</v>
      </c>
      <c r="N90" s="50">
        <f t="shared" si="13"/>
        <v>0</v>
      </c>
    </row>
    <row r="91" spans="1:14" ht="12.75" customHeight="1" x14ac:dyDescent="0.3">
      <c r="A91" s="100">
        <v>15.03</v>
      </c>
      <c r="B91" s="25" t="s">
        <v>104</v>
      </c>
      <c r="C91" s="110" t="s">
        <v>19</v>
      </c>
      <c r="D91" s="29">
        <v>462</v>
      </c>
      <c r="E91" s="181">
        <v>14295</v>
      </c>
      <c r="F91" s="181">
        <f t="shared" si="5"/>
        <v>6604290</v>
      </c>
      <c r="G91" s="186"/>
      <c r="H91" s="253"/>
      <c r="I91" s="250">
        <v>0</v>
      </c>
      <c r="J91" s="250"/>
      <c r="K91" s="251">
        <f t="shared" si="10"/>
        <v>0</v>
      </c>
      <c r="L91" s="50">
        <f t="shared" si="11"/>
        <v>0</v>
      </c>
      <c r="M91" s="50">
        <f t="shared" si="12"/>
        <v>0</v>
      </c>
      <c r="N91" s="50">
        <f t="shared" si="13"/>
        <v>0</v>
      </c>
    </row>
    <row r="92" spans="1:14" ht="12.75" customHeight="1" x14ac:dyDescent="0.3">
      <c r="A92" s="100">
        <v>15.04</v>
      </c>
      <c r="B92" s="25" t="s">
        <v>105</v>
      </c>
      <c r="C92" s="110" t="s">
        <v>19</v>
      </c>
      <c r="D92" s="29">
        <v>144</v>
      </c>
      <c r="E92" s="181">
        <v>7538</v>
      </c>
      <c r="F92" s="181">
        <f t="shared" si="5"/>
        <v>1085472</v>
      </c>
      <c r="G92" s="186"/>
      <c r="H92" s="253"/>
      <c r="I92" s="250">
        <v>0</v>
      </c>
      <c r="J92" s="250"/>
      <c r="K92" s="251">
        <f t="shared" si="10"/>
        <v>0</v>
      </c>
      <c r="L92" s="50">
        <f t="shared" si="11"/>
        <v>0</v>
      </c>
      <c r="M92" s="50">
        <f t="shared" si="12"/>
        <v>0</v>
      </c>
      <c r="N92" s="50">
        <f t="shared" si="13"/>
        <v>0</v>
      </c>
    </row>
    <row r="93" spans="1:14" ht="12.75" customHeight="1" x14ac:dyDescent="0.3">
      <c r="A93" s="100">
        <v>15.05</v>
      </c>
      <c r="B93" s="25" t="s">
        <v>106</v>
      </c>
      <c r="C93" s="110" t="s">
        <v>19</v>
      </c>
      <c r="D93" s="29">
        <v>460</v>
      </c>
      <c r="E93" s="181">
        <v>8883</v>
      </c>
      <c r="F93" s="181">
        <f t="shared" si="5"/>
        <v>4086180</v>
      </c>
      <c r="G93" s="186"/>
      <c r="H93" s="253"/>
      <c r="I93" s="250">
        <v>0</v>
      </c>
      <c r="J93" s="250"/>
      <c r="K93" s="251">
        <f t="shared" si="10"/>
        <v>0</v>
      </c>
      <c r="L93" s="50">
        <f t="shared" si="11"/>
        <v>0</v>
      </c>
      <c r="M93" s="50">
        <f t="shared" si="12"/>
        <v>0</v>
      </c>
      <c r="N93" s="50">
        <f t="shared" si="13"/>
        <v>0</v>
      </c>
    </row>
    <row r="94" spans="1:14" ht="12.75" customHeight="1" x14ac:dyDescent="0.3">
      <c r="A94" s="100">
        <v>15.06</v>
      </c>
      <c r="B94" s="25" t="s">
        <v>107</v>
      </c>
      <c r="C94" s="110" t="s">
        <v>19</v>
      </c>
      <c r="D94" s="29">
        <v>204</v>
      </c>
      <c r="E94" s="181">
        <v>15750</v>
      </c>
      <c r="F94" s="181">
        <f t="shared" si="5"/>
        <v>3213000</v>
      </c>
      <c r="G94" s="186"/>
      <c r="H94" s="253"/>
      <c r="I94" s="250">
        <v>0</v>
      </c>
      <c r="J94" s="250"/>
      <c r="K94" s="251">
        <f t="shared" si="10"/>
        <v>0</v>
      </c>
      <c r="L94" s="50">
        <f t="shared" si="11"/>
        <v>0</v>
      </c>
      <c r="M94" s="50">
        <f t="shared" si="12"/>
        <v>0</v>
      </c>
      <c r="N94" s="50">
        <f t="shared" si="13"/>
        <v>0</v>
      </c>
    </row>
    <row r="95" spans="1:14" ht="12.75" customHeight="1" x14ac:dyDescent="0.3">
      <c r="A95" s="100">
        <v>15.07</v>
      </c>
      <c r="B95" s="25" t="s">
        <v>108</v>
      </c>
      <c r="C95" s="28" t="s">
        <v>19</v>
      </c>
      <c r="D95" s="29">
        <v>262</v>
      </c>
      <c r="E95" s="181">
        <v>17154</v>
      </c>
      <c r="F95" s="181">
        <f t="shared" si="5"/>
        <v>4494348</v>
      </c>
      <c r="G95" s="186"/>
      <c r="H95" s="245"/>
      <c r="I95" s="250">
        <v>0</v>
      </c>
      <c r="J95" s="250"/>
      <c r="K95" s="251">
        <f t="shared" si="10"/>
        <v>0</v>
      </c>
      <c r="L95" s="50">
        <f t="shared" si="11"/>
        <v>0</v>
      </c>
      <c r="M95" s="50">
        <f t="shared" si="12"/>
        <v>0</v>
      </c>
      <c r="N95" s="50">
        <f t="shared" si="13"/>
        <v>0</v>
      </c>
    </row>
    <row r="96" spans="1:14" ht="12.75" customHeight="1" x14ac:dyDescent="0.3">
      <c r="A96" s="100">
        <v>15.08</v>
      </c>
      <c r="B96" s="25" t="s">
        <v>109</v>
      </c>
      <c r="C96" s="110" t="s">
        <v>19</v>
      </c>
      <c r="D96" s="31">
        <v>756</v>
      </c>
      <c r="E96" s="181">
        <v>26534</v>
      </c>
      <c r="F96" s="181">
        <f t="shared" si="5"/>
        <v>20059704</v>
      </c>
      <c r="G96" s="186"/>
      <c r="H96" s="252"/>
      <c r="I96" s="250">
        <v>0</v>
      </c>
      <c r="J96" s="250"/>
      <c r="K96" s="251">
        <f t="shared" si="10"/>
        <v>0</v>
      </c>
      <c r="L96" s="50">
        <f t="shared" si="11"/>
        <v>0</v>
      </c>
      <c r="M96" s="50">
        <f t="shared" si="12"/>
        <v>0</v>
      </c>
      <c r="N96" s="50">
        <f t="shared" si="13"/>
        <v>0</v>
      </c>
    </row>
    <row r="97" spans="1:19" ht="12.75" customHeight="1" x14ac:dyDescent="0.3">
      <c r="A97" s="100">
        <v>15.09</v>
      </c>
      <c r="B97" s="25" t="s">
        <v>110</v>
      </c>
      <c r="C97" s="110" t="s">
        <v>19</v>
      </c>
      <c r="D97" s="31">
        <v>56</v>
      </c>
      <c r="E97" s="181">
        <v>31737</v>
      </c>
      <c r="F97" s="181">
        <f t="shared" si="5"/>
        <v>1777272</v>
      </c>
      <c r="G97" s="186"/>
      <c r="H97" s="252"/>
      <c r="I97" s="250">
        <v>0</v>
      </c>
      <c r="J97" s="250"/>
      <c r="K97" s="251">
        <f t="shared" si="10"/>
        <v>0</v>
      </c>
      <c r="L97" s="50">
        <f t="shared" si="11"/>
        <v>0</v>
      </c>
      <c r="M97" s="50">
        <f t="shared" si="12"/>
        <v>0</v>
      </c>
      <c r="N97" s="50">
        <f t="shared" si="13"/>
        <v>0</v>
      </c>
    </row>
    <row r="98" spans="1:19" ht="12.75" customHeight="1" x14ac:dyDescent="0.3">
      <c r="A98" s="100">
        <v>15.1</v>
      </c>
      <c r="B98" s="25" t="s">
        <v>111</v>
      </c>
      <c r="C98" s="110" t="s">
        <v>29</v>
      </c>
      <c r="D98" s="31">
        <v>1</v>
      </c>
      <c r="E98" s="181">
        <v>885031</v>
      </c>
      <c r="F98" s="181">
        <f t="shared" si="5"/>
        <v>885031</v>
      </c>
      <c r="H98" s="245"/>
      <c r="I98" s="250">
        <v>0</v>
      </c>
      <c r="J98" s="250"/>
      <c r="K98" s="251">
        <f t="shared" si="10"/>
        <v>0</v>
      </c>
      <c r="L98" s="50">
        <f t="shared" si="11"/>
        <v>0</v>
      </c>
      <c r="M98" s="50">
        <f t="shared" si="12"/>
        <v>0</v>
      </c>
      <c r="N98" s="50">
        <f t="shared" si="13"/>
        <v>0</v>
      </c>
    </row>
    <row r="99" spans="1:19" ht="12.75" customHeight="1" x14ac:dyDescent="0.3">
      <c r="A99" s="100">
        <v>15.11</v>
      </c>
      <c r="B99" s="25" t="s">
        <v>112</v>
      </c>
      <c r="C99" s="110" t="s">
        <v>52</v>
      </c>
      <c r="D99" s="31">
        <v>73</v>
      </c>
      <c r="E99" s="181">
        <v>83386</v>
      </c>
      <c r="F99" s="181">
        <f t="shared" si="5"/>
        <v>6087178</v>
      </c>
      <c r="H99" s="245"/>
      <c r="I99" s="250">
        <v>0</v>
      </c>
      <c r="J99" s="250"/>
      <c r="K99" s="251">
        <f t="shared" si="10"/>
        <v>0</v>
      </c>
      <c r="L99" s="50">
        <f t="shared" si="11"/>
        <v>0</v>
      </c>
      <c r="M99" s="50">
        <f t="shared" si="12"/>
        <v>0</v>
      </c>
      <c r="N99" s="50">
        <f t="shared" si="13"/>
        <v>0</v>
      </c>
    </row>
    <row r="100" spans="1:19" ht="12.75" customHeight="1" x14ac:dyDescent="0.3">
      <c r="A100" s="100">
        <v>15.12</v>
      </c>
      <c r="B100" s="124" t="s">
        <v>113</v>
      </c>
      <c r="C100" s="111" t="s">
        <v>29</v>
      </c>
      <c r="D100" s="35">
        <v>1</v>
      </c>
      <c r="E100" s="181">
        <v>4286492</v>
      </c>
      <c r="F100" s="181">
        <f t="shared" si="5"/>
        <v>4286492</v>
      </c>
      <c r="H100" s="245"/>
      <c r="I100" s="250">
        <v>0</v>
      </c>
      <c r="J100" s="250"/>
      <c r="K100" s="251">
        <f t="shared" si="10"/>
        <v>0</v>
      </c>
      <c r="L100" s="50">
        <f t="shared" si="11"/>
        <v>0</v>
      </c>
      <c r="M100" s="50">
        <f t="shared" si="12"/>
        <v>0</v>
      </c>
      <c r="N100" s="50">
        <f t="shared" si="13"/>
        <v>0</v>
      </c>
    </row>
    <row r="101" spans="1:19" ht="12.75" customHeight="1" x14ac:dyDescent="0.3">
      <c r="A101" s="13">
        <v>16</v>
      </c>
      <c r="B101" s="125" t="s">
        <v>114</v>
      </c>
      <c r="C101" s="18"/>
      <c r="D101" s="19"/>
      <c r="E101" s="19"/>
      <c r="F101" s="19"/>
      <c r="G101" s="176">
        <f>+SUM(F102)</f>
        <v>0</v>
      </c>
      <c r="H101" s="245">
        <f>+G101/$G$195</f>
        <v>0</v>
      </c>
      <c r="I101" s="246"/>
      <c r="J101" s="247"/>
      <c r="K101" s="247"/>
      <c r="L101" s="178"/>
      <c r="M101" s="178"/>
      <c r="N101" s="179"/>
    </row>
    <row r="102" spans="1:19" ht="12.75" customHeight="1" x14ac:dyDescent="0.3">
      <c r="A102" s="20"/>
      <c r="B102" s="21"/>
      <c r="C102" s="93"/>
      <c r="D102" s="94"/>
      <c r="E102" s="184">
        <v>0</v>
      </c>
      <c r="F102" s="183">
        <f t="shared" si="5"/>
        <v>0</v>
      </c>
      <c r="G102" s="185"/>
      <c r="H102" s="252"/>
      <c r="I102" s="250">
        <v>0</v>
      </c>
      <c r="J102" s="250"/>
      <c r="K102" s="251">
        <f t="shared" si="10"/>
        <v>0</v>
      </c>
      <c r="L102" s="50">
        <f t="shared" si="11"/>
        <v>0</v>
      </c>
      <c r="M102" s="50">
        <f t="shared" si="12"/>
        <v>0</v>
      </c>
      <c r="N102" s="50">
        <f t="shared" si="13"/>
        <v>0</v>
      </c>
    </row>
    <row r="103" spans="1:19" ht="12.75" customHeight="1" x14ac:dyDescent="0.3">
      <c r="A103" s="13">
        <v>17</v>
      </c>
      <c r="B103" s="17" t="s">
        <v>115</v>
      </c>
      <c r="C103" s="18"/>
      <c r="D103" s="19"/>
      <c r="E103" s="19"/>
      <c r="F103" s="19"/>
      <c r="G103" s="176">
        <f>+SUM(F104:F107)</f>
        <v>9415299</v>
      </c>
      <c r="H103" s="245">
        <f>+G103/$G$195</f>
        <v>1.1144406649962005E-2</v>
      </c>
      <c r="I103" s="246"/>
      <c r="J103" s="247"/>
      <c r="K103" s="247"/>
      <c r="L103" s="178"/>
      <c r="M103" s="178"/>
      <c r="N103" s="179"/>
    </row>
    <row r="104" spans="1:19" ht="12.75" customHeight="1" x14ac:dyDescent="0.3">
      <c r="A104" s="20">
        <f>+A103+0.01</f>
        <v>17.010000000000002</v>
      </c>
      <c r="B104" s="126" t="s">
        <v>116</v>
      </c>
      <c r="C104" s="127" t="s">
        <v>33</v>
      </c>
      <c r="D104" s="94">
        <v>57</v>
      </c>
      <c r="E104" s="180">
        <v>79321</v>
      </c>
      <c r="F104" s="180">
        <f t="shared" si="5"/>
        <v>4521297</v>
      </c>
      <c r="G104" s="182"/>
      <c r="H104" s="245"/>
      <c r="I104" s="250">
        <v>1</v>
      </c>
      <c r="J104" s="274"/>
      <c r="K104" s="251">
        <f t="shared" si="10"/>
        <v>1</v>
      </c>
      <c r="L104" s="50">
        <f t="shared" si="11"/>
        <v>4521297</v>
      </c>
      <c r="M104" s="50">
        <f t="shared" si="12"/>
        <v>0</v>
      </c>
      <c r="N104" s="50">
        <f t="shared" si="13"/>
        <v>4521297</v>
      </c>
    </row>
    <row r="105" spans="1:19" ht="12.75" customHeight="1" x14ac:dyDescent="0.3">
      <c r="A105" s="24">
        <v>17.02</v>
      </c>
      <c r="B105" s="128" t="s">
        <v>117</v>
      </c>
      <c r="C105" s="129" t="s">
        <v>33</v>
      </c>
      <c r="D105" s="31">
        <v>11</v>
      </c>
      <c r="E105" s="181">
        <v>79321</v>
      </c>
      <c r="F105" s="181">
        <f t="shared" si="5"/>
        <v>872531</v>
      </c>
      <c r="G105" s="182"/>
      <c r="H105" s="245"/>
      <c r="I105" s="250">
        <v>0</v>
      </c>
      <c r="J105" s="250">
        <v>0.7</v>
      </c>
      <c r="K105" s="251">
        <f t="shared" si="10"/>
        <v>0.7</v>
      </c>
      <c r="L105" s="50">
        <f t="shared" si="11"/>
        <v>0</v>
      </c>
      <c r="M105" s="50">
        <f t="shared" si="12"/>
        <v>610771.69999999995</v>
      </c>
      <c r="N105" s="50">
        <f t="shared" si="13"/>
        <v>610771.69999999995</v>
      </c>
    </row>
    <row r="106" spans="1:19" ht="12.75" customHeight="1" x14ac:dyDescent="0.3">
      <c r="A106" s="24">
        <v>17.03</v>
      </c>
      <c r="B106" s="128" t="s">
        <v>118</v>
      </c>
      <c r="C106" s="129" t="s">
        <v>33</v>
      </c>
      <c r="D106" s="31">
        <v>65</v>
      </c>
      <c r="E106" s="181">
        <v>51161</v>
      </c>
      <c r="F106" s="181">
        <f t="shared" si="5"/>
        <v>3325465</v>
      </c>
      <c r="G106" s="182"/>
      <c r="H106" s="245"/>
      <c r="I106" s="250">
        <v>0.89999999999999991</v>
      </c>
      <c r="J106" s="274">
        <v>0.1</v>
      </c>
      <c r="K106" s="251">
        <f t="shared" si="10"/>
        <v>0.99999999999999989</v>
      </c>
      <c r="L106" s="50">
        <f t="shared" si="11"/>
        <v>2992918.4999999995</v>
      </c>
      <c r="M106" s="50">
        <f t="shared" si="12"/>
        <v>332546.5</v>
      </c>
      <c r="N106" s="50">
        <f t="shared" si="13"/>
        <v>3325464.9999999995</v>
      </c>
      <c r="Q106" s="245"/>
    </row>
    <row r="107" spans="1:19" ht="12.75" customHeight="1" x14ac:dyDescent="0.3">
      <c r="A107" s="130">
        <v>17.04</v>
      </c>
      <c r="B107" s="38" t="s">
        <v>119</v>
      </c>
      <c r="C107" s="34" t="s">
        <v>33</v>
      </c>
      <c r="D107" s="35">
        <v>6</v>
      </c>
      <c r="E107" s="189">
        <v>116001</v>
      </c>
      <c r="F107" s="189">
        <f t="shared" si="5"/>
        <v>696006</v>
      </c>
      <c r="G107" s="182"/>
      <c r="H107" s="245"/>
      <c r="I107" s="250">
        <v>0</v>
      </c>
      <c r="J107" s="250"/>
      <c r="K107" s="251">
        <f t="shared" si="10"/>
        <v>0</v>
      </c>
      <c r="L107" s="50">
        <f t="shared" si="11"/>
        <v>0</v>
      </c>
      <c r="M107" s="50">
        <f t="shared" si="12"/>
        <v>0</v>
      </c>
      <c r="N107" s="50">
        <f t="shared" si="13"/>
        <v>0</v>
      </c>
    </row>
    <row r="108" spans="1:19" ht="12.75" customHeight="1" x14ac:dyDescent="0.3">
      <c r="A108" s="13">
        <v>18</v>
      </c>
      <c r="B108" s="40" t="s">
        <v>120</v>
      </c>
      <c r="C108" s="18"/>
      <c r="D108" s="19"/>
      <c r="E108" s="19"/>
      <c r="F108" s="19"/>
      <c r="G108" s="176">
        <f>+SUM(F109:F141)</f>
        <v>87609553</v>
      </c>
      <c r="H108" s="245">
        <f>+G108/$G$195</f>
        <v>0.10369893564223492</v>
      </c>
      <c r="I108" s="246"/>
      <c r="J108" s="247"/>
      <c r="K108" s="247"/>
      <c r="L108" s="178"/>
      <c r="M108" s="178"/>
      <c r="N108" s="179"/>
    </row>
    <row r="109" spans="1:19" ht="12.75" customHeight="1" x14ac:dyDescent="0.3">
      <c r="A109" s="115">
        <f>+A108+0.01</f>
        <v>18.010000000000002</v>
      </c>
      <c r="B109" s="131" t="s">
        <v>121</v>
      </c>
      <c r="C109" s="132" t="s">
        <v>33</v>
      </c>
      <c r="D109" s="94">
        <v>260</v>
      </c>
      <c r="E109" s="180">
        <v>76531</v>
      </c>
      <c r="F109" s="180">
        <f t="shared" si="5"/>
        <v>19898060</v>
      </c>
      <c r="H109" s="245"/>
      <c r="I109" s="250">
        <v>0.5149999999999999</v>
      </c>
      <c r="J109" s="250">
        <v>0.02</v>
      </c>
      <c r="K109" s="251">
        <f t="shared" si="10"/>
        <v>0.53499999999999992</v>
      </c>
      <c r="L109" s="50">
        <f t="shared" si="11"/>
        <v>10247500.899999999</v>
      </c>
      <c r="M109" s="50">
        <f t="shared" si="12"/>
        <v>397961.2</v>
      </c>
      <c r="N109" s="50">
        <f t="shared" si="13"/>
        <v>10645462.099999998</v>
      </c>
      <c r="Q109" s="263"/>
      <c r="S109" s="262"/>
    </row>
    <row r="110" spans="1:19" ht="12.75" customHeight="1" x14ac:dyDescent="0.3">
      <c r="A110" s="100">
        <v>18.02</v>
      </c>
      <c r="B110" s="98" t="s">
        <v>122</v>
      </c>
      <c r="C110" s="133" t="s">
        <v>33</v>
      </c>
      <c r="D110" s="31">
        <v>62</v>
      </c>
      <c r="E110" s="181">
        <v>73235</v>
      </c>
      <c r="F110" s="181">
        <f t="shared" si="5"/>
        <v>4540570</v>
      </c>
      <c r="H110" s="245"/>
      <c r="I110" s="250">
        <v>0.46500000000000002</v>
      </c>
      <c r="J110" s="250">
        <v>0.03</v>
      </c>
      <c r="K110" s="251">
        <f t="shared" si="10"/>
        <v>0.495</v>
      </c>
      <c r="L110" s="50">
        <f t="shared" si="11"/>
        <v>2111365.0500000003</v>
      </c>
      <c r="M110" s="50">
        <f t="shared" si="12"/>
        <v>136217.1</v>
      </c>
      <c r="N110" s="50">
        <f t="shared" si="13"/>
        <v>2247582.15</v>
      </c>
      <c r="Q110" s="263"/>
      <c r="S110" s="262"/>
    </row>
    <row r="111" spans="1:19" ht="12.75" customHeight="1" x14ac:dyDescent="0.3">
      <c r="A111" s="100">
        <v>18.03</v>
      </c>
      <c r="B111" s="98" t="s">
        <v>123</v>
      </c>
      <c r="C111" s="133" t="s">
        <v>33</v>
      </c>
      <c r="D111" s="31">
        <v>12</v>
      </c>
      <c r="E111" s="181">
        <v>73235</v>
      </c>
      <c r="F111" s="181">
        <f t="shared" si="5"/>
        <v>878820</v>
      </c>
      <c r="H111" s="245"/>
      <c r="I111" s="250">
        <v>0.65499999999999992</v>
      </c>
      <c r="J111" s="250"/>
      <c r="K111" s="251">
        <f t="shared" si="10"/>
        <v>0.65499999999999992</v>
      </c>
      <c r="L111" s="50">
        <f t="shared" si="11"/>
        <v>575627.1</v>
      </c>
      <c r="M111" s="50">
        <f t="shared" si="12"/>
        <v>0</v>
      </c>
      <c r="N111" s="50">
        <f t="shared" si="13"/>
        <v>575627.1</v>
      </c>
      <c r="Q111" s="263"/>
      <c r="S111" s="262"/>
    </row>
    <row r="112" spans="1:19" ht="12.75" customHeight="1" x14ac:dyDescent="0.3">
      <c r="A112" s="100">
        <v>18.04</v>
      </c>
      <c r="B112" s="98" t="s">
        <v>124</v>
      </c>
      <c r="C112" s="133" t="s">
        <v>33</v>
      </c>
      <c r="D112" s="31">
        <v>16</v>
      </c>
      <c r="E112" s="181">
        <v>73235</v>
      </c>
      <c r="F112" s="181">
        <f t="shared" si="5"/>
        <v>1171760</v>
      </c>
      <c r="H112" s="245"/>
      <c r="I112" s="250">
        <v>0.55499999999999994</v>
      </c>
      <c r="J112" s="250"/>
      <c r="K112" s="251">
        <f t="shared" si="10"/>
        <v>0.55499999999999994</v>
      </c>
      <c r="L112" s="50">
        <f t="shared" si="11"/>
        <v>650326.79999999993</v>
      </c>
      <c r="M112" s="50">
        <f t="shared" si="12"/>
        <v>0</v>
      </c>
      <c r="N112" s="50">
        <f t="shared" si="13"/>
        <v>650326.79999999993</v>
      </c>
      <c r="Q112" s="263"/>
      <c r="S112" s="262"/>
    </row>
    <row r="113" spans="1:19" ht="12.75" customHeight="1" x14ac:dyDescent="0.3">
      <c r="A113" s="100">
        <v>18.05</v>
      </c>
      <c r="B113" s="98" t="s">
        <v>125</v>
      </c>
      <c r="C113" s="133" t="s">
        <v>33</v>
      </c>
      <c r="D113" s="31">
        <v>1</v>
      </c>
      <c r="E113" s="181">
        <v>73235</v>
      </c>
      <c r="F113" s="181">
        <f t="shared" si="5"/>
        <v>73235</v>
      </c>
      <c r="H113" s="245"/>
      <c r="I113" s="250">
        <v>0.4</v>
      </c>
      <c r="J113" s="250"/>
      <c r="K113" s="251">
        <f t="shared" si="10"/>
        <v>0.4</v>
      </c>
      <c r="L113" s="50">
        <f t="shared" si="11"/>
        <v>29294</v>
      </c>
      <c r="M113" s="50">
        <f t="shared" si="12"/>
        <v>0</v>
      </c>
      <c r="N113" s="50">
        <f t="shared" si="13"/>
        <v>29294</v>
      </c>
    </row>
    <row r="114" spans="1:19" ht="12.75" customHeight="1" x14ac:dyDescent="0.3">
      <c r="A114" s="100">
        <v>18.059999999999999</v>
      </c>
      <c r="B114" s="98" t="s">
        <v>126</v>
      </c>
      <c r="C114" s="133" t="s">
        <v>33</v>
      </c>
      <c r="D114" s="31">
        <v>24</v>
      </c>
      <c r="E114" s="181">
        <v>73235</v>
      </c>
      <c r="F114" s="181">
        <f t="shared" si="5"/>
        <v>1757640</v>
      </c>
      <c r="H114" s="245"/>
      <c r="I114" s="250">
        <v>0.4</v>
      </c>
      <c r="J114" s="250"/>
      <c r="K114" s="251">
        <f t="shared" si="10"/>
        <v>0.4</v>
      </c>
      <c r="L114" s="50">
        <f t="shared" si="11"/>
        <v>703056</v>
      </c>
      <c r="M114" s="50">
        <f t="shared" si="12"/>
        <v>0</v>
      </c>
      <c r="N114" s="50">
        <f t="shared" si="13"/>
        <v>703056</v>
      </c>
      <c r="P114" s="262"/>
    </row>
    <row r="115" spans="1:19" ht="12.75" customHeight="1" x14ac:dyDescent="0.3">
      <c r="A115" s="100">
        <v>18.07</v>
      </c>
      <c r="B115" s="98" t="s">
        <v>127</v>
      </c>
      <c r="C115" s="133" t="s">
        <v>33</v>
      </c>
      <c r="D115" s="31">
        <v>226</v>
      </c>
      <c r="E115" s="181">
        <v>69154</v>
      </c>
      <c r="F115" s="181">
        <f t="shared" si="5"/>
        <v>15628804</v>
      </c>
      <c r="H115" s="245"/>
      <c r="I115" s="250">
        <v>0.47300000000000003</v>
      </c>
      <c r="J115" s="250">
        <v>0.03</v>
      </c>
      <c r="K115" s="251">
        <f t="shared" si="10"/>
        <v>0.503</v>
      </c>
      <c r="L115" s="50">
        <f t="shared" si="11"/>
        <v>7392424.2920000004</v>
      </c>
      <c r="M115" s="50">
        <f t="shared" si="12"/>
        <v>468864.12</v>
      </c>
      <c r="N115" s="50">
        <f t="shared" si="13"/>
        <v>7861288.4120000005</v>
      </c>
      <c r="Q115" s="263"/>
    </row>
    <row r="116" spans="1:19" ht="12.75" customHeight="1" x14ac:dyDescent="0.3">
      <c r="A116" s="100">
        <v>18.079999999999998</v>
      </c>
      <c r="B116" s="98" t="s">
        <v>128</v>
      </c>
      <c r="C116" s="133" t="s">
        <v>33</v>
      </c>
      <c r="D116" s="31">
        <v>32</v>
      </c>
      <c r="E116" s="181">
        <v>95308</v>
      </c>
      <c r="F116" s="181">
        <f t="shared" si="5"/>
        <v>3049856</v>
      </c>
      <c r="H116" s="245"/>
      <c r="I116" s="250">
        <v>0.47000000000000003</v>
      </c>
      <c r="J116" s="250">
        <v>0.03</v>
      </c>
      <c r="K116" s="251">
        <f t="shared" si="10"/>
        <v>0.5</v>
      </c>
      <c r="L116" s="50">
        <f t="shared" si="11"/>
        <v>1433432.32</v>
      </c>
      <c r="M116" s="50">
        <f t="shared" si="12"/>
        <v>91495.679999999993</v>
      </c>
      <c r="N116" s="50">
        <f t="shared" si="13"/>
        <v>1524928</v>
      </c>
    </row>
    <row r="117" spans="1:19" ht="12.75" customHeight="1" x14ac:dyDescent="0.3">
      <c r="A117" s="100">
        <v>18.09</v>
      </c>
      <c r="B117" s="98" t="s">
        <v>129</v>
      </c>
      <c r="C117" s="133" t="s">
        <v>33</v>
      </c>
      <c r="D117" s="31">
        <v>8</v>
      </c>
      <c r="E117" s="181">
        <v>69154</v>
      </c>
      <c r="F117" s="181">
        <f t="shared" si="5"/>
        <v>553232</v>
      </c>
      <c r="H117" s="245"/>
      <c r="I117" s="250">
        <v>0</v>
      </c>
      <c r="J117" s="250"/>
      <c r="K117" s="251">
        <f t="shared" si="10"/>
        <v>0</v>
      </c>
      <c r="L117" s="50">
        <f t="shared" si="11"/>
        <v>0</v>
      </c>
      <c r="M117" s="50">
        <f t="shared" si="12"/>
        <v>0</v>
      </c>
      <c r="N117" s="50">
        <f t="shared" si="13"/>
        <v>0</v>
      </c>
    </row>
    <row r="118" spans="1:19" ht="12.75" customHeight="1" x14ac:dyDescent="0.3">
      <c r="A118" s="100">
        <v>18.100000000000001</v>
      </c>
      <c r="B118" s="98" t="s">
        <v>130</v>
      </c>
      <c r="C118" s="133" t="s">
        <v>33</v>
      </c>
      <c r="D118" s="31">
        <v>8</v>
      </c>
      <c r="E118" s="181">
        <v>69154</v>
      </c>
      <c r="F118" s="181">
        <f t="shared" si="5"/>
        <v>553232</v>
      </c>
      <c r="H118" s="245"/>
      <c r="I118" s="250">
        <v>0.45</v>
      </c>
      <c r="J118" s="250"/>
      <c r="K118" s="251">
        <f t="shared" si="10"/>
        <v>0.45</v>
      </c>
      <c r="L118" s="50">
        <f t="shared" si="11"/>
        <v>248954.4</v>
      </c>
      <c r="M118" s="50">
        <f t="shared" si="12"/>
        <v>0</v>
      </c>
      <c r="N118" s="50">
        <f t="shared" si="13"/>
        <v>248954.4</v>
      </c>
    </row>
    <row r="119" spans="1:19" ht="12.75" customHeight="1" x14ac:dyDescent="0.3">
      <c r="A119" s="100">
        <v>18.11</v>
      </c>
      <c r="B119" s="98" t="s">
        <v>131</v>
      </c>
      <c r="C119" s="133" t="s">
        <v>33</v>
      </c>
      <c r="D119" s="31">
        <v>26</v>
      </c>
      <c r="E119" s="181">
        <v>50616</v>
      </c>
      <c r="F119" s="181">
        <f t="shared" si="5"/>
        <v>1316016</v>
      </c>
      <c r="H119" s="245"/>
      <c r="I119" s="250">
        <v>0</v>
      </c>
      <c r="J119" s="250"/>
      <c r="K119" s="251">
        <f t="shared" si="10"/>
        <v>0</v>
      </c>
      <c r="L119" s="50">
        <f t="shared" si="11"/>
        <v>0</v>
      </c>
      <c r="M119" s="50">
        <f t="shared" si="12"/>
        <v>0</v>
      </c>
      <c r="N119" s="50">
        <f t="shared" si="13"/>
        <v>0</v>
      </c>
    </row>
    <row r="120" spans="1:19" ht="12.75" customHeight="1" x14ac:dyDescent="0.3">
      <c r="A120" s="100">
        <v>18.12</v>
      </c>
      <c r="B120" s="98" t="s">
        <v>132</v>
      </c>
      <c r="C120" s="133" t="s">
        <v>33</v>
      </c>
      <c r="D120" s="31">
        <v>27</v>
      </c>
      <c r="E120" s="181">
        <v>50616</v>
      </c>
      <c r="F120" s="181">
        <f t="shared" si="5"/>
        <v>1366632</v>
      </c>
      <c r="H120" s="245"/>
      <c r="I120" s="250">
        <v>0.57000000000000006</v>
      </c>
      <c r="J120" s="250">
        <v>0.03</v>
      </c>
      <c r="K120" s="251">
        <f t="shared" si="10"/>
        <v>0.60000000000000009</v>
      </c>
      <c r="L120" s="50">
        <f t="shared" si="11"/>
        <v>778980.24000000011</v>
      </c>
      <c r="M120" s="50">
        <f t="shared" si="12"/>
        <v>40998.959999999999</v>
      </c>
      <c r="N120" s="50">
        <f t="shared" si="13"/>
        <v>819979.20000000007</v>
      </c>
    </row>
    <row r="121" spans="1:19" ht="12.75" customHeight="1" x14ac:dyDescent="0.3">
      <c r="A121" s="100">
        <v>18.13</v>
      </c>
      <c r="B121" s="98" t="s">
        <v>133</v>
      </c>
      <c r="C121" s="133" t="s">
        <v>33</v>
      </c>
      <c r="D121" s="31">
        <v>9</v>
      </c>
      <c r="E121" s="181">
        <v>50616</v>
      </c>
      <c r="F121" s="181">
        <f t="shared" si="5"/>
        <v>455544</v>
      </c>
      <c r="H121" s="245"/>
      <c r="I121" s="250">
        <v>0</v>
      </c>
      <c r="J121" s="250"/>
      <c r="K121" s="251">
        <f t="shared" si="10"/>
        <v>0</v>
      </c>
      <c r="L121" s="50">
        <f t="shared" si="11"/>
        <v>0</v>
      </c>
      <c r="M121" s="50">
        <f t="shared" si="12"/>
        <v>0</v>
      </c>
      <c r="N121" s="50">
        <f t="shared" si="13"/>
        <v>0</v>
      </c>
    </row>
    <row r="122" spans="1:19" ht="12.75" customHeight="1" x14ac:dyDescent="0.3">
      <c r="A122" s="100">
        <v>18.14</v>
      </c>
      <c r="B122" s="98" t="s">
        <v>134</v>
      </c>
      <c r="C122" s="133" t="s">
        <v>33</v>
      </c>
      <c r="D122" s="31">
        <v>29</v>
      </c>
      <c r="E122" s="181">
        <v>50616</v>
      </c>
      <c r="F122" s="181">
        <f t="shared" si="5"/>
        <v>1467864</v>
      </c>
      <c r="H122" s="245"/>
      <c r="I122" s="250">
        <v>0.57000000000000006</v>
      </c>
      <c r="J122" s="250">
        <v>0.03</v>
      </c>
      <c r="K122" s="251">
        <f t="shared" si="10"/>
        <v>0.60000000000000009</v>
      </c>
      <c r="L122" s="50">
        <f t="shared" si="11"/>
        <v>836682.4800000001</v>
      </c>
      <c r="M122" s="50">
        <f t="shared" si="12"/>
        <v>44035.92</v>
      </c>
      <c r="N122" s="50">
        <f t="shared" si="13"/>
        <v>880718.40000000014</v>
      </c>
    </row>
    <row r="123" spans="1:19" ht="12.75" customHeight="1" x14ac:dyDescent="0.3">
      <c r="A123" s="100">
        <v>18.149999999999999</v>
      </c>
      <c r="B123" s="98" t="s">
        <v>135</v>
      </c>
      <c r="C123" s="133" t="s">
        <v>33</v>
      </c>
      <c r="D123" s="31">
        <v>3</v>
      </c>
      <c r="E123" s="181">
        <v>50616</v>
      </c>
      <c r="F123" s="181">
        <f t="shared" si="5"/>
        <v>151848</v>
      </c>
      <c r="H123" s="245"/>
      <c r="I123" s="250">
        <v>0.4</v>
      </c>
      <c r="J123" s="250"/>
      <c r="K123" s="251">
        <f t="shared" si="10"/>
        <v>0.4</v>
      </c>
      <c r="L123" s="50">
        <f t="shared" si="11"/>
        <v>60739.200000000004</v>
      </c>
      <c r="M123" s="50">
        <f t="shared" si="12"/>
        <v>0</v>
      </c>
      <c r="N123" s="50">
        <f t="shared" si="13"/>
        <v>60739.200000000004</v>
      </c>
      <c r="Q123" s="263"/>
      <c r="S123" s="262"/>
    </row>
    <row r="124" spans="1:19" ht="12.75" customHeight="1" x14ac:dyDescent="0.3">
      <c r="A124" s="100">
        <v>18.16</v>
      </c>
      <c r="B124" s="98" t="s">
        <v>136</v>
      </c>
      <c r="C124" s="133" t="s">
        <v>33</v>
      </c>
      <c r="D124" s="31">
        <v>1</v>
      </c>
      <c r="E124" s="181">
        <v>2245770</v>
      </c>
      <c r="F124" s="181">
        <f t="shared" si="5"/>
        <v>2245770</v>
      </c>
      <c r="H124" s="245"/>
      <c r="I124" s="250">
        <v>0</v>
      </c>
      <c r="J124" s="250"/>
      <c r="K124" s="251">
        <f t="shared" si="10"/>
        <v>0</v>
      </c>
      <c r="L124" s="50">
        <f t="shared" si="11"/>
        <v>0</v>
      </c>
      <c r="M124" s="50">
        <f t="shared" si="12"/>
        <v>0</v>
      </c>
      <c r="N124" s="50">
        <f t="shared" si="13"/>
        <v>0</v>
      </c>
    </row>
    <row r="125" spans="1:19" ht="12.75" customHeight="1" x14ac:dyDescent="0.3">
      <c r="A125" s="100">
        <v>18.170000000000002</v>
      </c>
      <c r="B125" s="98" t="s">
        <v>137</v>
      </c>
      <c r="C125" s="133" t="s">
        <v>33</v>
      </c>
      <c r="D125" s="31">
        <v>1</v>
      </c>
      <c r="E125" s="181">
        <v>1116033</v>
      </c>
      <c r="F125" s="181">
        <f t="shared" si="5"/>
        <v>1116033</v>
      </c>
      <c r="H125" s="245"/>
      <c r="I125" s="250">
        <v>0</v>
      </c>
      <c r="J125" s="250"/>
      <c r="K125" s="251">
        <f t="shared" si="10"/>
        <v>0</v>
      </c>
      <c r="L125" s="50">
        <f t="shared" si="11"/>
        <v>0</v>
      </c>
      <c r="M125" s="50">
        <f t="shared" si="12"/>
        <v>0</v>
      </c>
      <c r="N125" s="50">
        <f t="shared" si="13"/>
        <v>0</v>
      </c>
    </row>
    <row r="126" spans="1:19" ht="12.75" customHeight="1" x14ac:dyDescent="0.3">
      <c r="A126" s="100">
        <v>18.18</v>
      </c>
      <c r="B126" s="98" t="s">
        <v>138</v>
      </c>
      <c r="C126" s="133" t="s">
        <v>33</v>
      </c>
      <c r="D126" s="31">
        <v>2</v>
      </c>
      <c r="E126" s="181">
        <v>530996</v>
      </c>
      <c r="F126" s="181">
        <f t="shared" si="5"/>
        <v>1061992</v>
      </c>
      <c r="H126" s="245"/>
      <c r="I126" s="250">
        <v>0</v>
      </c>
      <c r="J126" s="250"/>
      <c r="K126" s="251">
        <f t="shared" si="10"/>
        <v>0</v>
      </c>
      <c r="L126" s="50">
        <f t="shared" si="11"/>
        <v>0</v>
      </c>
      <c r="M126" s="50">
        <f t="shared" si="12"/>
        <v>0</v>
      </c>
      <c r="N126" s="50">
        <f t="shared" si="13"/>
        <v>0</v>
      </c>
    </row>
    <row r="127" spans="1:19" ht="12.75" customHeight="1" x14ac:dyDescent="0.3">
      <c r="A127" s="100">
        <v>18.190000000000001</v>
      </c>
      <c r="B127" s="98" t="s">
        <v>139</v>
      </c>
      <c r="C127" s="133" t="s">
        <v>33</v>
      </c>
      <c r="D127" s="31">
        <v>9</v>
      </c>
      <c r="E127" s="181">
        <v>595409</v>
      </c>
      <c r="F127" s="181">
        <f t="shared" si="5"/>
        <v>5358681</v>
      </c>
      <c r="H127" s="245"/>
      <c r="I127" s="250">
        <v>0.2</v>
      </c>
      <c r="J127" s="250">
        <v>0.1</v>
      </c>
      <c r="K127" s="251">
        <f t="shared" si="10"/>
        <v>0.30000000000000004</v>
      </c>
      <c r="L127" s="50">
        <f t="shared" si="11"/>
        <v>1071736.2</v>
      </c>
      <c r="M127" s="50">
        <f t="shared" si="12"/>
        <v>535868.1</v>
      </c>
      <c r="N127" s="50">
        <f t="shared" si="13"/>
        <v>1607604.3000000003</v>
      </c>
    </row>
    <row r="128" spans="1:19" ht="12.75" customHeight="1" x14ac:dyDescent="0.3">
      <c r="A128" s="100">
        <v>18.2</v>
      </c>
      <c r="B128" s="98" t="s">
        <v>140</v>
      </c>
      <c r="C128" s="133" t="s">
        <v>29</v>
      </c>
      <c r="D128" s="31">
        <v>1</v>
      </c>
      <c r="E128" s="181">
        <v>6378278</v>
      </c>
      <c r="F128" s="181">
        <f t="shared" si="5"/>
        <v>6378278</v>
      </c>
      <c r="H128" s="245"/>
      <c r="I128" s="250">
        <v>0.15</v>
      </c>
      <c r="J128" s="250">
        <v>0.15</v>
      </c>
      <c r="K128" s="251">
        <f t="shared" si="10"/>
        <v>0.3</v>
      </c>
      <c r="L128" s="50">
        <f t="shared" si="11"/>
        <v>956741.7</v>
      </c>
      <c r="M128" s="50">
        <f t="shared" si="12"/>
        <v>956741.7</v>
      </c>
      <c r="N128" s="50">
        <f t="shared" si="13"/>
        <v>1913483.4</v>
      </c>
    </row>
    <row r="129" spans="1:14" ht="12.75" customHeight="1" x14ac:dyDescent="0.3">
      <c r="A129" s="100">
        <v>18.21</v>
      </c>
      <c r="B129" s="98" t="s">
        <v>141</v>
      </c>
      <c r="C129" s="133" t="s">
        <v>29</v>
      </c>
      <c r="D129" s="31">
        <v>1</v>
      </c>
      <c r="E129" s="181">
        <v>1695726</v>
      </c>
      <c r="F129" s="181">
        <f t="shared" si="5"/>
        <v>1695726</v>
      </c>
      <c r="H129" s="245"/>
      <c r="I129" s="250">
        <v>0.15</v>
      </c>
      <c r="J129" s="250">
        <v>0.15</v>
      </c>
      <c r="K129" s="251">
        <f t="shared" si="10"/>
        <v>0.3</v>
      </c>
      <c r="L129" s="50">
        <f t="shared" si="11"/>
        <v>254358.9</v>
      </c>
      <c r="M129" s="50">
        <f t="shared" si="12"/>
        <v>254358.9</v>
      </c>
      <c r="N129" s="50">
        <f t="shared" si="13"/>
        <v>508717.8</v>
      </c>
    </row>
    <row r="130" spans="1:14" ht="12.75" customHeight="1" x14ac:dyDescent="0.3">
      <c r="A130" s="100">
        <v>18.22</v>
      </c>
      <c r="B130" s="98" t="s">
        <v>142</v>
      </c>
      <c r="C130" s="133" t="s">
        <v>29</v>
      </c>
      <c r="D130" s="31">
        <v>1</v>
      </c>
      <c r="E130" s="181">
        <v>1695726</v>
      </c>
      <c r="F130" s="181">
        <f t="shared" si="5"/>
        <v>1695726</v>
      </c>
      <c r="H130" s="245"/>
      <c r="I130" s="250">
        <v>0.15</v>
      </c>
      <c r="J130" s="250">
        <v>0.15</v>
      </c>
      <c r="K130" s="251">
        <f t="shared" si="10"/>
        <v>0.3</v>
      </c>
      <c r="L130" s="50">
        <f t="shared" si="11"/>
        <v>254358.9</v>
      </c>
      <c r="M130" s="50">
        <f t="shared" si="12"/>
        <v>254358.9</v>
      </c>
      <c r="N130" s="50">
        <f t="shared" si="13"/>
        <v>508717.8</v>
      </c>
    </row>
    <row r="131" spans="1:14" ht="12.75" customHeight="1" x14ac:dyDescent="0.3">
      <c r="A131" s="100">
        <v>18.23</v>
      </c>
      <c r="B131" s="98" t="s">
        <v>143</v>
      </c>
      <c r="C131" s="133" t="s">
        <v>33</v>
      </c>
      <c r="D131" s="31">
        <v>16</v>
      </c>
      <c r="E131" s="181">
        <v>15984</v>
      </c>
      <c r="F131" s="181">
        <f t="shared" si="5"/>
        <v>255744</v>
      </c>
      <c r="H131" s="245"/>
      <c r="I131" s="250">
        <v>0</v>
      </c>
      <c r="J131" s="250"/>
      <c r="K131" s="251">
        <f t="shared" si="10"/>
        <v>0</v>
      </c>
      <c r="L131" s="50">
        <f t="shared" si="11"/>
        <v>0</v>
      </c>
      <c r="M131" s="50">
        <f t="shared" si="12"/>
        <v>0</v>
      </c>
      <c r="N131" s="50">
        <f t="shared" si="13"/>
        <v>0</v>
      </c>
    </row>
    <row r="132" spans="1:14" ht="12.75" customHeight="1" x14ac:dyDescent="0.3">
      <c r="A132" s="100">
        <v>18.239999999999998</v>
      </c>
      <c r="B132" s="98" t="s">
        <v>144</v>
      </c>
      <c r="C132" s="133" t="s">
        <v>33</v>
      </c>
      <c r="D132" s="31">
        <v>140</v>
      </c>
      <c r="E132" s="181">
        <v>10416</v>
      </c>
      <c r="F132" s="181">
        <f t="shared" si="5"/>
        <v>1458240</v>
      </c>
      <c r="H132" s="245"/>
      <c r="I132" s="250">
        <v>0</v>
      </c>
      <c r="J132" s="250"/>
      <c r="K132" s="251">
        <f t="shared" si="10"/>
        <v>0</v>
      </c>
      <c r="L132" s="50">
        <f t="shared" si="11"/>
        <v>0</v>
      </c>
      <c r="M132" s="50">
        <f t="shared" si="12"/>
        <v>0</v>
      </c>
      <c r="N132" s="50">
        <f t="shared" si="13"/>
        <v>0</v>
      </c>
    </row>
    <row r="133" spans="1:14" ht="12.75" customHeight="1" x14ac:dyDescent="0.3">
      <c r="A133" s="100">
        <v>18.25</v>
      </c>
      <c r="B133" s="98" t="s">
        <v>145</v>
      </c>
      <c r="C133" s="133" t="s">
        <v>33</v>
      </c>
      <c r="D133" s="31">
        <v>226</v>
      </c>
      <c r="E133" s="181">
        <v>10416</v>
      </c>
      <c r="F133" s="181">
        <f t="shared" si="5"/>
        <v>2354016</v>
      </c>
      <c r="H133" s="245"/>
      <c r="I133" s="250">
        <v>0</v>
      </c>
      <c r="J133" s="250"/>
      <c r="K133" s="251">
        <f t="shared" si="10"/>
        <v>0</v>
      </c>
      <c r="L133" s="50">
        <f t="shared" si="11"/>
        <v>0</v>
      </c>
      <c r="M133" s="50">
        <f t="shared" si="12"/>
        <v>0</v>
      </c>
      <c r="N133" s="50">
        <f t="shared" si="13"/>
        <v>0</v>
      </c>
    </row>
    <row r="134" spans="1:14" ht="12.75" customHeight="1" x14ac:dyDescent="0.3">
      <c r="A134" s="100">
        <v>18.260000000000002</v>
      </c>
      <c r="B134" s="98" t="s">
        <v>146</v>
      </c>
      <c r="C134" s="133" t="s">
        <v>33</v>
      </c>
      <c r="D134" s="31">
        <v>8</v>
      </c>
      <c r="E134" s="181">
        <v>25377</v>
      </c>
      <c r="F134" s="181">
        <f t="shared" si="5"/>
        <v>203016</v>
      </c>
      <c r="H134" s="245"/>
      <c r="I134" s="250">
        <v>0</v>
      </c>
      <c r="J134" s="250"/>
      <c r="K134" s="251">
        <f t="shared" si="10"/>
        <v>0</v>
      </c>
      <c r="L134" s="50">
        <f t="shared" si="11"/>
        <v>0</v>
      </c>
      <c r="M134" s="50">
        <f t="shared" si="12"/>
        <v>0</v>
      </c>
      <c r="N134" s="50">
        <f t="shared" si="13"/>
        <v>0</v>
      </c>
    </row>
    <row r="135" spans="1:14" ht="12.75" customHeight="1" x14ac:dyDescent="0.3">
      <c r="A135" s="100">
        <v>18.27</v>
      </c>
      <c r="B135" s="98" t="s">
        <v>147</v>
      </c>
      <c r="C135" s="133" t="s">
        <v>33</v>
      </c>
      <c r="D135" s="31">
        <v>24</v>
      </c>
      <c r="E135" s="181">
        <v>93081</v>
      </c>
      <c r="F135" s="181">
        <f t="shared" si="5"/>
        <v>2233944</v>
      </c>
      <c r="H135" s="245"/>
      <c r="I135" s="250">
        <v>0</v>
      </c>
      <c r="J135" s="250"/>
      <c r="K135" s="251">
        <f t="shared" si="10"/>
        <v>0</v>
      </c>
      <c r="L135" s="50">
        <f t="shared" si="11"/>
        <v>0</v>
      </c>
      <c r="M135" s="50">
        <f t="shared" si="12"/>
        <v>0</v>
      </c>
      <c r="N135" s="50">
        <f t="shared" si="13"/>
        <v>0</v>
      </c>
    </row>
    <row r="136" spans="1:14" ht="12.75" customHeight="1" x14ac:dyDescent="0.3">
      <c r="A136" s="100">
        <v>18.28</v>
      </c>
      <c r="B136" s="98" t="s">
        <v>148</v>
      </c>
      <c r="C136" s="133" t="s">
        <v>33</v>
      </c>
      <c r="D136" s="31">
        <v>12</v>
      </c>
      <c r="E136" s="181">
        <v>25377</v>
      </c>
      <c r="F136" s="181">
        <f t="shared" si="5"/>
        <v>304524</v>
      </c>
      <c r="H136" s="245"/>
      <c r="I136" s="250">
        <v>0</v>
      </c>
      <c r="J136" s="250"/>
      <c r="K136" s="251">
        <f t="shared" si="10"/>
        <v>0</v>
      </c>
      <c r="L136" s="50">
        <f t="shared" si="11"/>
        <v>0</v>
      </c>
      <c r="M136" s="50">
        <f t="shared" si="12"/>
        <v>0</v>
      </c>
      <c r="N136" s="50">
        <f t="shared" si="13"/>
        <v>0</v>
      </c>
    </row>
    <row r="137" spans="1:14" ht="12.75" customHeight="1" x14ac:dyDescent="0.3">
      <c r="A137" s="100">
        <v>18.2899999999999</v>
      </c>
      <c r="B137" s="98" t="s">
        <v>149</v>
      </c>
      <c r="C137" s="133" t="s">
        <v>33</v>
      </c>
      <c r="D137" s="31">
        <v>1</v>
      </c>
      <c r="E137" s="181">
        <v>25377</v>
      </c>
      <c r="F137" s="181">
        <f t="shared" si="5"/>
        <v>25377</v>
      </c>
      <c r="H137" s="245"/>
      <c r="I137" s="250">
        <v>0</v>
      </c>
      <c r="J137" s="250"/>
      <c r="K137" s="251">
        <f t="shared" si="10"/>
        <v>0</v>
      </c>
      <c r="L137" s="50">
        <f t="shared" si="11"/>
        <v>0</v>
      </c>
      <c r="M137" s="50">
        <f t="shared" si="12"/>
        <v>0</v>
      </c>
      <c r="N137" s="50">
        <f t="shared" si="13"/>
        <v>0</v>
      </c>
    </row>
    <row r="138" spans="1:14" ht="12.75" customHeight="1" x14ac:dyDescent="0.3">
      <c r="A138" s="100">
        <v>18.299999999999901</v>
      </c>
      <c r="B138" s="98" t="s">
        <v>150</v>
      </c>
      <c r="C138" s="133" t="s">
        <v>33</v>
      </c>
      <c r="D138" s="31">
        <v>109</v>
      </c>
      <c r="E138" s="181">
        <v>15984</v>
      </c>
      <c r="F138" s="181">
        <f t="shared" ref="F138:F194" si="14">+E138*D138</f>
        <v>1742256</v>
      </c>
      <c r="H138" s="245"/>
      <c r="I138" s="250">
        <v>0</v>
      </c>
      <c r="J138" s="250"/>
      <c r="K138" s="251">
        <f t="shared" si="10"/>
        <v>0</v>
      </c>
      <c r="L138" s="50">
        <f t="shared" si="11"/>
        <v>0</v>
      </c>
      <c r="M138" s="50">
        <f t="shared" si="12"/>
        <v>0</v>
      </c>
      <c r="N138" s="50">
        <f t="shared" si="13"/>
        <v>0</v>
      </c>
    </row>
    <row r="139" spans="1:14" ht="12.75" customHeight="1" x14ac:dyDescent="0.3">
      <c r="A139" s="100">
        <v>18.309999999999899</v>
      </c>
      <c r="B139" s="98" t="s">
        <v>151</v>
      </c>
      <c r="C139" s="133" t="s">
        <v>29</v>
      </c>
      <c r="D139" s="31">
        <v>1</v>
      </c>
      <c r="E139" s="181">
        <v>5516929</v>
      </c>
      <c r="F139" s="181">
        <f t="shared" si="14"/>
        <v>5516929</v>
      </c>
      <c r="H139" s="245"/>
      <c r="I139" s="250">
        <v>0</v>
      </c>
      <c r="J139" s="250"/>
      <c r="K139" s="251">
        <f t="shared" si="10"/>
        <v>0</v>
      </c>
      <c r="L139" s="50">
        <f t="shared" si="11"/>
        <v>0</v>
      </c>
      <c r="M139" s="50">
        <f t="shared" si="12"/>
        <v>0</v>
      </c>
      <c r="N139" s="50">
        <f t="shared" si="13"/>
        <v>0</v>
      </c>
    </row>
    <row r="140" spans="1:14" ht="12.75" customHeight="1" x14ac:dyDescent="0.3">
      <c r="A140" s="100">
        <v>18.319999999999901</v>
      </c>
      <c r="B140" s="294" t="s">
        <v>152</v>
      </c>
      <c r="C140" s="133" t="s">
        <v>29</v>
      </c>
      <c r="D140" s="31">
        <v>1</v>
      </c>
      <c r="E140" s="181">
        <v>957554</v>
      </c>
      <c r="F140" s="181">
        <f t="shared" si="14"/>
        <v>957554</v>
      </c>
      <c r="H140" s="245"/>
      <c r="I140" s="250">
        <v>0</v>
      </c>
      <c r="J140" s="250"/>
      <c r="K140" s="251">
        <f t="shared" ref="K140:K194" si="15">+I140+J140</f>
        <v>0</v>
      </c>
      <c r="L140" s="50">
        <f t="shared" ref="L140:L194" si="16">+F140*I140</f>
        <v>0</v>
      </c>
      <c r="M140" s="50">
        <f t="shared" ref="M140:M194" si="17">+F140*J140</f>
        <v>0</v>
      </c>
      <c r="N140" s="50">
        <f t="shared" ref="N140:N194" si="18">+F140*K140</f>
        <v>0</v>
      </c>
    </row>
    <row r="141" spans="1:14" ht="12.75" customHeight="1" x14ac:dyDescent="0.3">
      <c r="A141" s="100">
        <v>18.329999999999899</v>
      </c>
      <c r="B141" s="134" t="s">
        <v>153</v>
      </c>
      <c r="C141" s="135" t="s">
        <v>29</v>
      </c>
      <c r="D141" s="35">
        <v>1</v>
      </c>
      <c r="E141" s="181">
        <v>142634</v>
      </c>
      <c r="F141" s="181">
        <f t="shared" si="14"/>
        <v>142634</v>
      </c>
      <c r="H141" s="245"/>
      <c r="I141" s="250">
        <v>0</v>
      </c>
      <c r="J141" s="250"/>
      <c r="K141" s="251">
        <f t="shared" si="15"/>
        <v>0</v>
      </c>
      <c r="L141" s="50">
        <f t="shared" si="16"/>
        <v>0</v>
      </c>
      <c r="M141" s="50">
        <f t="shared" si="17"/>
        <v>0</v>
      </c>
      <c r="N141" s="50">
        <f t="shared" si="18"/>
        <v>0</v>
      </c>
    </row>
    <row r="142" spans="1:14" ht="12.75" customHeight="1" x14ac:dyDescent="0.3">
      <c r="A142" s="13">
        <v>19</v>
      </c>
      <c r="B142" s="40" t="s">
        <v>154</v>
      </c>
      <c r="C142" s="18"/>
      <c r="D142" s="19"/>
      <c r="E142" s="190"/>
      <c r="F142" s="190"/>
      <c r="G142" s="191"/>
      <c r="H142" s="245"/>
      <c r="I142" s="246"/>
      <c r="J142" s="247"/>
      <c r="K142" s="247"/>
      <c r="L142" s="178"/>
      <c r="M142" s="178"/>
      <c r="N142" s="179"/>
    </row>
    <row r="143" spans="1:14" ht="12.75" customHeight="1" x14ac:dyDescent="0.3">
      <c r="A143" s="13"/>
      <c r="B143" s="40" t="s">
        <v>155</v>
      </c>
      <c r="C143" s="18"/>
      <c r="D143" s="19"/>
      <c r="E143" s="19"/>
      <c r="F143" s="19"/>
      <c r="G143" s="192">
        <f>+SUM(F144:F146)</f>
        <v>21227962</v>
      </c>
      <c r="H143" s="245">
        <f>+G143/$G$195</f>
        <v>2.5126450140132647E-2</v>
      </c>
      <c r="I143" s="246"/>
      <c r="J143" s="247"/>
      <c r="K143" s="247"/>
      <c r="L143" s="178"/>
      <c r="M143" s="178"/>
      <c r="N143" s="179"/>
    </row>
    <row r="144" spans="1:14" ht="12.75" customHeight="1" x14ac:dyDescent="0.3">
      <c r="A144" s="20">
        <v>19.010000000000002</v>
      </c>
      <c r="B144" s="136" t="s">
        <v>156</v>
      </c>
      <c r="C144" s="122" t="s">
        <v>29</v>
      </c>
      <c r="D144" s="123">
        <v>1</v>
      </c>
      <c r="E144" s="183">
        <v>6793844</v>
      </c>
      <c r="F144" s="183">
        <f t="shared" si="14"/>
        <v>6793844</v>
      </c>
      <c r="H144" s="245"/>
      <c r="I144" s="250">
        <v>0</v>
      </c>
      <c r="J144" s="250"/>
      <c r="K144" s="251">
        <f t="shared" si="15"/>
        <v>0</v>
      </c>
      <c r="L144" s="50">
        <f t="shared" si="16"/>
        <v>0</v>
      </c>
      <c r="M144" s="50">
        <f t="shared" si="17"/>
        <v>0</v>
      </c>
      <c r="N144" s="50">
        <f t="shared" si="18"/>
        <v>0</v>
      </c>
    </row>
    <row r="145" spans="1:14" ht="12.75" customHeight="1" x14ac:dyDescent="0.3">
      <c r="A145" s="24">
        <v>19.02</v>
      </c>
      <c r="B145" s="36" t="s">
        <v>157</v>
      </c>
      <c r="C145" s="28" t="s">
        <v>29</v>
      </c>
      <c r="D145" s="29">
        <v>1</v>
      </c>
      <c r="E145" s="181">
        <v>9552583</v>
      </c>
      <c r="F145" s="181">
        <f t="shared" si="14"/>
        <v>9552583</v>
      </c>
      <c r="H145" s="245"/>
      <c r="I145" s="250">
        <v>0.55000000000000004</v>
      </c>
      <c r="J145" s="250">
        <v>0.25</v>
      </c>
      <c r="K145" s="251">
        <f t="shared" si="15"/>
        <v>0.8</v>
      </c>
      <c r="L145" s="50">
        <f t="shared" si="16"/>
        <v>5253920.6500000004</v>
      </c>
      <c r="M145" s="50">
        <f t="shared" si="17"/>
        <v>2388145.75</v>
      </c>
      <c r="N145" s="50">
        <f t="shared" si="18"/>
        <v>7642066.4000000004</v>
      </c>
    </row>
    <row r="146" spans="1:14" ht="12.75" customHeight="1" x14ac:dyDescent="0.3">
      <c r="A146" s="33">
        <v>19.03</v>
      </c>
      <c r="B146" s="137" t="s">
        <v>158</v>
      </c>
      <c r="C146" s="138" t="s">
        <v>29</v>
      </c>
      <c r="D146" s="139">
        <v>1</v>
      </c>
      <c r="E146" s="181">
        <v>4881535</v>
      </c>
      <c r="F146" s="181">
        <f t="shared" si="14"/>
        <v>4881535</v>
      </c>
      <c r="H146" s="245"/>
      <c r="I146" s="250">
        <v>0.44999999999999996</v>
      </c>
      <c r="J146" s="250">
        <v>0.15</v>
      </c>
      <c r="K146" s="251">
        <f t="shared" si="15"/>
        <v>0.6</v>
      </c>
      <c r="L146" s="50">
        <f t="shared" si="16"/>
        <v>2196690.75</v>
      </c>
      <c r="M146" s="50">
        <f t="shared" si="17"/>
        <v>732230.25</v>
      </c>
      <c r="N146" s="50">
        <f t="shared" si="18"/>
        <v>2928921</v>
      </c>
    </row>
    <row r="147" spans="1:14" ht="12.75" customHeight="1" x14ac:dyDescent="0.3">
      <c r="A147" s="140"/>
      <c r="B147" s="141" t="s">
        <v>159</v>
      </c>
      <c r="C147" s="11"/>
      <c r="D147" s="12"/>
      <c r="E147" s="19"/>
      <c r="F147" s="19"/>
      <c r="G147" s="192">
        <f>+SUM(F148:F150)</f>
        <v>7075989</v>
      </c>
      <c r="H147" s="245">
        <f>+G147/$G$195</f>
        <v>8.3754853527920892E-3</v>
      </c>
      <c r="I147" s="246"/>
      <c r="J147" s="247"/>
      <c r="K147" s="247"/>
      <c r="L147" s="178"/>
      <c r="M147" s="178"/>
      <c r="N147" s="179"/>
    </row>
    <row r="148" spans="1:14" ht="12.75" customHeight="1" x14ac:dyDescent="0.3">
      <c r="A148" s="20">
        <v>19.04</v>
      </c>
      <c r="B148" s="136" t="s">
        <v>160</v>
      </c>
      <c r="C148" s="122" t="s">
        <v>29</v>
      </c>
      <c r="D148" s="123">
        <v>1</v>
      </c>
      <c r="E148" s="181">
        <v>2476596</v>
      </c>
      <c r="F148" s="181">
        <f t="shared" si="14"/>
        <v>2476596</v>
      </c>
      <c r="H148" s="245"/>
      <c r="I148" s="250">
        <v>0</v>
      </c>
      <c r="J148" s="250"/>
      <c r="K148" s="251">
        <f t="shared" si="15"/>
        <v>0</v>
      </c>
      <c r="L148" s="50">
        <f t="shared" si="16"/>
        <v>0</v>
      </c>
      <c r="M148" s="50">
        <f t="shared" si="17"/>
        <v>0</v>
      </c>
      <c r="N148" s="50">
        <f t="shared" si="18"/>
        <v>0</v>
      </c>
    </row>
    <row r="149" spans="1:14" ht="12.75" customHeight="1" x14ac:dyDescent="0.3">
      <c r="A149" s="24">
        <v>19.05</v>
      </c>
      <c r="B149" s="36" t="s">
        <v>161</v>
      </c>
      <c r="C149" s="28" t="s">
        <v>29</v>
      </c>
      <c r="D149" s="29">
        <v>1</v>
      </c>
      <c r="E149" s="181">
        <v>3537994</v>
      </c>
      <c r="F149" s="181">
        <f t="shared" si="14"/>
        <v>3537994</v>
      </c>
      <c r="H149" s="245"/>
      <c r="I149" s="250">
        <v>0.44999999999999996</v>
      </c>
      <c r="J149" s="250">
        <v>0.2</v>
      </c>
      <c r="K149" s="251">
        <f t="shared" si="15"/>
        <v>0.64999999999999991</v>
      </c>
      <c r="L149" s="50">
        <f t="shared" si="16"/>
        <v>1592097.2999999998</v>
      </c>
      <c r="M149" s="50">
        <f t="shared" si="17"/>
        <v>707598.8</v>
      </c>
      <c r="N149" s="50">
        <f t="shared" si="18"/>
        <v>2299696.0999999996</v>
      </c>
    </row>
    <row r="150" spans="1:14" ht="12.75" customHeight="1" x14ac:dyDescent="0.3">
      <c r="A150" s="33">
        <v>19.059999999999999</v>
      </c>
      <c r="B150" s="137" t="s">
        <v>162</v>
      </c>
      <c r="C150" s="138" t="s">
        <v>29</v>
      </c>
      <c r="D150" s="139">
        <v>1</v>
      </c>
      <c r="E150" s="181">
        <v>1061399</v>
      </c>
      <c r="F150" s="181">
        <f t="shared" si="14"/>
        <v>1061399</v>
      </c>
      <c r="H150" s="245"/>
      <c r="I150" s="250">
        <v>0</v>
      </c>
      <c r="J150" s="250"/>
      <c r="K150" s="251">
        <f t="shared" si="15"/>
        <v>0</v>
      </c>
      <c r="L150" s="50">
        <f t="shared" si="16"/>
        <v>0</v>
      </c>
      <c r="M150" s="50">
        <f t="shared" si="17"/>
        <v>0</v>
      </c>
      <c r="N150" s="50">
        <f t="shared" si="18"/>
        <v>0</v>
      </c>
    </row>
    <row r="151" spans="1:14" ht="12.75" customHeight="1" x14ac:dyDescent="0.3">
      <c r="A151" s="13"/>
      <c r="B151" s="40" t="s">
        <v>163</v>
      </c>
      <c r="C151" s="18"/>
      <c r="D151" s="19"/>
      <c r="E151" s="19"/>
      <c r="F151" s="19"/>
      <c r="G151" s="192">
        <f>+SUM(F152:F156)</f>
        <v>34829620</v>
      </c>
      <c r="H151" s="245">
        <f>+G151/$G$195</f>
        <v>4.1226035279777064E-2</v>
      </c>
      <c r="I151" s="246"/>
      <c r="J151" s="247"/>
      <c r="K151" s="247"/>
      <c r="L151" s="178"/>
      <c r="M151" s="178"/>
      <c r="N151" s="179"/>
    </row>
    <row r="152" spans="1:14" ht="12.75" customHeight="1" x14ac:dyDescent="0.3">
      <c r="A152" s="115">
        <v>19.07</v>
      </c>
      <c r="B152" s="142" t="s">
        <v>164</v>
      </c>
      <c r="C152" s="122" t="s">
        <v>29</v>
      </c>
      <c r="D152" s="123">
        <v>1</v>
      </c>
      <c r="E152" s="180">
        <v>3263223</v>
      </c>
      <c r="F152" s="180">
        <f t="shared" si="14"/>
        <v>3263223</v>
      </c>
      <c r="H152" s="245"/>
      <c r="I152" s="250">
        <v>0</v>
      </c>
      <c r="J152" s="250"/>
      <c r="K152" s="251">
        <f t="shared" si="15"/>
        <v>0</v>
      </c>
      <c r="L152" s="50">
        <f t="shared" si="16"/>
        <v>0</v>
      </c>
      <c r="M152" s="50">
        <f t="shared" si="17"/>
        <v>0</v>
      </c>
      <c r="N152" s="50">
        <f t="shared" si="18"/>
        <v>0</v>
      </c>
    </row>
    <row r="153" spans="1:14" ht="12.75" customHeight="1" x14ac:dyDescent="0.3">
      <c r="A153" s="100">
        <v>19.079999999999998</v>
      </c>
      <c r="B153" s="143" t="s">
        <v>165</v>
      </c>
      <c r="C153" s="28" t="s">
        <v>29</v>
      </c>
      <c r="D153" s="29">
        <v>1</v>
      </c>
      <c r="E153" s="181">
        <v>3665831</v>
      </c>
      <c r="F153" s="181">
        <f t="shared" si="14"/>
        <v>3665831</v>
      </c>
      <c r="H153" s="245"/>
      <c r="I153" s="250">
        <v>0</v>
      </c>
      <c r="J153" s="250">
        <v>0.3</v>
      </c>
      <c r="K153" s="251">
        <f t="shared" si="15"/>
        <v>0.3</v>
      </c>
      <c r="L153" s="50">
        <f t="shared" si="16"/>
        <v>0</v>
      </c>
      <c r="M153" s="50">
        <f t="shared" si="17"/>
        <v>1099749.3</v>
      </c>
      <c r="N153" s="50">
        <f t="shared" si="18"/>
        <v>1099749.3</v>
      </c>
    </row>
    <row r="154" spans="1:14" ht="12.75" customHeight="1" x14ac:dyDescent="0.3">
      <c r="A154" s="100">
        <v>19.09</v>
      </c>
      <c r="B154" s="144" t="s">
        <v>166</v>
      </c>
      <c r="C154" s="28" t="s">
        <v>29</v>
      </c>
      <c r="D154" s="29">
        <v>1</v>
      </c>
      <c r="E154" s="181">
        <v>3263223</v>
      </c>
      <c r="F154" s="181">
        <f t="shared" si="14"/>
        <v>3263223</v>
      </c>
      <c r="H154" s="245"/>
      <c r="I154" s="250">
        <v>0</v>
      </c>
      <c r="J154" s="250"/>
      <c r="K154" s="251">
        <f t="shared" si="15"/>
        <v>0</v>
      </c>
      <c r="L154" s="50">
        <f t="shared" si="16"/>
        <v>0</v>
      </c>
      <c r="M154" s="50">
        <f t="shared" si="17"/>
        <v>0</v>
      </c>
      <c r="N154" s="50">
        <f t="shared" si="18"/>
        <v>0</v>
      </c>
    </row>
    <row r="155" spans="1:14" ht="12.75" customHeight="1" x14ac:dyDescent="0.3">
      <c r="A155" s="100">
        <v>19.100000000000001</v>
      </c>
      <c r="B155" s="143" t="s">
        <v>167</v>
      </c>
      <c r="C155" s="28" t="s">
        <v>29</v>
      </c>
      <c r="D155" s="29">
        <v>1</v>
      </c>
      <c r="E155" s="181">
        <v>18413869</v>
      </c>
      <c r="F155" s="181">
        <f t="shared" si="14"/>
        <v>18413869</v>
      </c>
      <c r="H155" s="245"/>
      <c r="I155" s="250">
        <v>0.60000000000000009</v>
      </c>
      <c r="J155" s="250">
        <v>0.15</v>
      </c>
      <c r="K155" s="251">
        <f t="shared" si="15"/>
        <v>0.75000000000000011</v>
      </c>
      <c r="L155" s="50">
        <f t="shared" si="16"/>
        <v>11048321.400000002</v>
      </c>
      <c r="M155" s="50">
        <f t="shared" si="17"/>
        <v>2762080.35</v>
      </c>
      <c r="N155" s="50">
        <f t="shared" si="18"/>
        <v>13810401.750000002</v>
      </c>
    </row>
    <row r="156" spans="1:14" ht="12.75" customHeight="1" x14ac:dyDescent="0.3">
      <c r="A156" s="100">
        <v>19.11</v>
      </c>
      <c r="B156" s="145" t="s">
        <v>168</v>
      </c>
      <c r="C156" s="138" t="s">
        <v>29</v>
      </c>
      <c r="D156" s="139">
        <v>1</v>
      </c>
      <c r="E156" s="189">
        <v>6223474</v>
      </c>
      <c r="F156" s="189">
        <f t="shared" si="14"/>
        <v>6223474</v>
      </c>
      <c r="H156" s="245"/>
      <c r="I156" s="250">
        <v>0</v>
      </c>
      <c r="J156" s="250"/>
      <c r="K156" s="251">
        <f t="shared" si="15"/>
        <v>0</v>
      </c>
      <c r="L156" s="50">
        <f t="shared" si="16"/>
        <v>0</v>
      </c>
      <c r="M156" s="50">
        <f t="shared" si="17"/>
        <v>0</v>
      </c>
      <c r="N156" s="50">
        <f t="shared" si="18"/>
        <v>0</v>
      </c>
    </row>
    <row r="157" spans="1:14" ht="12.75" customHeight="1" x14ac:dyDescent="0.3">
      <c r="A157" s="13"/>
      <c r="B157" s="40" t="s">
        <v>169</v>
      </c>
      <c r="C157" s="18"/>
      <c r="D157" s="19"/>
      <c r="E157" s="19"/>
      <c r="F157" s="19"/>
      <c r="G157" s="192">
        <f>+SUM(F158)</f>
        <v>2637801</v>
      </c>
      <c r="H157" s="245">
        <f>+G157/$G$195</f>
        <v>3.1222297885257206E-3</v>
      </c>
      <c r="I157" s="246"/>
      <c r="J157" s="247"/>
      <c r="K157" s="247"/>
      <c r="L157" s="178"/>
      <c r="M157" s="178"/>
      <c r="N157" s="179"/>
    </row>
    <row r="158" spans="1:14" ht="12.75" customHeight="1" x14ac:dyDescent="0.3">
      <c r="A158" s="24">
        <v>19.12</v>
      </c>
      <c r="B158" s="36" t="s">
        <v>170</v>
      </c>
      <c r="C158" s="28" t="s">
        <v>29</v>
      </c>
      <c r="D158" s="29">
        <v>1</v>
      </c>
      <c r="E158" s="181">
        <v>2637801</v>
      </c>
      <c r="F158" s="181">
        <f t="shared" si="14"/>
        <v>2637801</v>
      </c>
      <c r="H158" s="245"/>
      <c r="I158" s="250">
        <v>0.8</v>
      </c>
      <c r="J158" s="250">
        <v>0.1</v>
      </c>
      <c r="K158" s="251">
        <f t="shared" si="15"/>
        <v>0.9</v>
      </c>
      <c r="L158" s="50">
        <f t="shared" si="16"/>
        <v>2110240.8000000003</v>
      </c>
      <c r="M158" s="50">
        <f t="shared" si="17"/>
        <v>263780.10000000003</v>
      </c>
      <c r="N158" s="50">
        <f t="shared" si="18"/>
        <v>2374020.9</v>
      </c>
    </row>
    <row r="159" spans="1:14" ht="12.75" customHeight="1" x14ac:dyDescent="0.3">
      <c r="A159" s="13"/>
      <c r="B159" s="40" t="s">
        <v>171</v>
      </c>
      <c r="C159" s="18"/>
      <c r="D159" s="19"/>
      <c r="E159" s="19"/>
      <c r="F159" s="19"/>
      <c r="G159" s="192">
        <f>+SUM(F160:F161)</f>
        <v>39784561</v>
      </c>
      <c r="H159" s="245">
        <f>+G159/$G$195</f>
        <v>4.7090944873255651E-2</v>
      </c>
      <c r="I159" s="246"/>
      <c r="J159" s="247"/>
      <c r="K159" s="247"/>
      <c r="L159" s="178"/>
      <c r="M159" s="178"/>
      <c r="N159" s="179"/>
    </row>
    <row r="160" spans="1:14" ht="12.75" customHeight="1" x14ac:dyDescent="0.3">
      <c r="A160" s="20">
        <v>19.13</v>
      </c>
      <c r="B160" s="136" t="s">
        <v>172</v>
      </c>
      <c r="C160" s="122" t="s">
        <v>29</v>
      </c>
      <c r="D160" s="123">
        <v>1</v>
      </c>
      <c r="E160" s="181">
        <v>36002858</v>
      </c>
      <c r="F160" s="181">
        <f t="shared" si="14"/>
        <v>36002858</v>
      </c>
      <c r="H160" s="245"/>
      <c r="I160" s="250">
        <v>0.15000000000000002</v>
      </c>
      <c r="J160" s="274"/>
      <c r="K160" s="251">
        <f t="shared" si="15"/>
        <v>0.15000000000000002</v>
      </c>
      <c r="L160" s="50">
        <f t="shared" si="16"/>
        <v>5400428.7000000011</v>
      </c>
      <c r="M160" s="50">
        <f t="shared" si="17"/>
        <v>0</v>
      </c>
      <c r="N160" s="50">
        <f t="shared" si="18"/>
        <v>5400428.7000000011</v>
      </c>
    </row>
    <row r="161" spans="1:14" ht="12.75" customHeight="1" x14ac:dyDescent="0.3">
      <c r="A161" s="33">
        <v>19.14</v>
      </c>
      <c r="B161" s="137" t="s">
        <v>173</v>
      </c>
      <c r="C161" s="138" t="s">
        <v>29</v>
      </c>
      <c r="D161" s="139">
        <v>1</v>
      </c>
      <c r="E161" s="181">
        <v>3781703</v>
      </c>
      <c r="F161" s="181">
        <f t="shared" si="14"/>
        <v>3781703</v>
      </c>
      <c r="H161" s="245"/>
      <c r="I161" s="250">
        <v>0</v>
      </c>
      <c r="J161" s="250"/>
      <c r="K161" s="251">
        <f t="shared" si="15"/>
        <v>0</v>
      </c>
      <c r="L161" s="50">
        <f t="shared" si="16"/>
        <v>0</v>
      </c>
      <c r="M161" s="50">
        <f t="shared" si="17"/>
        <v>0</v>
      </c>
      <c r="N161" s="50">
        <f t="shared" si="18"/>
        <v>0</v>
      </c>
    </row>
    <row r="162" spans="1:14" ht="12.75" customHeight="1" x14ac:dyDescent="0.3">
      <c r="A162" s="13"/>
      <c r="B162" s="40" t="s">
        <v>174</v>
      </c>
      <c r="C162" s="18"/>
      <c r="D162" s="19"/>
      <c r="E162" s="19"/>
      <c r="F162" s="19"/>
      <c r="G162" s="192">
        <f>+SUM(F163)</f>
        <v>6439007</v>
      </c>
      <c r="H162" s="245">
        <f>+G162/$G$195</f>
        <v>7.6215224211097178E-3</v>
      </c>
      <c r="I162" s="246"/>
      <c r="J162" s="247"/>
      <c r="K162" s="247"/>
      <c r="L162" s="178"/>
      <c r="M162" s="178"/>
      <c r="N162" s="179"/>
    </row>
    <row r="163" spans="1:14" ht="12.75" customHeight="1" x14ac:dyDescent="0.3">
      <c r="A163" s="24">
        <v>19.149999999999999</v>
      </c>
      <c r="B163" s="98" t="s">
        <v>175</v>
      </c>
      <c r="C163" s="28" t="s">
        <v>29</v>
      </c>
      <c r="D163" s="29">
        <v>1</v>
      </c>
      <c r="E163" s="181">
        <v>6439007</v>
      </c>
      <c r="F163" s="181">
        <f t="shared" si="14"/>
        <v>6439007</v>
      </c>
      <c r="H163" s="245"/>
      <c r="I163" s="250">
        <v>0</v>
      </c>
      <c r="J163" s="250">
        <v>0.3</v>
      </c>
      <c r="K163" s="251">
        <f t="shared" si="15"/>
        <v>0.3</v>
      </c>
      <c r="L163" s="50">
        <f t="shared" si="16"/>
        <v>0</v>
      </c>
      <c r="M163" s="50">
        <f t="shared" si="17"/>
        <v>1931702.0999999999</v>
      </c>
      <c r="N163" s="50">
        <f t="shared" si="18"/>
        <v>1931702.0999999999</v>
      </c>
    </row>
    <row r="164" spans="1:14" ht="12.75" customHeight="1" x14ac:dyDescent="0.3">
      <c r="A164" s="13"/>
      <c r="B164" s="40" t="s">
        <v>176</v>
      </c>
      <c r="C164" s="18"/>
      <c r="D164" s="19"/>
      <c r="E164" s="19"/>
      <c r="F164" s="19"/>
      <c r="G164" s="192">
        <f>+SUM(F165:F168)</f>
        <v>33172785</v>
      </c>
      <c r="H164" s="245">
        <f t="shared" ref="H164:H192" si="19">+G164/$G$195</f>
        <v>3.9264924645702685E-2</v>
      </c>
      <c r="I164" s="246"/>
      <c r="J164" s="247"/>
      <c r="K164" s="247"/>
      <c r="L164" s="178"/>
      <c r="M164" s="178"/>
      <c r="N164" s="179"/>
    </row>
    <row r="165" spans="1:14" ht="12.75" customHeight="1" x14ac:dyDescent="0.3">
      <c r="A165" s="24">
        <v>19.16</v>
      </c>
      <c r="B165" s="143" t="s">
        <v>177</v>
      </c>
      <c r="C165" s="28" t="s">
        <v>29</v>
      </c>
      <c r="D165" s="29">
        <v>1</v>
      </c>
      <c r="E165" s="181">
        <v>27794007</v>
      </c>
      <c r="F165" s="181">
        <f t="shared" si="14"/>
        <v>27794007</v>
      </c>
      <c r="H165" s="245"/>
      <c r="I165" s="250">
        <v>0.25</v>
      </c>
      <c r="J165" s="274">
        <v>0.2</v>
      </c>
      <c r="K165" s="251">
        <f t="shared" si="15"/>
        <v>0.45</v>
      </c>
      <c r="L165" s="50">
        <f t="shared" si="16"/>
        <v>6948501.75</v>
      </c>
      <c r="M165" s="50">
        <f t="shared" si="17"/>
        <v>5558801.4000000004</v>
      </c>
      <c r="N165" s="50">
        <f t="shared" si="18"/>
        <v>12507303.15</v>
      </c>
    </row>
    <row r="166" spans="1:14" ht="12.75" customHeight="1" x14ac:dyDescent="0.3">
      <c r="A166" s="24">
        <v>19.170000000000002</v>
      </c>
      <c r="B166" s="146" t="s">
        <v>178</v>
      </c>
      <c r="C166" s="147" t="s">
        <v>33</v>
      </c>
      <c r="D166" s="148">
        <v>8</v>
      </c>
      <c r="E166" s="181">
        <v>59973</v>
      </c>
      <c r="F166" s="181">
        <f t="shared" si="14"/>
        <v>479784</v>
      </c>
      <c r="H166" s="245"/>
      <c r="I166" s="250">
        <v>0</v>
      </c>
      <c r="J166" s="250"/>
      <c r="K166" s="251">
        <f t="shared" si="15"/>
        <v>0</v>
      </c>
      <c r="L166" s="50">
        <f t="shared" si="16"/>
        <v>0</v>
      </c>
      <c r="M166" s="50">
        <f t="shared" si="17"/>
        <v>0</v>
      </c>
      <c r="N166" s="50">
        <f t="shared" si="18"/>
        <v>0</v>
      </c>
    </row>
    <row r="167" spans="1:14" ht="12.75" customHeight="1" x14ac:dyDescent="0.3">
      <c r="A167" s="24">
        <v>19.18</v>
      </c>
      <c r="B167" s="146" t="s">
        <v>179</v>
      </c>
      <c r="C167" s="147" t="s">
        <v>29</v>
      </c>
      <c r="D167" s="148">
        <v>8</v>
      </c>
      <c r="E167" s="181">
        <v>27640</v>
      </c>
      <c r="F167" s="181">
        <f t="shared" si="14"/>
        <v>221120</v>
      </c>
      <c r="H167" s="245"/>
      <c r="I167" s="250">
        <v>0</v>
      </c>
      <c r="J167" s="250"/>
      <c r="K167" s="251">
        <f t="shared" si="15"/>
        <v>0</v>
      </c>
      <c r="L167" s="50">
        <f t="shared" si="16"/>
        <v>0</v>
      </c>
      <c r="M167" s="50">
        <f t="shared" si="17"/>
        <v>0</v>
      </c>
      <c r="N167" s="50">
        <f t="shared" si="18"/>
        <v>0</v>
      </c>
    </row>
    <row r="168" spans="1:14" ht="12.75" customHeight="1" x14ac:dyDescent="0.3">
      <c r="A168" s="100">
        <v>19.190000000000001</v>
      </c>
      <c r="B168" s="145" t="s">
        <v>180</v>
      </c>
      <c r="C168" s="138" t="s">
        <v>29</v>
      </c>
      <c r="D168" s="139">
        <v>1</v>
      </c>
      <c r="E168" s="181">
        <v>4677874</v>
      </c>
      <c r="F168" s="181">
        <f t="shared" si="14"/>
        <v>4677874</v>
      </c>
      <c r="H168" s="245"/>
      <c r="I168" s="250">
        <v>0.2</v>
      </c>
      <c r="J168" s="250"/>
      <c r="K168" s="251">
        <f t="shared" si="15"/>
        <v>0.2</v>
      </c>
      <c r="L168" s="50">
        <f t="shared" si="16"/>
        <v>935574.8</v>
      </c>
      <c r="M168" s="50">
        <f t="shared" si="17"/>
        <v>0</v>
      </c>
      <c r="N168" s="50">
        <f t="shared" si="18"/>
        <v>935574.8</v>
      </c>
    </row>
    <row r="169" spans="1:14" ht="12.75" customHeight="1" x14ac:dyDescent="0.3">
      <c r="A169" s="13">
        <v>20</v>
      </c>
      <c r="B169" s="40" t="s">
        <v>181</v>
      </c>
      <c r="C169" s="18"/>
      <c r="D169" s="19"/>
      <c r="E169" s="19"/>
      <c r="F169" s="19"/>
      <c r="G169" s="192">
        <f>+SUM(F170:F171)</f>
        <v>0</v>
      </c>
      <c r="H169" s="245">
        <f t="shared" si="19"/>
        <v>0</v>
      </c>
      <c r="I169" s="246"/>
      <c r="J169" s="247"/>
      <c r="K169" s="247"/>
      <c r="L169" s="178"/>
      <c r="M169" s="178"/>
      <c r="N169" s="179"/>
    </row>
    <row r="170" spans="1:14" ht="12.75" customHeight="1" x14ac:dyDescent="0.3">
      <c r="A170" s="106">
        <v>20.010000000000002</v>
      </c>
      <c r="B170" s="107" t="s">
        <v>182</v>
      </c>
      <c r="C170" s="120" t="s">
        <v>33</v>
      </c>
      <c r="D170" s="121">
        <v>0</v>
      </c>
      <c r="E170" s="183">
        <v>0</v>
      </c>
      <c r="F170" s="183">
        <f t="shared" si="14"/>
        <v>0</v>
      </c>
      <c r="H170" s="245"/>
      <c r="I170" s="250">
        <v>0</v>
      </c>
      <c r="J170" s="250"/>
      <c r="K170" s="251">
        <f t="shared" si="15"/>
        <v>0</v>
      </c>
      <c r="L170" s="50">
        <f t="shared" si="16"/>
        <v>0</v>
      </c>
      <c r="M170" s="50">
        <f t="shared" si="17"/>
        <v>0</v>
      </c>
      <c r="N170" s="50">
        <f t="shared" si="18"/>
        <v>0</v>
      </c>
    </row>
    <row r="171" spans="1:14" ht="12.75" customHeight="1" x14ac:dyDescent="0.3">
      <c r="A171" s="24">
        <v>20.02</v>
      </c>
      <c r="B171" s="25" t="s">
        <v>183</v>
      </c>
      <c r="C171" s="112" t="s">
        <v>33</v>
      </c>
      <c r="D171" s="27">
        <v>0</v>
      </c>
      <c r="E171" s="181">
        <v>0</v>
      </c>
      <c r="F171" s="181">
        <f t="shared" si="14"/>
        <v>0</v>
      </c>
      <c r="H171" s="245"/>
      <c r="I171" s="250">
        <v>0</v>
      </c>
      <c r="J171" s="250"/>
      <c r="K171" s="251">
        <f t="shared" si="15"/>
        <v>0</v>
      </c>
      <c r="L171" s="50">
        <f t="shared" si="16"/>
        <v>0</v>
      </c>
      <c r="M171" s="50">
        <f t="shared" si="17"/>
        <v>0</v>
      </c>
      <c r="N171" s="50">
        <f t="shared" si="18"/>
        <v>0</v>
      </c>
    </row>
    <row r="172" spans="1:14" ht="12.75" customHeight="1" x14ac:dyDescent="0.3">
      <c r="A172" s="13">
        <v>21</v>
      </c>
      <c r="B172" s="40" t="s">
        <v>184</v>
      </c>
      <c r="C172" s="18"/>
      <c r="D172" s="19"/>
      <c r="E172" s="19"/>
      <c r="F172" s="19"/>
      <c r="G172" s="192">
        <f>+SUM(F173)</f>
        <v>0</v>
      </c>
      <c r="H172" s="245">
        <f t="shared" si="19"/>
        <v>0</v>
      </c>
      <c r="I172" s="246"/>
      <c r="J172" s="247"/>
      <c r="K172" s="247"/>
      <c r="L172" s="178"/>
      <c r="M172" s="178"/>
      <c r="N172" s="179"/>
    </row>
    <row r="173" spans="1:14" ht="12.75" customHeight="1" x14ac:dyDescent="0.3">
      <c r="A173" s="149">
        <v>21.01</v>
      </c>
      <c r="B173" s="150" t="s">
        <v>185</v>
      </c>
      <c r="C173" s="151" t="s">
        <v>29</v>
      </c>
      <c r="D173" s="152">
        <v>1</v>
      </c>
      <c r="E173" s="184">
        <v>0</v>
      </c>
      <c r="F173" s="181">
        <f t="shared" si="14"/>
        <v>0</v>
      </c>
      <c r="G173" s="182"/>
      <c r="H173" s="245"/>
      <c r="I173" s="250">
        <v>0</v>
      </c>
      <c r="J173" s="250"/>
      <c r="K173" s="251">
        <f t="shared" si="15"/>
        <v>0</v>
      </c>
      <c r="L173" s="50">
        <f t="shared" si="16"/>
        <v>0</v>
      </c>
      <c r="M173" s="50">
        <f t="shared" si="17"/>
        <v>0</v>
      </c>
      <c r="N173" s="50">
        <f t="shared" si="18"/>
        <v>0</v>
      </c>
    </row>
    <row r="174" spans="1:14" ht="12.75" customHeight="1" x14ac:dyDescent="0.3">
      <c r="A174" s="13">
        <v>22</v>
      </c>
      <c r="B174" s="40" t="s">
        <v>186</v>
      </c>
      <c r="C174" s="18"/>
      <c r="D174" s="19"/>
      <c r="E174" s="19"/>
      <c r="F174" s="19"/>
      <c r="G174" s="192">
        <f>+SUM(F175:F176)</f>
        <v>2934560</v>
      </c>
      <c r="H174" s="245">
        <f t="shared" si="19"/>
        <v>3.4734882002910904E-3</v>
      </c>
      <c r="I174" s="246"/>
      <c r="J174" s="247"/>
      <c r="K174" s="247"/>
      <c r="L174" s="178"/>
      <c r="M174" s="178"/>
      <c r="N174" s="179"/>
    </row>
    <row r="175" spans="1:14" ht="12.75" customHeight="1" x14ac:dyDescent="0.3">
      <c r="A175" s="115">
        <v>22.01</v>
      </c>
      <c r="B175" s="131" t="s">
        <v>187</v>
      </c>
      <c r="C175" s="132" t="s">
        <v>33</v>
      </c>
      <c r="D175" s="153">
        <v>8</v>
      </c>
      <c r="E175" s="184">
        <v>91705</v>
      </c>
      <c r="F175" s="183">
        <f t="shared" si="14"/>
        <v>733640</v>
      </c>
      <c r="H175" s="245"/>
      <c r="I175" s="250">
        <v>0</v>
      </c>
      <c r="J175" s="250"/>
      <c r="K175" s="251">
        <f t="shared" si="15"/>
        <v>0</v>
      </c>
      <c r="L175" s="50">
        <f t="shared" si="16"/>
        <v>0</v>
      </c>
      <c r="M175" s="50">
        <f t="shared" si="17"/>
        <v>0</v>
      </c>
      <c r="N175" s="50">
        <f t="shared" si="18"/>
        <v>0</v>
      </c>
    </row>
    <row r="176" spans="1:14" ht="12.75" customHeight="1" x14ac:dyDescent="0.3">
      <c r="A176" s="100">
        <v>22.02</v>
      </c>
      <c r="B176" s="98" t="s">
        <v>188</v>
      </c>
      <c r="C176" s="133" t="s">
        <v>33</v>
      </c>
      <c r="D176" s="153">
        <v>24</v>
      </c>
      <c r="E176" s="184">
        <v>91705</v>
      </c>
      <c r="F176" s="183">
        <f t="shared" si="14"/>
        <v>2200920</v>
      </c>
      <c r="H176" s="245"/>
      <c r="I176" s="250">
        <v>0</v>
      </c>
      <c r="J176" s="250"/>
      <c r="K176" s="251">
        <f t="shared" si="15"/>
        <v>0</v>
      </c>
      <c r="L176" s="50">
        <f t="shared" si="16"/>
        <v>0</v>
      </c>
      <c r="M176" s="50">
        <f t="shared" si="17"/>
        <v>0</v>
      </c>
      <c r="N176" s="50">
        <f t="shared" si="18"/>
        <v>0</v>
      </c>
    </row>
    <row r="177" spans="1:14" ht="12.75" customHeight="1" x14ac:dyDescent="0.3">
      <c r="A177" s="13">
        <v>23</v>
      </c>
      <c r="B177" s="40" t="s">
        <v>189</v>
      </c>
      <c r="C177" s="18"/>
      <c r="D177" s="19"/>
      <c r="E177" s="19"/>
      <c r="F177" s="19"/>
      <c r="G177" s="192">
        <f>+SUM(F178:F181)</f>
        <v>19050437</v>
      </c>
      <c r="H177" s="245">
        <f t="shared" si="19"/>
        <v>2.2549025451818604E-2</v>
      </c>
      <c r="I177" s="246"/>
      <c r="J177" s="247"/>
      <c r="K177" s="247"/>
      <c r="L177" s="178"/>
      <c r="M177" s="178"/>
      <c r="N177" s="179"/>
    </row>
    <row r="178" spans="1:14" ht="12.75" customHeight="1" x14ac:dyDescent="0.3">
      <c r="A178" s="115">
        <v>23.01</v>
      </c>
      <c r="B178" s="21" t="s">
        <v>190</v>
      </c>
      <c r="C178" s="93" t="s">
        <v>29</v>
      </c>
      <c r="D178" s="94">
        <v>6</v>
      </c>
      <c r="E178" s="180">
        <v>259063</v>
      </c>
      <c r="F178" s="180">
        <f t="shared" si="14"/>
        <v>1554378</v>
      </c>
      <c r="G178" s="182"/>
      <c r="H178" s="245"/>
      <c r="I178" s="250">
        <v>0.15</v>
      </c>
      <c r="J178" s="250">
        <v>0.35</v>
      </c>
      <c r="K178" s="251">
        <f t="shared" si="15"/>
        <v>0.5</v>
      </c>
      <c r="L178" s="50">
        <f t="shared" si="16"/>
        <v>233156.69999999998</v>
      </c>
      <c r="M178" s="50">
        <f t="shared" si="17"/>
        <v>544032.29999999993</v>
      </c>
      <c r="N178" s="50">
        <f t="shared" si="18"/>
        <v>777189</v>
      </c>
    </row>
    <row r="179" spans="1:14" ht="12.75" customHeight="1" x14ac:dyDescent="0.3">
      <c r="A179" s="100">
        <v>23.02</v>
      </c>
      <c r="B179" s="25" t="s">
        <v>191</v>
      </c>
      <c r="C179" s="30" t="s">
        <v>29</v>
      </c>
      <c r="D179" s="31">
        <v>1</v>
      </c>
      <c r="E179" s="181">
        <v>793947</v>
      </c>
      <c r="F179" s="181">
        <f t="shared" si="14"/>
        <v>793947</v>
      </c>
      <c r="H179" s="245"/>
      <c r="I179" s="250">
        <v>0</v>
      </c>
      <c r="J179" s="250"/>
      <c r="K179" s="251">
        <f t="shared" si="15"/>
        <v>0</v>
      </c>
      <c r="L179" s="50">
        <f t="shared" si="16"/>
        <v>0</v>
      </c>
      <c r="M179" s="50">
        <f t="shared" si="17"/>
        <v>0</v>
      </c>
      <c r="N179" s="50">
        <f t="shared" si="18"/>
        <v>0</v>
      </c>
    </row>
    <row r="180" spans="1:14" ht="12.75" customHeight="1" x14ac:dyDescent="0.3">
      <c r="A180" s="100">
        <v>23.03</v>
      </c>
      <c r="B180" s="25" t="s">
        <v>192</v>
      </c>
      <c r="C180" s="30" t="s">
        <v>19</v>
      </c>
      <c r="D180" s="31">
        <v>26</v>
      </c>
      <c r="E180" s="181">
        <v>27076</v>
      </c>
      <c r="F180" s="181">
        <f t="shared" si="14"/>
        <v>703976</v>
      </c>
      <c r="H180" s="245"/>
      <c r="I180" s="250">
        <v>0</v>
      </c>
      <c r="J180" s="250"/>
      <c r="K180" s="251">
        <f t="shared" si="15"/>
        <v>0</v>
      </c>
      <c r="L180" s="50">
        <f t="shared" si="16"/>
        <v>0</v>
      </c>
      <c r="M180" s="50">
        <f t="shared" si="17"/>
        <v>0</v>
      </c>
      <c r="N180" s="50">
        <f t="shared" si="18"/>
        <v>0</v>
      </c>
    </row>
    <row r="181" spans="1:14" ht="12.75" customHeight="1" x14ac:dyDescent="0.3">
      <c r="A181" s="130">
        <v>23.04</v>
      </c>
      <c r="B181" s="154" t="s">
        <v>193</v>
      </c>
      <c r="C181" s="155" t="s">
        <v>19</v>
      </c>
      <c r="D181" s="102">
        <v>231</v>
      </c>
      <c r="E181" s="189">
        <v>69256</v>
      </c>
      <c r="F181" s="189">
        <f t="shared" si="14"/>
        <v>15998136</v>
      </c>
      <c r="H181" s="245"/>
      <c r="I181" s="250">
        <v>0</v>
      </c>
      <c r="J181" s="250"/>
      <c r="K181" s="251">
        <f t="shared" si="15"/>
        <v>0</v>
      </c>
      <c r="L181" s="50">
        <f t="shared" si="16"/>
        <v>0</v>
      </c>
      <c r="M181" s="50">
        <f t="shared" si="17"/>
        <v>0</v>
      </c>
      <c r="N181" s="50">
        <f t="shared" si="18"/>
        <v>0</v>
      </c>
    </row>
    <row r="182" spans="1:14" ht="12.75" customHeight="1" x14ac:dyDescent="0.3">
      <c r="A182" s="13">
        <v>24</v>
      </c>
      <c r="B182" s="40" t="s">
        <v>194</v>
      </c>
      <c r="C182" s="18"/>
      <c r="D182" s="19"/>
      <c r="E182" s="19"/>
      <c r="F182" s="19"/>
      <c r="G182" s="192">
        <f>+SUM(F183:F191)</f>
        <v>76903896</v>
      </c>
      <c r="H182" s="245">
        <f t="shared" si="19"/>
        <v>9.1027198391722505E-2</v>
      </c>
      <c r="I182" s="246"/>
      <c r="J182" s="247"/>
      <c r="K182" s="247"/>
      <c r="L182" s="178"/>
      <c r="M182" s="178"/>
      <c r="N182" s="179"/>
    </row>
    <row r="183" spans="1:14" ht="12.75" customHeight="1" x14ac:dyDescent="0.3">
      <c r="A183" s="20">
        <v>24.01</v>
      </c>
      <c r="B183" s="156" t="s">
        <v>195</v>
      </c>
      <c r="C183" s="22" t="s">
        <v>196</v>
      </c>
      <c r="D183" s="94">
        <v>17</v>
      </c>
      <c r="E183" s="181">
        <v>973327</v>
      </c>
      <c r="F183" s="181">
        <f t="shared" si="14"/>
        <v>16546559</v>
      </c>
      <c r="H183" s="245"/>
      <c r="I183" s="250">
        <v>0.65</v>
      </c>
      <c r="J183" s="250">
        <v>0.05</v>
      </c>
      <c r="K183" s="251">
        <f t="shared" si="15"/>
        <v>0.70000000000000007</v>
      </c>
      <c r="L183" s="50">
        <f t="shared" si="16"/>
        <v>10755263.35</v>
      </c>
      <c r="M183" s="50">
        <f t="shared" si="17"/>
        <v>827327.95000000007</v>
      </c>
      <c r="N183" s="50">
        <f t="shared" si="18"/>
        <v>11582591.300000001</v>
      </c>
    </row>
    <row r="184" spans="1:14" ht="12.75" customHeight="1" x14ac:dyDescent="0.3">
      <c r="A184" s="24">
        <v>24.02</v>
      </c>
      <c r="B184" s="157" t="s">
        <v>197</v>
      </c>
      <c r="C184" s="26" t="s">
        <v>196</v>
      </c>
      <c r="D184" s="31">
        <v>4</v>
      </c>
      <c r="E184" s="181">
        <v>2005316</v>
      </c>
      <c r="F184" s="181">
        <f t="shared" si="14"/>
        <v>8021264</v>
      </c>
      <c r="H184" s="245"/>
      <c r="I184" s="250">
        <v>1</v>
      </c>
      <c r="J184" s="250"/>
      <c r="K184" s="251">
        <f t="shared" si="15"/>
        <v>1</v>
      </c>
      <c r="L184" s="50">
        <f t="shared" si="16"/>
        <v>8021264</v>
      </c>
      <c r="M184" s="50">
        <f t="shared" si="17"/>
        <v>0</v>
      </c>
      <c r="N184" s="50">
        <f t="shared" si="18"/>
        <v>8021264</v>
      </c>
    </row>
    <row r="185" spans="1:14" ht="12.75" customHeight="1" x14ac:dyDescent="0.3">
      <c r="A185" s="24">
        <v>24.03</v>
      </c>
      <c r="B185" s="158" t="s">
        <v>198</v>
      </c>
      <c r="C185" s="26" t="s">
        <v>196</v>
      </c>
      <c r="D185" s="31">
        <v>17</v>
      </c>
      <c r="E185" s="181">
        <v>199910</v>
      </c>
      <c r="F185" s="181">
        <f t="shared" si="14"/>
        <v>3398470</v>
      </c>
      <c r="H185" s="245"/>
      <c r="I185" s="250">
        <v>0.65</v>
      </c>
      <c r="J185" s="250">
        <v>0.05</v>
      </c>
      <c r="K185" s="251">
        <f t="shared" si="15"/>
        <v>0.70000000000000007</v>
      </c>
      <c r="L185" s="50">
        <f t="shared" si="16"/>
        <v>2209005.5</v>
      </c>
      <c r="M185" s="50">
        <f t="shared" si="17"/>
        <v>169923.5</v>
      </c>
      <c r="N185" s="50">
        <f t="shared" si="18"/>
        <v>2378929</v>
      </c>
    </row>
    <row r="186" spans="1:14" ht="12.75" customHeight="1" x14ac:dyDescent="0.3">
      <c r="A186" s="24">
        <v>24.04</v>
      </c>
      <c r="B186" s="158" t="s">
        <v>199</v>
      </c>
      <c r="C186" s="26" t="s">
        <v>29</v>
      </c>
      <c r="D186" s="27">
        <v>1</v>
      </c>
      <c r="E186" s="181">
        <v>6284456</v>
      </c>
      <c r="F186" s="181">
        <f t="shared" si="14"/>
        <v>6284456</v>
      </c>
      <c r="H186" s="245"/>
      <c r="I186" s="250">
        <v>1</v>
      </c>
      <c r="J186" s="274"/>
      <c r="K186" s="251">
        <f t="shared" si="15"/>
        <v>1</v>
      </c>
      <c r="L186" s="50">
        <f t="shared" si="16"/>
        <v>6284456</v>
      </c>
      <c r="M186" s="50">
        <f t="shared" si="17"/>
        <v>0</v>
      </c>
      <c r="N186" s="50">
        <f t="shared" si="18"/>
        <v>6284456</v>
      </c>
    </row>
    <row r="187" spans="1:14" ht="12.75" customHeight="1" x14ac:dyDescent="0.3">
      <c r="A187" s="24">
        <v>24.05</v>
      </c>
      <c r="B187" s="158" t="s">
        <v>200</v>
      </c>
      <c r="C187" s="159" t="s">
        <v>196</v>
      </c>
      <c r="D187" s="31">
        <v>17</v>
      </c>
      <c r="E187" s="181">
        <v>873895</v>
      </c>
      <c r="F187" s="181">
        <f t="shared" si="14"/>
        <v>14856215</v>
      </c>
      <c r="G187" s="194"/>
      <c r="H187" s="245"/>
      <c r="I187" s="250">
        <v>0.54999999999999993</v>
      </c>
      <c r="J187" s="250">
        <v>0.05</v>
      </c>
      <c r="K187" s="251">
        <f t="shared" si="15"/>
        <v>0.6</v>
      </c>
      <c r="L187" s="50">
        <f t="shared" si="16"/>
        <v>8170918.2499999991</v>
      </c>
      <c r="M187" s="50">
        <f t="shared" si="17"/>
        <v>742810.75</v>
      </c>
      <c r="N187" s="50">
        <f t="shared" si="18"/>
        <v>8913729</v>
      </c>
    </row>
    <row r="188" spans="1:14" ht="12.75" customHeight="1" x14ac:dyDescent="0.3">
      <c r="A188" s="24">
        <v>24.06</v>
      </c>
      <c r="B188" s="158" t="s">
        <v>201</v>
      </c>
      <c r="C188" s="159" t="s">
        <v>196</v>
      </c>
      <c r="D188" s="31">
        <v>17</v>
      </c>
      <c r="E188" s="181">
        <v>577178</v>
      </c>
      <c r="F188" s="181">
        <f t="shared" si="14"/>
        <v>9812026</v>
      </c>
      <c r="G188" s="194"/>
      <c r="H188" s="245"/>
      <c r="I188" s="250">
        <v>0.54999999999999993</v>
      </c>
      <c r="J188" s="250">
        <v>0.05</v>
      </c>
      <c r="K188" s="251">
        <f t="shared" si="15"/>
        <v>0.6</v>
      </c>
      <c r="L188" s="50">
        <f t="shared" si="16"/>
        <v>5396614.2999999989</v>
      </c>
      <c r="M188" s="50">
        <f t="shared" si="17"/>
        <v>490601.30000000005</v>
      </c>
      <c r="N188" s="50">
        <f t="shared" si="18"/>
        <v>5887215.5999999996</v>
      </c>
    </row>
    <row r="189" spans="1:14" ht="12.75" customHeight="1" x14ac:dyDescent="0.3">
      <c r="A189" s="24">
        <v>24.07</v>
      </c>
      <c r="B189" s="158" t="s">
        <v>202</v>
      </c>
      <c r="C189" s="159" t="s">
        <v>29</v>
      </c>
      <c r="D189" s="27">
        <v>1</v>
      </c>
      <c r="E189" s="181">
        <v>5277814</v>
      </c>
      <c r="F189" s="181">
        <f t="shared" si="14"/>
        <v>5277814</v>
      </c>
      <c r="G189" s="194"/>
      <c r="H189" s="245"/>
      <c r="I189" s="250">
        <v>0</v>
      </c>
      <c r="J189" s="250"/>
      <c r="K189" s="251">
        <f t="shared" si="15"/>
        <v>0</v>
      </c>
      <c r="L189" s="50">
        <f t="shared" si="16"/>
        <v>0</v>
      </c>
      <c r="M189" s="50">
        <f t="shared" si="17"/>
        <v>0</v>
      </c>
      <c r="N189" s="50">
        <f t="shared" si="18"/>
        <v>0</v>
      </c>
    </row>
    <row r="190" spans="1:14" ht="12.75" customHeight="1" x14ac:dyDescent="0.3">
      <c r="A190" s="24">
        <v>24.08</v>
      </c>
      <c r="B190" s="158" t="s">
        <v>203</v>
      </c>
      <c r="C190" s="159" t="s">
        <v>196</v>
      </c>
      <c r="D190" s="31">
        <v>17</v>
      </c>
      <c r="E190" s="181">
        <v>399819</v>
      </c>
      <c r="F190" s="181">
        <f t="shared" si="14"/>
        <v>6796923</v>
      </c>
      <c r="G190" s="194"/>
      <c r="H190" s="245"/>
      <c r="I190" s="250">
        <v>0.65</v>
      </c>
      <c r="J190" s="250">
        <v>0.05</v>
      </c>
      <c r="K190" s="251">
        <f t="shared" si="15"/>
        <v>0.70000000000000007</v>
      </c>
      <c r="L190" s="50">
        <f t="shared" si="16"/>
        <v>4417999.95</v>
      </c>
      <c r="M190" s="50">
        <f t="shared" si="17"/>
        <v>339846.15</v>
      </c>
      <c r="N190" s="50">
        <f t="shared" si="18"/>
        <v>4757846.1000000006</v>
      </c>
    </row>
    <row r="191" spans="1:14" ht="12.75" customHeight="1" x14ac:dyDescent="0.3">
      <c r="A191" s="24">
        <v>24.09</v>
      </c>
      <c r="B191" s="160" t="s">
        <v>204</v>
      </c>
      <c r="C191" s="161" t="s">
        <v>196</v>
      </c>
      <c r="D191" s="31">
        <v>17</v>
      </c>
      <c r="E191" s="189">
        <v>347657</v>
      </c>
      <c r="F191" s="189">
        <f t="shared" si="14"/>
        <v>5910169</v>
      </c>
      <c r="G191" s="194"/>
      <c r="H191" s="245"/>
      <c r="I191" s="250">
        <v>0.54999999999999993</v>
      </c>
      <c r="J191" s="250">
        <v>0.05</v>
      </c>
      <c r="K191" s="251">
        <f t="shared" si="15"/>
        <v>0.6</v>
      </c>
      <c r="L191" s="50">
        <f t="shared" si="16"/>
        <v>3250592.9499999997</v>
      </c>
      <c r="M191" s="50">
        <f t="shared" si="17"/>
        <v>295508.45</v>
      </c>
      <c r="N191" s="50">
        <f t="shared" si="18"/>
        <v>3546101.4</v>
      </c>
    </row>
    <row r="192" spans="1:14" ht="12.75" customHeight="1" x14ac:dyDescent="0.3">
      <c r="A192" s="13">
        <v>25</v>
      </c>
      <c r="B192" s="40" t="s">
        <v>205</v>
      </c>
      <c r="C192" s="18"/>
      <c r="D192" s="19"/>
      <c r="E192" s="19"/>
      <c r="F192" s="19"/>
      <c r="G192" s="192">
        <f>+SUM(F193:F194)</f>
        <v>110386593</v>
      </c>
      <c r="H192" s="245">
        <f t="shared" si="19"/>
        <v>0.13065894998086086</v>
      </c>
      <c r="I192" s="246"/>
      <c r="J192" s="247"/>
      <c r="K192" s="247"/>
      <c r="L192" s="178"/>
      <c r="M192" s="178"/>
      <c r="N192" s="179"/>
    </row>
    <row r="193" spans="1:16" ht="12.75" customHeight="1" x14ac:dyDescent="0.3">
      <c r="A193" s="20">
        <v>25.01</v>
      </c>
      <c r="B193" s="21" t="s">
        <v>206</v>
      </c>
      <c r="C193" s="93" t="s">
        <v>196</v>
      </c>
      <c r="D193" s="94">
        <v>17</v>
      </c>
      <c r="E193" s="184">
        <v>5826965</v>
      </c>
      <c r="F193" s="183">
        <f t="shared" si="14"/>
        <v>99058405</v>
      </c>
      <c r="G193" s="195"/>
      <c r="H193" s="245"/>
      <c r="I193" s="250">
        <v>0.65</v>
      </c>
      <c r="J193" s="250">
        <v>0.05</v>
      </c>
      <c r="K193" s="251">
        <f t="shared" si="15"/>
        <v>0.70000000000000007</v>
      </c>
      <c r="L193" s="50">
        <f t="shared" si="16"/>
        <v>64387963.25</v>
      </c>
      <c r="M193" s="50">
        <f t="shared" si="17"/>
        <v>4952920.25</v>
      </c>
      <c r="N193" s="50">
        <f t="shared" si="18"/>
        <v>69340883.5</v>
      </c>
    </row>
    <row r="194" spans="1:16" ht="12.75" customHeight="1" x14ac:dyDescent="0.3">
      <c r="A194" s="33">
        <v>25.02</v>
      </c>
      <c r="B194" s="38" t="s">
        <v>207</v>
      </c>
      <c r="C194" s="34" t="s">
        <v>196</v>
      </c>
      <c r="D194" s="35">
        <v>17</v>
      </c>
      <c r="E194" s="184">
        <v>666364</v>
      </c>
      <c r="F194" s="181">
        <f t="shared" si="14"/>
        <v>11328188</v>
      </c>
      <c r="G194" s="196"/>
      <c r="H194" s="245"/>
      <c r="I194" s="255">
        <v>0.65</v>
      </c>
      <c r="J194" s="255">
        <v>0.05</v>
      </c>
      <c r="K194" s="256">
        <f t="shared" si="15"/>
        <v>0.70000000000000007</v>
      </c>
      <c r="L194" s="257">
        <f t="shared" si="16"/>
        <v>7363322.2000000002</v>
      </c>
      <c r="M194" s="257">
        <f t="shared" si="17"/>
        <v>566409.4</v>
      </c>
      <c r="N194" s="257">
        <f t="shared" si="18"/>
        <v>7929731.6000000006</v>
      </c>
    </row>
    <row r="195" spans="1:16" ht="12.75" customHeight="1" x14ac:dyDescent="0.3">
      <c r="A195" s="13"/>
      <c r="B195" s="40" t="s">
        <v>208</v>
      </c>
      <c r="C195" s="18"/>
      <c r="D195" s="19"/>
      <c r="E195" s="19"/>
      <c r="F195" s="197">
        <f>SUM(F9:F194)</f>
        <v>844845248</v>
      </c>
      <c r="G195" s="192">
        <f>SUM(G9:G194)</f>
        <v>844845248</v>
      </c>
      <c r="H195" s="245">
        <f>+SUM(H9:H194)</f>
        <v>0.99999999999999978</v>
      </c>
      <c r="I195" s="258"/>
      <c r="J195" s="259"/>
      <c r="K195" s="259"/>
      <c r="L195" s="260">
        <f>+SUM(L10:L194)</f>
        <v>275896996.28200001</v>
      </c>
      <c r="M195" s="260">
        <f>+SUM(M10:M194)</f>
        <v>55966259.579999998</v>
      </c>
      <c r="N195" s="261">
        <f>+SUM(N10:N194)</f>
        <v>331863255.86200011</v>
      </c>
      <c r="P195" s="92"/>
    </row>
    <row r="196" spans="1:16" s="41" customFormat="1" ht="13" x14ac:dyDescent="0.3">
      <c r="A196" s="43"/>
      <c r="B196" s="44"/>
      <c r="C196" s="45"/>
      <c r="D196" s="46"/>
      <c r="E196" s="198"/>
      <c r="F196" s="198"/>
      <c r="G196" s="199"/>
      <c r="H196" s="177"/>
      <c r="I196" s="200"/>
      <c r="J196" s="200"/>
      <c r="K196" s="326"/>
      <c r="L196" s="200"/>
      <c r="M196" s="287">
        <f>+M195/G195</f>
        <v>6.6244391753979545E-2</v>
      </c>
      <c r="N196" s="254">
        <f>+N195/G195</f>
        <v>0.39280951943284187</v>
      </c>
    </row>
    <row r="197" spans="1:16" s="41" customFormat="1" ht="13" x14ac:dyDescent="0.3">
      <c r="A197" s="42"/>
      <c r="B197" s="88"/>
      <c r="C197" s="89"/>
      <c r="D197" s="9"/>
      <c r="E197" s="201"/>
      <c r="F197" s="201"/>
      <c r="G197" s="166"/>
      <c r="H197" s="177"/>
      <c r="I197" s="200"/>
      <c r="J197" s="200"/>
      <c r="K197" s="326"/>
      <c r="L197" s="200"/>
      <c r="M197" s="287"/>
      <c r="N197" s="254"/>
    </row>
    <row r="198" spans="1:16" s="41" customFormat="1" ht="13" x14ac:dyDescent="0.3">
      <c r="A198" s="42"/>
      <c r="B198" s="90" t="s">
        <v>234</v>
      </c>
      <c r="C198" s="305"/>
      <c r="D198" s="166"/>
      <c r="E198" s="201"/>
      <c r="F198" s="201"/>
      <c r="G198" s="166"/>
      <c r="H198" s="177"/>
      <c r="I198" s="200"/>
      <c r="J198" s="200"/>
      <c r="K198" s="326"/>
      <c r="L198" s="200"/>
      <c r="M198" s="287"/>
      <c r="N198" s="254"/>
    </row>
    <row r="199" spans="1:16" s="41" customFormat="1" ht="13" x14ac:dyDescent="0.3">
      <c r="A199" s="13">
        <v>4</v>
      </c>
      <c r="B199" s="17" t="s">
        <v>17</v>
      </c>
      <c r="C199" s="310"/>
      <c r="D199" s="197"/>
      <c r="E199" s="190"/>
      <c r="F199" s="190"/>
      <c r="G199" s="192">
        <f>+SUM(F200)</f>
        <v>-713352</v>
      </c>
      <c r="H199" s="177"/>
      <c r="I199" s="246"/>
      <c r="J199" s="247"/>
      <c r="K199" s="247"/>
      <c r="L199" s="178"/>
      <c r="M199" s="178"/>
      <c r="N199" s="179"/>
    </row>
    <row r="200" spans="1:16" s="41" customFormat="1" ht="13" x14ac:dyDescent="0.3">
      <c r="A200" s="39">
        <v>4.12</v>
      </c>
      <c r="B200" s="107" t="s">
        <v>32</v>
      </c>
      <c r="C200" s="108" t="s">
        <v>33</v>
      </c>
      <c r="D200" s="309">
        <v>-3</v>
      </c>
      <c r="E200" s="201">
        <f>+E21</f>
        <v>237784</v>
      </c>
      <c r="F200" s="183">
        <f t="shared" ref="F200:F212" si="20">+E200*D200</f>
        <v>-713352</v>
      </c>
      <c r="G200" s="166"/>
      <c r="H200" s="177"/>
      <c r="I200" s="248"/>
      <c r="J200" s="248"/>
      <c r="K200" s="249">
        <f t="shared" ref="K200" si="21">+I200+J200</f>
        <v>0</v>
      </c>
      <c r="L200" s="50">
        <f t="shared" ref="L200" si="22">+F200*I200</f>
        <v>0</v>
      </c>
      <c r="M200" s="50">
        <f t="shared" ref="M200" si="23">+F200*J200</f>
        <v>0</v>
      </c>
      <c r="N200" s="50">
        <f t="shared" ref="N200" si="24">+F200*K200</f>
        <v>0</v>
      </c>
    </row>
    <row r="201" spans="1:16" s="41" customFormat="1" ht="13" x14ac:dyDescent="0.3">
      <c r="A201" s="13">
        <v>5</v>
      </c>
      <c r="B201" s="17" t="s">
        <v>36</v>
      </c>
      <c r="C201" s="310"/>
      <c r="D201" s="197"/>
      <c r="E201" s="190"/>
      <c r="F201" s="190"/>
      <c r="G201" s="192">
        <f>+SUM(F202)</f>
        <v>-2438774</v>
      </c>
      <c r="H201" s="177"/>
      <c r="I201" s="246"/>
      <c r="J201" s="247"/>
      <c r="K201" s="247"/>
      <c r="L201" s="178"/>
      <c r="M201" s="178"/>
      <c r="N201" s="179"/>
    </row>
    <row r="202" spans="1:16" s="41" customFormat="1" ht="13" x14ac:dyDescent="0.3">
      <c r="A202" s="39">
        <v>5.07</v>
      </c>
      <c r="B202" s="107" t="s">
        <v>43</v>
      </c>
      <c r="C202" s="108" t="s">
        <v>29</v>
      </c>
      <c r="D202" s="309">
        <v>-1</v>
      </c>
      <c r="E202" s="201">
        <f>+E31</f>
        <v>2438774</v>
      </c>
      <c r="F202" s="183">
        <f t="shared" si="20"/>
        <v>-2438774</v>
      </c>
      <c r="G202" s="166"/>
      <c r="H202" s="177"/>
      <c r="I202" s="248"/>
      <c r="J202" s="248"/>
      <c r="K202" s="249">
        <f t="shared" ref="K202" si="25">+I202+J202</f>
        <v>0</v>
      </c>
      <c r="L202" s="50">
        <f t="shared" ref="L202" si="26">+F202*I202</f>
        <v>0</v>
      </c>
      <c r="M202" s="50">
        <f t="shared" ref="M202" si="27">+F202*J202</f>
        <v>0</v>
      </c>
      <c r="N202" s="50">
        <f t="shared" ref="N202" si="28">+F202*K202</f>
        <v>0</v>
      </c>
    </row>
    <row r="203" spans="1:16" s="41" customFormat="1" ht="13" x14ac:dyDescent="0.3">
      <c r="A203" s="13">
        <v>14</v>
      </c>
      <c r="B203" s="17" t="s">
        <v>93</v>
      </c>
      <c r="C203" s="310"/>
      <c r="D203" s="197"/>
      <c r="E203" s="190"/>
      <c r="F203" s="190"/>
      <c r="G203" s="192">
        <f>+SUM(F204:F205)</f>
        <v>-18097046</v>
      </c>
      <c r="H203" s="177"/>
      <c r="I203" s="246"/>
      <c r="J203" s="247"/>
      <c r="K203" s="247"/>
      <c r="L203" s="178"/>
      <c r="M203" s="178"/>
      <c r="N203" s="179"/>
    </row>
    <row r="204" spans="1:16" s="41" customFormat="1" ht="13" x14ac:dyDescent="0.3">
      <c r="A204" s="115">
        <v>14.01</v>
      </c>
      <c r="B204" s="312" t="s">
        <v>94</v>
      </c>
      <c r="C204" s="313" t="s">
        <v>19</v>
      </c>
      <c r="D204" s="123">
        <v>-460</v>
      </c>
      <c r="E204" s="180">
        <f>+E81</f>
        <v>23624</v>
      </c>
      <c r="F204" s="180">
        <f t="shared" si="20"/>
        <v>-10867040</v>
      </c>
      <c r="G204" s="166"/>
      <c r="H204" s="177"/>
      <c r="I204" s="248"/>
      <c r="J204" s="248"/>
      <c r="K204" s="249">
        <f t="shared" ref="K204:K205" si="29">+I204+J204</f>
        <v>0</v>
      </c>
      <c r="L204" s="50">
        <f t="shared" ref="L204:L205" si="30">+F204*I204</f>
        <v>0</v>
      </c>
      <c r="M204" s="50">
        <f t="shared" ref="M204:M205" si="31">+F204*J204</f>
        <v>0</v>
      </c>
      <c r="N204" s="50">
        <f t="shared" ref="N204:N205" si="32">+F204*K204</f>
        <v>0</v>
      </c>
    </row>
    <row r="205" spans="1:16" s="41" customFormat="1" ht="13" x14ac:dyDescent="0.3">
      <c r="A205" s="130">
        <v>14.02</v>
      </c>
      <c r="B205" s="314" t="s">
        <v>95</v>
      </c>
      <c r="C205" s="315" t="s">
        <v>27</v>
      </c>
      <c r="D205" s="139">
        <v>-434</v>
      </c>
      <c r="E205" s="189">
        <f>+E82</f>
        <v>16659</v>
      </c>
      <c r="F205" s="189">
        <f t="shared" si="20"/>
        <v>-7230006</v>
      </c>
      <c r="G205" s="166"/>
      <c r="H205" s="177"/>
      <c r="I205" s="248"/>
      <c r="J205" s="248"/>
      <c r="K205" s="249">
        <f t="shared" si="29"/>
        <v>0</v>
      </c>
      <c r="L205" s="50">
        <f t="shared" si="30"/>
        <v>0</v>
      </c>
      <c r="M205" s="50">
        <f t="shared" si="31"/>
        <v>0</v>
      </c>
      <c r="N205" s="50">
        <f t="shared" si="32"/>
        <v>0</v>
      </c>
    </row>
    <row r="206" spans="1:16" s="41" customFormat="1" ht="13" x14ac:dyDescent="0.3">
      <c r="A206" s="13">
        <v>15</v>
      </c>
      <c r="B206" s="17" t="s">
        <v>101</v>
      </c>
      <c r="C206" s="310"/>
      <c r="D206" s="197"/>
      <c r="E206" s="190"/>
      <c r="F206" s="190"/>
      <c r="G206" s="192">
        <f>+SUM(F207)</f>
        <v>-4086180</v>
      </c>
      <c r="H206" s="177"/>
      <c r="I206" s="246"/>
      <c r="J206" s="247"/>
      <c r="K206" s="247"/>
      <c r="L206" s="178"/>
      <c r="M206" s="178"/>
      <c r="N206" s="179"/>
    </row>
    <row r="207" spans="1:16" s="41" customFormat="1" ht="13" x14ac:dyDescent="0.3">
      <c r="A207" s="39">
        <v>15.05</v>
      </c>
      <c r="B207" s="107" t="s">
        <v>106</v>
      </c>
      <c r="C207" s="108" t="s">
        <v>19</v>
      </c>
      <c r="D207" s="309">
        <v>-460</v>
      </c>
      <c r="E207" s="201">
        <f>+E93</f>
        <v>8883</v>
      </c>
      <c r="F207" s="183">
        <f t="shared" si="20"/>
        <v>-4086180</v>
      </c>
      <c r="G207" s="166"/>
      <c r="H207" s="177"/>
      <c r="I207" s="248"/>
      <c r="J207" s="248"/>
      <c r="K207" s="249">
        <f t="shared" ref="K207" si="33">+I207+J207</f>
        <v>0</v>
      </c>
      <c r="L207" s="50">
        <f t="shared" ref="L207" si="34">+F207*I207</f>
        <v>0</v>
      </c>
      <c r="M207" s="50">
        <f t="shared" ref="M207" si="35">+F207*J207</f>
        <v>0</v>
      </c>
      <c r="N207" s="50">
        <f t="shared" ref="N207" si="36">+F207*K207</f>
        <v>0</v>
      </c>
    </row>
    <row r="208" spans="1:16" s="41" customFormat="1" ht="13" x14ac:dyDescent="0.3">
      <c r="A208" s="13">
        <v>18</v>
      </c>
      <c r="B208" s="40" t="s">
        <v>120</v>
      </c>
      <c r="C208" s="310"/>
      <c r="D208" s="197"/>
      <c r="E208" s="190"/>
      <c r="F208" s="190"/>
      <c r="G208" s="192">
        <f>+SUM(F209:F212)</f>
        <v>-2527808</v>
      </c>
      <c r="H208" s="177"/>
      <c r="I208" s="246"/>
      <c r="J208" s="247"/>
      <c r="K208" s="247"/>
      <c r="L208" s="178"/>
      <c r="M208" s="178"/>
      <c r="N208" s="179"/>
    </row>
    <row r="209" spans="1:14" s="41" customFormat="1" ht="13" x14ac:dyDescent="0.3">
      <c r="A209" s="115">
        <v>18.09</v>
      </c>
      <c r="B209" s="131" t="s">
        <v>129</v>
      </c>
      <c r="C209" s="132" t="s">
        <v>33</v>
      </c>
      <c r="D209" s="94">
        <v>-8</v>
      </c>
      <c r="E209" s="180">
        <f>+E117</f>
        <v>69154</v>
      </c>
      <c r="F209" s="180">
        <f t="shared" si="20"/>
        <v>-553232</v>
      </c>
      <c r="G209" s="166"/>
      <c r="H209" s="177"/>
      <c r="I209" s="248"/>
      <c r="J209" s="248"/>
      <c r="K209" s="249">
        <f t="shared" ref="K209:K212" si="37">+I209+J209</f>
        <v>0</v>
      </c>
      <c r="L209" s="50">
        <f t="shared" ref="L209:L212" si="38">+F209*I209</f>
        <v>0</v>
      </c>
      <c r="M209" s="50">
        <f t="shared" ref="M209:M212" si="39">+F209*J209</f>
        <v>0</v>
      </c>
      <c r="N209" s="50">
        <f t="shared" ref="N209:N212" si="40">+F209*K209</f>
        <v>0</v>
      </c>
    </row>
    <row r="210" spans="1:14" s="41" customFormat="1" ht="13" x14ac:dyDescent="0.3">
      <c r="A210" s="100">
        <v>18.11</v>
      </c>
      <c r="B210" s="98" t="s">
        <v>131</v>
      </c>
      <c r="C210" s="133" t="s">
        <v>33</v>
      </c>
      <c r="D210" s="31">
        <v>-26</v>
      </c>
      <c r="E210" s="181">
        <f>+E119</f>
        <v>50616</v>
      </c>
      <c r="F210" s="181">
        <f t="shared" si="20"/>
        <v>-1316016</v>
      </c>
      <c r="G210" s="166"/>
      <c r="H210" s="177"/>
      <c r="I210" s="248"/>
      <c r="J210" s="248"/>
      <c r="K210" s="249">
        <f t="shared" si="37"/>
        <v>0</v>
      </c>
      <c r="L210" s="50">
        <f t="shared" si="38"/>
        <v>0</v>
      </c>
      <c r="M210" s="50">
        <f t="shared" si="39"/>
        <v>0</v>
      </c>
      <c r="N210" s="50">
        <f t="shared" si="40"/>
        <v>0</v>
      </c>
    </row>
    <row r="211" spans="1:14" s="41" customFormat="1" ht="13" x14ac:dyDescent="0.3">
      <c r="A211" s="100">
        <v>18.13</v>
      </c>
      <c r="B211" s="98" t="s">
        <v>133</v>
      </c>
      <c r="C211" s="133" t="s">
        <v>33</v>
      </c>
      <c r="D211" s="31">
        <v>-9</v>
      </c>
      <c r="E211" s="181">
        <f>+E121</f>
        <v>50616</v>
      </c>
      <c r="F211" s="181">
        <f t="shared" si="20"/>
        <v>-455544</v>
      </c>
      <c r="G211" s="166"/>
      <c r="H211" s="177"/>
      <c r="I211" s="248"/>
      <c r="J211" s="248"/>
      <c r="K211" s="249">
        <f t="shared" si="37"/>
        <v>0</v>
      </c>
      <c r="L211" s="50">
        <f t="shared" si="38"/>
        <v>0</v>
      </c>
      <c r="M211" s="50">
        <f t="shared" si="39"/>
        <v>0</v>
      </c>
      <c r="N211" s="50">
        <f t="shared" si="40"/>
        <v>0</v>
      </c>
    </row>
    <row r="212" spans="1:14" s="41" customFormat="1" ht="13" x14ac:dyDescent="0.3">
      <c r="A212" s="130">
        <v>18.260000000000002</v>
      </c>
      <c r="B212" s="311" t="s">
        <v>146</v>
      </c>
      <c r="C212" s="135" t="s">
        <v>33</v>
      </c>
      <c r="D212" s="35">
        <v>-8</v>
      </c>
      <c r="E212" s="189">
        <f>+E134</f>
        <v>25377</v>
      </c>
      <c r="F212" s="189">
        <f t="shared" si="20"/>
        <v>-203016</v>
      </c>
      <c r="G212" s="166"/>
      <c r="H212" s="177"/>
      <c r="I212" s="248"/>
      <c r="J212" s="248"/>
      <c r="K212" s="249">
        <f t="shared" si="37"/>
        <v>0</v>
      </c>
      <c r="L212" s="50">
        <f t="shared" si="38"/>
        <v>0</v>
      </c>
      <c r="M212" s="50">
        <f t="shared" si="39"/>
        <v>0</v>
      </c>
      <c r="N212" s="50">
        <f t="shared" si="40"/>
        <v>0</v>
      </c>
    </row>
    <row r="213" spans="1:14" s="41" customFormat="1" ht="13" x14ac:dyDescent="0.3">
      <c r="A213" s="13"/>
      <c r="B213" s="40" t="s">
        <v>235</v>
      </c>
      <c r="C213" s="18"/>
      <c r="D213" s="19"/>
      <c r="E213" s="19"/>
      <c r="F213" s="197"/>
      <c r="G213" s="192">
        <f>+SUM(G199:G212)</f>
        <v>-27863160</v>
      </c>
      <c r="H213" s="177"/>
      <c r="I213" s="258"/>
      <c r="J213" s="259"/>
      <c r="K213" s="259"/>
      <c r="L213" s="260">
        <f>+SUM(L200:L212)</f>
        <v>0</v>
      </c>
      <c r="M213" s="260">
        <f>+SUM(M200:M212)</f>
        <v>0</v>
      </c>
      <c r="N213" s="261">
        <f>+SUM(N200:N212)</f>
        <v>0</v>
      </c>
    </row>
    <row r="214" spans="1:14" s="41" customFormat="1" ht="13" x14ac:dyDescent="0.3">
      <c r="A214" s="39"/>
      <c r="B214" s="306"/>
      <c r="C214" s="307"/>
      <c r="D214" s="308"/>
      <c r="E214" s="201"/>
      <c r="F214" s="201"/>
      <c r="G214" s="166"/>
      <c r="H214" s="177"/>
      <c r="I214" s="200"/>
      <c r="J214" s="200"/>
      <c r="K214" s="326"/>
      <c r="L214" s="200"/>
      <c r="M214" s="51"/>
      <c r="N214" s="51"/>
    </row>
    <row r="215" spans="1:14" ht="12.75" customHeight="1" x14ac:dyDescent="0.3">
      <c r="A215" s="39"/>
      <c r="B215" s="47"/>
      <c r="D215" s="48"/>
      <c r="E215" s="9"/>
      <c r="F215" s="9"/>
      <c r="G215" s="202"/>
      <c r="I215" s="200"/>
      <c r="J215" s="200"/>
      <c r="K215" s="326"/>
      <c r="L215" s="200"/>
      <c r="M215" s="51"/>
      <c r="N215" s="51"/>
    </row>
    <row r="216" spans="1:14" ht="12.75" customHeight="1" x14ac:dyDescent="0.3">
      <c r="A216" s="52"/>
      <c r="B216" s="53" t="s">
        <v>209</v>
      </c>
      <c r="C216" s="54"/>
      <c r="D216" s="55"/>
      <c r="E216" s="203"/>
      <c r="F216" s="204"/>
      <c r="G216" s="205"/>
      <c r="H216" s="205"/>
      <c r="I216" s="204"/>
      <c r="J216" s="206"/>
      <c r="K216" s="327" t="s">
        <v>210</v>
      </c>
      <c r="L216" s="208">
        <f>+J5</f>
        <v>14</v>
      </c>
      <c r="M216" s="209"/>
      <c r="N216" s="57">
        <f>+N5</f>
        <v>46140</v>
      </c>
    </row>
    <row r="217" spans="1:14" ht="12.75" customHeight="1" x14ac:dyDescent="0.3">
      <c r="A217" s="58"/>
      <c r="B217" s="53" t="s">
        <v>9</v>
      </c>
      <c r="C217" s="56"/>
      <c r="D217" s="59"/>
      <c r="E217" s="211"/>
      <c r="F217" s="205"/>
      <c r="G217" s="205"/>
      <c r="H217" s="205"/>
      <c r="I217" s="205"/>
      <c r="J217" s="209"/>
      <c r="K217" s="259"/>
      <c r="L217" s="205"/>
      <c r="M217" s="209" t="s">
        <v>211</v>
      </c>
      <c r="N217" s="210" t="s">
        <v>212</v>
      </c>
    </row>
    <row r="218" spans="1:14" ht="12.75" customHeight="1" x14ac:dyDescent="0.3">
      <c r="A218" s="275" t="s">
        <v>213</v>
      </c>
      <c r="B218" s="61" t="s">
        <v>214</v>
      </c>
      <c r="C218" s="60"/>
      <c r="D218" s="62"/>
      <c r="E218" s="212"/>
      <c r="F218" s="213"/>
      <c r="G218" s="214"/>
      <c r="H218" s="214"/>
      <c r="I218" s="213"/>
      <c r="J218" s="215"/>
      <c r="K218" s="328"/>
      <c r="L218" s="213"/>
      <c r="M218" s="213"/>
      <c r="N218" s="63">
        <f>+G195</f>
        <v>844845248</v>
      </c>
    </row>
    <row r="219" spans="1:14" ht="12.75" customHeight="1" x14ac:dyDescent="0.3">
      <c r="A219" s="64" t="s">
        <v>215</v>
      </c>
      <c r="B219" s="65" t="s">
        <v>216</v>
      </c>
      <c r="C219" s="66"/>
      <c r="D219" s="67"/>
      <c r="E219" s="216"/>
      <c r="F219" s="217"/>
      <c r="G219" s="218"/>
      <c r="H219" s="218"/>
      <c r="I219" s="217"/>
      <c r="J219" s="219"/>
      <c r="K219" s="238"/>
      <c r="L219" s="217"/>
      <c r="M219" s="236">
        <v>0.1</v>
      </c>
      <c r="N219" s="220">
        <f>+M219*N218</f>
        <v>84484524.800000012</v>
      </c>
    </row>
    <row r="220" spans="1:14" ht="12.75" customHeight="1" x14ac:dyDescent="0.3">
      <c r="A220" s="276" t="s">
        <v>217</v>
      </c>
      <c r="B220" s="69" t="s">
        <v>218</v>
      </c>
      <c r="C220" s="70"/>
      <c r="D220" s="71"/>
      <c r="E220" s="221"/>
      <c r="F220" s="222"/>
      <c r="G220" s="223"/>
      <c r="H220" s="223"/>
      <c r="I220" s="222"/>
      <c r="J220" s="224"/>
      <c r="K220" s="237"/>
      <c r="L220" s="222"/>
      <c r="M220" s="237"/>
      <c r="N220" s="225">
        <f>+M195</f>
        <v>55966259.579999998</v>
      </c>
    </row>
    <row r="221" spans="1:14" ht="12.75" customHeight="1" x14ac:dyDescent="0.3">
      <c r="A221" s="264" t="s">
        <v>219</v>
      </c>
      <c r="B221" s="265" t="s">
        <v>220</v>
      </c>
      <c r="C221" s="266"/>
      <c r="D221" s="267"/>
      <c r="E221" s="268"/>
      <c r="F221" s="269"/>
      <c r="G221" s="270"/>
      <c r="H221" s="270"/>
      <c r="I221" s="269"/>
      <c r="J221" s="271"/>
      <c r="K221" s="272"/>
      <c r="L221" s="269"/>
      <c r="M221" s="272">
        <f>-M219</f>
        <v>-0.1</v>
      </c>
      <c r="N221" s="273">
        <f>+M221*N220</f>
        <v>-5596625.9580000006</v>
      </c>
    </row>
    <row r="222" spans="1:14" ht="12.75" customHeight="1" x14ac:dyDescent="0.3">
      <c r="A222" s="276" t="s">
        <v>221</v>
      </c>
      <c r="B222" s="69" t="s">
        <v>233</v>
      </c>
      <c r="C222" s="70"/>
      <c r="D222" s="71"/>
      <c r="E222" s="221"/>
      <c r="F222" s="222"/>
      <c r="G222" s="223"/>
      <c r="H222" s="223"/>
      <c r="I222" s="222"/>
      <c r="J222" s="224"/>
      <c r="K222" s="237"/>
      <c r="L222" s="222"/>
      <c r="M222" s="237"/>
      <c r="N222" s="225">
        <f>+M213</f>
        <v>0</v>
      </c>
    </row>
    <row r="223" spans="1:14" ht="12.75" customHeight="1" x14ac:dyDescent="0.3">
      <c r="A223" s="295" t="s">
        <v>225</v>
      </c>
      <c r="B223" s="296" t="s">
        <v>222</v>
      </c>
      <c r="C223" s="297"/>
      <c r="D223" s="298"/>
      <c r="E223" s="299"/>
      <c r="F223" s="300"/>
      <c r="G223" s="300"/>
      <c r="H223" s="300"/>
      <c r="I223" s="300"/>
      <c r="J223" s="301"/>
      <c r="K223" s="302"/>
      <c r="L223" s="300"/>
      <c r="M223" s="302"/>
      <c r="N223" s="329">
        <f>+N220+N221+N222</f>
        <v>50369633.621999994</v>
      </c>
    </row>
    <row r="224" spans="1:14" ht="12.75" customHeight="1" x14ac:dyDescent="0.3">
      <c r="H224" s="245"/>
    </row>
    <row r="225" spans="2:8" ht="12.75" customHeight="1" x14ac:dyDescent="0.3">
      <c r="B225" s="2" t="s">
        <v>236</v>
      </c>
      <c r="H225" s="245"/>
    </row>
  </sheetData>
  <mergeCells count="2">
    <mergeCell ref="I7:K7"/>
    <mergeCell ref="L7:N7"/>
  </mergeCells>
  <conditionalFormatting sqref="C3:C214">
    <cfRule type="cellIs" dxfId="13" priority="6" operator="equal">
      <formula>"x"</formula>
    </cfRule>
  </conditionalFormatting>
  <conditionalFormatting sqref="K10:K23 K25:K31 K33 K35:K40 K42:K49 K51:K53 K55:K58 K60:K70 K72:K74 K76:K79 K81:K87 K89:K100 K102 K104:K107 K144:K146 K148:K150 K152:K156 K158 K160:K161 K163 K165:K168 K170:K171 K173 K175:K176 K178:K181 K183:K191 K193:K194">
    <cfRule type="cellIs" dxfId="12" priority="7" operator="lessThan">
      <formula>1</formula>
    </cfRule>
  </conditionalFormatting>
  <conditionalFormatting sqref="K109:K141">
    <cfRule type="cellIs" dxfId="11" priority="5" operator="lessThan">
      <formula>1</formula>
    </cfRule>
  </conditionalFormatting>
  <conditionalFormatting sqref="K200 K202">
    <cfRule type="cellIs" dxfId="10" priority="4" operator="lessThan">
      <formula>1</formula>
    </cfRule>
  </conditionalFormatting>
  <conditionalFormatting sqref="K204:K205">
    <cfRule type="cellIs" dxfId="9" priority="3" operator="lessThan">
      <formula>1</formula>
    </cfRule>
  </conditionalFormatting>
  <conditionalFormatting sqref="K207">
    <cfRule type="cellIs" dxfId="8" priority="2" operator="lessThan">
      <formula>1</formula>
    </cfRule>
  </conditionalFormatting>
  <conditionalFormatting sqref="K209:K212">
    <cfRule type="cellIs" dxfId="7" priority="1" operator="lessThan">
      <formula>1</formula>
    </cfRule>
  </conditionalFormatting>
  <pageMargins left="0.45" right="0.25" top="0.63" bottom="0.55118110236220474" header="0.31496062992125984" footer="0.31496062992125984"/>
  <pageSetup paperSize="9" scale="54" fitToHeight="8" orientation="landscape" r:id="rId1"/>
  <headerFooter>
    <oddFooter>&amp;C&amp;P de &amp;N</oddFooter>
  </headerFooter>
  <rowBreaks count="1" manualBreakCount="1">
    <brk id="139" max="13" man="1"/>
  </rowBreaks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7FFB7C-DEDB-4CB3-B09D-E04A2E75A314}">
  <dimension ref="A1:S225"/>
  <sheetViews>
    <sheetView tabSelected="1" topLeftCell="A203" zoomScaleNormal="100" zoomScaleSheetLayoutView="100" workbookViewId="0">
      <selection activeCell="B222" sqref="B222"/>
    </sheetView>
  </sheetViews>
  <sheetFormatPr defaultColWidth="11.54296875" defaultRowHeight="12.75" customHeight="1" x14ac:dyDescent="0.3"/>
  <cols>
    <col min="1" max="1" width="7" style="1" bestFit="1" customWidth="1"/>
    <col min="2" max="2" width="61.90625" style="2" customWidth="1"/>
    <col min="3" max="3" width="5.36328125" style="3" bestFit="1" customWidth="1"/>
    <col min="4" max="4" width="6.54296875" style="4" bestFit="1" customWidth="1"/>
    <col min="5" max="5" width="11" style="86" bestFit="1" customWidth="1"/>
    <col min="6" max="6" width="12" style="86" bestFit="1" customWidth="1"/>
    <col min="7" max="7" width="12" style="87" bestFit="1" customWidth="1"/>
    <col min="8" max="8" width="6.36328125" style="92" bestFit="1" customWidth="1"/>
    <col min="9" max="10" width="13.81640625" style="92" customWidth="1"/>
    <col min="11" max="11" width="13.81640625" style="245" customWidth="1"/>
    <col min="12" max="12" width="12.1796875" style="92" bestFit="1" customWidth="1"/>
    <col min="13" max="13" width="13.81640625" style="92" customWidth="1"/>
    <col min="14" max="14" width="13.6328125" style="92" bestFit="1" customWidth="1"/>
    <col min="15" max="15" width="12.08984375" style="5" customWidth="1"/>
    <col min="16" max="16" width="13.453125" style="5" bestFit="1" customWidth="1"/>
    <col min="17" max="16384" width="11.54296875" style="5"/>
  </cols>
  <sheetData>
    <row r="1" spans="1:18" ht="12.75" customHeight="1" x14ac:dyDescent="0.3">
      <c r="F1" s="162" t="s">
        <v>0</v>
      </c>
      <c r="G1" s="162" t="s">
        <v>1</v>
      </c>
    </row>
    <row r="2" spans="1:18" ht="13" x14ac:dyDescent="0.3">
      <c r="F2" s="163">
        <v>1066.5</v>
      </c>
      <c r="G2" s="163">
        <v>1170</v>
      </c>
    </row>
    <row r="3" spans="1:18" s="10" customFormat="1" ht="13" x14ac:dyDescent="0.25">
      <c r="A3" s="6"/>
      <c r="B3" s="7"/>
      <c r="C3" s="8"/>
      <c r="D3" s="9"/>
      <c r="E3" s="9"/>
      <c r="F3" s="9"/>
      <c r="G3" s="164"/>
      <c r="H3" s="165"/>
      <c r="I3" s="165"/>
      <c r="J3" s="165"/>
      <c r="K3" s="324"/>
      <c r="L3" s="165"/>
      <c r="M3" s="165"/>
      <c r="N3" s="165"/>
    </row>
    <row r="4" spans="1:18" s="10" customFormat="1" ht="13" x14ac:dyDescent="0.25">
      <c r="A4" s="6"/>
      <c r="B4" s="7"/>
      <c r="C4" s="8"/>
      <c r="D4" s="9"/>
      <c r="E4" s="9"/>
      <c r="F4" s="286">
        <v>45667</v>
      </c>
      <c r="G4" s="164"/>
      <c r="H4" s="165"/>
      <c r="I4" s="165"/>
      <c r="J4" s="165"/>
      <c r="K4" s="324"/>
      <c r="L4" s="165"/>
      <c r="M4" s="165"/>
      <c r="N4" s="165"/>
    </row>
    <row r="5" spans="1:18" s="10" customFormat="1" ht="13" x14ac:dyDescent="0.3">
      <c r="A5" s="6"/>
      <c r="B5" s="90" t="s">
        <v>2</v>
      </c>
      <c r="C5" s="8"/>
      <c r="D5" s="9"/>
      <c r="E5" s="167"/>
      <c r="F5" s="167"/>
      <c r="G5" s="164"/>
      <c r="H5" s="165"/>
      <c r="I5" s="168" t="s">
        <v>3</v>
      </c>
      <c r="J5" s="169">
        <v>15</v>
      </c>
      <c r="K5" s="245"/>
      <c r="L5" s="170"/>
      <c r="M5" s="171"/>
      <c r="N5" s="49">
        <v>46172</v>
      </c>
    </row>
    <row r="6" spans="1:18" s="10" customFormat="1" ht="13" x14ac:dyDescent="0.25">
      <c r="A6" s="6"/>
      <c r="B6" s="90" t="s">
        <v>4</v>
      </c>
      <c r="C6" s="8"/>
      <c r="D6" s="9"/>
      <c r="E6" s="172"/>
      <c r="F6" s="172"/>
      <c r="G6" s="164"/>
      <c r="H6" s="165"/>
      <c r="I6" s="165"/>
      <c r="J6" s="165"/>
      <c r="K6" s="324"/>
      <c r="L6" s="165"/>
      <c r="M6" s="165"/>
      <c r="N6" s="165"/>
    </row>
    <row r="7" spans="1:18" s="10" customFormat="1" ht="13" x14ac:dyDescent="0.25">
      <c r="A7" s="6"/>
      <c r="B7" s="91" t="s">
        <v>5</v>
      </c>
      <c r="C7" s="11"/>
      <c r="D7" s="12"/>
      <c r="E7" s="173"/>
      <c r="F7" s="172"/>
      <c r="G7" s="164"/>
      <c r="H7" s="165"/>
      <c r="I7" s="330" t="s">
        <v>6</v>
      </c>
      <c r="J7" s="330"/>
      <c r="K7" s="330"/>
      <c r="L7" s="330" t="s">
        <v>7</v>
      </c>
      <c r="M7" s="330"/>
      <c r="N7" s="330"/>
    </row>
    <row r="8" spans="1:18" ht="13" x14ac:dyDescent="0.3">
      <c r="A8" s="13" t="s">
        <v>8</v>
      </c>
      <c r="B8" s="14" t="s">
        <v>9</v>
      </c>
      <c r="C8" s="15" t="s">
        <v>10</v>
      </c>
      <c r="D8" s="16" t="s">
        <v>11</v>
      </c>
      <c r="E8" s="175" t="s">
        <v>12</v>
      </c>
      <c r="F8" s="175" t="s">
        <v>13</v>
      </c>
      <c r="I8" s="174" t="s">
        <v>14</v>
      </c>
      <c r="J8" s="174" t="s">
        <v>15</v>
      </c>
      <c r="K8" s="325" t="s">
        <v>16</v>
      </c>
      <c r="L8" s="174" t="s">
        <v>14</v>
      </c>
      <c r="M8" s="174" t="s">
        <v>15</v>
      </c>
      <c r="N8" s="174" t="s">
        <v>16</v>
      </c>
    </row>
    <row r="9" spans="1:18" ht="12.75" customHeight="1" x14ac:dyDescent="0.3">
      <c r="A9" s="13">
        <v>4</v>
      </c>
      <c r="B9" s="17" t="s">
        <v>17</v>
      </c>
      <c r="C9" s="18"/>
      <c r="D9" s="19"/>
      <c r="E9" s="19"/>
      <c r="F9" s="19"/>
      <c r="G9" s="176">
        <f>+SUM(F10:F23)</f>
        <v>51045774</v>
      </c>
      <c r="H9" s="245">
        <f>+G9/$G$195</f>
        <v>6.0420265274428106E-2</v>
      </c>
      <c r="I9" s="246"/>
      <c r="J9" s="247"/>
      <c r="K9" s="247"/>
      <c r="L9" s="178"/>
      <c r="M9" s="178"/>
      <c r="N9" s="179"/>
    </row>
    <row r="10" spans="1:18" ht="12.75" customHeight="1" x14ac:dyDescent="0.3">
      <c r="A10" s="20">
        <v>4.01</v>
      </c>
      <c r="B10" s="21" t="s">
        <v>18</v>
      </c>
      <c r="C10" s="93" t="s">
        <v>19</v>
      </c>
      <c r="D10" s="94">
        <v>621</v>
      </c>
      <c r="E10" s="180">
        <v>22140</v>
      </c>
      <c r="F10" s="181">
        <f t="shared" ref="F10:F73" si="0">+E10*D10</f>
        <v>13748940</v>
      </c>
      <c r="G10" s="182"/>
      <c r="H10" s="245"/>
      <c r="I10" s="248">
        <v>0.9</v>
      </c>
      <c r="J10" s="248">
        <v>0.03</v>
      </c>
      <c r="K10" s="249">
        <f t="shared" ref="K10:K73" si="1">+I10+J10</f>
        <v>0.93</v>
      </c>
      <c r="L10" s="50">
        <f t="shared" ref="L10:L73" si="2">+F10*I10</f>
        <v>12374046</v>
      </c>
      <c r="M10" s="50">
        <f t="shared" ref="M10:M73" si="3">+F10*J10</f>
        <v>412468.2</v>
      </c>
      <c r="N10" s="50">
        <f t="shared" ref="N10:N73" si="4">+F10*K10</f>
        <v>12786514.200000001</v>
      </c>
      <c r="P10" s="92"/>
      <c r="R10" s="245"/>
    </row>
    <row r="11" spans="1:18" ht="12.75" customHeight="1" x14ac:dyDescent="0.3">
      <c r="A11" s="24">
        <v>4.0199999999999996</v>
      </c>
      <c r="B11" s="95" t="s">
        <v>20</v>
      </c>
      <c r="C11" s="30" t="s">
        <v>19</v>
      </c>
      <c r="D11" s="31">
        <v>780</v>
      </c>
      <c r="E11" s="183">
        <v>24437</v>
      </c>
      <c r="F11" s="181">
        <f t="shared" si="0"/>
        <v>19060860</v>
      </c>
      <c r="G11" s="182"/>
      <c r="H11" s="245"/>
      <c r="I11" s="250">
        <v>0.92</v>
      </c>
      <c r="J11" s="250">
        <v>0.02</v>
      </c>
      <c r="K11" s="251">
        <f t="shared" si="1"/>
        <v>0.94000000000000006</v>
      </c>
      <c r="L11" s="50">
        <f t="shared" si="2"/>
        <v>17535991.199999999</v>
      </c>
      <c r="M11" s="50">
        <f t="shared" si="3"/>
        <v>381217.2</v>
      </c>
      <c r="N11" s="50">
        <f t="shared" si="4"/>
        <v>17917208.400000002</v>
      </c>
      <c r="O11" s="304"/>
      <c r="P11" s="92"/>
      <c r="R11" s="245"/>
    </row>
    <row r="12" spans="1:18" ht="12.75" customHeight="1" x14ac:dyDescent="0.3">
      <c r="A12" s="24">
        <v>4.03</v>
      </c>
      <c r="B12" s="25" t="s">
        <v>21</v>
      </c>
      <c r="C12" s="30" t="s">
        <v>19</v>
      </c>
      <c r="D12" s="31">
        <v>56</v>
      </c>
      <c r="E12" s="183">
        <v>23248</v>
      </c>
      <c r="F12" s="181">
        <f t="shared" si="0"/>
        <v>1301888</v>
      </c>
      <c r="G12" s="182"/>
      <c r="H12" s="245"/>
      <c r="I12" s="250">
        <v>1</v>
      </c>
      <c r="J12" s="250"/>
      <c r="K12" s="251">
        <f t="shared" si="1"/>
        <v>1</v>
      </c>
      <c r="L12" s="50">
        <f t="shared" si="2"/>
        <v>1301888</v>
      </c>
      <c r="M12" s="50">
        <f t="shared" si="3"/>
        <v>0</v>
      </c>
      <c r="N12" s="50">
        <f t="shared" si="4"/>
        <v>1301888</v>
      </c>
      <c r="O12" s="304"/>
      <c r="P12" s="92"/>
      <c r="R12" s="245"/>
    </row>
    <row r="13" spans="1:18" ht="12.75" customHeight="1" x14ac:dyDescent="0.3">
      <c r="A13" s="24">
        <v>4.04</v>
      </c>
      <c r="B13" s="25" t="s">
        <v>22</v>
      </c>
      <c r="C13" s="30" t="s">
        <v>19</v>
      </c>
      <c r="D13" s="31">
        <v>42</v>
      </c>
      <c r="E13" s="183">
        <v>28746</v>
      </c>
      <c r="F13" s="181">
        <f t="shared" si="0"/>
        <v>1207332</v>
      </c>
      <c r="G13" s="182"/>
      <c r="H13" s="245"/>
      <c r="I13" s="250">
        <v>0.95</v>
      </c>
      <c r="J13" s="250"/>
      <c r="K13" s="251">
        <f t="shared" si="1"/>
        <v>0.95</v>
      </c>
      <c r="L13" s="50">
        <f t="shared" si="2"/>
        <v>1146965.3999999999</v>
      </c>
      <c r="M13" s="50">
        <f t="shared" si="3"/>
        <v>0</v>
      </c>
      <c r="N13" s="50">
        <f t="shared" si="4"/>
        <v>1146965.3999999999</v>
      </c>
      <c r="O13" s="304"/>
      <c r="P13" s="92"/>
    </row>
    <row r="14" spans="1:18" ht="12.75" customHeight="1" x14ac:dyDescent="0.3">
      <c r="A14" s="24">
        <v>4.05</v>
      </c>
      <c r="B14" s="25" t="s">
        <v>23</v>
      </c>
      <c r="C14" s="30" t="s">
        <v>19</v>
      </c>
      <c r="D14" s="31">
        <v>70</v>
      </c>
      <c r="E14" s="183">
        <v>36933</v>
      </c>
      <c r="F14" s="181">
        <f t="shared" si="0"/>
        <v>2585310</v>
      </c>
      <c r="G14" s="182"/>
      <c r="H14" s="245"/>
      <c r="I14" s="250">
        <v>0.5</v>
      </c>
      <c r="J14" s="250">
        <v>0.3</v>
      </c>
      <c r="K14" s="251">
        <f t="shared" si="1"/>
        <v>0.8</v>
      </c>
      <c r="L14" s="50">
        <f t="shared" si="2"/>
        <v>1292655</v>
      </c>
      <c r="M14" s="50">
        <f t="shared" si="3"/>
        <v>775593</v>
      </c>
      <c r="N14" s="50">
        <f t="shared" si="4"/>
        <v>2068248</v>
      </c>
      <c r="O14" s="304"/>
      <c r="P14" s="92"/>
    </row>
    <row r="15" spans="1:18" ht="12.75" customHeight="1" x14ac:dyDescent="0.3">
      <c r="A15" s="24">
        <v>4.0599999999999996</v>
      </c>
      <c r="B15" s="25" t="s">
        <v>24</v>
      </c>
      <c r="C15" s="30" t="s">
        <v>19</v>
      </c>
      <c r="D15" s="31">
        <v>5</v>
      </c>
      <c r="E15" s="183">
        <v>28672</v>
      </c>
      <c r="F15" s="181">
        <f t="shared" si="0"/>
        <v>143360</v>
      </c>
      <c r="G15" s="182"/>
      <c r="H15" s="245"/>
      <c r="I15" s="250">
        <v>1</v>
      </c>
      <c r="J15" s="250"/>
      <c r="K15" s="251">
        <f t="shared" si="1"/>
        <v>1</v>
      </c>
      <c r="L15" s="50">
        <f t="shared" si="2"/>
        <v>143360</v>
      </c>
      <c r="M15" s="50">
        <f t="shared" si="3"/>
        <v>0</v>
      </c>
      <c r="N15" s="50">
        <f t="shared" si="4"/>
        <v>143360</v>
      </c>
      <c r="O15" s="304"/>
    </row>
    <row r="16" spans="1:18" ht="12.75" customHeight="1" x14ac:dyDescent="0.3">
      <c r="A16" s="24">
        <v>4.07</v>
      </c>
      <c r="B16" s="25" t="s">
        <v>25</v>
      </c>
      <c r="C16" s="30" t="s">
        <v>19</v>
      </c>
      <c r="D16" s="37">
        <v>193</v>
      </c>
      <c r="E16" s="183">
        <v>18611</v>
      </c>
      <c r="F16" s="181">
        <f t="shared" si="0"/>
        <v>3591923</v>
      </c>
      <c r="G16" s="182"/>
      <c r="H16" s="245"/>
      <c r="I16" s="250">
        <v>0</v>
      </c>
      <c r="J16" s="250">
        <v>0.1</v>
      </c>
      <c r="K16" s="251">
        <f t="shared" si="1"/>
        <v>0.1</v>
      </c>
      <c r="L16" s="50">
        <f t="shared" si="2"/>
        <v>0</v>
      </c>
      <c r="M16" s="50">
        <f t="shared" si="3"/>
        <v>359192.30000000005</v>
      </c>
      <c r="N16" s="50">
        <f t="shared" si="4"/>
        <v>359192.30000000005</v>
      </c>
      <c r="O16" s="304"/>
    </row>
    <row r="17" spans="1:15" ht="12.75" customHeight="1" x14ac:dyDescent="0.3">
      <c r="A17" s="24">
        <v>4.08</v>
      </c>
      <c r="B17" s="25" t="s">
        <v>26</v>
      </c>
      <c r="C17" s="30" t="s">
        <v>27</v>
      </c>
      <c r="D17" s="37">
        <v>61</v>
      </c>
      <c r="E17" s="183">
        <v>28578</v>
      </c>
      <c r="F17" s="181">
        <f t="shared" si="0"/>
        <v>1743258</v>
      </c>
      <c r="G17" s="182"/>
      <c r="H17" s="245"/>
      <c r="I17" s="250">
        <v>1</v>
      </c>
      <c r="J17" s="274"/>
      <c r="K17" s="251">
        <f t="shared" si="1"/>
        <v>1</v>
      </c>
      <c r="L17" s="50">
        <f t="shared" si="2"/>
        <v>1743258</v>
      </c>
      <c r="M17" s="50">
        <f t="shared" si="3"/>
        <v>0</v>
      </c>
      <c r="N17" s="50">
        <f t="shared" si="4"/>
        <v>1743258</v>
      </c>
      <c r="O17" s="304"/>
    </row>
    <row r="18" spans="1:15" ht="12.75" customHeight="1" x14ac:dyDescent="0.3">
      <c r="A18" s="24">
        <v>4.09</v>
      </c>
      <c r="B18" s="25" t="s">
        <v>28</v>
      </c>
      <c r="C18" s="30" t="s">
        <v>29</v>
      </c>
      <c r="D18" s="37">
        <v>1</v>
      </c>
      <c r="E18" s="183">
        <v>280823</v>
      </c>
      <c r="F18" s="181">
        <f t="shared" si="0"/>
        <v>280823</v>
      </c>
      <c r="G18" s="182"/>
      <c r="H18" s="245"/>
      <c r="I18" s="250">
        <v>0</v>
      </c>
      <c r="J18" s="250"/>
      <c r="K18" s="251">
        <f t="shared" si="1"/>
        <v>0</v>
      </c>
      <c r="L18" s="50">
        <f t="shared" si="2"/>
        <v>0</v>
      </c>
      <c r="M18" s="50">
        <f t="shared" si="3"/>
        <v>0</v>
      </c>
      <c r="N18" s="50">
        <f t="shared" si="4"/>
        <v>0</v>
      </c>
    </row>
    <row r="19" spans="1:15" ht="12.75" customHeight="1" x14ac:dyDescent="0.3">
      <c r="A19" s="24">
        <v>4.0999999999999996</v>
      </c>
      <c r="B19" s="25" t="s">
        <v>30</v>
      </c>
      <c r="C19" s="30" t="s">
        <v>29</v>
      </c>
      <c r="D19" s="37">
        <v>1</v>
      </c>
      <c r="E19" s="183">
        <v>801214</v>
      </c>
      <c r="F19" s="181">
        <f t="shared" si="0"/>
        <v>801214</v>
      </c>
      <c r="G19" s="182"/>
      <c r="H19" s="245"/>
      <c r="I19" s="250">
        <v>0</v>
      </c>
      <c r="J19" s="250"/>
      <c r="K19" s="251">
        <f t="shared" si="1"/>
        <v>0</v>
      </c>
      <c r="L19" s="50">
        <f t="shared" si="2"/>
        <v>0</v>
      </c>
      <c r="M19" s="50">
        <f t="shared" si="3"/>
        <v>0</v>
      </c>
      <c r="N19" s="50">
        <f t="shared" si="4"/>
        <v>0</v>
      </c>
    </row>
    <row r="20" spans="1:15" ht="12.75" customHeight="1" x14ac:dyDescent="0.3">
      <c r="A20" s="24">
        <v>4.1100000000000003</v>
      </c>
      <c r="B20" s="25" t="s">
        <v>31</v>
      </c>
      <c r="C20" s="30" t="s">
        <v>29</v>
      </c>
      <c r="D20" s="37">
        <v>1</v>
      </c>
      <c r="E20" s="183">
        <v>525234</v>
      </c>
      <c r="F20" s="181">
        <f t="shared" si="0"/>
        <v>525234</v>
      </c>
      <c r="G20" s="182"/>
      <c r="H20" s="245"/>
      <c r="I20" s="250">
        <v>0</v>
      </c>
      <c r="J20" s="250"/>
      <c r="K20" s="251">
        <f t="shared" si="1"/>
        <v>0</v>
      </c>
      <c r="L20" s="50">
        <f t="shared" si="2"/>
        <v>0</v>
      </c>
      <c r="M20" s="50">
        <f t="shared" si="3"/>
        <v>0</v>
      </c>
      <c r="N20" s="50">
        <f t="shared" si="4"/>
        <v>0</v>
      </c>
    </row>
    <row r="21" spans="1:15" ht="12.75" customHeight="1" x14ac:dyDescent="0.3">
      <c r="A21" s="24">
        <v>4.12</v>
      </c>
      <c r="B21" s="25" t="s">
        <v>32</v>
      </c>
      <c r="C21" s="30" t="s">
        <v>33</v>
      </c>
      <c r="D21" s="37">
        <v>3</v>
      </c>
      <c r="E21" s="183">
        <v>237784</v>
      </c>
      <c r="F21" s="181">
        <f t="shared" si="0"/>
        <v>713352</v>
      </c>
      <c r="G21" s="182"/>
      <c r="H21" s="245"/>
      <c r="I21" s="250">
        <v>0</v>
      </c>
      <c r="J21" s="250"/>
      <c r="K21" s="251">
        <f t="shared" si="1"/>
        <v>0</v>
      </c>
      <c r="L21" s="50">
        <f t="shared" si="2"/>
        <v>0</v>
      </c>
      <c r="M21" s="50">
        <f t="shared" si="3"/>
        <v>0</v>
      </c>
      <c r="N21" s="50">
        <f t="shared" si="4"/>
        <v>0</v>
      </c>
    </row>
    <row r="22" spans="1:15" ht="12.75" customHeight="1" x14ac:dyDescent="0.3">
      <c r="A22" s="24">
        <v>4.13</v>
      </c>
      <c r="B22" s="25" t="s">
        <v>34</v>
      </c>
      <c r="C22" s="30" t="s">
        <v>27</v>
      </c>
      <c r="D22" s="37">
        <v>40</v>
      </c>
      <c r="E22" s="183">
        <v>98026</v>
      </c>
      <c r="F22" s="181">
        <f t="shared" si="0"/>
        <v>3921040</v>
      </c>
      <c r="G22" s="182"/>
      <c r="H22" s="245"/>
      <c r="I22" s="250">
        <v>0</v>
      </c>
      <c r="J22" s="250">
        <v>0.15</v>
      </c>
      <c r="K22" s="251">
        <f t="shared" si="1"/>
        <v>0.15</v>
      </c>
      <c r="L22" s="50">
        <f t="shared" si="2"/>
        <v>0</v>
      </c>
      <c r="M22" s="50">
        <f t="shared" si="3"/>
        <v>588156</v>
      </c>
      <c r="N22" s="50">
        <f t="shared" si="4"/>
        <v>588156</v>
      </c>
    </row>
    <row r="23" spans="1:15" ht="12.75" customHeight="1" x14ac:dyDescent="0.3">
      <c r="A23" s="24">
        <v>4.1399999999999997</v>
      </c>
      <c r="B23" s="38" t="s">
        <v>35</v>
      </c>
      <c r="C23" s="34" t="s">
        <v>33</v>
      </c>
      <c r="D23" s="96">
        <v>8</v>
      </c>
      <c r="E23" s="183">
        <v>177655</v>
      </c>
      <c r="F23" s="181">
        <f t="shared" si="0"/>
        <v>1421240</v>
      </c>
      <c r="G23" s="182"/>
      <c r="H23" s="245"/>
      <c r="I23" s="250">
        <v>0</v>
      </c>
      <c r="J23" s="250"/>
      <c r="K23" s="251">
        <f t="shared" si="1"/>
        <v>0</v>
      </c>
      <c r="L23" s="50">
        <f t="shared" si="2"/>
        <v>0</v>
      </c>
      <c r="M23" s="50">
        <f t="shared" si="3"/>
        <v>0</v>
      </c>
      <c r="N23" s="50">
        <f t="shared" si="4"/>
        <v>0</v>
      </c>
    </row>
    <row r="24" spans="1:15" ht="12.75" customHeight="1" x14ac:dyDescent="0.3">
      <c r="A24" s="13">
        <v>5</v>
      </c>
      <c r="B24" s="40" t="s">
        <v>36</v>
      </c>
      <c r="C24" s="18"/>
      <c r="D24" s="19"/>
      <c r="E24" s="19"/>
      <c r="F24" s="19"/>
      <c r="G24" s="176">
        <f>+SUM(F25:F31)</f>
        <v>19239698</v>
      </c>
      <c r="H24" s="245">
        <f>+G24/$G$195</f>
        <v>2.2773043993022494E-2</v>
      </c>
      <c r="I24" s="246"/>
      <c r="J24" s="247"/>
      <c r="K24" s="247"/>
      <c r="L24" s="178"/>
      <c r="M24" s="178"/>
      <c r="N24" s="179"/>
    </row>
    <row r="25" spans="1:15" ht="12.75" customHeight="1" x14ac:dyDescent="0.3">
      <c r="A25" s="20">
        <v>5.01</v>
      </c>
      <c r="B25" s="21" t="s">
        <v>37</v>
      </c>
      <c r="C25" s="93" t="s">
        <v>27</v>
      </c>
      <c r="D25" s="97">
        <v>136</v>
      </c>
      <c r="E25" s="183">
        <v>6496</v>
      </c>
      <c r="F25" s="181">
        <f t="shared" si="0"/>
        <v>883456</v>
      </c>
      <c r="G25" s="182"/>
      <c r="H25" s="245"/>
      <c r="I25" s="250">
        <v>0.25</v>
      </c>
      <c r="J25" s="250">
        <v>0.25</v>
      </c>
      <c r="K25" s="251">
        <f t="shared" si="1"/>
        <v>0.5</v>
      </c>
      <c r="L25" s="50">
        <f t="shared" si="2"/>
        <v>220864</v>
      </c>
      <c r="M25" s="50">
        <f t="shared" si="3"/>
        <v>220864</v>
      </c>
      <c r="N25" s="50">
        <f t="shared" si="4"/>
        <v>441728</v>
      </c>
    </row>
    <row r="26" spans="1:15" ht="12.75" customHeight="1" x14ac:dyDescent="0.3">
      <c r="A26" s="24">
        <v>5.0199999999999996</v>
      </c>
      <c r="B26" s="98" t="s">
        <v>38</v>
      </c>
      <c r="C26" s="30" t="s">
        <v>19</v>
      </c>
      <c r="D26" s="31">
        <v>77</v>
      </c>
      <c r="E26" s="184">
        <v>33270</v>
      </c>
      <c r="F26" s="183">
        <f t="shared" si="0"/>
        <v>2561790</v>
      </c>
      <c r="G26" s="182"/>
      <c r="H26" s="245"/>
      <c r="I26" s="250">
        <v>0.3</v>
      </c>
      <c r="J26" s="250">
        <v>0.2</v>
      </c>
      <c r="K26" s="251">
        <f t="shared" si="1"/>
        <v>0.5</v>
      </c>
      <c r="L26" s="50">
        <f t="shared" si="2"/>
        <v>768537</v>
      </c>
      <c r="M26" s="50">
        <f t="shared" si="3"/>
        <v>512358</v>
      </c>
      <c r="N26" s="50">
        <f t="shared" si="4"/>
        <v>1280895</v>
      </c>
    </row>
    <row r="27" spans="1:15" ht="12.75" customHeight="1" x14ac:dyDescent="0.3">
      <c r="A27" s="24">
        <v>5.03</v>
      </c>
      <c r="B27" s="25" t="s">
        <v>39</v>
      </c>
      <c r="C27" s="30" t="s">
        <v>19</v>
      </c>
      <c r="D27" s="31">
        <v>107</v>
      </c>
      <c r="E27" s="184">
        <v>6496</v>
      </c>
      <c r="F27" s="181">
        <f t="shared" si="0"/>
        <v>695072</v>
      </c>
      <c r="G27" s="182"/>
      <c r="H27" s="245"/>
      <c r="I27" s="250">
        <v>0</v>
      </c>
      <c r="J27" s="250"/>
      <c r="K27" s="251">
        <f t="shared" si="1"/>
        <v>0</v>
      </c>
      <c r="L27" s="50">
        <f t="shared" si="2"/>
        <v>0</v>
      </c>
      <c r="M27" s="50">
        <f t="shared" si="3"/>
        <v>0</v>
      </c>
      <c r="N27" s="50">
        <f t="shared" si="4"/>
        <v>0</v>
      </c>
    </row>
    <row r="28" spans="1:15" ht="12.75" customHeight="1" x14ac:dyDescent="0.3">
      <c r="A28" s="24">
        <v>5.04</v>
      </c>
      <c r="B28" s="25" t="s">
        <v>40</v>
      </c>
      <c r="C28" s="30" t="s">
        <v>19</v>
      </c>
      <c r="D28" s="31">
        <v>186</v>
      </c>
      <c r="E28" s="184">
        <v>4832</v>
      </c>
      <c r="F28" s="181">
        <f t="shared" si="0"/>
        <v>898752</v>
      </c>
      <c r="G28" s="182"/>
      <c r="H28" s="245"/>
      <c r="I28" s="250">
        <v>0</v>
      </c>
      <c r="J28" s="250"/>
      <c r="K28" s="251">
        <f t="shared" si="1"/>
        <v>0</v>
      </c>
      <c r="L28" s="50">
        <f t="shared" si="2"/>
        <v>0</v>
      </c>
      <c r="M28" s="50">
        <f t="shared" si="3"/>
        <v>0</v>
      </c>
      <c r="N28" s="50">
        <f t="shared" si="4"/>
        <v>0</v>
      </c>
    </row>
    <row r="29" spans="1:15" ht="12.75" customHeight="1" x14ac:dyDescent="0.3">
      <c r="A29" s="24">
        <v>5.05</v>
      </c>
      <c r="B29" s="25" t="s">
        <v>41</v>
      </c>
      <c r="C29" s="30" t="s">
        <v>19</v>
      </c>
      <c r="D29" s="31">
        <v>186</v>
      </c>
      <c r="E29" s="184">
        <v>4134</v>
      </c>
      <c r="F29" s="181">
        <f t="shared" si="0"/>
        <v>768924</v>
      </c>
      <c r="G29" s="182"/>
      <c r="H29" s="245"/>
      <c r="I29" s="250">
        <v>1</v>
      </c>
      <c r="J29" s="250"/>
      <c r="K29" s="251">
        <f t="shared" si="1"/>
        <v>1</v>
      </c>
      <c r="L29" s="50">
        <f t="shared" si="2"/>
        <v>768924</v>
      </c>
      <c r="M29" s="50">
        <f t="shared" si="3"/>
        <v>0</v>
      </c>
      <c r="N29" s="50">
        <f t="shared" si="4"/>
        <v>768924</v>
      </c>
    </row>
    <row r="30" spans="1:15" ht="12.75" customHeight="1" x14ac:dyDescent="0.3">
      <c r="A30" s="24">
        <v>5.0599999999999996</v>
      </c>
      <c r="B30" s="25" t="s">
        <v>42</v>
      </c>
      <c r="C30" s="99" t="s">
        <v>19</v>
      </c>
      <c r="D30" s="31">
        <v>390</v>
      </c>
      <c r="E30" s="184">
        <v>28187</v>
      </c>
      <c r="F30" s="181">
        <f t="shared" si="0"/>
        <v>10992930</v>
      </c>
      <c r="G30" s="185"/>
      <c r="H30" s="245"/>
      <c r="I30" s="250">
        <v>0.3</v>
      </c>
      <c r="J30" s="250"/>
      <c r="K30" s="251">
        <f t="shared" si="1"/>
        <v>0.3</v>
      </c>
      <c r="L30" s="50">
        <f t="shared" si="2"/>
        <v>3297879</v>
      </c>
      <c r="M30" s="50">
        <f t="shared" si="3"/>
        <v>0</v>
      </c>
      <c r="N30" s="50">
        <f t="shared" si="4"/>
        <v>3297879</v>
      </c>
    </row>
    <row r="31" spans="1:15" ht="12.75" customHeight="1" x14ac:dyDescent="0.3">
      <c r="A31" s="24">
        <v>5.07</v>
      </c>
      <c r="B31" s="25" t="s">
        <v>43</v>
      </c>
      <c r="C31" s="99" t="s">
        <v>29</v>
      </c>
      <c r="D31" s="31">
        <v>1</v>
      </c>
      <c r="E31" s="184">
        <v>2438774</v>
      </c>
      <c r="F31" s="181">
        <f t="shared" si="0"/>
        <v>2438774</v>
      </c>
      <c r="G31" s="186"/>
      <c r="H31" s="245"/>
      <c r="I31" s="250">
        <v>0</v>
      </c>
      <c r="J31" s="250"/>
      <c r="K31" s="251">
        <f t="shared" si="1"/>
        <v>0</v>
      </c>
      <c r="L31" s="50">
        <f t="shared" si="2"/>
        <v>0</v>
      </c>
      <c r="M31" s="50">
        <f t="shared" si="3"/>
        <v>0</v>
      </c>
      <c r="N31" s="50">
        <f t="shared" si="4"/>
        <v>0</v>
      </c>
    </row>
    <row r="32" spans="1:15" ht="12.75" customHeight="1" x14ac:dyDescent="0.3">
      <c r="A32" s="13">
        <v>6</v>
      </c>
      <c r="B32" s="17" t="s">
        <v>44</v>
      </c>
      <c r="C32" s="18"/>
      <c r="D32" s="19"/>
      <c r="E32" s="19"/>
      <c r="F32" s="19"/>
      <c r="G32" s="176">
        <f>+SUM(F33)</f>
        <v>1722875</v>
      </c>
      <c r="H32" s="245">
        <f>+G32/$G$195</f>
        <v>2.0392787958251023E-3</v>
      </c>
      <c r="I32" s="246"/>
      <c r="J32" s="247"/>
      <c r="K32" s="247"/>
      <c r="L32" s="178"/>
      <c r="M32" s="178"/>
      <c r="N32" s="179"/>
    </row>
    <row r="33" spans="1:16" ht="12.75" customHeight="1" x14ac:dyDescent="0.3">
      <c r="A33" s="100">
        <v>6.02</v>
      </c>
      <c r="B33" s="38" t="s">
        <v>45</v>
      </c>
      <c r="C33" s="101" t="s">
        <v>27</v>
      </c>
      <c r="D33" s="102">
        <v>55</v>
      </c>
      <c r="E33" s="181">
        <v>31325</v>
      </c>
      <c r="F33" s="181">
        <f t="shared" si="0"/>
        <v>1722875</v>
      </c>
      <c r="G33" s="185"/>
      <c r="H33" s="245"/>
      <c r="I33" s="250">
        <v>0</v>
      </c>
      <c r="J33" s="250"/>
      <c r="K33" s="251">
        <f t="shared" si="1"/>
        <v>0</v>
      </c>
      <c r="L33" s="50">
        <f t="shared" si="2"/>
        <v>0</v>
      </c>
      <c r="M33" s="50">
        <f t="shared" si="3"/>
        <v>0</v>
      </c>
      <c r="N33" s="50">
        <f t="shared" si="4"/>
        <v>0</v>
      </c>
    </row>
    <row r="34" spans="1:16" ht="12.75" customHeight="1" x14ac:dyDescent="0.3">
      <c r="A34" s="13">
        <v>7</v>
      </c>
      <c r="B34" s="40" t="s">
        <v>46</v>
      </c>
      <c r="C34" s="18"/>
      <c r="D34" s="19"/>
      <c r="E34" s="19"/>
      <c r="F34" s="19"/>
      <c r="G34" s="176">
        <f>+SUM(F35:F40)</f>
        <v>92324467</v>
      </c>
      <c r="H34" s="245">
        <f>+G34/$G$195</f>
        <v>0.10927973758337338</v>
      </c>
      <c r="I34" s="246"/>
      <c r="J34" s="247"/>
      <c r="K34" s="247"/>
      <c r="L34" s="178"/>
      <c r="M34" s="178"/>
      <c r="N34" s="179"/>
    </row>
    <row r="35" spans="1:16" ht="12.75" customHeight="1" x14ac:dyDescent="0.3">
      <c r="A35" s="20">
        <v>7.01</v>
      </c>
      <c r="B35" s="103" t="s">
        <v>47</v>
      </c>
      <c r="C35" s="93" t="s">
        <v>19</v>
      </c>
      <c r="D35" s="94">
        <v>879</v>
      </c>
      <c r="E35" s="180">
        <v>19943</v>
      </c>
      <c r="F35" s="180">
        <f t="shared" si="0"/>
        <v>17529897</v>
      </c>
      <c r="G35" s="187"/>
      <c r="H35" s="245"/>
      <c r="I35" s="250">
        <v>0.3</v>
      </c>
      <c r="J35" s="250">
        <v>0.35</v>
      </c>
      <c r="K35" s="251">
        <f t="shared" si="1"/>
        <v>0.64999999999999991</v>
      </c>
      <c r="L35" s="50">
        <f t="shared" si="2"/>
        <v>5258969.0999999996</v>
      </c>
      <c r="M35" s="50">
        <f t="shared" si="3"/>
        <v>6135463.9499999993</v>
      </c>
      <c r="N35" s="50">
        <f t="shared" si="4"/>
        <v>11394433.049999999</v>
      </c>
    </row>
    <row r="36" spans="1:16" ht="12.75" customHeight="1" x14ac:dyDescent="0.3">
      <c r="A36" s="24">
        <v>7.02</v>
      </c>
      <c r="B36" s="104" t="s">
        <v>48</v>
      </c>
      <c r="C36" s="30" t="s">
        <v>19</v>
      </c>
      <c r="D36" s="31">
        <v>716</v>
      </c>
      <c r="E36" s="181">
        <v>26767</v>
      </c>
      <c r="F36" s="181">
        <f t="shared" si="0"/>
        <v>19165172</v>
      </c>
      <c r="G36" s="185"/>
      <c r="H36" s="245"/>
      <c r="I36" s="250">
        <v>0.75</v>
      </c>
      <c r="J36" s="274">
        <v>0.1</v>
      </c>
      <c r="K36" s="251">
        <f t="shared" si="1"/>
        <v>0.85</v>
      </c>
      <c r="L36" s="50">
        <f t="shared" si="2"/>
        <v>14373879</v>
      </c>
      <c r="M36" s="50">
        <f t="shared" si="3"/>
        <v>1916517.2000000002</v>
      </c>
      <c r="N36" s="50">
        <f t="shared" si="4"/>
        <v>16290396.199999999</v>
      </c>
    </row>
    <row r="37" spans="1:16" ht="12.75" customHeight="1" x14ac:dyDescent="0.3">
      <c r="A37" s="24">
        <v>7.03</v>
      </c>
      <c r="B37" s="25" t="s">
        <v>49</v>
      </c>
      <c r="C37" s="30" t="s">
        <v>19</v>
      </c>
      <c r="D37" s="31">
        <v>1439</v>
      </c>
      <c r="E37" s="181">
        <v>22963</v>
      </c>
      <c r="F37" s="181">
        <f t="shared" si="0"/>
        <v>33043757</v>
      </c>
      <c r="G37" s="185"/>
      <c r="H37" s="245"/>
      <c r="I37" s="250">
        <v>0.89999999999999991</v>
      </c>
      <c r="J37" s="274">
        <v>0.1</v>
      </c>
      <c r="K37" s="251">
        <f t="shared" si="1"/>
        <v>0.99999999999999989</v>
      </c>
      <c r="L37" s="50">
        <f t="shared" si="2"/>
        <v>29739381.299999997</v>
      </c>
      <c r="M37" s="50">
        <f t="shared" si="3"/>
        <v>3304375.7</v>
      </c>
      <c r="N37" s="50">
        <f t="shared" si="4"/>
        <v>33043756.999999996</v>
      </c>
    </row>
    <row r="38" spans="1:16" ht="13" x14ac:dyDescent="0.3">
      <c r="A38" s="100">
        <v>7.04</v>
      </c>
      <c r="B38" s="105" t="s">
        <v>50</v>
      </c>
      <c r="C38" s="30" t="s">
        <v>27</v>
      </c>
      <c r="D38" s="31">
        <v>347</v>
      </c>
      <c r="E38" s="181">
        <v>16909</v>
      </c>
      <c r="F38" s="181">
        <f t="shared" si="0"/>
        <v>5867423</v>
      </c>
      <c r="G38" s="185"/>
      <c r="H38" s="245"/>
      <c r="I38" s="250">
        <v>0.89999999999999991</v>
      </c>
      <c r="J38" s="274">
        <v>0.05</v>
      </c>
      <c r="K38" s="251">
        <f t="shared" si="1"/>
        <v>0.95</v>
      </c>
      <c r="L38" s="50">
        <f t="shared" si="2"/>
        <v>5280680.6999999993</v>
      </c>
      <c r="M38" s="50">
        <f t="shared" si="3"/>
        <v>293371.15000000002</v>
      </c>
      <c r="N38" s="50">
        <f t="shared" si="4"/>
        <v>5574051.8499999996</v>
      </c>
    </row>
    <row r="39" spans="1:16" ht="12.75" customHeight="1" x14ac:dyDescent="0.3">
      <c r="A39" s="24">
        <v>7.05</v>
      </c>
      <c r="B39" s="105" t="s">
        <v>51</v>
      </c>
      <c r="C39" s="30" t="s">
        <v>52</v>
      </c>
      <c r="D39" s="31">
        <v>132</v>
      </c>
      <c r="E39" s="181">
        <v>19384</v>
      </c>
      <c r="F39" s="181">
        <f t="shared" si="0"/>
        <v>2558688</v>
      </c>
      <c r="G39" s="185"/>
      <c r="H39" s="245"/>
      <c r="I39" s="250">
        <v>0.89999999999999991</v>
      </c>
      <c r="J39" s="274">
        <v>0.05</v>
      </c>
      <c r="K39" s="251">
        <f t="shared" si="1"/>
        <v>0.95</v>
      </c>
      <c r="L39" s="50">
        <f t="shared" si="2"/>
        <v>2302819.1999999997</v>
      </c>
      <c r="M39" s="50">
        <f t="shared" si="3"/>
        <v>127934.40000000001</v>
      </c>
      <c r="N39" s="50">
        <f t="shared" si="4"/>
        <v>2430753.6</v>
      </c>
    </row>
    <row r="40" spans="1:16" ht="12.75" customHeight="1" x14ac:dyDescent="0.3">
      <c r="A40" s="100">
        <v>7.06</v>
      </c>
      <c r="B40" s="25" t="s">
        <v>53</v>
      </c>
      <c r="C40" s="30" t="s">
        <v>19</v>
      </c>
      <c r="D40" s="31">
        <v>710</v>
      </c>
      <c r="E40" s="181">
        <v>19943</v>
      </c>
      <c r="F40" s="181">
        <f t="shared" si="0"/>
        <v>14159530</v>
      </c>
      <c r="G40" s="185"/>
      <c r="H40" s="245"/>
      <c r="I40" s="250">
        <v>0.7</v>
      </c>
      <c r="J40" s="250">
        <v>0.15</v>
      </c>
      <c r="K40" s="251">
        <f t="shared" si="1"/>
        <v>0.85</v>
      </c>
      <c r="L40" s="50">
        <f t="shared" si="2"/>
        <v>9911671</v>
      </c>
      <c r="M40" s="50">
        <f t="shared" si="3"/>
        <v>2123929.5</v>
      </c>
      <c r="N40" s="50">
        <f t="shared" si="4"/>
        <v>12035600.5</v>
      </c>
    </row>
    <row r="41" spans="1:16" ht="12.75" customHeight="1" x14ac:dyDescent="0.3">
      <c r="A41" s="13">
        <v>8</v>
      </c>
      <c r="B41" s="17" t="s">
        <v>54</v>
      </c>
      <c r="C41" s="18"/>
      <c r="D41" s="19"/>
      <c r="E41" s="19"/>
      <c r="F41" s="19"/>
      <c r="G41" s="176">
        <f>+SUM(F42:F49)</f>
        <v>49520833</v>
      </c>
      <c r="H41" s="245">
        <f>+G41/$G$195</f>
        <v>5.8615270805192479E-2</v>
      </c>
      <c r="I41" s="246"/>
      <c r="J41" s="247"/>
      <c r="K41" s="247"/>
      <c r="L41" s="178"/>
      <c r="M41" s="178"/>
      <c r="N41" s="179"/>
    </row>
    <row r="42" spans="1:16" ht="12.75" customHeight="1" x14ac:dyDescent="0.3">
      <c r="A42" s="20">
        <v>8.01</v>
      </c>
      <c r="B42" s="21" t="s">
        <v>55</v>
      </c>
      <c r="C42" s="93" t="s">
        <v>19</v>
      </c>
      <c r="D42" s="94">
        <v>107</v>
      </c>
      <c r="E42" s="183">
        <v>58580</v>
      </c>
      <c r="F42" s="183">
        <f t="shared" si="0"/>
        <v>6268060</v>
      </c>
      <c r="G42" s="182"/>
      <c r="H42" s="245"/>
      <c r="I42" s="250">
        <v>0</v>
      </c>
      <c r="J42" s="250"/>
      <c r="K42" s="251">
        <f t="shared" si="1"/>
        <v>0</v>
      </c>
      <c r="L42" s="50">
        <f t="shared" si="2"/>
        <v>0</v>
      </c>
      <c r="M42" s="50">
        <f t="shared" si="3"/>
        <v>0</v>
      </c>
      <c r="N42" s="50">
        <f t="shared" si="4"/>
        <v>0</v>
      </c>
    </row>
    <row r="43" spans="1:16" ht="12.75" customHeight="1" x14ac:dyDescent="0.3">
      <c r="A43" s="106">
        <v>8.02</v>
      </c>
      <c r="B43" s="107" t="s">
        <v>56</v>
      </c>
      <c r="C43" s="108" t="s">
        <v>19</v>
      </c>
      <c r="D43" s="32">
        <v>258</v>
      </c>
      <c r="E43" s="183">
        <v>38729</v>
      </c>
      <c r="F43" s="183">
        <f t="shared" si="0"/>
        <v>9992082</v>
      </c>
      <c r="G43" s="182"/>
      <c r="H43" s="245"/>
      <c r="I43" s="250">
        <v>0</v>
      </c>
      <c r="J43" s="250"/>
      <c r="K43" s="251">
        <f t="shared" si="1"/>
        <v>0</v>
      </c>
      <c r="L43" s="50">
        <f t="shared" si="2"/>
        <v>0</v>
      </c>
      <c r="M43" s="50">
        <f t="shared" si="3"/>
        <v>0</v>
      </c>
      <c r="N43" s="50">
        <f t="shared" si="4"/>
        <v>0</v>
      </c>
    </row>
    <row r="44" spans="1:16" ht="12.75" customHeight="1" x14ac:dyDescent="0.3">
      <c r="A44" s="24">
        <v>8.0299999999999994</v>
      </c>
      <c r="B44" s="25" t="s">
        <v>57</v>
      </c>
      <c r="C44" s="30" t="s">
        <v>19</v>
      </c>
      <c r="D44" s="31">
        <v>425</v>
      </c>
      <c r="E44" s="183">
        <v>22943</v>
      </c>
      <c r="F44" s="183">
        <f t="shared" si="0"/>
        <v>9750775</v>
      </c>
      <c r="G44" s="182"/>
      <c r="H44" s="245"/>
      <c r="I44" s="250">
        <v>0</v>
      </c>
      <c r="J44" s="250">
        <v>0.5</v>
      </c>
      <c r="K44" s="251">
        <f t="shared" si="1"/>
        <v>0.5</v>
      </c>
      <c r="L44" s="50">
        <f t="shared" si="2"/>
        <v>0</v>
      </c>
      <c r="M44" s="50">
        <f t="shared" si="3"/>
        <v>4875387.5</v>
      </c>
      <c r="N44" s="50">
        <f t="shared" si="4"/>
        <v>4875387.5</v>
      </c>
    </row>
    <row r="45" spans="1:16" ht="12.75" customHeight="1" x14ac:dyDescent="0.3">
      <c r="A45" s="106">
        <v>8.0399999999999991</v>
      </c>
      <c r="B45" s="25" t="s">
        <v>58</v>
      </c>
      <c r="C45" s="30" t="s">
        <v>19</v>
      </c>
      <c r="D45" s="31">
        <v>200</v>
      </c>
      <c r="E45" s="183">
        <v>40355</v>
      </c>
      <c r="F45" s="183">
        <f t="shared" si="0"/>
        <v>8071000</v>
      </c>
      <c r="G45" s="182"/>
      <c r="H45" s="245"/>
      <c r="I45" s="250">
        <v>0</v>
      </c>
      <c r="J45" s="250">
        <v>0.5</v>
      </c>
      <c r="K45" s="251">
        <f t="shared" si="1"/>
        <v>0.5</v>
      </c>
      <c r="L45" s="50">
        <f t="shared" si="2"/>
        <v>0</v>
      </c>
      <c r="M45" s="50">
        <f t="shared" si="3"/>
        <v>4035500</v>
      </c>
      <c r="N45" s="50">
        <f t="shared" si="4"/>
        <v>4035500</v>
      </c>
    </row>
    <row r="46" spans="1:16" ht="12.75" customHeight="1" x14ac:dyDescent="0.3">
      <c r="A46" s="24">
        <v>8.0500000000000007</v>
      </c>
      <c r="B46" s="25" t="s">
        <v>59</v>
      </c>
      <c r="C46" s="30" t="s">
        <v>19</v>
      </c>
      <c r="D46" s="31">
        <v>77</v>
      </c>
      <c r="E46" s="183">
        <v>31515</v>
      </c>
      <c r="F46" s="183">
        <f t="shared" si="0"/>
        <v>2426655</v>
      </c>
      <c r="G46" s="182"/>
      <c r="H46" s="245"/>
      <c r="I46" s="250">
        <v>0</v>
      </c>
      <c r="J46" s="250">
        <v>0.5</v>
      </c>
      <c r="K46" s="251">
        <f t="shared" si="1"/>
        <v>0.5</v>
      </c>
      <c r="L46" s="50">
        <f t="shared" si="2"/>
        <v>0</v>
      </c>
      <c r="M46" s="50">
        <f t="shared" si="3"/>
        <v>1213327.5</v>
      </c>
      <c r="N46" s="50">
        <f t="shared" si="4"/>
        <v>1213327.5</v>
      </c>
    </row>
    <row r="47" spans="1:16" ht="12.75" customHeight="1" x14ac:dyDescent="0.3">
      <c r="A47" s="106">
        <v>8.06</v>
      </c>
      <c r="B47" s="25" t="s">
        <v>60</v>
      </c>
      <c r="C47" s="30" t="s">
        <v>19</v>
      </c>
      <c r="D47" s="31">
        <v>77</v>
      </c>
      <c r="E47" s="183">
        <v>19683</v>
      </c>
      <c r="F47" s="183">
        <f t="shared" si="0"/>
        <v>1515591</v>
      </c>
      <c r="G47" s="182"/>
      <c r="H47" s="245"/>
      <c r="I47" s="250">
        <v>0</v>
      </c>
      <c r="J47" s="250"/>
      <c r="K47" s="251">
        <f t="shared" si="1"/>
        <v>0</v>
      </c>
      <c r="L47" s="50">
        <f t="shared" si="2"/>
        <v>0</v>
      </c>
      <c r="M47" s="50">
        <f t="shared" si="3"/>
        <v>0</v>
      </c>
      <c r="N47" s="50">
        <f t="shared" si="4"/>
        <v>0</v>
      </c>
    </row>
    <row r="48" spans="1:16" ht="12.75" customHeight="1" x14ac:dyDescent="0.3">
      <c r="A48" s="24">
        <v>8.07</v>
      </c>
      <c r="B48" s="25" t="s">
        <v>61</v>
      </c>
      <c r="C48" s="30" t="s">
        <v>19</v>
      </c>
      <c r="D48" s="31">
        <v>442</v>
      </c>
      <c r="E48" s="183">
        <v>14335</v>
      </c>
      <c r="F48" s="183">
        <f t="shared" si="0"/>
        <v>6336070</v>
      </c>
      <c r="G48" s="182"/>
      <c r="H48" s="245"/>
      <c r="I48" s="250">
        <v>0.05</v>
      </c>
      <c r="J48" s="250">
        <v>0.2</v>
      </c>
      <c r="K48" s="251">
        <f t="shared" si="1"/>
        <v>0.25</v>
      </c>
      <c r="L48" s="50">
        <f t="shared" si="2"/>
        <v>316803.5</v>
      </c>
      <c r="M48" s="50">
        <f t="shared" si="3"/>
        <v>1267214</v>
      </c>
      <c r="N48" s="50">
        <f t="shared" si="4"/>
        <v>1584017.5</v>
      </c>
      <c r="P48" s="262"/>
    </row>
    <row r="49" spans="1:14" ht="12.75" customHeight="1" x14ac:dyDescent="0.3">
      <c r="A49" s="106">
        <v>8.08</v>
      </c>
      <c r="B49" s="25" t="s">
        <v>62</v>
      </c>
      <c r="C49" s="30" t="s">
        <v>19</v>
      </c>
      <c r="D49" s="31">
        <v>360</v>
      </c>
      <c r="E49" s="183">
        <v>14335</v>
      </c>
      <c r="F49" s="183">
        <f t="shared" si="0"/>
        <v>5160600</v>
      </c>
      <c r="G49" s="182"/>
      <c r="H49" s="245"/>
      <c r="I49" s="250">
        <v>0</v>
      </c>
      <c r="J49" s="250"/>
      <c r="K49" s="251">
        <f t="shared" si="1"/>
        <v>0</v>
      </c>
      <c r="L49" s="50">
        <f t="shared" si="2"/>
        <v>0</v>
      </c>
      <c r="M49" s="50">
        <f t="shared" si="3"/>
        <v>0</v>
      </c>
      <c r="N49" s="50">
        <f t="shared" si="4"/>
        <v>0</v>
      </c>
    </row>
    <row r="50" spans="1:14" ht="12.75" customHeight="1" x14ac:dyDescent="0.3">
      <c r="A50" s="13">
        <v>9</v>
      </c>
      <c r="B50" s="17" t="s">
        <v>63</v>
      </c>
      <c r="C50" s="18"/>
      <c r="D50" s="19"/>
      <c r="E50" s="19"/>
      <c r="F50" s="19"/>
      <c r="G50" s="176">
        <f>+SUM(F51:F53)</f>
        <v>4852846</v>
      </c>
      <c r="H50" s="245">
        <f>+G50/$G$195</f>
        <v>5.7440649769743392E-3</v>
      </c>
      <c r="I50" s="246"/>
      <c r="J50" s="247"/>
      <c r="K50" s="247"/>
      <c r="L50" s="178"/>
      <c r="M50" s="178"/>
      <c r="N50" s="179"/>
    </row>
    <row r="51" spans="1:14" ht="12.75" customHeight="1" x14ac:dyDescent="0.3">
      <c r="A51" s="20">
        <v>9.01</v>
      </c>
      <c r="B51" s="21" t="s">
        <v>64</v>
      </c>
      <c r="C51" s="109" t="s">
        <v>29</v>
      </c>
      <c r="D51" s="94">
        <v>1</v>
      </c>
      <c r="E51" s="181">
        <v>2109310</v>
      </c>
      <c r="F51" s="181">
        <f t="shared" si="0"/>
        <v>2109310</v>
      </c>
      <c r="G51" s="186"/>
      <c r="H51" s="245"/>
      <c r="I51" s="250">
        <v>0</v>
      </c>
      <c r="J51" s="250"/>
      <c r="K51" s="251">
        <f t="shared" si="1"/>
        <v>0</v>
      </c>
      <c r="L51" s="50">
        <f t="shared" si="2"/>
        <v>0</v>
      </c>
      <c r="M51" s="50">
        <f t="shared" si="3"/>
        <v>0</v>
      </c>
      <c r="N51" s="50">
        <f t="shared" si="4"/>
        <v>0</v>
      </c>
    </row>
    <row r="52" spans="1:14" ht="12.75" customHeight="1" x14ac:dyDescent="0.3">
      <c r="A52" s="24">
        <v>9.02</v>
      </c>
      <c r="B52" s="25" t="s">
        <v>65</v>
      </c>
      <c r="C52" s="110" t="s">
        <v>52</v>
      </c>
      <c r="D52" s="31">
        <v>81</v>
      </c>
      <c r="E52" s="181">
        <v>28022</v>
      </c>
      <c r="F52" s="181">
        <f t="shared" si="0"/>
        <v>2269782</v>
      </c>
      <c r="G52" s="186"/>
      <c r="H52" s="252"/>
      <c r="I52" s="250">
        <v>0</v>
      </c>
      <c r="J52" s="250"/>
      <c r="K52" s="251">
        <f t="shared" si="1"/>
        <v>0</v>
      </c>
      <c r="L52" s="50">
        <f t="shared" si="2"/>
        <v>0</v>
      </c>
      <c r="M52" s="50">
        <f t="shared" si="3"/>
        <v>0</v>
      </c>
      <c r="N52" s="50">
        <f t="shared" si="4"/>
        <v>0</v>
      </c>
    </row>
    <row r="53" spans="1:14" ht="12.75" customHeight="1" x14ac:dyDescent="0.3">
      <c r="A53" s="33">
        <v>9.0299999999999994</v>
      </c>
      <c r="B53" s="38" t="s">
        <v>66</v>
      </c>
      <c r="C53" s="111" t="s">
        <v>27</v>
      </c>
      <c r="D53" s="35">
        <v>46</v>
      </c>
      <c r="E53" s="181">
        <v>10299</v>
      </c>
      <c r="F53" s="181">
        <f t="shared" si="0"/>
        <v>473754</v>
      </c>
      <c r="G53" s="186"/>
      <c r="H53" s="252"/>
      <c r="I53" s="250">
        <v>0</v>
      </c>
      <c r="J53" s="250"/>
      <c r="K53" s="251">
        <f t="shared" si="1"/>
        <v>0</v>
      </c>
      <c r="L53" s="50">
        <f t="shared" si="2"/>
        <v>0</v>
      </c>
      <c r="M53" s="50">
        <f t="shared" si="3"/>
        <v>0</v>
      </c>
      <c r="N53" s="50">
        <f t="shared" si="4"/>
        <v>0</v>
      </c>
    </row>
    <row r="54" spans="1:14" ht="12.75" customHeight="1" x14ac:dyDescent="0.3">
      <c r="A54" s="13">
        <v>10</v>
      </c>
      <c r="B54" s="40" t="s">
        <v>67</v>
      </c>
      <c r="C54" s="18"/>
      <c r="D54" s="19"/>
      <c r="E54" s="19"/>
      <c r="F54" s="19"/>
      <c r="G54" s="176">
        <f>+SUM(F55:F58)</f>
        <v>4184652</v>
      </c>
      <c r="H54" s="245">
        <f>+G54/$G$195</f>
        <v>4.9531580013100814E-3</v>
      </c>
      <c r="I54" s="246"/>
      <c r="J54" s="247"/>
      <c r="K54" s="247"/>
      <c r="L54" s="178"/>
      <c r="M54" s="178"/>
      <c r="N54" s="179"/>
    </row>
    <row r="55" spans="1:14" ht="12.75" customHeight="1" x14ac:dyDescent="0.3">
      <c r="A55" s="24">
        <v>10.01</v>
      </c>
      <c r="B55" s="25" t="s">
        <v>68</v>
      </c>
      <c r="C55" s="112" t="s">
        <v>29</v>
      </c>
      <c r="D55" s="27">
        <v>1</v>
      </c>
      <c r="E55" s="181">
        <v>1844532</v>
      </c>
      <c r="F55" s="181">
        <f t="shared" si="0"/>
        <v>1844532</v>
      </c>
      <c r="G55" s="188"/>
      <c r="H55" s="245"/>
      <c r="I55" s="250">
        <v>0.9</v>
      </c>
      <c r="J55" s="250">
        <v>0.05</v>
      </c>
      <c r="K55" s="251">
        <f t="shared" si="1"/>
        <v>0.95000000000000007</v>
      </c>
      <c r="L55" s="50">
        <f t="shared" si="2"/>
        <v>1660078.8</v>
      </c>
      <c r="M55" s="50">
        <f t="shared" si="3"/>
        <v>92226.6</v>
      </c>
      <c r="N55" s="50">
        <f t="shared" si="4"/>
        <v>1752305.4000000001</v>
      </c>
    </row>
    <row r="56" spans="1:14" ht="12.75" customHeight="1" x14ac:dyDescent="0.3">
      <c r="A56" s="24">
        <v>10.02</v>
      </c>
      <c r="B56" s="25" t="s">
        <v>69</v>
      </c>
      <c r="C56" s="112" t="s">
        <v>29</v>
      </c>
      <c r="D56" s="27">
        <v>1</v>
      </c>
      <c r="E56" s="181">
        <v>1214937</v>
      </c>
      <c r="F56" s="181">
        <f t="shared" si="0"/>
        <v>1214937</v>
      </c>
      <c r="H56" s="245"/>
      <c r="I56" s="250">
        <v>0.1</v>
      </c>
      <c r="J56" s="250">
        <v>0.7</v>
      </c>
      <c r="K56" s="251">
        <f t="shared" si="1"/>
        <v>0.79999999999999993</v>
      </c>
      <c r="L56" s="50">
        <f t="shared" si="2"/>
        <v>121493.70000000001</v>
      </c>
      <c r="M56" s="50">
        <f t="shared" si="3"/>
        <v>850455.89999999991</v>
      </c>
      <c r="N56" s="50">
        <f t="shared" si="4"/>
        <v>971949.6</v>
      </c>
    </row>
    <row r="57" spans="1:14" ht="12.75" customHeight="1" x14ac:dyDescent="0.3">
      <c r="A57" s="24">
        <v>10.029999999999999</v>
      </c>
      <c r="B57" s="25" t="s">
        <v>70</v>
      </c>
      <c r="C57" s="112" t="s">
        <v>29</v>
      </c>
      <c r="D57" s="27">
        <v>1</v>
      </c>
      <c r="E57" s="181">
        <v>539833</v>
      </c>
      <c r="F57" s="181">
        <f t="shared" si="0"/>
        <v>539833</v>
      </c>
      <c r="H57" s="245"/>
      <c r="I57" s="250">
        <v>0</v>
      </c>
      <c r="J57" s="250"/>
      <c r="K57" s="251">
        <f t="shared" si="1"/>
        <v>0</v>
      </c>
      <c r="L57" s="50">
        <f t="shared" si="2"/>
        <v>0</v>
      </c>
      <c r="M57" s="50">
        <f t="shared" si="3"/>
        <v>0</v>
      </c>
      <c r="N57" s="50">
        <f t="shared" si="4"/>
        <v>0</v>
      </c>
    </row>
    <row r="58" spans="1:14" ht="12.75" customHeight="1" x14ac:dyDescent="0.3">
      <c r="A58" s="24">
        <v>10.039999999999999</v>
      </c>
      <c r="B58" s="25" t="s">
        <v>71</v>
      </c>
      <c r="C58" s="30" t="s">
        <v>33</v>
      </c>
      <c r="D58" s="31">
        <v>10</v>
      </c>
      <c r="E58" s="181">
        <v>58535</v>
      </c>
      <c r="F58" s="181">
        <f t="shared" si="0"/>
        <v>585350</v>
      </c>
      <c r="G58" s="182"/>
      <c r="H58" s="245"/>
      <c r="I58" s="250">
        <v>0</v>
      </c>
      <c r="J58" s="250"/>
      <c r="K58" s="251">
        <f t="shared" si="1"/>
        <v>0</v>
      </c>
      <c r="L58" s="50">
        <f t="shared" si="2"/>
        <v>0</v>
      </c>
      <c r="M58" s="50">
        <f t="shared" si="3"/>
        <v>0</v>
      </c>
      <c r="N58" s="50">
        <f t="shared" si="4"/>
        <v>0</v>
      </c>
    </row>
    <row r="59" spans="1:14" ht="12.75" customHeight="1" x14ac:dyDescent="0.3">
      <c r="A59" s="13">
        <v>11</v>
      </c>
      <c r="B59" s="17" t="s">
        <v>72</v>
      </c>
      <c r="C59" s="18"/>
      <c r="D59" s="19"/>
      <c r="E59" s="19"/>
      <c r="F59" s="19"/>
      <c r="G59" s="176">
        <f>+SUM(F60:F70)</f>
        <v>31170783</v>
      </c>
      <c r="H59" s="245">
        <f>+G59/$G$195</f>
        <v>3.6895257532418527E-2</v>
      </c>
      <c r="I59" s="246"/>
      <c r="J59" s="247"/>
      <c r="K59" s="247"/>
      <c r="L59" s="178"/>
      <c r="M59" s="178"/>
      <c r="N59" s="179"/>
    </row>
    <row r="60" spans="1:14" ht="12.75" customHeight="1" x14ac:dyDescent="0.3">
      <c r="A60" s="20">
        <v>11.01</v>
      </c>
      <c r="B60" s="21" t="s">
        <v>73</v>
      </c>
      <c r="C60" s="109" t="s">
        <v>19</v>
      </c>
      <c r="D60" s="94">
        <v>0</v>
      </c>
      <c r="E60" s="181">
        <v>0</v>
      </c>
      <c r="F60" s="181">
        <f t="shared" si="0"/>
        <v>0</v>
      </c>
      <c r="G60" s="185"/>
      <c r="H60" s="252"/>
      <c r="I60" s="250">
        <v>0</v>
      </c>
      <c r="J60" s="250"/>
      <c r="K60" s="251">
        <f t="shared" si="1"/>
        <v>0</v>
      </c>
      <c r="L60" s="50">
        <f t="shared" si="2"/>
        <v>0</v>
      </c>
      <c r="M60" s="50">
        <f t="shared" si="3"/>
        <v>0</v>
      </c>
      <c r="N60" s="50">
        <f t="shared" si="4"/>
        <v>0</v>
      </c>
    </row>
    <row r="61" spans="1:14" ht="12.75" customHeight="1" x14ac:dyDescent="0.3">
      <c r="A61" s="24">
        <v>11.02</v>
      </c>
      <c r="B61" s="25" t="s">
        <v>74</v>
      </c>
      <c r="C61" s="110" t="s">
        <v>19</v>
      </c>
      <c r="D61" s="31">
        <v>39</v>
      </c>
      <c r="E61" s="181">
        <v>19280</v>
      </c>
      <c r="F61" s="181">
        <f t="shared" si="0"/>
        <v>751920</v>
      </c>
      <c r="G61" s="186"/>
      <c r="H61" s="252"/>
      <c r="I61" s="250">
        <v>0</v>
      </c>
      <c r="J61" s="250"/>
      <c r="K61" s="251">
        <f t="shared" si="1"/>
        <v>0</v>
      </c>
      <c r="L61" s="50">
        <f t="shared" si="2"/>
        <v>0</v>
      </c>
      <c r="M61" s="50">
        <f t="shared" si="3"/>
        <v>0</v>
      </c>
      <c r="N61" s="50">
        <f t="shared" si="4"/>
        <v>0</v>
      </c>
    </row>
    <row r="62" spans="1:14" ht="12.75" customHeight="1" x14ac:dyDescent="0.3">
      <c r="A62" s="24">
        <v>11.03</v>
      </c>
      <c r="B62" s="25" t="s">
        <v>75</v>
      </c>
      <c r="C62" s="110" t="s">
        <v>19</v>
      </c>
      <c r="D62" s="31">
        <v>48</v>
      </c>
      <c r="E62" s="181">
        <v>25362</v>
      </c>
      <c r="F62" s="181">
        <f t="shared" si="0"/>
        <v>1217376</v>
      </c>
      <c r="G62" s="186"/>
      <c r="H62" s="252"/>
      <c r="I62" s="250">
        <v>0</v>
      </c>
      <c r="J62" s="250"/>
      <c r="K62" s="251">
        <f t="shared" si="1"/>
        <v>0</v>
      </c>
      <c r="L62" s="50">
        <f t="shared" si="2"/>
        <v>0</v>
      </c>
      <c r="M62" s="50">
        <f t="shared" si="3"/>
        <v>0</v>
      </c>
      <c r="N62" s="50">
        <f t="shared" si="4"/>
        <v>0</v>
      </c>
    </row>
    <row r="63" spans="1:14" ht="12.75" customHeight="1" x14ac:dyDescent="0.3">
      <c r="A63" s="24">
        <v>11.04</v>
      </c>
      <c r="B63" s="25" t="s">
        <v>76</v>
      </c>
      <c r="C63" s="30" t="s">
        <v>19</v>
      </c>
      <c r="D63" s="31">
        <v>174</v>
      </c>
      <c r="E63" s="181">
        <v>19164</v>
      </c>
      <c r="F63" s="181">
        <f t="shared" si="0"/>
        <v>3334536</v>
      </c>
      <c r="G63" s="182"/>
      <c r="H63" s="245"/>
      <c r="I63" s="250">
        <v>0</v>
      </c>
      <c r="J63" s="250"/>
      <c r="K63" s="251">
        <f t="shared" si="1"/>
        <v>0</v>
      </c>
      <c r="L63" s="50">
        <f t="shared" si="2"/>
        <v>0</v>
      </c>
      <c r="M63" s="50">
        <f t="shared" si="3"/>
        <v>0</v>
      </c>
      <c r="N63" s="50">
        <f t="shared" si="4"/>
        <v>0</v>
      </c>
    </row>
    <row r="64" spans="1:14" ht="12.75" customHeight="1" x14ac:dyDescent="0.3">
      <c r="A64" s="24">
        <v>11.05</v>
      </c>
      <c r="B64" s="25" t="s">
        <v>77</v>
      </c>
      <c r="C64" s="110" t="s">
        <v>19</v>
      </c>
      <c r="D64" s="31">
        <v>92</v>
      </c>
      <c r="E64" s="181">
        <v>19164</v>
      </c>
      <c r="F64" s="181">
        <f t="shared" si="0"/>
        <v>1763088</v>
      </c>
      <c r="G64" s="185"/>
      <c r="H64" s="252"/>
      <c r="I64" s="250">
        <v>0</v>
      </c>
      <c r="J64" s="250"/>
      <c r="K64" s="251">
        <f t="shared" si="1"/>
        <v>0</v>
      </c>
      <c r="L64" s="50">
        <f t="shared" si="2"/>
        <v>0</v>
      </c>
      <c r="M64" s="50">
        <f t="shared" si="3"/>
        <v>0</v>
      </c>
      <c r="N64" s="50">
        <f t="shared" si="4"/>
        <v>0</v>
      </c>
    </row>
    <row r="65" spans="1:14" ht="12.75" customHeight="1" x14ac:dyDescent="0.3">
      <c r="A65" s="24">
        <v>11.06</v>
      </c>
      <c r="B65" s="25" t="s">
        <v>78</v>
      </c>
      <c r="C65" s="30" t="s">
        <v>19</v>
      </c>
      <c r="D65" s="31">
        <v>8</v>
      </c>
      <c r="E65" s="181">
        <v>14043</v>
      </c>
      <c r="F65" s="181">
        <f t="shared" si="0"/>
        <v>112344</v>
      </c>
      <c r="G65" s="182"/>
      <c r="H65" s="245"/>
      <c r="I65" s="250">
        <v>0</v>
      </c>
      <c r="J65" s="250"/>
      <c r="K65" s="251">
        <f t="shared" si="1"/>
        <v>0</v>
      </c>
      <c r="L65" s="50">
        <f t="shared" si="2"/>
        <v>0</v>
      </c>
      <c r="M65" s="50">
        <f t="shared" si="3"/>
        <v>0</v>
      </c>
      <c r="N65" s="50">
        <f t="shared" si="4"/>
        <v>0</v>
      </c>
    </row>
    <row r="66" spans="1:14" ht="12.75" customHeight="1" x14ac:dyDescent="0.3">
      <c r="A66" s="24">
        <v>11.07</v>
      </c>
      <c r="B66" s="25" t="s">
        <v>79</v>
      </c>
      <c r="C66" s="110" t="s">
        <v>19</v>
      </c>
      <c r="D66" s="31">
        <v>46</v>
      </c>
      <c r="E66" s="181">
        <v>26630</v>
      </c>
      <c r="F66" s="181">
        <f t="shared" si="0"/>
        <v>1224980</v>
      </c>
      <c r="G66" s="186"/>
      <c r="H66" s="252"/>
      <c r="I66" s="250">
        <v>0</v>
      </c>
      <c r="J66" s="250"/>
      <c r="K66" s="251">
        <f t="shared" si="1"/>
        <v>0</v>
      </c>
      <c r="L66" s="50">
        <f t="shared" si="2"/>
        <v>0</v>
      </c>
      <c r="M66" s="50">
        <f t="shared" si="3"/>
        <v>0</v>
      </c>
      <c r="N66" s="50">
        <f t="shared" si="4"/>
        <v>0</v>
      </c>
    </row>
    <row r="67" spans="1:14" ht="12.75" customHeight="1" x14ac:dyDescent="0.3">
      <c r="A67" s="24">
        <v>11.08</v>
      </c>
      <c r="B67" s="25" t="s">
        <v>80</v>
      </c>
      <c r="C67" s="110" t="s">
        <v>19</v>
      </c>
      <c r="D67" s="31">
        <v>562</v>
      </c>
      <c r="E67" s="181">
        <v>25362</v>
      </c>
      <c r="F67" s="181">
        <f t="shared" si="0"/>
        <v>14253444</v>
      </c>
      <c r="G67" s="186"/>
      <c r="H67" s="252"/>
      <c r="I67" s="250">
        <v>0</v>
      </c>
      <c r="J67" s="250"/>
      <c r="K67" s="251">
        <f t="shared" si="1"/>
        <v>0</v>
      </c>
      <c r="L67" s="50">
        <f t="shared" si="2"/>
        <v>0</v>
      </c>
      <c r="M67" s="50">
        <f t="shared" si="3"/>
        <v>0</v>
      </c>
      <c r="N67" s="50">
        <f t="shared" si="4"/>
        <v>0</v>
      </c>
    </row>
    <row r="68" spans="1:14" ht="12.75" customHeight="1" x14ac:dyDescent="0.3">
      <c r="A68" s="24">
        <v>11.09</v>
      </c>
      <c r="B68" s="25" t="s">
        <v>81</v>
      </c>
      <c r="C68" s="113" t="s">
        <v>19</v>
      </c>
      <c r="D68" s="32">
        <v>73</v>
      </c>
      <c r="E68" s="181">
        <v>30109</v>
      </c>
      <c r="F68" s="181">
        <f t="shared" si="0"/>
        <v>2197957</v>
      </c>
      <c r="G68" s="186"/>
      <c r="H68" s="252"/>
      <c r="I68" s="250">
        <v>0</v>
      </c>
      <c r="J68" s="250"/>
      <c r="K68" s="251">
        <f t="shared" si="1"/>
        <v>0</v>
      </c>
      <c r="L68" s="50">
        <f t="shared" si="2"/>
        <v>0</v>
      </c>
      <c r="M68" s="50">
        <f t="shared" si="3"/>
        <v>0</v>
      </c>
      <c r="N68" s="50">
        <f t="shared" si="4"/>
        <v>0</v>
      </c>
    </row>
    <row r="69" spans="1:14" ht="12.75" customHeight="1" x14ac:dyDescent="0.3">
      <c r="A69" s="24">
        <v>11.1</v>
      </c>
      <c r="B69" s="25" t="s">
        <v>82</v>
      </c>
      <c r="C69" s="113" t="s">
        <v>19</v>
      </c>
      <c r="D69" s="32">
        <v>143</v>
      </c>
      <c r="E69" s="181">
        <v>25362</v>
      </c>
      <c r="F69" s="181">
        <f t="shared" si="0"/>
        <v>3626766</v>
      </c>
      <c r="G69" s="186"/>
      <c r="H69" s="252"/>
      <c r="I69" s="250">
        <v>0</v>
      </c>
      <c r="J69" s="250"/>
      <c r="K69" s="251">
        <f t="shared" si="1"/>
        <v>0</v>
      </c>
      <c r="L69" s="50">
        <f t="shared" si="2"/>
        <v>0</v>
      </c>
      <c r="M69" s="50">
        <f t="shared" si="3"/>
        <v>0</v>
      </c>
      <c r="N69" s="50">
        <f t="shared" si="4"/>
        <v>0</v>
      </c>
    </row>
    <row r="70" spans="1:14" ht="12.75" customHeight="1" x14ac:dyDescent="0.3">
      <c r="A70" s="24">
        <v>11.11</v>
      </c>
      <c r="B70" s="25" t="s">
        <v>83</v>
      </c>
      <c r="C70" s="111" t="s">
        <v>19</v>
      </c>
      <c r="D70" s="35">
        <v>106</v>
      </c>
      <c r="E70" s="181">
        <v>25362</v>
      </c>
      <c r="F70" s="181">
        <f t="shared" si="0"/>
        <v>2688372</v>
      </c>
      <c r="G70" s="186"/>
      <c r="H70" s="252"/>
      <c r="I70" s="250">
        <v>0</v>
      </c>
      <c r="J70" s="250"/>
      <c r="K70" s="251">
        <f t="shared" si="1"/>
        <v>0</v>
      </c>
      <c r="L70" s="50">
        <f t="shared" si="2"/>
        <v>0</v>
      </c>
      <c r="M70" s="50">
        <f t="shared" si="3"/>
        <v>0</v>
      </c>
      <c r="N70" s="50">
        <f t="shared" si="4"/>
        <v>0</v>
      </c>
    </row>
    <row r="71" spans="1:14" ht="12.75" customHeight="1" x14ac:dyDescent="0.3">
      <c r="A71" s="13">
        <v>12</v>
      </c>
      <c r="B71" s="17" t="s">
        <v>84</v>
      </c>
      <c r="C71" s="18"/>
      <c r="D71" s="19"/>
      <c r="E71" s="19"/>
      <c r="F71" s="19"/>
      <c r="G71" s="176">
        <f>+SUM(F72:F74)</f>
        <v>8990052</v>
      </c>
      <c r="H71" s="245">
        <f>+G71/$G$195</f>
        <v>1.0641063580912749E-2</v>
      </c>
      <c r="I71" s="246"/>
      <c r="J71" s="247"/>
      <c r="K71" s="247"/>
      <c r="L71" s="178"/>
      <c r="M71" s="178"/>
      <c r="N71" s="179"/>
    </row>
    <row r="72" spans="1:14" ht="12.75" customHeight="1" x14ac:dyDescent="0.3">
      <c r="A72" s="20">
        <f>+A71+0.01</f>
        <v>12.01</v>
      </c>
      <c r="B72" s="21" t="s">
        <v>85</v>
      </c>
      <c r="C72" s="109" t="s">
        <v>27</v>
      </c>
      <c r="D72" s="94">
        <v>19</v>
      </c>
      <c r="E72" s="181">
        <v>6496</v>
      </c>
      <c r="F72" s="181">
        <f t="shared" si="0"/>
        <v>123424</v>
      </c>
      <c r="H72" s="245"/>
      <c r="I72" s="250">
        <v>0</v>
      </c>
      <c r="J72" s="250"/>
      <c r="K72" s="251">
        <f t="shared" si="1"/>
        <v>0</v>
      </c>
      <c r="L72" s="50">
        <f t="shared" si="2"/>
        <v>0</v>
      </c>
      <c r="M72" s="50">
        <f t="shared" si="3"/>
        <v>0</v>
      </c>
      <c r="N72" s="50">
        <f t="shared" si="4"/>
        <v>0</v>
      </c>
    </row>
    <row r="73" spans="1:14" ht="12.75" customHeight="1" x14ac:dyDescent="0.3">
      <c r="A73" s="106">
        <v>12.02</v>
      </c>
      <c r="B73" s="25" t="s">
        <v>86</v>
      </c>
      <c r="C73" s="114" t="s">
        <v>27</v>
      </c>
      <c r="D73" s="31">
        <v>626</v>
      </c>
      <c r="E73" s="181">
        <v>9059</v>
      </c>
      <c r="F73" s="181">
        <f t="shared" si="0"/>
        <v>5670934</v>
      </c>
      <c r="H73" s="245"/>
      <c r="I73" s="250">
        <v>0</v>
      </c>
      <c r="J73" s="250"/>
      <c r="K73" s="251">
        <f t="shared" si="1"/>
        <v>0</v>
      </c>
      <c r="L73" s="50">
        <f t="shared" si="2"/>
        <v>0</v>
      </c>
      <c r="M73" s="50">
        <f t="shared" si="3"/>
        <v>0</v>
      </c>
      <c r="N73" s="50">
        <f t="shared" si="4"/>
        <v>0</v>
      </c>
    </row>
    <row r="74" spans="1:14" ht="12.75" customHeight="1" x14ac:dyDescent="0.3">
      <c r="A74" s="106">
        <v>12.03</v>
      </c>
      <c r="B74" s="107" t="s">
        <v>87</v>
      </c>
      <c r="C74" s="114" t="s">
        <v>27</v>
      </c>
      <c r="D74" s="35">
        <v>386</v>
      </c>
      <c r="E74" s="181">
        <v>8279</v>
      </c>
      <c r="F74" s="181">
        <f t="shared" ref="F74:F137" si="5">+E74*D74</f>
        <v>3195694</v>
      </c>
      <c r="H74" s="245"/>
      <c r="I74" s="250">
        <v>0</v>
      </c>
      <c r="J74" s="250"/>
      <c r="K74" s="251">
        <f t="shared" ref="K74" si="6">+I74+J74</f>
        <v>0</v>
      </c>
      <c r="L74" s="50">
        <f t="shared" ref="L74" si="7">+F74*I74</f>
        <v>0</v>
      </c>
      <c r="M74" s="50">
        <f t="shared" ref="M74" si="8">+F74*J74</f>
        <v>0</v>
      </c>
      <c r="N74" s="50">
        <f t="shared" ref="N74" si="9">+F74*K74</f>
        <v>0</v>
      </c>
    </row>
    <row r="75" spans="1:14" ht="12.75" customHeight="1" x14ac:dyDescent="0.3">
      <c r="A75" s="13">
        <v>13</v>
      </c>
      <c r="B75" s="17" t="s">
        <v>88</v>
      </c>
      <c r="C75" s="18"/>
      <c r="D75" s="19"/>
      <c r="E75" s="19"/>
      <c r="F75" s="19"/>
      <c r="G75" s="176">
        <f>+SUM(F76:F79)</f>
        <v>14836279</v>
      </c>
      <c r="H75" s="245">
        <f>+G75/$G$195</f>
        <v>1.7560942711250239E-2</v>
      </c>
      <c r="I75" s="246"/>
      <c r="J75" s="247"/>
      <c r="K75" s="247"/>
      <c r="L75" s="178"/>
      <c r="M75" s="178"/>
      <c r="N75" s="179"/>
    </row>
    <row r="76" spans="1:14" ht="12.75" customHeight="1" x14ac:dyDescent="0.3">
      <c r="A76" s="115">
        <v>13.01</v>
      </c>
      <c r="B76" s="116" t="s">
        <v>89</v>
      </c>
      <c r="C76" s="117" t="s">
        <v>19</v>
      </c>
      <c r="D76" s="23">
        <v>413</v>
      </c>
      <c r="E76" s="181">
        <v>30109</v>
      </c>
      <c r="F76" s="181">
        <f t="shared" si="5"/>
        <v>12435017</v>
      </c>
      <c r="H76" s="245"/>
      <c r="I76" s="250">
        <v>0</v>
      </c>
      <c r="J76" s="250"/>
      <c r="K76" s="251">
        <f t="shared" ref="K76:K139" si="10">+I76+J76</f>
        <v>0</v>
      </c>
      <c r="L76" s="50">
        <f t="shared" ref="L76:L139" si="11">+F76*I76</f>
        <v>0</v>
      </c>
      <c r="M76" s="50">
        <f t="shared" ref="M76:M139" si="12">+F76*J76</f>
        <v>0</v>
      </c>
      <c r="N76" s="50">
        <f t="shared" ref="N76:N139" si="13">+F76*K76</f>
        <v>0</v>
      </c>
    </row>
    <row r="77" spans="1:14" ht="12.75" customHeight="1" x14ac:dyDescent="0.3">
      <c r="A77" s="118">
        <v>13.02</v>
      </c>
      <c r="B77" s="119" t="s">
        <v>90</v>
      </c>
      <c r="C77" s="120" t="s">
        <v>19</v>
      </c>
      <c r="D77" s="121">
        <v>18</v>
      </c>
      <c r="E77" s="181">
        <v>30109</v>
      </c>
      <c r="F77" s="181">
        <f t="shared" si="5"/>
        <v>541962</v>
      </c>
      <c r="H77" s="245"/>
      <c r="I77" s="250">
        <v>0</v>
      </c>
      <c r="J77" s="250"/>
      <c r="K77" s="251">
        <f t="shared" si="10"/>
        <v>0</v>
      </c>
      <c r="L77" s="50">
        <f t="shared" si="11"/>
        <v>0</v>
      </c>
      <c r="M77" s="50">
        <f t="shared" si="12"/>
        <v>0</v>
      </c>
      <c r="N77" s="50">
        <f t="shared" si="13"/>
        <v>0</v>
      </c>
    </row>
    <row r="78" spans="1:14" ht="12.75" customHeight="1" x14ac:dyDescent="0.3">
      <c r="A78" s="100">
        <v>13.03</v>
      </c>
      <c r="B78" s="119" t="s">
        <v>91</v>
      </c>
      <c r="C78" s="110" t="s">
        <v>19</v>
      </c>
      <c r="D78" s="31">
        <v>20</v>
      </c>
      <c r="E78" s="181">
        <v>92965</v>
      </c>
      <c r="F78" s="181">
        <f t="shared" si="5"/>
        <v>1859300</v>
      </c>
      <c r="G78" s="186"/>
      <c r="H78" s="252"/>
      <c r="I78" s="250">
        <v>0</v>
      </c>
      <c r="J78" s="250"/>
      <c r="K78" s="251">
        <f t="shared" si="10"/>
        <v>0</v>
      </c>
      <c r="L78" s="50">
        <f t="shared" si="11"/>
        <v>0</v>
      </c>
      <c r="M78" s="50">
        <f t="shared" si="12"/>
        <v>0</v>
      </c>
      <c r="N78" s="50">
        <f t="shared" si="13"/>
        <v>0</v>
      </c>
    </row>
    <row r="79" spans="1:14" ht="12.75" customHeight="1" x14ac:dyDescent="0.3">
      <c r="A79" s="100">
        <v>13.04</v>
      </c>
      <c r="B79" s="25" t="s">
        <v>92</v>
      </c>
      <c r="C79" s="110" t="s">
        <v>19</v>
      </c>
      <c r="D79" s="31">
        <v>0</v>
      </c>
      <c r="E79" s="181">
        <v>0</v>
      </c>
      <c r="F79" s="181">
        <f t="shared" si="5"/>
        <v>0</v>
      </c>
      <c r="G79" s="186"/>
      <c r="H79" s="252"/>
      <c r="I79" s="250">
        <v>0</v>
      </c>
      <c r="J79" s="250"/>
      <c r="K79" s="251">
        <f t="shared" si="10"/>
        <v>0</v>
      </c>
      <c r="L79" s="50">
        <f t="shared" si="11"/>
        <v>0</v>
      </c>
      <c r="M79" s="50">
        <f t="shared" si="12"/>
        <v>0</v>
      </c>
      <c r="N79" s="50">
        <f t="shared" si="13"/>
        <v>0</v>
      </c>
    </row>
    <row r="80" spans="1:14" ht="12.75" customHeight="1" x14ac:dyDescent="0.3">
      <c r="A80" s="13">
        <v>14</v>
      </c>
      <c r="B80" s="17" t="s">
        <v>93</v>
      </c>
      <c r="C80" s="18"/>
      <c r="D80" s="19"/>
      <c r="E80" s="19"/>
      <c r="F80" s="19"/>
      <c r="G80" s="176">
        <f>+SUM(F81:F87)</f>
        <v>33813897</v>
      </c>
      <c r="H80" s="245">
        <f>+G80/$G$195</f>
        <v>4.0023776046616291E-2</v>
      </c>
      <c r="I80" s="246"/>
      <c r="J80" s="247"/>
      <c r="K80" s="247"/>
      <c r="L80" s="178"/>
      <c r="M80" s="178"/>
      <c r="N80" s="179"/>
    </row>
    <row r="81" spans="1:14" ht="12.75" customHeight="1" x14ac:dyDescent="0.3">
      <c r="A81" s="20">
        <f>+A80+0.01</f>
        <v>14.01</v>
      </c>
      <c r="B81" s="21" t="s">
        <v>94</v>
      </c>
      <c r="C81" s="117" t="s">
        <v>19</v>
      </c>
      <c r="D81" s="23">
        <v>460</v>
      </c>
      <c r="E81" s="181">
        <v>23624</v>
      </c>
      <c r="F81" s="181">
        <f t="shared" si="5"/>
        <v>10867040</v>
      </c>
      <c r="H81" s="245"/>
      <c r="I81" s="250">
        <v>0</v>
      </c>
      <c r="J81" s="250"/>
      <c r="K81" s="251">
        <f t="shared" si="10"/>
        <v>0</v>
      </c>
      <c r="L81" s="50">
        <f t="shared" si="11"/>
        <v>0</v>
      </c>
      <c r="M81" s="50">
        <f t="shared" si="12"/>
        <v>0</v>
      </c>
      <c r="N81" s="50">
        <f t="shared" si="13"/>
        <v>0</v>
      </c>
    </row>
    <row r="82" spans="1:14" ht="12.75" customHeight="1" x14ac:dyDescent="0.3">
      <c r="A82" s="106">
        <v>14.02</v>
      </c>
      <c r="B82" s="107" t="s">
        <v>95</v>
      </c>
      <c r="C82" s="120" t="s">
        <v>27</v>
      </c>
      <c r="D82" s="121">
        <v>434</v>
      </c>
      <c r="E82" s="181">
        <v>16659</v>
      </c>
      <c r="F82" s="181">
        <f t="shared" si="5"/>
        <v>7230006</v>
      </c>
      <c r="H82" s="245"/>
      <c r="I82" s="250">
        <v>0</v>
      </c>
      <c r="J82" s="250"/>
      <c r="K82" s="251">
        <f t="shared" si="10"/>
        <v>0</v>
      </c>
      <c r="L82" s="50">
        <f t="shared" si="11"/>
        <v>0</v>
      </c>
      <c r="M82" s="50">
        <f t="shared" si="12"/>
        <v>0</v>
      </c>
      <c r="N82" s="50">
        <f t="shared" si="13"/>
        <v>0</v>
      </c>
    </row>
    <row r="83" spans="1:14" ht="12.75" customHeight="1" x14ac:dyDescent="0.3">
      <c r="A83" s="24">
        <v>14.03</v>
      </c>
      <c r="B83" s="25" t="s">
        <v>96</v>
      </c>
      <c r="C83" s="112" t="s">
        <v>19</v>
      </c>
      <c r="D83" s="27">
        <v>115</v>
      </c>
      <c r="E83" s="181">
        <v>35817</v>
      </c>
      <c r="F83" s="181">
        <f t="shared" si="5"/>
        <v>4118955</v>
      </c>
      <c r="H83" s="245"/>
      <c r="I83" s="250">
        <v>0.30000000000000004</v>
      </c>
      <c r="J83" s="250">
        <v>0.2</v>
      </c>
      <c r="K83" s="251">
        <f t="shared" si="10"/>
        <v>0.5</v>
      </c>
      <c r="L83" s="50">
        <f t="shared" si="11"/>
        <v>1235686.5000000002</v>
      </c>
      <c r="M83" s="50">
        <f t="shared" si="12"/>
        <v>823791</v>
      </c>
      <c r="N83" s="50">
        <f t="shared" si="13"/>
        <v>2059477.5</v>
      </c>
    </row>
    <row r="84" spans="1:14" ht="12.75" customHeight="1" x14ac:dyDescent="0.3">
      <c r="A84" s="106">
        <v>14.04</v>
      </c>
      <c r="B84" s="25" t="s">
        <v>97</v>
      </c>
      <c r="C84" s="112" t="s">
        <v>19</v>
      </c>
      <c r="D84" s="27">
        <v>89</v>
      </c>
      <c r="E84" s="181">
        <v>41132</v>
      </c>
      <c r="F84" s="181">
        <f t="shared" si="5"/>
        <v>3660748</v>
      </c>
      <c r="H84" s="245"/>
      <c r="I84" s="250">
        <v>0.30000000000000004</v>
      </c>
      <c r="J84" s="250">
        <v>0.2</v>
      </c>
      <c r="K84" s="251">
        <f t="shared" si="10"/>
        <v>0.5</v>
      </c>
      <c r="L84" s="50">
        <f t="shared" si="11"/>
        <v>1098224.4000000001</v>
      </c>
      <c r="M84" s="50">
        <f t="shared" si="12"/>
        <v>732149.60000000009</v>
      </c>
      <c r="N84" s="50">
        <f t="shared" si="13"/>
        <v>1830374</v>
      </c>
    </row>
    <row r="85" spans="1:14" ht="12.75" customHeight="1" x14ac:dyDescent="0.3">
      <c r="A85" s="24">
        <v>14.05</v>
      </c>
      <c r="B85" s="25" t="s">
        <v>98</v>
      </c>
      <c r="C85" s="112" t="s">
        <v>27</v>
      </c>
      <c r="D85" s="27">
        <v>530</v>
      </c>
      <c r="E85" s="181">
        <v>9274</v>
      </c>
      <c r="F85" s="181">
        <f t="shared" si="5"/>
        <v>4915220</v>
      </c>
      <c r="H85" s="245"/>
      <c r="I85" s="250">
        <v>0</v>
      </c>
      <c r="J85" s="250">
        <v>0.15</v>
      </c>
      <c r="K85" s="251">
        <f t="shared" si="10"/>
        <v>0.15</v>
      </c>
      <c r="L85" s="50">
        <f t="shared" si="11"/>
        <v>0</v>
      </c>
      <c r="M85" s="50">
        <f t="shared" si="12"/>
        <v>737283</v>
      </c>
      <c r="N85" s="50">
        <f t="shared" si="13"/>
        <v>737283</v>
      </c>
    </row>
    <row r="86" spans="1:14" ht="12.75" customHeight="1" x14ac:dyDescent="0.3">
      <c r="A86" s="106">
        <v>14.06</v>
      </c>
      <c r="B86" s="25" t="s">
        <v>99</v>
      </c>
      <c r="C86" s="112" t="s">
        <v>27</v>
      </c>
      <c r="D86" s="27">
        <v>56</v>
      </c>
      <c r="E86" s="181">
        <v>9274</v>
      </c>
      <c r="F86" s="181">
        <f t="shared" si="5"/>
        <v>519344</v>
      </c>
      <c r="H86" s="245"/>
      <c r="I86" s="250">
        <v>0</v>
      </c>
      <c r="J86" s="250">
        <v>0.4</v>
      </c>
      <c r="K86" s="251">
        <f t="shared" si="10"/>
        <v>0.4</v>
      </c>
      <c r="L86" s="50">
        <f t="shared" si="11"/>
        <v>0</v>
      </c>
      <c r="M86" s="50">
        <f t="shared" si="12"/>
        <v>207737.60000000001</v>
      </c>
      <c r="N86" s="50">
        <f t="shared" si="13"/>
        <v>207737.60000000001</v>
      </c>
    </row>
    <row r="87" spans="1:14" ht="12.75" customHeight="1" x14ac:dyDescent="0.3">
      <c r="A87" s="24">
        <v>14.07</v>
      </c>
      <c r="B87" s="25" t="s">
        <v>100</v>
      </c>
      <c r="C87" s="112" t="s">
        <v>19</v>
      </c>
      <c r="D87" s="27">
        <v>469</v>
      </c>
      <c r="E87" s="181">
        <v>5336</v>
      </c>
      <c r="F87" s="181">
        <f t="shared" si="5"/>
        <v>2502584</v>
      </c>
      <c r="H87" s="245"/>
      <c r="I87" s="250">
        <v>0.15000000000000002</v>
      </c>
      <c r="J87" s="250"/>
      <c r="K87" s="251">
        <f t="shared" si="10"/>
        <v>0.15000000000000002</v>
      </c>
      <c r="L87" s="50">
        <f t="shared" si="11"/>
        <v>375387.60000000003</v>
      </c>
      <c r="M87" s="50">
        <f t="shared" si="12"/>
        <v>0</v>
      </c>
      <c r="N87" s="50">
        <f t="shared" si="13"/>
        <v>375387.60000000003</v>
      </c>
    </row>
    <row r="88" spans="1:14" ht="12.75" customHeight="1" x14ac:dyDescent="0.3">
      <c r="A88" s="13">
        <v>15</v>
      </c>
      <c r="B88" s="17" t="s">
        <v>101</v>
      </c>
      <c r="C88" s="18"/>
      <c r="D88" s="19"/>
      <c r="E88" s="19"/>
      <c r="F88" s="19"/>
      <c r="G88" s="176">
        <f>+SUM(F89:F100)</f>
        <v>81675029</v>
      </c>
      <c r="H88" s="245">
        <f>+G88/$G$195</f>
        <v>9.667454388049064E-2</v>
      </c>
      <c r="I88" s="246"/>
      <c r="J88" s="247"/>
      <c r="K88" s="247"/>
      <c r="L88" s="178"/>
      <c r="M88" s="178"/>
      <c r="N88" s="179"/>
    </row>
    <row r="89" spans="1:14" ht="12.75" customHeight="1" x14ac:dyDescent="0.3">
      <c r="A89" s="115">
        <v>15.01</v>
      </c>
      <c r="B89" s="116" t="s">
        <v>102</v>
      </c>
      <c r="C89" s="122" t="s">
        <v>19</v>
      </c>
      <c r="D89" s="123">
        <v>739</v>
      </c>
      <c r="E89" s="181">
        <v>22075</v>
      </c>
      <c r="F89" s="181">
        <f t="shared" si="5"/>
        <v>16313425</v>
      </c>
      <c r="G89" s="186"/>
      <c r="H89" s="253"/>
      <c r="I89" s="250">
        <v>0</v>
      </c>
      <c r="J89" s="250"/>
      <c r="K89" s="251">
        <f t="shared" si="10"/>
        <v>0</v>
      </c>
      <c r="L89" s="50">
        <f t="shared" si="11"/>
        <v>0</v>
      </c>
      <c r="M89" s="50">
        <f t="shared" si="12"/>
        <v>0</v>
      </c>
      <c r="N89" s="50">
        <f t="shared" si="13"/>
        <v>0</v>
      </c>
    </row>
    <row r="90" spans="1:14" ht="12.75" customHeight="1" x14ac:dyDescent="0.3">
      <c r="A90" s="100">
        <v>15.02</v>
      </c>
      <c r="B90" s="25" t="s">
        <v>103</v>
      </c>
      <c r="C90" s="110" t="s">
        <v>19</v>
      </c>
      <c r="D90" s="29">
        <v>1439</v>
      </c>
      <c r="E90" s="181">
        <v>8883</v>
      </c>
      <c r="F90" s="181">
        <f t="shared" si="5"/>
        <v>12782637</v>
      </c>
      <c r="G90" s="186"/>
      <c r="H90" s="253"/>
      <c r="I90" s="250">
        <v>0</v>
      </c>
      <c r="J90" s="250"/>
      <c r="K90" s="251">
        <f t="shared" si="10"/>
        <v>0</v>
      </c>
      <c r="L90" s="50">
        <f t="shared" si="11"/>
        <v>0</v>
      </c>
      <c r="M90" s="50">
        <f t="shared" si="12"/>
        <v>0</v>
      </c>
      <c r="N90" s="50">
        <f t="shared" si="13"/>
        <v>0</v>
      </c>
    </row>
    <row r="91" spans="1:14" ht="12.75" customHeight="1" x14ac:dyDescent="0.3">
      <c r="A91" s="100">
        <v>15.03</v>
      </c>
      <c r="B91" s="25" t="s">
        <v>104</v>
      </c>
      <c r="C91" s="110" t="s">
        <v>19</v>
      </c>
      <c r="D91" s="29">
        <v>462</v>
      </c>
      <c r="E91" s="181">
        <v>14295</v>
      </c>
      <c r="F91" s="181">
        <f t="shared" si="5"/>
        <v>6604290</v>
      </c>
      <c r="G91" s="186"/>
      <c r="H91" s="253"/>
      <c r="I91" s="250">
        <v>0</v>
      </c>
      <c r="J91" s="250"/>
      <c r="K91" s="251">
        <f t="shared" si="10"/>
        <v>0</v>
      </c>
      <c r="L91" s="50">
        <f t="shared" si="11"/>
        <v>0</v>
      </c>
      <c r="M91" s="50">
        <f t="shared" si="12"/>
        <v>0</v>
      </c>
      <c r="N91" s="50">
        <f t="shared" si="13"/>
        <v>0</v>
      </c>
    </row>
    <row r="92" spans="1:14" ht="12.75" customHeight="1" x14ac:dyDescent="0.3">
      <c r="A92" s="100">
        <v>15.04</v>
      </c>
      <c r="B92" s="25" t="s">
        <v>105</v>
      </c>
      <c r="C92" s="110" t="s">
        <v>19</v>
      </c>
      <c r="D92" s="29">
        <v>144</v>
      </c>
      <c r="E92" s="181">
        <v>7538</v>
      </c>
      <c r="F92" s="181">
        <f t="shared" si="5"/>
        <v>1085472</v>
      </c>
      <c r="G92" s="186"/>
      <c r="H92" s="253"/>
      <c r="I92" s="250">
        <v>0</v>
      </c>
      <c r="J92" s="250"/>
      <c r="K92" s="251">
        <f t="shared" si="10"/>
        <v>0</v>
      </c>
      <c r="L92" s="50">
        <f t="shared" si="11"/>
        <v>0</v>
      </c>
      <c r="M92" s="50">
        <f t="shared" si="12"/>
        <v>0</v>
      </c>
      <c r="N92" s="50">
        <f t="shared" si="13"/>
        <v>0</v>
      </c>
    </row>
    <row r="93" spans="1:14" ht="12.75" customHeight="1" x14ac:dyDescent="0.3">
      <c r="A93" s="100">
        <v>15.05</v>
      </c>
      <c r="B93" s="25" t="s">
        <v>106</v>
      </c>
      <c r="C93" s="110" t="s">
        <v>19</v>
      </c>
      <c r="D93" s="29">
        <v>460</v>
      </c>
      <c r="E93" s="181">
        <v>8883</v>
      </c>
      <c r="F93" s="181">
        <f t="shared" si="5"/>
        <v>4086180</v>
      </c>
      <c r="G93" s="186"/>
      <c r="H93" s="253"/>
      <c r="I93" s="250">
        <v>0</v>
      </c>
      <c r="J93" s="250"/>
      <c r="K93" s="251">
        <f t="shared" si="10"/>
        <v>0</v>
      </c>
      <c r="L93" s="50">
        <f t="shared" si="11"/>
        <v>0</v>
      </c>
      <c r="M93" s="50">
        <f t="shared" si="12"/>
        <v>0</v>
      </c>
      <c r="N93" s="50">
        <f t="shared" si="13"/>
        <v>0</v>
      </c>
    </row>
    <row r="94" spans="1:14" ht="12.75" customHeight="1" x14ac:dyDescent="0.3">
      <c r="A94" s="100">
        <v>15.06</v>
      </c>
      <c r="B94" s="25" t="s">
        <v>107</v>
      </c>
      <c r="C94" s="110" t="s">
        <v>19</v>
      </c>
      <c r="D94" s="29">
        <v>204</v>
      </c>
      <c r="E94" s="181">
        <v>15750</v>
      </c>
      <c r="F94" s="181">
        <f t="shared" si="5"/>
        <v>3213000</v>
      </c>
      <c r="G94" s="186"/>
      <c r="H94" s="253"/>
      <c r="I94" s="250">
        <v>0</v>
      </c>
      <c r="J94" s="250"/>
      <c r="K94" s="251">
        <f t="shared" si="10"/>
        <v>0</v>
      </c>
      <c r="L94" s="50">
        <f t="shared" si="11"/>
        <v>0</v>
      </c>
      <c r="M94" s="50">
        <f t="shared" si="12"/>
        <v>0</v>
      </c>
      <c r="N94" s="50">
        <f t="shared" si="13"/>
        <v>0</v>
      </c>
    </row>
    <row r="95" spans="1:14" ht="12.75" customHeight="1" x14ac:dyDescent="0.3">
      <c r="A95" s="100">
        <v>15.07</v>
      </c>
      <c r="B95" s="25" t="s">
        <v>108</v>
      </c>
      <c r="C95" s="28" t="s">
        <v>19</v>
      </c>
      <c r="D95" s="29">
        <v>262</v>
      </c>
      <c r="E95" s="181">
        <v>17154</v>
      </c>
      <c r="F95" s="181">
        <f t="shared" si="5"/>
        <v>4494348</v>
      </c>
      <c r="G95" s="186"/>
      <c r="H95" s="245"/>
      <c r="I95" s="250">
        <v>0</v>
      </c>
      <c r="J95" s="250"/>
      <c r="K95" s="251">
        <f t="shared" si="10"/>
        <v>0</v>
      </c>
      <c r="L95" s="50">
        <f t="shared" si="11"/>
        <v>0</v>
      </c>
      <c r="M95" s="50">
        <f t="shared" si="12"/>
        <v>0</v>
      </c>
      <c r="N95" s="50">
        <f t="shared" si="13"/>
        <v>0</v>
      </c>
    </row>
    <row r="96" spans="1:14" ht="12.75" customHeight="1" x14ac:dyDescent="0.3">
      <c r="A96" s="100">
        <v>15.08</v>
      </c>
      <c r="B96" s="25" t="s">
        <v>109</v>
      </c>
      <c r="C96" s="110" t="s">
        <v>19</v>
      </c>
      <c r="D96" s="31">
        <v>756</v>
      </c>
      <c r="E96" s="181">
        <v>26534</v>
      </c>
      <c r="F96" s="181">
        <f t="shared" si="5"/>
        <v>20059704</v>
      </c>
      <c r="G96" s="186"/>
      <c r="H96" s="252"/>
      <c r="I96" s="250">
        <v>0</v>
      </c>
      <c r="J96" s="250"/>
      <c r="K96" s="251">
        <f t="shared" si="10"/>
        <v>0</v>
      </c>
      <c r="L96" s="50">
        <f t="shared" si="11"/>
        <v>0</v>
      </c>
      <c r="M96" s="50">
        <f t="shared" si="12"/>
        <v>0</v>
      </c>
      <c r="N96" s="50">
        <f t="shared" si="13"/>
        <v>0</v>
      </c>
    </row>
    <row r="97" spans="1:19" ht="12.75" customHeight="1" x14ac:dyDescent="0.3">
      <c r="A97" s="100">
        <v>15.09</v>
      </c>
      <c r="B97" s="25" t="s">
        <v>110</v>
      </c>
      <c r="C97" s="110" t="s">
        <v>19</v>
      </c>
      <c r="D97" s="31">
        <v>56</v>
      </c>
      <c r="E97" s="181">
        <v>31737</v>
      </c>
      <c r="F97" s="181">
        <f t="shared" si="5"/>
        <v>1777272</v>
      </c>
      <c r="G97" s="186"/>
      <c r="H97" s="252"/>
      <c r="I97" s="250">
        <v>0</v>
      </c>
      <c r="J97" s="250"/>
      <c r="K97" s="251">
        <f t="shared" si="10"/>
        <v>0</v>
      </c>
      <c r="L97" s="50">
        <f t="shared" si="11"/>
        <v>0</v>
      </c>
      <c r="M97" s="50">
        <f t="shared" si="12"/>
        <v>0</v>
      </c>
      <c r="N97" s="50">
        <f t="shared" si="13"/>
        <v>0</v>
      </c>
    </row>
    <row r="98" spans="1:19" ht="12.75" customHeight="1" x14ac:dyDescent="0.3">
      <c r="A98" s="100">
        <v>15.1</v>
      </c>
      <c r="B98" s="25" t="s">
        <v>111</v>
      </c>
      <c r="C98" s="110" t="s">
        <v>29</v>
      </c>
      <c r="D98" s="31">
        <v>1</v>
      </c>
      <c r="E98" s="181">
        <v>885031</v>
      </c>
      <c r="F98" s="181">
        <f t="shared" si="5"/>
        <v>885031</v>
      </c>
      <c r="H98" s="245"/>
      <c r="I98" s="250">
        <v>0</v>
      </c>
      <c r="J98" s="250"/>
      <c r="K98" s="251">
        <f t="shared" si="10"/>
        <v>0</v>
      </c>
      <c r="L98" s="50">
        <f t="shared" si="11"/>
        <v>0</v>
      </c>
      <c r="M98" s="50">
        <f t="shared" si="12"/>
        <v>0</v>
      </c>
      <c r="N98" s="50">
        <f t="shared" si="13"/>
        <v>0</v>
      </c>
    </row>
    <row r="99" spans="1:19" ht="12.75" customHeight="1" x14ac:dyDescent="0.3">
      <c r="A99" s="100">
        <v>15.11</v>
      </c>
      <c r="B99" s="25" t="s">
        <v>112</v>
      </c>
      <c r="C99" s="110" t="s">
        <v>52</v>
      </c>
      <c r="D99" s="31">
        <v>73</v>
      </c>
      <c r="E99" s="181">
        <v>83386</v>
      </c>
      <c r="F99" s="181">
        <f t="shared" si="5"/>
        <v>6087178</v>
      </c>
      <c r="H99" s="245"/>
      <c r="I99" s="250">
        <v>0</v>
      </c>
      <c r="J99" s="250"/>
      <c r="K99" s="251">
        <f t="shared" si="10"/>
        <v>0</v>
      </c>
      <c r="L99" s="50">
        <f t="shared" si="11"/>
        <v>0</v>
      </c>
      <c r="M99" s="50">
        <f t="shared" si="12"/>
        <v>0</v>
      </c>
      <c r="N99" s="50">
        <f t="shared" si="13"/>
        <v>0</v>
      </c>
    </row>
    <row r="100" spans="1:19" ht="12.75" customHeight="1" x14ac:dyDescent="0.3">
      <c r="A100" s="100">
        <v>15.12</v>
      </c>
      <c r="B100" s="124" t="s">
        <v>113</v>
      </c>
      <c r="C100" s="111" t="s">
        <v>29</v>
      </c>
      <c r="D100" s="35">
        <v>1</v>
      </c>
      <c r="E100" s="181">
        <v>4286492</v>
      </c>
      <c r="F100" s="181">
        <f t="shared" si="5"/>
        <v>4286492</v>
      </c>
      <c r="H100" s="245"/>
      <c r="I100" s="250">
        <v>0</v>
      </c>
      <c r="J100" s="250">
        <v>0.1</v>
      </c>
      <c r="K100" s="251">
        <f t="shared" si="10"/>
        <v>0.1</v>
      </c>
      <c r="L100" s="50">
        <f t="shared" si="11"/>
        <v>0</v>
      </c>
      <c r="M100" s="50">
        <f t="shared" si="12"/>
        <v>428649.2</v>
      </c>
      <c r="N100" s="50">
        <f t="shared" si="13"/>
        <v>428649.2</v>
      </c>
    </row>
    <row r="101" spans="1:19" ht="12.75" customHeight="1" x14ac:dyDescent="0.3">
      <c r="A101" s="13">
        <v>16</v>
      </c>
      <c r="B101" s="125" t="s">
        <v>114</v>
      </c>
      <c r="C101" s="18"/>
      <c r="D101" s="19"/>
      <c r="E101" s="19"/>
      <c r="F101" s="19"/>
      <c r="G101" s="176">
        <f>+SUM(F102)</f>
        <v>0</v>
      </c>
      <c r="H101" s="245">
        <f>+G101/$G$195</f>
        <v>0</v>
      </c>
      <c r="I101" s="246"/>
      <c r="J101" s="247"/>
      <c r="K101" s="247"/>
      <c r="L101" s="178"/>
      <c r="M101" s="178"/>
      <c r="N101" s="179"/>
    </row>
    <row r="102" spans="1:19" ht="12.75" customHeight="1" x14ac:dyDescent="0.3">
      <c r="A102" s="20"/>
      <c r="B102" s="21"/>
      <c r="C102" s="93"/>
      <c r="D102" s="94"/>
      <c r="E102" s="184">
        <v>0</v>
      </c>
      <c r="F102" s="183">
        <f t="shared" si="5"/>
        <v>0</v>
      </c>
      <c r="G102" s="185"/>
      <c r="H102" s="252"/>
      <c r="I102" s="250">
        <v>0</v>
      </c>
      <c r="J102" s="250"/>
      <c r="K102" s="251">
        <f t="shared" si="10"/>
        <v>0</v>
      </c>
      <c r="L102" s="50">
        <f t="shared" si="11"/>
        <v>0</v>
      </c>
      <c r="M102" s="50">
        <f t="shared" si="12"/>
        <v>0</v>
      </c>
      <c r="N102" s="50">
        <f t="shared" si="13"/>
        <v>0</v>
      </c>
    </row>
    <row r="103" spans="1:19" ht="12.75" customHeight="1" x14ac:dyDescent="0.3">
      <c r="A103" s="13">
        <v>17</v>
      </c>
      <c r="B103" s="17" t="s">
        <v>115</v>
      </c>
      <c r="C103" s="18"/>
      <c r="D103" s="19"/>
      <c r="E103" s="19"/>
      <c r="F103" s="19"/>
      <c r="G103" s="176">
        <f>+SUM(F104:F107)</f>
        <v>9415299</v>
      </c>
      <c r="H103" s="245">
        <f>+G103/$G$195</f>
        <v>1.1144406649962005E-2</v>
      </c>
      <c r="I103" s="246"/>
      <c r="J103" s="247"/>
      <c r="K103" s="247"/>
      <c r="L103" s="178"/>
      <c r="M103" s="178"/>
      <c r="N103" s="179"/>
    </row>
    <row r="104" spans="1:19" ht="12.75" customHeight="1" x14ac:dyDescent="0.3">
      <c r="A104" s="20">
        <f>+A103+0.01</f>
        <v>17.010000000000002</v>
      </c>
      <c r="B104" s="126" t="s">
        <v>116</v>
      </c>
      <c r="C104" s="127" t="s">
        <v>33</v>
      </c>
      <c r="D104" s="94">
        <v>57</v>
      </c>
      <c r="E104" s="180">
        <v>79321</v>
      </c>
      <c r="F104" s="180">
        <f t="shared" si="5"/>
        <v>4521297</v>
      </c>
      <c r="G104" s="182"/>
      <c r="H104" s="245"/>
      <c r="I104" s="250">
        <v>1</v>
      </c>
      <c r="J104" s="274"/>
      <c r="K104" s="251">
        <f t="shared" si="10"/>
        <v>1</v>
      </c>
      <c r="L104" s="50">
        <f t="shared" si="11"/>
        <v>4521297</v>
      </c>
      <c r="M104" s="50">
        <f t="shared" si="12"/>
        <v>0</v>
      </c>
      <c r="N104" s="50">
        <f t="shared" si="13"/>
        <v>4521297</v>
      </c>
    </row>
    <row r="105" spans="1:19" ht="12.75" customHeight="1" x14ac:dyDescent="0.3">
      <c r="A105" s="24">
        <v>17.02</v>
      </c>
      <c r="B105" s="128" t="s">
        <v>117</v>
      </c>
      <c r="C105" s="129" t="s">
        <v>33</v>
      </c>
      <c r="D105" s="31">
        <v>11</v>
      </c>
      <c r="E105" s="181">
        <v>79321</v>
      </c>
      <c r="F105" s="181">
        <f t="shared" si="5"/>
        <v>872531</v>
      </c>
      <c r="G105" s="182"/>
      <c r="H105" s="245"/>
      <c r="I105" s="250">
        <v>0.7</v>
      </c>
      <c r="J105" s="250"/>
      <c r="K105" s="251">
        <f t="shared" si="10"/>
        <v>0.7</v>
      </c>
      <c r="L105" s="50">
        <f t="shared" si="11"/>
        <v>610771.69999999995</v>
      </c>
      <c r="M105" s="50">
        <f t="shared" si="12"/>
        <v>0</v>
      </c>
      <c r="N105" s="50">
        <f t="shared" si="13"/>
        <v>610771.69999999995</v>
      </c>
    </row>
    <row r="106" spans="1:19" ht="12.75" customHeight="1" x14ac:dyDescent="0.3">
      <c r="A106" s="24">
        <v>17.03</v>
      </c>
      <c r="B106" s="128" t="s">
        <v>118</v>
      </c>
      <c r="C106" s="129" t="s">
        <v>33</v>
      </c>
      <c r="D106" s="31">
        <v>65</v>
      </c>
      <c r="E106" s="181">
        <v>51161</v>
      </c>
      <c r="F106" s="181">
        <f t="shared" si="5"/>
        <v>3325465</v>
      </c>
      <c r="G106" s="182"/>
      <c r="H106" s="245"/>
      <c r="I106" s="250">
        <v>0.99999999999999989</v>
      </c>
      <c r="J106" s="274"/>
      <c r="K106" s="251">
        <f t="shared" si="10"/>
        <v>0.99999999999999989</v>
      </c>
      <c r="L106" s="50">
        <f t="shared" si="11"/>
        <v>3325464.9999999995</v>
      </c>
      <c r="M106" s="50">
        <f t="shared" si="12"/>
        <v>0</v>
      </c>
      <c r="N106" s="50">
        <f t="shared" si="13"/>
        <v>3325464.9999999995</v>
      </c>
      <c r="Q106" s="245"/>
    </row>
    <row r="107" spans="1:19" ht="12.75" customHeight="1" x14ac:dyDescent="0.3">
      <c r="A107" s="130">
        <v>17.04</v>
      </c>
      <c r="B107" s="38" t="s">
        <v>119</v>
      </c>
      <c r="C107" s="34" t="s">
        <v>33</v>
      </c>
      <c r="D107" s="35">
        <v>6</v>
      </c>
      <c r="E107" s="189">
        <v>116001</v>
      </c>
      <c r="F107" s="189">
        <f t="shared" si="5"/>
        <v>696006</v>
      </c>
      <c r="G107" s="182"/>
      <c r="H107" s="245"/>
      <c r="I107" s="250">
        <v>0</v>
      </c>
      <c r="J107" s="250"/>
      <c r="K107" s="251">
        <f t="shared" si="10"/>
        <v>0</v>
      </c>
      <c r="L107" s="50">
        <f t="shared" si="11"/>
        <v>0</v>
      </c>
      <c r="M107" s="50">
        <f t="shared" si="12"/>
        <v>0</v>
      </c>
      <c r="N107" s="50">
        <f t="shared" si="13"/>
        <v>0</v>
      </c>
    </row>
    <row r="108" spans="1:19" ht="12.75" customHeight="1" x14ac:dyDescent="0.3">
      <c r="A108" s="13">
        <v>18</v>
      </c>
      <c r="B108" s="40" t="s">
        <v>120</v>
      </c>
      <c r="C108" s="18"/>
      <c r="D108" s="19"/>
      <c r="E108" s="19"/>
      <c r="F108" s="19"/>
      <c r="G108" s="176">
        <f>+SUM(F109:F141)</f>
        <v>87609553</v>
      </c>
      <c r="H108" s="245">
        <f>+G108/$G$195</f>
        <v>0.10369893564223492</v>
      </c>
      <c r="I108" s="246"/>
      <c r="J108" s="247"/>
      <c r="K108" s="247"/>
      <c r="L108" s="178"/>
      <c r="M108" s="178"/>
      <c r="N108" s="179"/>
    </row>
    <row r="109" spans="1:19" ht="12.75" customHeight="1" x14ac:dyDescent="0.3">
      <c r="A109" s="115">
        <f>+A108+0.01</f>
        <v>18.010000000000002</v>
      </c>
      <c r="B109" s="131" t="s">
        <v>121</v>
      </c>
      <c r="C109" s="132" t="s">
        <v>33</v>
      </c>
      <c r="D109" s="94">
        <v>260</v>
      </c>
      <c r="E109" s="180">
        <v>76531</v>
      </c>
      <c r="F109" s="180">
        <f t="shared" si="5"/>
        <v>19898060</v>
      </c>
      <c r="H109" s="245"/>
      <c r="I109" s="250">
        <v>0.53499999999999992</v>
      </c>
      <c r="J109" s="250">
        <v>0.01</v>
      </c>
      <c r="K109" s="251">
        <f t="shared" si="10"/>
        <v>0.54499999999999993</v>
      </c>
      <c r="L109" s="50">
        <f t="shared" si="11"/>
        <v>10645462.099999998</v>
      </c>
      <c r="M109" s="50">
        <f t="shared" si="12"/>
        <v>198980.6</v>
      </c>
      <c r="N109" s="50">
        <f t="shared" si="13"/>
        <v>10844442.699999999</v>
      </c>
      <c r="Q109" s="263"/>
      <c r="S109" s="262"/>
    </row>
    <row r="110" spans="1:19" ht="12.75" customHeight="1" x14ac:dyDescent="0.3">
      <c r="A110" s="100">
        <v>18.02</v>
      </c>
      <c r="B110" s="98" t="s">
        <v>122</v>
      </c>
      <c r="C110" s="133" t="s">
        <v>33</v>
      </c>
      <c r="D110" s="31">
        <v>62</v>
      </c>
      <c r="E110" s="181">
        <v>73235</v>
      </c>
      <c r="F110" s="181">
        <f t="shared" si="5"/>
        <v>4540570</v>
      </c>
      <c r="H110" s="245"/>
      <c r="I110" s="250">
        <v>0.495</v>
      </c>
      <c r="J110" s="250">
        <v>0.05</v>
      </c>
      <c r="K110" s="251">
        <f t="shared" si="10"/>
        <v>0.54500000000000004</v>
      </c>
      <c r="L110" s="50">
        <f t="shared" si="11"/>
        <v>2247582.15</v>
      </c>
      <c r="M110" s="50">
        <f t="shared" si="12"/>
        <v>227028.5</v>
      </c>
      <c r="N110" s="50">
        <f t="shared" si="13"/>
        <v>2474610.6500000004</v>
      </c>
      <c r="Q110" s="263"/>
      <c r="S110" s="262"/>
    </row>
    <row r="111" spans="1:19" ht="12.75" customHeight="1" x14ac:dyDescent="0.3">
      <c r="A111" s="100">
        <v>18.03</v>
      </c>
      <c r="B111" s="98" t="s">
        <v>123</v>
      </c>
      <c r="C111" s="133" t="s">
        <v>33</v>
      </c>
      <c r="D111" s="31">
        <v>12</v>
      </c>
      <c r="E111" s="181">
        <v>73235</v>
      </c>
      <c r="F111" s="181">
        <f t="shared" si="5"/>
        <v>878820</v>
      </c>
      <c r="H111" s="245"/>
      <c r="I111" s="250">
        <v>0.65499999999999992</v>
      </c>
      <c r="J111" s="250">
        <v>0.04</v>
      </c>
      <c r="K111" s="251">
        <f t="shared" si="10"/>
        <v>0.69499999999999995</v>
      </c>
      <c r="L111" s="50">
        <f t="shared" si="11"/>
        <v>575627.1</v>
      </c>
      <c r="M111" s="50">
        <f t="shared" si="12"/>
        <v>35152.800000000003</v>
      </c>
      <c r="N111" s="50">
        <f t="shared" si="13"/>
        <v>610779.89999999991</v>
      </c>
      <c r="Q111" s="263"/>
      <c r="S111" s="262"/>
    </row>
    <row r="112" spans="1:19" ht="12.75" customHeight="1" x14ac:dyDescent="0.3">
      <c r="A112" s="100">
        <v>18.04</v>
      </c>
      <c r="B112" s="98" t="s">
        <v>124</v>
      </c>
      <c r="C112" s="133" t="s">
        <v>33</v>
      </c>
      <c r="D112" s="31">
        <v>16</v>
      </c>
      <c r="E112" s="181">
        <v>73235</v>
      </c>
      <c r="F112" s="181">
        <f t="shared" si="5"/>
        <v>1171760</v>
      </c>
      <c r="H112" s="245"/>
      <c r="I112" s="250">
        <v>0.55499999999999994</v>
      </c>
      <c r="J112" s="250"/>
      <c r="K112" s="251">
        <f t="shared" si="10"/>
        <v>0.55499999999999994</v>
      </c>
      <c r="L112" s="50">
        <f t="shared" si="11"/>
        <v>650326.79999999993</v>
      </c>
      <c r="M112" s="50">
        <f t="shared" si="12"/>
        <v>0</v>
      </c>
      <c r="N112" s="50">
        <f t="shared" si="13"/>
        <v>650326.79999999993</v>
      </c>
      <c r="Q112" s="263"/>
      <c r="S112" s="262"/>
    </row>
    <row r="113" spans="1:19" ht="12.75" customHeight="1" x14ac:dyDescent="0.3">
      <c r="A113" s="100">
        <v>18.05</v>
      </c>
      <c r="B113" s="98" t="s">
        <v>125</v>
      </c>
      <c r="C113" s="133" t="s">
        <v>33</v>
      </c>
      <c r="D113" s="31">
        <v>1</v>
      </c>
      <c r="E113" s="181">
        <v>73235</v>
      </c>
      <c r="F113" s="181">
        <f t="shared" si="5"/>
        <v>73235</v>
      </c>
      <c r="H113" s="245"/>
      <c r="I113" s="250">
        <v>0.4</v>
      </c>
      <c r="J113" s="250"/>
      <c r="K113" s="251">
        <f t="shared" si="10"/>
        <v>0.4</v>
      </c>
      <c r="L113" s="50">
        <f t="shared" si="11"/>
        <v>29294</v>
      </c>
      <c r="M113" s="50">
        <f t="shared" si="12"/>
        <v>0</v>
      </c>
      <c r="N113" s="50">
        <f t="shared" si="13"/>
        <v>29294</v>
      </c>
    </row>
    <row r="114" spans="1:19" ht="12.75" customHeight="1" x14ac:dyDescent="0.3">
      <c r="A114" s="100">
        <v>18.059999999999999</v>
      </c>
      <c r="B114" s="98" t="s">
        <v>126</v>
      </c>
      <c r="C114" s="133" t="s">
        <v>33</v>
      </c>
      <c r="D114" s="31">
        <v>24</v>
      </c>
      <c r="E114" s="181">
        <v>73235</v>
      </c>
      <c r="F114" s="181">
        <f t="shared" si="5"/>
        <v>1757640</v>
      </c>
      <c r="H114" s="245"/>
      <c r="I114" s="250">
        <v>0.4</v>
      </c>
      <c r="J114" s="250">
        <v>0.1</v>
      </c>
      <c r="K114" s="251">
        <f t="shared" si="10"/>
        <v>0.5</v>
      </c>
      <c r="L114" s="50">
        <f t="shared" si="11"/>
        <v>703056</v>
      </c>
      <c r="M114" s="50">
        <f t="shared" si="12"/>
        <v>175764</v>
      </c>
      <c r="N114" s="50">
        <f t="shared" si="13"/>
        <v>878820</v>
      </c>
      <c r="P114" s="262"/>
    </row>
    <row r="115" spans="1:19" ht="12.75" customHeight="1" x14ac:dyDescent="0.3">
      <c r="A115" s="100">
        <v>18.07</v>
      </c>
      <c r="B115" s="98" t="s">
        <v>127</v>
      </c>
      <c r="C115" s="133" t="s">
        <v>33</v>
      </c>
      <c r="D115" s="31">
        <v>226</v>
      </c>
      <c r="E115" s="181">
        <v>69154</v>
      </c>
      <c r="F115" s="181">
        <f t="shared" si="5"/>
        <v>15628804</v>
      </c>
      <c r="H115" s="245"/>
      <c r="I115" s="250">
        <v>0.503</v>
      </c>
      <c r="J115" s="250">
        <v>0.05</v>
      </c>
      <c r="K115" s="251">
        <f t="shared" si="10"/>
        <v>0.55300000000000005</v>
      </c>
      <c r="L115" s="50">
        <f t="shared" si="11"/>
        <v>7861288.4120000005</v>
      </c>
      <c r="M115" s="50">
        <f t="shared" si="12"/>
        <v>781440.20000000007</v>
      </c>
      <c r="N115" s="50">
        <f t="shared" si="13"/>
        <v>8642728.6120000016</v>
      </c>
      <c r="Q115" s="263"/>
    </row>
    <row r="116" spans="1:19" ht="12.75" customHeight="1" x14ac:dyDescent="0.3">
      <c r="A116" s="100">
        <v>18.079999999999998</v>
      </c>
      <c r="B116" s="98" t="s">
        <v>128</v>
      </c>
      <c r="C116" s="133" t="s">
        <v>33</v>
      </c>
      <c r="D116" s="31">
        <v>32</v>
      </c>
      <c r="E116" s="181">
        <v>95308</v>
      </c>
      <c r="F116" s="181">
        <f t="shared" si="5"/>
        <v>3049856</v>
      </c>
      <c r="H116" s="245"/>
      <c r="I116" s="250">
        <v>0.5</v>
      </c>
      <c r="J116" s="250">
        <v>0.05</v>
      </c>
      <c r="K116" s="251">
        <f t="shared" si="10"/>
        <v>0.55000000000000004</v>
      </c>
      <c r="L116" s="50">
        <f t="shared" si="11"/>
        <v>1524928</v>
      </c>
      <c r="M116" s="50">
        <f t="shared" si="12"/>
        <v>152492.80000000002</v>
      </c>
      <c r="N116" s="50">
        <f t="shared" si="13"/>
        <v>1677420.8</v>
      </c>
    </row>
    <row r="117" spans="1:19" ht="12.75" customHeight="1" x14ac:dyDescent="0.3">
      <c r="A117" s="100">
        <v>18.09</v>
      </c>
      <c r="B117" s="98" t="s">
        <v>129</v>
      </c>
      <c r="C117" s="133" t="s">
        <v>33</v>
      </c>
      <c r="D117" s="31">
        <v>8</v>
      </c>
      <c r="E117" s="181">
        <v>69154</v>
      </c>
      <c r="F117" s="181">
        <f t="shared" si="5"/>
        <v>553232</v>
      </c>
      <c r="H117" s="245"/>
      <c r="I117" s="250">
        <v>0</v>
      </c>
      <c r="J117" s="250"/>
      <c r="K117" s="251">
        <f t="shared" si="10"/>
        <v>0</v>
      </c>
      <c r="L117" s="50">
        <f t="shared" si="11"/>
        <v>0</v>
      </c>
      <c r="M117" s="50">
        <f t="shared" si="12"/>
        <v>0</v>
      </c>
      <c r="N117" s="50">
        <f t="shared" si="13"/>
        <v>0</v>
      </c>
    </row>
    <row r="118" spans="1:19" ht="12.75" customHeight="1" x14ac:dyDescent="0.3">
      <c r="A118" s="100">
        <v>18.100000000000001</v>
      </c>
      <c r="B118" s="98" t="s">
        <v>130</v>
      </c>
      <c r="C118" s="133" t="s">
        <v>33</v>
      </c>
      <c r="D118" s="31">
        <v>8</v>
      </c>
      <c r="E118" s="181">
        <v>69154</v>
      </c>
      <c r="F118" s="181">
        <f t="shared" si="5"/>
        <v>553232</v>
      </c>
      <c r="H118" s="245"/>
      <c r="I118" s="250">
        <v>0.45</v>
      </c>
      <c r="J118" s="250"/>
      <c r="K118" s="251">
        <f t="shared" si="10"/>
        <v>0.45</v>
      </c>
      <c r="L118" s="50">
        <f t="shared" si="11"/>
        <v>248954.4</v>
      </c>
      <c r="M118" s="50">
        <f t="shared" si="12"/>
        <v>0</v>
      </c>
      <c r="N118" s="50">
        <f t="shared" si="13"/>
        <v>248954.4</v>
      </c>
    </row>
    <row r="119" spans="1:19" ht="12.75" customHeight="1" x14ac:dyDescent="0.3">
      <c r="A119" s="100">
        <v>18.11</v>
      </c>
      <c r="B119" s="98" t="s">
        <v>131</v>
      </c>
      <c r="C119" s="133" t="s">
        <v>33</v>
      </c>
      <c r="D119" s="31">
        <v>26</v>
      </c>
      <c r="E119" s="181">
        <v>50616</v>
      </c>
      <c r="F119" s="181">
        <f t="shared" si="5"/>
        <v>1316016</v>
      </c>
      <c r="H119" s="245"/>
      <c r="I119" s="250">
        <v>0</v>
      </c>
      <c r="J119" s="250"/>
      <c r="K119" s="251">
        <f t="shared" si="10"/>
        <v>0</v>
      </c>
      <c r="L119" s="50">
        <f t="shared" si="11"/>
        <v>0</v>
      </c>
      <c r="M119" s="50">
        <f t="shared" si="12"/>
        <v>0</v>
      </c>
      <c r="N119" s="50">
        <f t="shared" si="13"/>
        <v>0</v>
      </c>
    </row>
    <row r="120" spans="1:19" ht="12.75" customHeight="1" x14ac:dyDescent="0.3">
      <c r="A120" s="100">
        <v>18.12</v>
      </c>
      <c r="B120" s="98" t="s">
        <v>132</v>
      </c>
      <c r="C120" s="133" t="s">
        <v>33</v>
      </c>
      <c r="D120" s="31">
        <v>27</v>
      </c>
      <c r="E120" s="181">
        <v>50616</v>
      </c>
      <c r="F120" s="181">
        <f t="shared" si="5"/>
        <v>1366632</v>
      </c>
      <c r="H120" s="245"/>
      <c r="I120" s="250">
        <v>0.60000000000000009</v>
      </c>
      <c r="J120" s="250">
        <v>0.05</v>
      </c>
      <c r="K120" s="251">
        <f t="shared" si="10"/>
        <v>0.65000000000000013</v>
      </c>
      <c r="L120" s="50">
        <f t="shared" si="11"/>
        <v>819979.20000000007</v>
      </c>
      <c r="M120" s="50">
        <f t="shared" si="12"/>
        <v>68331.600000000006</v>
      </c>
      <c r="N120" s="50">
        <f t="shared" si="13"/>
        <v>888310.80000000016</v>
      </c>
    </row>
    <row r="121" spans="1:19" ht="12.75" customHeight="1" x14ac:dyDescent="0.3">
      <c r="A121" s="100">
        <v>18.13</v>
      </c>
      <c r="B121" s="98" t="s">
        <v>133</v>
      </c>
      <c r="C121" s="133" t="s">
        <v>33</v>
      </c>
      <c r="D121" s="31">
        <v>9</v>
      </c>
      <c r="E121" s="181">
        <v>50616</v>
      </c>
      <c r="F121" s="181">
        <f t="shared" si="5"/>
        <v>455544</v>
      </c>
      <c r="H121" s="245"/>
      <c r="I121" s="250">
        <v>0</v>
      </c>
      <c r="J121" s="250"/>
      <c r="K121" s="251">
        <f t="shared" si="10"/>
        <v>0</v>
      </c>
      <c r="L121" s="50">
        <f t="shared" si="11"/>
        <v>0</v>
      </c>
      <c r="M121" s="50">
        <f t="shared" si="12"/>
        <v>0</v>
      </c>
      <c r="N121" s="50">
        <f t="shared" si="13"/>
        <v>0</v>
      </c>
    </row>
    <row r="122" spans="1:19" ht="12.75" customHeight="1" x14ac:dyDescent="0.3">
      <c r="A122" s="100">
        <v>18.14</v>
      </c>
      <c r="B122" s="98" t="s">
        <v>134</v>
      </c>
      <c r="C122" s="133" t="s">
        <v>33</v>
      </c>
      <c r="D122" s="31">
        <v>29</v>
      </c>
      <c r="E122" s="181">
        <v>50616</v>
      </c>
      <c r="F122" s="181">
        <f t="shared" si="5"/>
        <v>1467864</v>
      </c>
      <c r="H122" s="245"/>
      <c r="I122" s="250">
        <v>0.60000000000000009</v>
      </c>
      <c r="J122" s="250">
        <v>0.05</v>
      </c>
      <c r="K122" s="251">
        <f t="shared" si="10"/>
        <v>0.65000000000000013</v>
      </c>
      <c r="L122" s="50">
        <f t="shared" si="11"/>
        <v>880718.40000000014</v>
      </c>
      <c r="M122" s="50">
        <f t="shared" si="12"/>
        <v>73393.2</v>
      </c>
      <c r="N122" s="50">
        <f t="shared" si="13"/>
        <v>954111.60000000021</v>
      </c>
    </row>
    <row r="123" spans="1:19" ht="12.75" customHeight="1" x14ac:dyDescent="0.3">
      <c r="A123" s="100">
        <v>18.149999999999999</v>
      </c>
      <c r="B123" s="98" t="s">
        <v>135</v>
      </c>
      <c r="C123" s="133" t="s">
        <v>33</v>
      </c>
      <c r="D123" s="31">
        <v>3</v>
      </c>
      <c r="E123" s="181">
        <v>50616</v>
      </c>
      <c r="F123" s="181">
        <f t="shared" si="5"/>
        <v>151848</v>
      </c>
      <c r="H123" s="245"/>
      <c r="I123" s="250">
        <v>0.4</v>
      </c>
      <c r="J123" s="250"/>
      <c r="K123" s="251">
        <f t="shared" si="10"/>
        <v>0.4</v>
      </c>
      <c r="L123" s="50">
        <f t="shared" si="11"/>
        <v>60739.200000000004</v>
      </c>
      <c r="M123" s="50">
        <f t="shared" si="12"/>
        <v>0</v>
      </c>
      <c r="N123" s="50">
        <f t="shared" si="13"/>
        <v>60739.200000000004</v>
      </c>
      <c r="Q123" s="263"/>
      <c r="S123" s="262"/>
    </row>
    <row r="124" spans="1:19" ht="12.75" customHeight="1" x14ac:dyDescent="0.3">
      <c r="A124" s="100">
        <v>18.16</v>
      </c>
      <c r="B124" s="98" t="s">
        <v>136</v>
      </c>
      <c r="C124" s="133" t="s">
        <v>33</v>
      </c>
      <c r="D124" s="31">
        <v>1</v>
      </c>
      <c r="E124" s="181">
        <v>2245770</v>
      </c>
      <c r="F124" s="181">
        <f t="shared" si="5"/>
        <v>2245770</v>
      </c>
      <c r="H124" s="245"/>
      <c r="I124" s="250">
        <v>0</v>
      </c>
      <c r="J124" s="250"/>
      <c r="K124" s="251">
        <f t="shared" si="10"/>
        <v>0</v>
      </c>
      <c r="L124" s="50">
        <f t="shared" si="11"/>
        <v>0</v>
      </c>
      <c r="M124" s="50">
        <f t="shared" si="12"/>
        <v>0</v>
      </c>
      <c r="N124" s="50">
        <f t="shared" si="13"/>
        <v>0</v>
      </c>
    </row>
    <row r="125" spans="1:19" ht="12.75" customHeight="1" x14ac:dyDescent="0.3">
      <c r="A125" s="100">
        <v>18.170000000000002</v>
      </c>
      <c r="B125" s="98" t="s">
        <v>137</v>
      </c>
      <c r="C125" s="133" t="s">
        <v>33</v>
      </c>
      <c r="D125" s="31">
        <v>1</v>
      </c>
      <c r="E125" s="181">
        <v>1116033</v>
      </c>
      <c r="F125" s="181">
        <f t="shared" si="5"/>
        <v>1116033</v>
      </c>
      <c r="H125" s="245"/>
      <c r="I125" s="250">
        <v>0</v>
      </c>
      <c r="J125" s="250"/>
      <c r="K125" s="251">
        <f t="shared" si="10"/>
        <v>0</v>
      </c>
      <c r="L125" s="50">
        <f t="shared" si="11"/>
        <v>0</v>
      </c>
      <c r="M125" s="50">
        <f t="shared" si="12"/>
        <v>0</v>
      </c>
      <c r="N125" s="50">
        <f t="shared" si="13"/>
        <v>0</v>
      </c>
    </row>
    <row r="126" spans="1:19" ht="12.75" customHeight="1" x14ac:dyDescent="0.3">
      <c r="A126" s="100">
        <v>18.18</v>
      </c>
      <c r="B126" s="98" t="s">
        <v>138</v>
      </c>
      <c r="C126" s="133" t="s">
        <v>33</v>
      </c>
      <c r="D126" s="31">
        <v>2</v>
      </c>
      <c r="E126" s="181">
        <v>530996</v>
      </c>
      <c r="F126" s="181">
        <f t="shared" si="5"/>
        <v>1061992</v>
      </c>
      <c r="H126" s="245"/>
      <c r="I126" s="250">
        <v>0</v>
      </c>
      <c r="J126" s="250"/>
      <c r="K126" s="251">
        <f t="shared" si="10"/>
        <v>0</v>
      </c>
      <c r="L126" s="50">
        <f t="shared" si="11"/>
        <v>0</v>
      </c>
      <c r="M126" s="50">
        <f t="shared" si="12"/>
        <v>0</v>
      </c>
      <c r="N126" s="50">
        <f t="shared" si="13"/>
        <v>0</v>
      </c>
    </row>
    <row r="127" spans="1:19" ht="12.75" customHeight="1" x14ac:dyDescent="0.3">
      <c r="A127" s="100">
        <v>18.190000000000001</v>
      </c>
      <c r="B127" s="98" t="s">
        <v>139</v>
      </c>
      <c r="C127" s="133" t="s">
        <v>33</v>
      </c>
      <c r="D127" s="31">
        <v>9</v>
      </c>
      <c r="E127" s="181">
        <v>595409</v>
      </c>
      <c r="F127" s="181">
        <f t="shared" si="5"/>
        <v>5358681</v>
      </c>
      <c r="H127" s="245"/>
      <c r="I127" s="250">
        <v>0.30000000000000004</v>
      </c>
      <c r="J127" s="250">
        <v>0.05</v>
      </c>
      <c r="K127" s="251">
        <f t="shared" si="10"/>
        <v>0.35000000000000003</v>
      </c>
      <c r="L127" s="50">
        <f t="shared" si="11"/>
        <v>1607604.3000000003</v>
      </c>
      <c r="M127" s="50">
        <f t="shared" si="12"/>
        <v>267934.05</v>
      </c>
      <c r="N127" s="50">
        <f t="shared" si="13"/>
        <v>1875538.35</v>
      </c>
    </row>
    <row r="128" spans="1:19" ht="12.75" customHeight="1" x14ac:dyDescent="0.3">
      <c r="A128" s="100">
        <v>18.2</v>
      </c>
      <c r="B128" s="98" t="s">
        <v>140</v>
      </c>
      <c r="C128" s="133" t="s">
        <v>29</v>
      </c>
      <c r="D128" s="31">
        <v>1</v>
      </c>
      <c r="E128" s="181">
        <v>6378278</v>
      </c>
      <c r="F128" s="181">
        <f t="shared" si="5"/>
        <v>6378278</v>
      </c>
      <c r="H128" s="245"/>
      <c r="I128" s="250">
        <v>0.3</v>
      </c>
      <c r="J128" s="250">
        <v>0.15</v>
      </c>
      <c r="K128" s="251">
        <f t="shared" si="10"/>
        <v>0.44999999999999996</v>
      </c>
      <c r="L128" s="50">
        <f t="shared" si="11"/>
        <v>1913483.4</v>
      </c>
      <c r="M128" s="50">
        <f t="shared" si="12"/>
        <v>956741.7</v>
      </c>
      <c r="N128" s="50">
        <f t="shared" si="13"/>
        <v>2870225.0999999996</v>
      </c>
    </row>
    <row r="129" spans="1:14" ht="12.75" customHeight="1" x14ac:dyDescent="0.3">
      <c r="A129" s="100">
        <v>18.21</v>
      </c>
      <c r="B129" s="98" t="s">
        <v>141</v>
      </c>
      <c r="C129" s="133" t="s">
        <v>29</v>
      </c>
      <c r="D129" s="31">
        <v>1</v>
      </c>
      <c r="E129" s="181">
        <v>1695726</v>
      </c>
      <c r="F129" s="181">
        <f t="shared" si="5"/>
        <v>1695726</v>
      </c>
      <c r="H129" s="245"/>
      <c r="I129" s="250">
        <v>0.3</v>
      </c>
      <c r="J129" s="250">
        <v>0.15</v>
      </c>
      <c r="K129" s="251">
        <f t="shared" si="10"/>
        <v>0.44999999999999996</v>
      </c>
      <c r="L129" s="50">
        <f t="shared" si="11"/>
        <v>508717.8</v>
      </c>
      <c r="M129" s="50">
        <f t="shared" si="12"/>
        <v>254358.9</v>
      </c>
      <c r="N129" s="50">
        <f t="shared" si="13"/>
        <v>763076.7</v>
      </c>
    </row>
    <row r="130" spans="1:14" ht="12.75" customHeight="1" x14ac:dyDescent="0.3">
      <c r="A130" s="100">
        <v>18.22</v>
      </c>
      <c r="B130" s="98" t="s">
        <v>142</v>
      </c>
      <c r="C130" s="133" t="s">
        <v>29</v>
      </c>
      <c r="D130" s="31">
        <v>1</v>
      </c>
      <c r="E130" s="181">
        <v>1695726</v>
      </c>
      <c r="F130" s="181">
        <f t="shared" si="5"/>
        <v>1695726</v>
      </c>
      <c r="H130" s="245"/>
      <c r="I130" s="250">
        <v>0.3</v>
      </c>
      <c r="J130" s="250"/>
      <c r="K130" s="251">
        <f t="shared" si="10"/>
        <v>0.3</v>
      </c>
      <c r="L130" s="50">
        <f t="shared" si="11"/>
        <v>508717.8</v>
      </c>
      <c r="M130" s="50">
        <f t="shared" si="12"/>
        <v>0</v>
      </c>
      <c r="N130" s="50">
        <f t="shared" si="13"/>
        <v>508717.8</v>
      </c>
    </row>
    <row r="131" spans="1:14" ht="12.75" customHeight="1" x14ac:dyDescent="0.3">
      <c r="A131" s="100">
        <v>18.23</v>
      </c>
      <c r="B131" s="98" t="s">
        <v>143</v>
      </c>
      <c r="C131" s="133" t="s">
        <v>33</v>
      </c>
      <c r="D131" s="31">
        <v>16</v>
      </c>
      <c r="E131" s="181">
        <v>15984</v>
      </c>
      <c r="F131" s="181">
        <f t="shared" si="5"/>
        <v>255744</v>
      </c>
      <c r="H131" s="245"/>
      <c r="I131" s="250">
        <v>0</v>
      </c>
      <c r="J131" s="250"/>
      <c r="K131" s="251">
        <f t="shared" si="10"/>
        <v>0</v>
      </c>
      <c r="L131" s="50">
        <f t="shared" si="11"/>
        <v>0</v>
      </c>
      <c r="M131" s="50">
        <f t="shared" si="12"/>
        <v>0</v>
      </c>
      <c r="N131" s="50">
        <f t="shared" si="13"/>
        <v>0</v>
      </c>
    </row>
    <row r="132" spans="1:14" ht="12.75" customHeight="1" x14ac:dyDescent="0.3">
      <c r="A132" s="100">
        <v>18.239999999999998</v>
      </c>
      <c r="B132" s="98" t="s">
        <v>144</v>
      </c>
      <c r="C132" s="133" t="s">
        <v>33</v>
      </c>
      <c r="D132" s="31">
        <v>140</v>
      </c>
      <c r="E132" s="181">
        <v>10416</v>
      </c>
      <c r="F132" s="181">
        <f t="shared" si="5"/>
        <v>1458240</v>
      </c>
      <c r="H132" s="245"/>
      <c r="I132" s="250">
        <v>0</v>
      </c>
      <c r="J132" s="250"/>
      <c r="K132" s="251">
        <f t="shared" si="10"/>
        <v>0</v>
      </c>
      <c r="L132" s="50">
        <f t="shared" si="11"/>
        <v>0</v>
      </c>
      <c r="M132" s="50">
        <f t="shared" si="12"/>
        <v>0</v>
      </c>
      <c r="N132" s="50">
        <f t="shared" si="13"/>
        <v>0</v>
      </c>
    </row>
    <row r="133" spans="1:14" ht="12.75" customHeight="1" x14ac:dyDescent="0.3">
      <c r="A133" s="100">
        <v>18.25</v>
      </c>
      <c r="B133" s="98" t="s">
        <v>145</v>
      </c>
      <c r="C133" s="133" t="s">
        <v>33</v>
      </c>
      <c r="D133" s="31">
        <v>226</v>
      </c>
      <c r="E133" s="181">
        <v>10416</v>
      </c>
      <c r="F133" s="181">
        <f t="shared" si="5"/>
        <v>2354016</v>
      </c>
      <c r="H133" s="245"/>
      <c r="I133" s="250">
        <v>0</v>
      </c>
      <c r="J133" s="250"/>
      <c r="K133" s="251">
        <f t="shared" si="10"/>
        <v>0</v>
      </c>
      <c r="L133" s="50">
        <f t="shared" si="11"/>
        <v>0</v>
      </c>
      <c r="M133" s="50">
        <f t="shared" si="12"/>
        <v>0</v>
      </c>
      <c r="N133" s="50">
        <f t="shared" si="13"/>
        <v>0</v>
      </c>
    </row>
    <row r="134" spans="1:14" ht="12.75" customHeight="1" x14ac:dyDescent="0.3">
      <c r="A134" s="100">
        <v>18.260000000000002</v>
      </c>
      <c r="B134" s="98" t="s">
        <v>146</v>
      </c>
      <c r="C134" s="133" t="s">
        <v>33</v>
      </c>
      <c r="D134" s="31">
        <v>8</v>
      </c>
      <c r="E134" s="181">
        <v>25377</v>
      </c>
      <c r="F134" s="181">
        <f t="shared" si="5"/>
        <v>203016</v>
      </c>
      <c r="H134" s="245"/>
      <c r="I134" s="250">
        <v>0</v>
      </c>
      <c r="J134" s="250"/>
      <c r="K134" s="251">
        <f t="shared" si="10"/>
        <v>0</v>
      </c>
      <c r="L134" s="50">
        <f t="shared" si="11"/>
        <v>0</v>
      </c>
      <c r="M134" s="50">
        <f t="shared" si="12"/>
        <v>0</v>
      </c>
      <c r="N134" s="50">
        <f t="shared" si="13"/>
        <v>0</v>
      </c>
    </row>
    <row r="135" spans="1:14" ht="12.75" customHeight="1" x14ac:dyDescent="0.3">
      <c r="A135" s="100">
        <v>18.27</v>
      </c>
      <c r="B135" s="98" t="s">
        <v>147</v>
      </c>
      <c r="C135" s="133" t="s">
        <v>33</v>
      </c>
      <c r="D135" s="31">
        <v>24</v>
      </c>
      <c r="E135" s="181">
        <v>93081</v>
      </c>
      <c r="F135" s="181">
        <f t="shared" si="5"/>
        <v>2233944</v>
      </c>
      <c r="H135" s="245"/>
      <c r="I135" s="250">
        <v>0</v>
      </c>
      <c r="J135" s="250"/>
      <c r="K135" s="251">
        <f t="shared" si="10"/>
        <v>0</v>
      </c>
      <c r="L135" s="50">
        <f t="shared" si="11"/>
        <v>0</v>
      </c>
      <c r="M135" s="50">
        <f t="shared" si="12"/>
        <v>0</v>
      </c>
      <c r="N135" s="50">
        <f t="shared" si="13"/>
        <v>0</v>
      </c>
    </row>
    <row r="136" spans="1:14" ht="12.75" customHeight="1" x14ac:dyDescent="0.3">
      <c r="A136" s="100">
        <v>18.28</v>
      </c>
      <c r="B136" s="98" t="s">
        <v>148</v>
      </c>
      <c r="C136" s="133" t="s">
        <v>33</v>
      </c>
      <c r="D136" s="31">
        <v>12</v>
      </c>
      <c r="E136" s="181">
        <v>25377</v>
      </c>
      <c r="F136" s="181">
        <f t="shared" si="5"/>
        <v>304524</v>
      </c>
      <c r="H136" s="245"/>
      <c r="I136" s="250">
        <v>0</v>
      </c>
      <c r="J136" s="250"/>
      <c r="K136" s="251">
        <f t="shared" si="10"/>
        <v>0</v>
      </c>
      <c r="L136" s="50">
        <f t="shared" si="11"/>
        <v>0</v>
      </c>
      <c r="M136" s="50">
        <f t="shared" si="12"/>
        <v>0</v>
      </c>
      <c r="N136" s="50">
        <f t="shared" si="13"/>
        <v>0</v>
      </c>
    </row>
    <row r="137" spans="1:14" ht="12.75" customHeight="1" x14ac:dyDescent="0.3">
      <c r="A137" s="100">
        <v>18.2899999999999</v>
      </c>
      <c r="B137" s="98" t="s">
        <v>149</v>
      </c>
      <c r="C137" s="133" t="s">
        <v>33</v>
      </c>
      <c r="D137" s="31">
        <v>1</v>
      </c>
      <c r="E137" s="181">
        <v>25377</v>
      </c>
      <c r="F137" s="181">
        <f t="shared" si="5"/>
        <v>25377</v>
      </c>
      <c r="H137" s="245"/>
      <c r="I137" s="250">
        <v>0</v>
      </c>
      <c r="J137" s="250"/>
      <c r="K137" s="251">
        <f t="shared" si="10"/>
        <v>0</v>
      </c>
      <c r="L137" s="50">
        <f t="shared" si="11"/>
        <v>0</v>
      </c>
      <c r="M137" s="50">
        <f t="shared" si="12"/>
        <v>0</v>
      </c>
      <c r="N137" s="50">
        <f t="shared" si="13"/>
        <v>0</v>
      </c>
    </row>
    <row r="138" spans="1:14" ht="12.75" customHeight="1" x14ac:dyDescent="0.3">
      <c r="A138" s="100">
        <v>18.299999999999901</v>
      </c>
      <c r="B138" s="98" t="s">
        <v>150</v>
      </c>
      <c r="C138" s="133" t="s">
        <v>33</v>
      </c>
      <c r="D138" s="31">
        <v>109</v>
      </c>
      <c r="E138" s="181">
        <v>15984</v>
      </c>
      <c r="F138" s="181">
        <f t="shared" ref="F138:F194" si="14">+E138*D138</f>
        <v>1742256</v>
      </c>
      <c r="H138" s="245"/>
      <c r="I138" s="250">
        <v>0</v>
      </c>
      <c r="J138" s="250"/>
      <c r="K138" s="251">
        <f t="shared" si="10"/>
        <v>0</v>
      </c>
      <c r="L138" s="50">
        <f t="shared" si="11"/>
        <v>0</v>
      </c>
      <c r="M138" s="50">
        <f t="shared" si="12"/>
        <v>0</v>
      </c>
      <c r="N138" s="50">
        <f t="shared" si="13"/>
        <v>0</v>
      </c>
    </row>
    <row r="139" spans="1:14" ht="12.75" customHeight="1" x14ac:dyDescent="0.3">
      <c r="A139" s="100">
        <v>18.309999999999899</v>
      </c>
      <c r="B139" s="98" t="s">
        <v>151</v>
      </c>
      <c r="C139" s="133" t="s">
        <v>29</v>
      </c>
      <c r="D139" s="31">
        <v>1</v>
      </c>
      <c r="E139" s="181">
        <v>5516929</v>
      </c>
      <c r="F139" s="181">
        <f t="shared" si="14"/>
        <v>5516929</v>
      </c>
      <c r="H139" s="245"/>
      <c r="I139" s="250">
        <v>0</v>
      </c>
      <c r="J139" s="250"/>
      <c r="K139" s="251">
        <f t="shared" si="10"/>
        <v>0</v>
      </c>
      <c r="L139" s="50">
        <f t="shared" si="11"/>
        <v>0</v>
      </c>
      <c r="M139" s="50">
        <f t="shared" si="12"/>
        <v>0</v>
      </c>
      <c r="N139" s="50">
        <f t="shared" si="13"/>
        <v>0</v>
      </c>
    </row>
    <row r="140" spans="1:14" ht="12.75" customHeight="1" x14ac:dyDescent="0.3">
      <c r="A140" s="100">
        <v>18.319999999999901</v>
      </c>
      <c r="B140" s="294" t="s">
        <v>152</v>
      </c>
      <c r="C140" s="133" t="s">
        <v>29</v>
      </c>
      <c r="D140" s="31">
        <v>1</v>
      </c>
      <c r="E140" s="181">
        <v>957554</v>
      </c>
      <c r="F140" s="181">
        <f t="shared" si="14"/>
        <v>957554</v>
      </c>
      <c r="H140" s="245"/>
      <c r="I140" s="250">
        <v>0</v>
      </c>
      <c r="J140" s="250"/>
      <c r="K140" s="251">
        <f t="shared" ref="K140:K194" si="15">+I140+J140</f>
        <v>0</v>
      </c>
      <c r="L140" s="50">
        <f t="shared" ref="L140:L194" si="16">+F140*I140</f>
        <v>0</v>
      </c>
      <c r="M140" s="50">
        <f t="shared" ref="M140:M194" si="17">+F140*J140</f>
        <v>0</v>
      </c>
      <c r="N140" s="50">
        <f t="shared" ref="N140:N194" si="18">+F140*K140</f>
        <v>0</v>
      </c>
    </row>
    <row r="141" spans="1:14" ht="12.75" customHeight="1" x14ac:dyDescent="0.3">
      <c r="A141" s="100">
        <v>18.329999999999899</v>
      </c>
      <c r="B141" s="134" t="s">
        <v>153</v>
      </c>
      <c r="C141" s="135" t="s">
        <v>29</v>
      </c>
      <c r="D141" s="35">
        <v>1</v>
      </c>
      <c r="E141" s="181">
        <v>142634</v>
      </c>
      <c r="F141" s="181">
        <f t="shared" si="14"/>
        <v>142634</v>
      </c>
      <c r="H141" s="245"/>
      <c r="I141" s="250">
        <v>0</v>
      </c>
      <c r="J141" s="250"/>
      <c r="K141" s="251">
        <f t="shared" si="15"/>
        <v>0</v>
      </c>
      <c r="L141" s="50">
        <f t="shared" si="16"/>
        <v>0</v>
      </c>
      <c r="M141" s="50">
        <f t="shared" si="17"/>
        <v>0</v>
      </c>
      <c r="N141" s="50">
        <f t="shared" si="18"/>
        <v>0</v>
      </c>
    </row>
    <row r="142" spans="1:14" ht="12.75" customHeight="1" x14ac:dyDescent="0.3">
      <c r="A142" s="13">
        <v>19</v>
      </c>
      <c r="B142" s="40" t="s">
        <v>154</v>
      </c>
      <c r="C142" s="18"/>
      <c r="D142" s="19"/>
      <c r="E142" s="190"/>
      <c r="F142" s="190"/>
      <c r="G142" s="191"/>
      <c r="H142" s="245"/>
      <c r="I142" s="246"/>
      <c r="J142" s="247"/>
      <c r="K142" s="247"/>
      <c r="L142" s="178"/>
      <c r="M142" s="178"/>
      <c r="N142" s="179"/>
    </row>
    <row r="143" spans="1:14" ht="12.75" customHeight="1" x14ac:dyDescent="0.3">
      <c r="A143" s="13"/>
      <c r="B143" s="40" t="s">
        <v>155</v>
      </c>
      <c r="C143" s="18"/>
      <c r="D143" s="19"/>
      <c r="E143" s="19"/>
      <c r="F143" s="19"/>
      <c r="G143" s="192">
        <f>+SUM(F144:F146)</f>
        <v>21227962</v>
      </c>
      <c r="H143" s="245">
        <f>+G143/$G$195</f>
        <v>2.5126450140132647E-2</v>
      </c>
      <c r="I143" s="246"/>
      <c r="J143" s="247"/>
      <c r="K143" s="247"/>
      <c r="L143" s="178"/>
      <c r="M143" s="178"/>
      <c r="N143" s="179"/>
    </row>
    <row r="144" spans="1:14" ht="12.75" customHeight="1" x14ac:dyDescent="0.3">
      <c r="A144" s="20">
        <v>19.010000000000002</v>
      </c>
      <c r="B144" s="136" t="s">
        <v>156</v>
      </c>
      <c r="C144" s="122" t="s">
        <v>29</v>
      </c>
      <c r="D144" s="123">
        <v>1</v>
      </c>
      <c r="E144" s="183">
        <v>6793844</v>
      </c>
      <c r="F144" s="183">
        <f t="shared" si="14"/>
        <v>6793844</v>
      </c>
      <c r="H144" s="245"/>
      <c r="I144" s="250">
        <v>0</v>
      </c>
      <c r="J144" s="250"/>
      <c r="K144" s="251">
        <f t="shared" si="15"/>
        <v>0</v>
      </c>
      <c r="L144" s="50">
        <f t="shared" si="16"/>
        <v>0</v>
      </c>
      <c r="M144" s="50">
        <f t="shared" si="17"/>
        <v>0</v>
      </c>
      <c r="N144" s="50">
        <f t="shared" si="18"/>
        <v>0</v>
      </c>
    </row>
    <row r="145" spans="1:14" ht="12.75" customHeight="1" x14ac:dyDescent="0.3">
      <c r="A145" s="24">
        <v>19.02</v>
      </c>
      <c r="B145" s="36" t="s">
        <v>157</v>
      </c>
      <c r="C145" s="28" t="s">
        <v>29</v>
      </c>
      <c r="D145" s="29">
        <v>1</v>
      </c>
      <c r="E145" s="181">
        <v>9552583</v>
      </c>
      <c r="F145" s="181">
        <f t="shared" si="14"/>
        <v>9552583</v>
      </c>
      <c r="H145" s="245"/>
      <c r="I145" s="250">
        <v>0.8</v>
      </c>
      <c r="J145" s="250">
        <v>0.1</v>
      </c>
      <c r="K145" s="251">
        <f t="shared" si="15"/>
        <v>0.9</v>
      </c>
      <c r="L145" s="50">
        <f t="shared" si="16"/>
        <v>7642066.4000000004</v>
      </c>
      <c r="M145" s="50">
        <f t="shared" si="17"/>
        <v>955258.3</v>
      </c>
      <c r="N145" s="50">
        <f t="shared" si="18"/>
        <v>8597324.7000000011</v>
      </c>
    </row>
    <row r="146" spans="1:14" ht="12.75" customHeight="1" x14ac:dyDescent="0.3">
      <c r="A146" s="33">
        <v>19.03</v>
      </c>
      <c r="B146" s="137" t="s">
        <v>158</v>
      </c>
      <c r="C146" s="138" t="s">
        <v>29</v>
      </c>
      <c r="D146" s="139">
        <v>1</v>
      </c>
      <c r="E146" s="181">
        <v>4881535</v>
      </c>
      <c r="F146" s="181">
        <f t="shared" si="14"/>
        <v>4881535</v>
      </c>
      <c r="H146" s="245"/>
      <c r="I146" s="250">
        <v>0.6</v>
      </c>
      <c r="J146" s="250">
        <v>0.1</v>
      </c>
      <c r="K146" s="251">
        <f t="shared" si="15"/>
        <v>0.7</v>
      </c>
      <c r="L146" s="50">
        <f t="shared" si="16"/>
        <v>2928921</v>
      </c>
      <c r="M146" s="50">
        <f t="shared" si="17"/>
        <v>488153.5</v>
      </c>
      <c r="N146" s="50">
        <f t="shared" si="18"/>
        <v>3417074.5</v>
      </c>
    </row>
    <row r="147" spans="1:14" ht="12.75" customHeight="1" x14ac:dyDescent="0.3">
      <c r="A147" s="140"/>
      <c r="B147" s="141" t="s">
        <v>159</v>
      </c>
      <c r="C147" s="11"/>
      <c r="D147" s="12"/>
      <c r="E147" s="19"/>
      <c r="F147" s="19"/>
      <c r="G147" s="192">
        <f>+SUM(F148:F150)</f>
        <v>7075989</v>
      </c>
      <c r="H147" s="245">
        <f>+G147/$G$195</f>
        <v>8.3754853527920892E-3</v>
      </c>
      <c r="I147" s="246"/>
      <c r="J147" s="247"/>
      <c r="K147" s="247"/>
      <c r="L147" s="178"/>
      <c r="M147" s="178"/>
      <c r="N147" s="179"/>
    </row>
    <row r="148" spans="1:14" ht="12.75" customHeight="1" x14ac:dyDescent="0.3">
      <c r="A148" s="20">
        <v>19.04</v>
      </c>
      <c r="B148" s="136" t="s">
        <v>160</v>
      </c>
      <c r="C148" s="122" t="s">
        <v>29</v>
      </c>
      <c r="D148" s="123">
        <v>1</v>
      </c>
      <c r="E148" s="181">
        <v>2476596</v>
      </c>
      <c r="F148" s="181">
        <f t="shared" si="14"/>
        <v>2476596</v>
      </c>
      <c r="H148" s="245"/>
      <c r="I148" s="250">
        <v>0</v>
      </c>
      <c r="J148" s="250"/>
      <c r="K148" s="251">
        <f t="shared" si="15"/>
        <v>0</v>
      </c>
      <c r="L148" s="50">
        <f t="shared" si="16"/>
        <v>0</v>
      </c>
      <c r="M148" s="50">
        <f t="shared" si="17"/>
        <v>0</v>
      </c>
      <c r="N148" s="50">
        <f t="shared" si="18"/>
        <v>0</v>
      </c>
    </row>
    <row r="149" spans="1:14" ht="12.75" customHeight="1" x14ac:dyDescent="0.3">
      <c r="A149" s="24">
        <v>19.05</v>
      </c>
      <c r="B149" s="36" t="s">
        <v>161</v>
      </c>
      <c r="C149" s="28" t="s">
        <v>29</v>
      </c>
      <c r="D149" s="29">
        <v>1</v>
      </c>
      <c r="E149" s="181">
        <v>3537994</v>
      </c>
      <c r="F149" s="181">
        <f t="shared" si="14"/>
        <v>3537994</v>
      </c>
      <c r="H149" s="245"/>
      <c r="I149" s="250">
        <v>0.64999999999999991</v>
      </c>
      <c r="J149" s="250">
        <v>0.25</v>
      </c>
      <c r="K149" s="251">
        <f t="shared" si="15"/>
        <v>0.89999999999999991</v>
      </c>
      <c r="L149" s="50">
        <f t="shared" si="16"/>
        <v>2299696.0999999996</v>
      </c>
      <c r="M149" s="50">
        <f t="shared" si="17"/>
        <v>884498.5</v>
      </c>
      <c r="N149" s="50">
        <f t="shared" si="18"/>
        <v>3184194.5999999996</v>
      </c>
    </row>
    <row r="150" spans="1:14" ht="12.75" customHeight="1" x14ac:dyDescent="0.3">
      <c r="A150" s="33">
        <v>19.059999999999999</v>
      </c>
      <c r="B150" s="137" t="s">
        <v>162</v>
      </c>
      <c r="C150" s="138" t="s">
        <v>29</v>
      </c>
      <c r="D150" s="139">
        <v>1</v>
      </c>
      <c r="E150" s="181">
        <v>1061399</v>
      </c>
      <c r="F150" s="181">
        <f t="shared" si="14"/>
        <v>1061399</v>
      </c>
      <c r="H150" s="245"/>
      <c r="I150" s="250">
        <v>0</v>
      </c>
      <c r="J150" s="250"/>
      <c r="K150" s="251">
        <f t="shared" si="15"/>
        <v>0</v>
      </c>
      <c r="L150" s="50">
        <f t="shared" si="16"/>
        <v>0</v>
      </c>
      <c r="M150" s="50">
        <f t="shared" si="17"/>
        <v>0</v>
      </c>
      <c r="N150" s="50">
        <f t="shared" si="18"/>
        <v>0</v>
      </c>
    </row>
    <row r="151" spans="1:14" ht="12.75" customHeight="1" x14ac:dyDescent="0.3">
      <c r="A151" s="13"/>
      <c r="B151" s="40" t="s">
        <v>163</v>
      </c>
      <c r="C151" s="18"/>
      <c r="D151" s="19"/>
      <c r="E151" s="19"/>
      <c r="F151" s="19"/>
      <c r="G151" s="192">
        <f>+SUM(F152:F156)</f>
        <v>34829620</v>
      </c>
      <c r="H151" s="245">
        <f>+G151/$G$195</f>
        <v>4.1226035279777064E-2</v>
      </c>
      <c r="I151" s="246"/>
      <c r="J151" s="247"/>
      <c r="K151" s="247"/>
      <c r="L151" s="178"/>
      <c r="M151" s="178"/>
      <c r="N151" s="179"/>
    </row>
    <row r="152" spans="1:14" ht="12.75" customHeight="1" x14ac:dyDescent="0.3">
      <c r="A152" s="115">
        <v>19.07</v>
      </c>
      <c r="B152" s="142" t="s">
        <v>164</v>
      </c>
      <c r="C152" s="122" t="s">
        <v>29</v>
      </c>
      <c r="D152" s="123">
        <v>1</v>
      </c>
      <c r="E152" s="180">
        <v>3263223</v>
      </c>
      <c r="F152" s="180">
        <f t="shared" si="14"/>
        <v>3263223</v>
      </c>
      <c r="H152" s="245"/>
      <c r="I152" s="250">
        <v>0</v>
      </c>
      <c r="J152" s="250"/>
      <c r="K152" s="251">
        <f t="shared" si="15"/>
        <v>0</v>
      </c>
      <c r="L152" s="50">
        <f t="shared" si="16"/>
        <v>0</v>
      </c>
      <c r="M152" s="50">
        <f t="shared" si="17"/>
        <v>0</v>
      </c>
      <c r="N152" s="50">
        <f t="shared" si="18"/>
        <v>0</v>
      </c>
    </row>
    <row r="153" spans="1:14" ht="12.75" customHeight="1" x14ac:dyDescent="0.3">
      <c r="A153" s="100">
        <v>19.079999999999998</v>
      </c>
      <c r="B153" s="143" t="s">
        <v>165</v>
      </c>
      <c r="C153" s="28" t="s">
        <v>29</v>
      </c>
      <c r="D153" s="29">
        <v>1</v>
      </c>
      <c r="E153" s="181">
        <v>3665831</v>
      </c>
      <c r="F153" s="181">
        <f t="shared" si="14"/>
        <v>3665831</v>
      </c>
      <c r="H153" s="245"/>
      <c r="I153" s="250">
        <v>0.3</v>
      </c>
      <c r="J153" s="250">
        <v>0.4</v>
      </c>
      <c r="K153" s="251">
        <f t="shared" si="15"/>
        <v>0.7</v>
      </c>
      <c r="L153" s="50">
        <f t="shared" si="16"/>
        <v>1099749.3</v>
      </c>
      <c r="M153" s="50">
        <f t="shared" si="17"/>
        <v>1466332.4000000001</v>
      </c>
      <c r="N153" s="50">
        <f t="shared" si="18"/>
        <v>2566081.6999999997</v>
      </c>
    </row>
    <row r="154" spans="1:14" ht="12.75" customHeight="1" x14ac:dyDescent="0.3">
      <c r="A154" s="100">
        <v>19.09</v>
      </c>
      <c r="B154" s="144" t="s">
        <v>166</v>
      </c>
      <c r="C154" s="28" t="s">
        <v>29</v>
      </c>
      <c r="D154" s="29">
        <v>1</v>
      </c>
      <c r="E154" s="181">
        <v>3263223</v>
      </c>
      <c r="F154" s="181">
        <f t="shared" si="14"/>
        <v>3263223</v>
      </c>
      <c r="H154" s="245"/>
      <c r="I154" s="250">
        <v>0</v>
      </c>
      <c r="J154" s="250"/>
      <c r="K154" s="251">
        <f t="shared" si="15"/>
        <v>0</v>
      </c>
      <c r="L154" s="50">
        <f t="shared" si="16"/>
        <v>0</v>
      </c>
      <c r="M154" s="50">
        <f t="shared" si="17"/>
        <v>0</v>
      </c>
      <c r="N154" s="50">
        <f t="shared" si="18"/>
        <v>0</v>
      </c>
    </row>
    <row r="155" spans="1:14" ht="12.75" customHeight="1" x14ac:dyDescent="0.3">
      <c r="A155" s="100">
        <v>19.100000000000001</v>
      </c>
      <c r="B155" s="143" t="s">
        <v>167</v>
      </c>
      <c r="C155" s="28" t="s">
        <v>29</v>
      </c>
      <c r="D155" s="29">
        <v>1</v>
      </c>
      <c r="E155" s="181">
        <v>18413869</v>
      </c>
      <c r="F155" s="181">
        <f t="shared" si="14"/>
        <v>18413869</v>
      </c>
      <c r="H155" s="245"/>
      <c r="I155" s="250">
        <v>0.75000000000000011</v>
      </c>
      <c r="J155" s="250">
        <v>0.15</v>
      </c>
      <c r="K155" s="251">
        <f t="shared" si="15"/>
        <v>0.90000000000000013</v>
      </c>
      <c r="L155" s="50">
        <f t="shared" si="16"/>
        <v>13810401.750000002</v>
      </c>
      <c r="M155" s="50">
        <f t="shared" si="17"/>
        <v>2762080.35</v>
      </c>
      <c r="N155" s="50">
        <f t="shared" si="18"/>
        <v>16572482.100000003</v>
      </c>
    </row>
    <row r="156" spans="1:14" ht="12.75" customHeight="1" x14ac:dyDescent="0.3">
      <c r="A156" s="100">
        <v>19.11</v>
      </c>
      <c r="B156" s="145" t="s">
        <v>168</v>
      </c>
      <c r="C156" s="138" t="s">
        <v>29</v>
      </c>
      <c r="D156" s="139">
        <v>1</v>
      </c>
      <c r="E156" s="189">
        <v>6223474</v>
      </c>
      <c r="F156" s="189">
        <f t="shared" si="14"/>
        <v>6223474</v>
      </c>
      <c r="H156" s="245"/>
      <c r="I156" s="250">
        <v>0</v>
      </c>
      <c r="J156" s="250"/>
      <c r="K156" s="251">
        <f t="shared" si="15"/>
        <v>0</v>
      </c>
      <c r="L156" s="50">
        <f t="shared" si="16"/>
        <v>0</v>
      </c>
      <c r="M156" s="50">
        <f t="shared" si="17"/>
        <v>0</v>
      </c>
      <c r="N156" s="50">
        <f t="shared" si="18"/>
        <v>0</v>
      </c>
    </row>
    <row r="157" spans="1:14" ht="12.75" customHeight="1" x14ac:dyDescent="0.3">
      <c r="A157" s="13"/>
      <c r="B157" s="40" t="s">
        <v>169</v>
      </c>
      <c r="C157" s="18"/>
      <c r="D157" s="19"/>
      <c r="E157" s="19"/>
      <c r="F157" s="19"/>
      <c r="G157" s="192">
        <f>+SUM(F158)</f>
        <v>2637801</v>
      </c>
      <c r="H157" s="245">
        <f>+G157/$G$195</f>
        <v>3.1222297885257206E-3</v>
      </c>
      <c r="I157" s="246"/>
      <c r="J157" s="247"/>
      <c r="K157" s="247"/>
      <c r="L157" s="178"/>
      <c r="M157" s="178"/>
      <c r="N157" s="179"/>
    </row>
    <row r="158" spans="1:14" ht="12.75" customHeight="1" x14ac:dyDescent="0.3">
      <c r="A158" s="24">
        <v>19.12</v>
      </c>
      <c r="B158" s="36" t="s">
        <v>170</v>
      </c>
      <c r="C158" s="28" t="s">
        <v>29</v>
      </c>
      <c r="D158" s="29">
        <v>1</v>
      </c>
      <c r="E158" s="181">
        <v>2637801</v>
      </c>
      <c r="F158" s="181">
        <f t="shared" si="14"/>
        <v>2637801</v>
      </c>
      <c r="H158" s="245"/>
      <c r="I158" s="250">
        <v>0.9</v>
      </c>
      <c r="J158" s="250">
        <v>0.1</v>
      </c>
      <c r="K158" s="251">
        <f t="shared" si="15"/>
        <v>1</v>
      </c>
      <c r="L158" s="50">
        <f t="shared" si="16"/>
        <v>2374020.9</v>
      </c>
      <c r="M158" s="50">
        <f t="shared" si="17"/>
        <v>263780.10000000003</v>
      </c>
      <c r="N158" s="50">
        <f t="shared" si="18"/>
        <v>2637801</v>
      </c>
    </row>
    <row r="159" spans="1:14" ht="12.75" customHeight="1" x14ac:dyDescent="0.3">
      <c r="A159" s="13"/>
      <c r="B159" s="40" t="s">
        <v>171</v>
      </c>
      <c r="C159" s="18"/>
      <c r="D159" s="19"/>
      <c r="E159" s="19"/>
      <c r="F159" s="19"/>
      <c r="G159" s="192">
        <f>+SUM(F160:F161)</f>
        <v>39784561</v>
      </c>
      <c r="H159" s="245">
        <f>+G159/$G$195</f>
        <v>4.7090944873255651E-2</v>
      </c>
      <c r="I159" s="246"/>
      <c r="J159" s="247"/>
      <c r="K159" s="247"/>
      <c r="L159" s="178"/>
      <c r="M159" s="178"/>
      <c r="N159" s="179"/>
    </row>
    <row r="160" spans="1:14" ht="12.75" customHeight="1" x14ac:dyDescent="0.3">
      <c r="A160" s="20">
        <v>19.13</v>
      </c>
      <c r="B160" s="136" t="s">
        <v>172</v>
      </c>
      <c r="C160" s="122" t="s">
        <v>29</v>
      </c>
      <c r="D160" s="123">
        <v>1</v>
      </c>
      <c r="E160" s="181">
        <v>36002858</v>
      </c>
      <c r="F160" s="181">
        <f t="shared" si="14"/>
        <v>36002858</v>
      </c>
      <c r="H160" s="245"/>
      <c r="I160" s="250">
        <v>0.15000000000000002</v>
      </c>
      <c r="J160" s="274">
        <v>0.45</v>
      </c>
      <c r="K160" s="251">
        <f t="shared" si="15"/>
        <v>0.60000000000000009</v>
      </c>
      <c r="L160" s="50">
        <f t="shared" si="16"/>
        <v>5400428.7000000011</v>
      </c>
      <c r="M160" s="50">
        <f t="shared" si="17"/>
        <v>16201286.1</v>
      </c>
      <c r="N160" s="50">
        <f t="shared" si="18"/>
        <v>21601714.800000004</v>
      </c>
    </row>
    <row r="161" spans="1:14" ht="12.75" customHeight="1" x14ac:dyDescent="0.3">
      <c r="A161" s="33">
        <v>19.14</v>
      </c>
      <c r="B161" s="137" t="s">
        <v>173</v>
      </c>
      <c r="C161" s="138" t="s">
        <v>29</v>
      </c>
      <c r="D161" s="139">
        <v>1</v>
      </c>
      <c r="E161" s="181">
        <v>3781703</v>
      </c>
      <c r="F161" s="181">
        <f t="shared" si="14"/>
        <v>3781703</v>
      </c>
      <c r="H161" s="245"/>
      <c r="I161" s="250">
        <v>0</v>
      </c>
      <c r="J161" s="250"/>
      <c r="K161" s="251">
        <f t="shared" si="15"/>
        <v>0</v>
      </c>
      <c r="L161" s="50">
        <f t="shared" si="16"/>
        <v>0</v>
      </c>
      <c r="M161" s="50">
        <f t="shared" si="17"/>
        <v>0</v>
      </c>
      <c r="N161" s="50">
        <f t="shared" si="18"/>
        <v>0</v>
      </c>
    </row>
    <row r="162" spans="1:14" ht="12.75" customHeight="1" x14ac:dyDescent="0.3">
      <c r="A162" s="13"/>
      <c r="B162" s="40" t="s">
        <v>174</v>
      </c>
      <c r="C162" s="18"/>
      <c r="D162" s="19"/>
      <c r="E162" s="19"/>
      <c r="F162" s="19"/>
      <c r="G162" s="192">
        <f>+SUM(F163)</f>
        <v>6439007</v>
      </c>
      <c r="H162" s="245">
        <f>+G162/$G$195</f>
        <v>7.6215224211097178E-3</v>
      </c>
      <c r="I162" s="246"/>
      <c r="J162" s="247"/>
      <c r="K162" s="247"/>
      <c r="L162" s="178"/>
      <c r="M162" s="178"/>
      <c r="N162" s="179"/>
    </row>
    <row r="163" spans="1:14" ht="12.75" customHeight="1" x14ac:dyDescent="0.3">
      <c r="A163" s="24">
        <v>19.149999999999999</v>
      </c>
      <c r="B163" s="98" t="s">
        <v>175</v>
      </c>
      <c r="C163" s="28" t="s">
        <v>29</v>
      </c>
      <c r="D163" s="29">
        <v>1</v>
      </c>
      <c r="E163" s="181">
        <v>6439007</v>
      </c>
      <c r="F163" s="181">
        <f t="shared" si="14"/>
        <v>6439007</v>
      </c>
      <c r="H163" s="245"/>
      <c r="I163" s="250">
        <v>0.3</v>
      </c>
      <c r="J163" s="250">
        <v>0.2</v>
      </c>
      <c r="K163" s="251">
        <f t="shared" si="15"/>
        <v>0.5</v>
      </c>
      <c r="L163" s="50">
        <f t="shared" si="16"/>
        <v>1931702.0999999999</v>
      </c>
      <c r="M163" s="50">
        <f t="shared" si="17"/>
        <v>1287801.4000000001</v>
      </c>
      <c r="N163" s="50">
        <f t="shared" si="18"/>
        <v>3219503.5</v>
      </c>
    </row>
    <row r="164" spans="1:14" ht="12.75" customHeight="1" x14ac:dyDescent="0.3">
      <c r="A164" s="13"/>
      <c r="B164" s="40" t="s">
        <v>176</v>
      </c>
      <c r="C164" s="18"/>
      <c r="D164" s="19"/>
      <c r="E164" s="19"/>
      <c r="F164" s="19"/>
      <c r="G164" s="192">
        <f>+SUM(F165:F168)</f>
        <v>33172785</v>
      </c>
      <c r="H164" s="245">
        <f t="shared" ref="H164:H192" si="19">+G164/$G$195</f>
        <v>3.9264924645702685E-2</v>
      </c>
      <c r="I164" s="246"/>
      <c r="J164" s="247"/>
      <c r="K164" s="247"/>
      <c r="L164" s="178"/>
      <c r="M164" s="178"/>
      <c r="N164" s="179"/>
    </row>
    <row r="165" spans="1:14" ht="12.75" customHeight="1" x14ac:dyDescent="0.3">
      <c r="A165" s="24">
        <v>19.16</v>
      </c>
      <c r="B165" s="143" t="s">
        <v>177</v>
      </c>
      <c r="C165" s="28" t="s">
        <v>29</v>
      </c>
      <c r="D165" s="29">
        <v>1</v>
      </c>
      <c r="E165" s="181">
        <v>27794007</v>
      </c>
      <c r="F165" s="181">
        <f t="shared" si="14"/>
        <v>27794007</v>
      </c>
      <c r="H165" s="245"/>
      <c r="I165" s="250">
        <v>0.45</v>
      </c>
      <c r="J165" s="274">
        <v>0.25</v>
      </c>
      <c r="K165" s="251">
        <f t="shared" si="15"/>
        <v>0.7</v>
      </c>
      <c r="L165" s="50">
        <f t="shared" si="16"/>
        <v>12507303.15</v>
      </c>
      <c r="M165" s="50">
        <f t="shared" si="17"/>
        <v>6948501.75</v>
      </c>
      <c r="N165" s="50">
        <f t="shared" si="18"/>
        <v>19455804.899999999</v>
      </c>
    </row>
    <row r="166" spans="1:14" ht="12.75" customHeight="1" x14ac:dyDescent="0.3">
      <c r="A166" s="24">
        <v>19.170000000000002</v>
      </c>
      <c r="B166" s="146" t="s">
        <v>178</v>
      </c>
      <c r="C166" s="147" t="s">
        <v>33</v>
      </c>
      <c r="D166" s="148">
        <v>8</v>
      </c>
      <c r="E166" s="181">
        <v>59973</v>
      </c>
      <c r="F166" s="181">
        <f t="shared" si="14"/>
        <v>479784</v>
      </c>
      <c r="H166" s="245"/>
      <c r="I166" s="250">
        <v>0</v>
      </c>
      <c r="J166" s="250"/>
      <c r="K166" s="251">
        <f t="shared" si="15"/>
        <v>0</v>
      </c>
      <c r="L166" s="50">
        <f t="shared" si="16"/>
        <v>0</v>
      </c>
      <c r="M166" s="50">
        <f t="shared" si="17"/>
        <v>0</v>
      </c>
      <c r="N166" s="50">
        <f t="shared" si="18"/>
        <v>0</v>
      </c>
    </row>
    <row r="167" spans="1:14" ht="12.75" customHeight="1" x14ac:dyDescent="0.3">
      <c r="A167" s="24">
        <v>19.18</v>
      </c>
      <c r="B167" s="146" t="s">
        <v>179</v>
      </c>
      <c r="C167" s="147" t="s">
        <v>29</v>
      </c>
      <c r="D167" s="148">
        <v>8</v>
      </c>
      <c r="E167" s="181">
        <v>27640</v>
      </c>
      <c r="F167" s="181">
        <f t="shared" si="14"/>
        <v>221120</v>
      </c>
      <c r="H167" s="245"/>
      <c r="I167" s="250">
        <v>0</v>
      </c>
      <c r="J167" s="250"/>
      <c r="K167" s="251">
        <f t="shared" si="15"/>
        <v>0</v>
      </c>
      <c r="L167" s="50">
        <f t="shared" si="16"/>
        <v>0</v>
      </c>
      <c r="M167" s="50">
        <f t="shared" si="17"/>
        <v>0</v>
      </c>
      <c r="N167" s="50">
        <f t="shared" si="18"/>
        <v>0</v>
      </c>
    </row>
    <row r="168" spans="1:14" ht="12.75" customHeight="1" x14ac:dyDescent="0.3">
      <c r="A168" s="100">
        <v>19.190000000000001</v>
      </c>
      <c r="B168" s="145" t="s">
        <v>180</v>
      </c>
      <c r="C168" s="138" t="s">
        <v>29</v>
      </c>
      <c r="D168" s="139">
        <v>1</v>
      </c>
      <c r="E168" s="181">
        <v>4677874</v>
      </c>
      <c r="F168" s="181">
        <f t="shared" si="14"/>
        <v>4677874</v>
      </c>
      <c r="H168" s="245"/>
      <c r="I168" s="250">
        <v>0.2</v>
      </c>
      <c r="J168" s="250">
        <v>0.15</v>
      </c>
      <c r="K168" s="251">
        <f t="shared" si="15"/>
        <v>0.35</v>
      </c>
      <c r="L168" s="50">
        <f t="shared" si="16"/>
        <v>935574.8</v>
      </c>
      <c r="M168" s="50">
        <f t="shared" si="17"/>
        <v>701681.1</v>
      </c>
      <c r="N168" s="50">
        <f t="shared" si="18"/>
        <v>1637255.9</v>
      </c>
    </row>
    <row r="169" spans="1:14" ht="12.75" customHeight="1" x14ac:dyDescent="0.3">
      <c r="A169" s="13">
        <v>20</v>
      </c>
      <c r="B169" s="40" t="s">
        <v>181</v>
      </c>
      <c r="C169" s="18"/>
      <c r="D169" s="19"/>
      <c r="E169" s="19"/>
      <c r="F169" s="19"/>
      <c r="G169" s="192">
        <f>+SUM(F170:F171)</f>
        <v>0</v>
      </c>
      <c r="H169" s="245">
        <f t="shared" si="19"/>
        <v>0</v>
      </c>
      <c r="I169" s="246"/>
      <c r="J169" s="247"/>
      <c r="K169" s="247"/>
      <c r="L169" s="178"/>
      <c r="M169" s="178"/>
      <c r="N169" s="179"/>
    </row>
    <row r="170" spans="1:14" ht="12.75" customHeight="1" x14ac:dyDescent="0.3">
      <c r="A170" s="106">
        <v>20.010000000000002</v>
      </c>
      <c r="B170" s="107" t="s">
        <v>182</v>
      </c>
      <c r="C170" s="120" t="s">
        <v>33</v>
      </c>
      <c r="D170" s="121">
        <v>0</v>
      </c>
      <c r="E170" s="183">
        <v>0</v>
      </c>
      <c r="F170" s="183">
        <f t="shared" si="14"/>
        <v>0</v>
      </c>
      <c r="H170" s="245"/>
      <c r="I170" s="250">
        <v>0</v>
      </c>
      <c r="J170" s="250"/>
      <c r="K170" s="251">
        <f t="shared" si="15"/>
        <v>0</v>
      </c>
      <c r="L170" s="50">
        <f t="shared" si="16"/>
        <v>0</v>
      </c>
      <c r="M170" s="50">
        <f t="shared" si="17"/>
        <v>0</v>
      </c>
      <c r="N170" s="50">
        <f t="shared" si="18"/>
        <v>0</v>
      </c>
    </row>
    <row r="171" spans="1:14" ht="12.75" customHeight="1" x14ac:dyDescent="0.3">
      <c r="A171" s="24">
        <v>20.02</v>
      </c>
      <c r="B171" s="25" t="s">
        <v>183</v>
      </c>
      <c r="C171" s="112" t="s">
        <v>33</v>
      </c>
      <c r="D171" s="27">
        <v>0</v>
      </c>
      <c r="E171" s="181">
        <v>0</v>
      </c>
      <c r="F171" s="181">
        <f t="shared" si="14"/>
        <v>0</v>
      </c>
      <c r="H171" s="245"/>
      <c r="I171" s="250">
        <v>0</v>
      </c>
      <c r="J171" s="250"/>
      <c r="K171" s="251">
        <f t="shared" si="15"/>
        <v>0</v>
      </c>
      <c r="L171" s="50">
        <f t="shared" si="16"/>
        <v>0</v>
      </c>
      <c r="M171" s="50">
        <f t="shared" si="17"/>
        <v>0</v>
      </c>
      <c r="N171" s="50">
        <f t="shared" si="18"/>
        <v>0</v>
      </c>
    </row>
    <row r="172" spans="1:14" ht="12.75" customHeight="1" x14ac:dyDescent="0.3">
      <c r="A172" s="13">
        <v>21</v>
      </c>
      <c r="B172" s="40" t="s">
        <v>184</v>
      </c>
      <c r="C172" s="18"/>
      <c r="D172" s="19"/>
      <c r="E172" s="19"/>
      <c r="F172" s="19"/>
      <c r="G172" s="192">
        <f>+SUM(F173)</f>
        <v>0</v>
      </c>
      <c r="H172" s="245">
        <f t="shared" si="19"/>
        <v>0</v>
      </c>
      <c r="I172" s="246"/>
      <c r="J172" s="247"/>
      <c r="K172" s="247"/>
      <c r="L172" s="178"/>
      <c r="M172" s="178"/>
      <c r="N172" s="179"/>
    </row>
    <row r="173" spans="1:14" ht="12.75" customHeight="1" x14ac:dyDescent="0.3">
      <c r="A173" s="149">
        <v>21.01</v>
      </c>
      <c r="B173" s="150" t="s">
        <v>185</v>
      </c>
      <c r="C173" s="151" t="s">
        <v>29</v>
      </c>
      <c r="D173" s="152">
        <v>1</v>
      </c>
      <c r="E173" s="184">
        <v>0</v>
      </c>
      <c r="F173" s="181">
        <f t="shared" si="14"/>
        <v>0</v>
      </c>
      <c r="G173" s="182"/>
      <c r="H173" s="245"/>
      <c r="I173" s="250">
        <v>0</v>
      </c>
      <c r="J173" s="250"/>
      <c r="K173" s="251">
        <f t="shared" si="15"/>
        <v>0</v>
      </c>
      <c r="L173" s="50">
        <f t="shared" si="16"/>
        <v>0</v>
      </c>
      <c r="M173" s="50">
        <f t="shared" si="17"/>
        <v>0</v>
      </c>
      <c r="N173" s="50">
        <f t="shared" si="18"/>
        <v>0</v>
      </c>
    </row>
    <row r="174" spans="1:14" ht="12.75" customHeight="1" x14ac:dyDescent="0.3">
      <c r="A174" s="13">
        <v>22</v>
      </c>
      <c r="B174" s="40" t="s">
        <v>186</v>
      </c>
      <c r="C174" s="18"/>
      <c r="D174" s="19"/>
      <c r="E174" s="19"/>
      <c r="F174" s="19"/>
      <c r="G174" s="192">
        <f>+SUM(F175:F176)</f>
        <v>2934560</v>
      </c>
      <c r="H174" s="245">
        <f t="shared" si="19"/>
        <v>3.4734882002910904E-3</v>
      </c>
      <c r="I174" s="246"/>
      <c r="J174" s="247"/>
      <c r="K174" s="247"/>
      <c r="L174" s="178"/>
      <c r="M174" s="178"/>
      <c r="N174" s="179"/>
    </row>
    <row r="175" spans="1:14" ht="12.75" customHeight="1" x14ac:dyDescent="0.3">
      <c r="A175" s="115">
        <v>22.01</v>
      </c>
      <c r="B175" s="131" t="s">
        <v>187</v>
      </c>
      <c r="C175" s="132" t="s">
        <v>33</v>
      </c>
      <c r="D175" s="153">
        <v>8</v>
      </c>
      <c r="E175" s="184">
        <v>91705</v>
      </c>
      <c r="F175" s="183">
        <f t="shared" si="14"/>
        <v>733640</v>
      </c>
      <c r="H175" s="245"/>
      <c r="I175" s="250">
        <v>0</v>
      </c>
      <c r="J175" s="250"/>
      <c r="K175" s="251">
        <f t="shared" si="15"/>
        <v>0</v>
      </c>
      <c r="L175" s="50">
        <f t="shared" si="16"/>
        <v>0</v>
      </c>
      <c r="M175" s="50">
        <f t="shared" si="17"/>
        <v>0</v>
      </c>
      <c r="N175" s="50">
        <f t="shared" si="18"/>
        <v>0</v>
      </c>
    </row>
    <row r="176" spans="1:14" ht="12.75" customHeight="1" x14ac:dyDescent="0.3">
      <c r="A176" s="100">
        <v>22.02</v>
      </c>
      <c r="B176" s="98" t="s">
        <v>188</v>
      </c>
      <c r="C176" s="133" t="s">
        <v>33</v>
      </c>
      <c r="D176" s="153">
        <v>24</v>
      </c>
      <c r="E176" s="184">
        <v>91705</v>
      </c>
      <c r="F176" s="183">
        <f t="shared" si="14"/>
        <v>2200920</v>
      </c>
      <c r="H176" s="245"/>
      <c r="I176" s="250">
        <v>0</v>
      </c>
      <c r="J176" s="250"/>
      <c r="K176" s="251">
        <f t="shared" si="15"/>
        <v>0</v>
      </c>
      <c r="L176" s="50">
        <f t="shared" si="16"/>
        <v>0</v>
      </c>
      <c r="M176" s="50">
        <f t="shared" si="17"/>
        <v>0</v>
      </c>
      <c r="N176" s="50">
        <f t="shared" si="18"/>
        <v>0</v>
      </c>
    </row>
    <row r="177" spans="1:14" ht="12.75" customHeight="1" x14ac:dyDescent="0.3">
      <c r="A177" s="13">
        <v>23</v>
      </c>
      <c r="B177" s="40" t="s">
        <v>189</v>
      </c>
      <c r="C177" s="18"/>
      <c r="D177" s="19"/>
      <c r="E177" s="19"/>
      <c r="F177" s="19"/>
      <c r="G177" s="192">
        <f>+SUM(F178:F181)</f>
        <v>19050437</v>
      </c>
      <c r="H177" s="245">
        <f t="shared" si="19"/>
        <v>2.2549025451818604E-2</v>
      </c>
      <c r="I177" s="246"/>
      <c r="J177" s="247"/>
      <c r="K177" s="247"/>
      <c r="L177" s="178"/>
      <c r="M177" s="178"/>
      <c r="N177" s="179"/>
    </row>
    <row r="178" spans="1:14" ht="12.75" customHeight="1" x14ac:dyDescent="0.3">
      <c r="A178" s="115">
        <v>23.01</v>
      </c>
      <c r="B178" s="21" t="s">
        <v>190</v>
      </c>
      <c r="C178" s="93" t="s">
        <v>29</v>
      </c>
      <c r="D178" s="94">
        <v>6</v>
      </c>
      <c r="E178" s="180">
        <v>259063</v>
      </c>
      <c r="F178" s="180">
        <f t="shared" si="14"/>
        <v>1554378</v>
      </c>
      <c r="G178" s="182"/>
      <c r="H178" s="245"/>
      <c r="I178" s="250">
        <v>0.5</v>
      </c>
      <c r="J178" s="250">
        <v>0.1</v>
      </c>
      <c r="K178" s="251">
        <f t="shared" si="15"/>
        <v>0.6</v>
      </c>
      <c r="L178" s="50">
        <f t="shared" si="16"/>
        <v>777189</v>
      </c>
      <c r="M178" s="50">
        <f t="shared" si="17"/>
        <v>155437.80000000002</v>
      </c>
      <c r="N178" s="50">
        <f t="shared" si="18"/>
        <v>932626.79999999993</v>
      </c>
    </row>
    <row r="179" spans="1:14" ht="12.75" customHeight="1" x14ac:dyDescent="0.3">
      <c r="A179" s="100">
        <v>23.02</v>
      </c>
      <c r="B179" s="25" t="s">
        <v>191</v>
      </c>
      <c r="C179" s="30" t="s">
        <v>29</v>
      </c>
      <c r="D179" s="31">
        <v>1</v>
      </c>
      <c r="E179" s="181">
        <v>793947</v>
      </c>
      <c r="F179" s="181">
        <f t="shared" si="14"/>
        <v>793947</v>
      </c>
      <c r="H179" s="245"/>
      <c r="I179" s="250">
        <v>0</v>
      </c>
      <c r="J179" s="250"/>
      <c r="K179" s="251">
        <f t="shared" si="15"/>
        <v>0</v>
      </c>
      <c r="L179" s="50">
        <f t="shared" si="16"/>
        <v>0</v>
      </c>
      <c r="M179" s="50">
        <f t="shared" si="17"/>
        <v>0</v>
      </c>
      <c r="N179" s="50">
        <f t="shared" si="18"/>
        <v>0</v>
      </c>
    </row>
    <row r="180" spans="1:14" ht="12.75" customHeight="1" x14ac:dyDescent="0.3">
      <c r="A180" s="100">
        <v>23.03</v>
      </c>
      <c r="B180" s="25" t="s">
        <v>192</v>
      </c>
      <c r="C180" s="30" t="s">
        <v>19</v>
      </c>
      <c r="D180" s="31">
        <v>26</v>
      </c>
      <c r="E180" s="181">
        <v>27076</v>
      </c>
      <c r="F180" s="181">
        <f t="shared" si="14"/>
        <v>703976</v>
      </c>
      <c r="H180" s="245"/>
      <c r="I180" s="250">
        <v>0</v>
      </c>
      <c r="J180" s="250"/>
      <c r="K180" s="251">
        <f t="shared" si="15"/>
        <v>0</v>
      </c>
      <c r="L180" s="50">
        <f t="shared" si="16"/>
        <v>0</v>
      </c>
      <c r="M180" s="50">
        <f t="shared" si="17"/>
        <v>0</v>
      </c>
      <c r="N180" s="50">
        <f t="shared" si="18"/>
        <v>0</v>
      </c>
    </row>
    <row r="181" spans="1:14" ht="12.75" customHeight="1" x14ac:dyDescent="0.3">
      <c r="A181" s="130">
        <v>23.04</v>
      </c>
      <c r="B181" s="154" t="s">
        <v>193</v>
      </c>
      <c r="C181" s="155" t="s">
        <v>19</v>
      </c>
      <c r="D181" s="102">
        <v>231</v>
      </c>
      <c r="E181" s="189">
        <v>69256</v>
      </c>
      <c r="F181" s="189">
        <f t="shared" si="14"/>
        <v>15998136</v>
      </c>
      <c r="H181" s="245"/>
      <c r="I181" s="250">
        <v>0</v>
      </c>
      <c r="J181" s="250"/>
      <c r="K181" s="251">
        <f t="shared" si="15"/>
        <v>0</v>
      </c>
      <c r="L181" s="50">
        <f t="shared" si="16"/>
        <v>0</v>
      </c>
      <c r="M181" s="50">
        <f t="shared" si="17"/>
        <v>0</v>
      </c>
      <c r="N181" s="50">
        <f t="shared" si="18"/>
        <v>0</v>
      </c>
    </row>
    <row r="182" spans="1:14" ht="12.75" customHeight="1" x14ac:dyDescent="0.3">
      <c r="A182" s="13">
        <v>24</v>
      </c>
      <c r="B182" s="40" t="s">
        <v>194</v>
      </c>
      <c r="C182" s="18"/>
      <c r="D182" s="19"/>
      <c r="E182" s="19"/>
      <c r="F182" s="19"/>
      <c r="G182" s="192">
        <f>+SUM(F183:F191)</f>
        <v>76903896</v>
      </c>
      <c r="H182" s="245">
        <f t="shared" si="19"/>
        <v>9.1027198391722505E-2</v>
      </c>
      <c r="I182" s="246"/>
      <c r="J182" s="247"/>
      <c r="K182" s="247"/>
      <c r="L182" s="178"/>
      <c r="M182" s="178"/>
      <c r="N182" s="179"/>
    </row>
    <row r="183" spans="1:14" ht="12.75" customHeight="1" x14ac:dyDescent="0.3">
      <c r="A183" s="20">
        <v>24.01</v>
      </c>
      <c r="B183" s="156" t="s">
        <v>195</v>
      </c>
      <c r="C183" s="22" t="s">
        <v>196</v>
      </c>
      <c r="D183" s="94">
        <v>17</v>
      </c>
      <c r="E183" s="181">
        <v>973327</v>
      </c>
      <c r="F183" s="181">
        <f t="shared" si="14"/>
        <v>16546559</v>
      </c>
      <c r="H183" s="245"/>
      <c r="I183" s="250">
        <v>0.70000000000000007</v>
      </c>
      <c r="J183" s="250">
        <v>0.05</v>
      </c>
      <c r="K183" s="251">
        <f t="shared" si="15"/>
        <v>0.75000000000000011</v>
      </c>
      <c r="L183" s="50">
        <f t="shared" si="16"/>
        <v>11582591.300000001</v>
      </c>
      <c r="M183" s="50">
        <f t="shared" si="17"/>
        <v>827327.95000000007</v>
      </c>
      <c r="N183" s="50">
        <f t="shared" si="18"/>
        <v>12409919.250000002</v>
      </c>
    </row>
    <row r="184" spans="1:14" ht="12.75" customHeight="1" x14ac:dyDescent="0.3">
      <c r="A184" s="24">
        <v>24.02</v>
      </c>
      <c r="B184" s="157" t="s">
        <v>197</v>
      </c>
      <c r="C184" s="26" t="s">
        <v>196</v>
      </c>
      <c r="D184" s="31">
        <v>4</v>
      </c>
      <c r="E184" s="181">
        <v>2005316</v>
      </c>
      <c r="F184" s="181">
        <f t="shared" si="14"/>
        <v>8021264</v>
      </c>
      <c r="H184" s="245"/>
      <c r="I184" s="250">
        <v>1</v>
      </c>
      <c r="J184" s="250"/>
      <c r="K184" s="251">
        <f t="shared" si="15"/>
        <v>1</v>
      </c>
      <c r="L184" s="50">
        <f t="shared" si="16"/>
        <v>8021264</v>
      </c>
      <c r="M184" s="50">
        <f t="shared" si="17"/>
        <v>0</v>
      </c>
      <c r="N184" s="50">
        <f t="shared" si="18"/>
        <v>8021264</v>
      </c>
    </row>
    <row r="185" spans="1:14" ht="12.75" customHeight="1" x14ac:dyDescent="0.3">
      <c r="A185" s="24">
        <v>24.03</v>
      </c>
      <c r="B185" s="158" t="s">
        <v>198</v>
      </c>
      <c r="C185" s="26" t="s">
        <v>196</v>
      </c>
      <c r="D185" s="31">
        <v>17</v>
      </c>
      <c r="E185" s="181">
        <v>199910</v>
      </c>
      <c r="F185" s="181">
        <f t="shared" si="14"/>
        <v>3398470</v>
      </c>
      <c r="H185" s="245"/>
      <c r="I185" s="250">
        <v>0.70000000000000007</v>
      </c>
      <c r="J185" s="250">
        <v>0.05</v>
      </c>
      <c r="K185" s="251">
        <f t="shared" si="15"/>
        <v>0.75000000000000011</v>
      </c>
      <c r="L185" s="50">
        <f t="shared" si="16"/>
        <v>2378929</v>
      </c>
      <c r="M185" s="50">
        <f t="shared" si="17"/>
        <v>169923.5</v>
      </c>
      <c r="N185" s="50">
        <f t="shared" si="18"/>
        <v>2548852.5000000005</v>
      </c>
    </row>
    <row r="186" spans="1:14" ht="12.75" customHeight="1" x14ac:dyDescent="0.3">
      <c r="A186" s="24">
        <v>24.04</v>
      </c>
      <c r="B186" s="158" t="s">
        <v>199</v>
      </c>
      <c r="C186" s="26" t="s">
        <v>29</v>
      </c>
      <c r="D186" s="27">
        <v>1</v>
      </c>
      <c r="E186" s="181">
        <v>6284456</v>
      </c>
      <c r="F186" s="181">
        <f t="shared" si="14"/>
        <v>6284456</v>
      </c>
      <c r="H186" s="245"/>
      <c r="I186" s="250">
        <v>1</v>
      </c>
      <c r="J186" s="274"/>
      <c r="K186" s="251">
        <f t="shared" si="15"/>
        <v>1</v>
      </c>
      <c r="L186" s="50">
        <f t="shared" si="16"/>
        <v>6284456</v>
      </c>
      <c r="M186" s="50">
        <f t="shared" si="17"/>
        <v>0</v>
      </c>
      <c r="N186" s="50">
        <f t="shared" si="18"/>
        <v>6284456</v>
      </c>
    </row>
    <row r="187" spans="1:14" ht="12.75" customHeight="1" x14ac:dyDescent="0.3">
      <c r="A187" s="24">
        <v>24.05</v>
      </c>
      <c r="B187" s="158" t="s">
        <v>200</v>
      </c>
      <c r="C187" s="159" t="s">
        <v>196</v>
      </c>
      <c r="D187" s="31">
        <v>17</v>
      </c>
      <c r="E187" s="181">
        <v>873895</v>
      </c>
      <c r="F187" s="181">
        <f t="shared" si="14"/>
        <v>14856215</v>
      </c>
      <c r="G187" s="194"/>
      <c r="H187" s="245"/>
      <c r="I187" s="250">
        <v>0.6</v>
      </c>
      <c r="J187" s="250">
        <v>0.05</v>
      </c>
      <c r="K187" s="251">
        <f t="shared" si="15"/>
        <v>0.65</v>
      </c>
      <c r="L187" s="50">
        <f t="shared" si="16"/>
        <v>8913729</v>
      </c>
      <c r="M187" s="50">
        <f t="shared" si="17"/>
        <v>742810.75</v>
      </c>
      <c r="N187" s="50">
        <f t="shared" si="18"/>
        <v>9656539.75</v>
      </c>
    </row>
    <row r="188" spans="1:14" ht="12.75" customHeight="1" x14ac:dyDescent="0.3">
      <c r="A188" s="24">
        <v>24.06</v>
      </c>
      <c r="B188" s="158" t="s">
        <v>201</v>
      </c>
      <c r="C188" s="159" t="s">
        <v>196</v>
      </c>
      <c r="D188" s="31">
        <v>17</v>
      </c>
      <c r="E188" s="181">
        <v>577178</v>
      </c>
      <c r="F188" s="181">
        <f t="shared" si="14"/>
        <v>9812026</v>
      </c>
      <c r="G188" s="194"/>
      <c r="H188" s="245"/>
      <c r="I188" s="250">
        <v>0.6</v>
      </c>
      <c r="J188" s="250">
        <v>0.05</v>
      </c>
      <c r="K188" s="251">
        <f t="shared" si="15"/>
        <v>0.65</v>
      </c>
      <c r="L188" s="50">
        <f t="shared" si="16"/>
        <v>5887215.5999999996</v>
      </c>
      <c r="M188" s="50">
        <f t="shared" si="17"/>
        <v>490601.30000000005</v>
      </c>
      <c r="N188" s="50">
        <f t="shared" si="18"/>
        <v>6377816.9000000004</v>
      </c>
    </row>
    <row r="189" spans="1:14" ht="12.75" customHeight="1" x14ac:dyDescent="0.3">
      <c r="A189" s="24">
        <v>24.07</v>
      </c>
      <c r="B189" s="158" t="s">
        <v>202</v>
      </c>
      <c r="C189" s="159" t="s">
        <v>29</v>
      </c>
      <c r="D189" s="27">
        <v>1</v>
      </c>
      <c r="E189" s="181">
        <v>5277814</v>
      </c>
      <c r="F189" s="181">
        <f t="shared" si="14"/>
        <v>5277814</v>
      </c>
      <c r="G189" s="194"/>
      <c r="H189" s="245"/>
      <c r="I189" s="250">
        <v>0</v>
      </c>
      <c r="J189" s="250"/>
      <c r="K189" s="251">
        <f t="shared" si="15"/>
        <v>0</v>
      </c>
      <c r="L189" s="50">
        <f t="shared" si="16"/>
        <v>0</v>
      </c>
      <c r="M189" s="50">
        <f t="shared" si="17"/>
        <v>0</v>
      </c>
      <c r="N189" s="50">
        <f t="shared" si="18"/>
        <v>0</v>
      </c>
    </row>
    <row r="190" spans="1:14" ht="12.75" customHeight="1" x14ac:dyDescent="0.3">
      <c r="A190" s="24">
        <v>24.08</v>
      </c>
      <c r="B190" s="158" t="s">
        <v>203</v>
      </c>
      <c r="C190" s="159" t="s">
        <v>196</v>
      </c>
      <c r="D190" s="31">
        <v>17</v>
      </c>
      <c r="E190" s="181">
        <v>399819</v>
      </c>
      <c r="F190" s="181">
        <f t="shared" si="14"/>
        <v>6796923</v>
      </c>
      <c r="G190" s="194"/>
      <c r="H190" s="245"/>
      <c r="I190" s="250">
        <v>0.70000000000000007</v>
      </c>
      <c r="J190" s="250">
        <v>0.05</v>
      </c>
      <c r="K190" s="251">
        <f t="shared" si="15"/>
        <v>0.75000000000000011</v>
      </c>
      <c r="L190" s="50">
        <f t="shared" si="16"/>
        <v>4757846.1000000006</v>
      </c>
      <c r="M190" s="50">
        <f t="shared" si="17"/>
        <v>339846.15</v>
      </c>
      <c r="N190" s="50">
        <f t="shared" si="18"/>
        <v>5097692.2500000009</v>
      </c>
    </row>
    <row r="191" spans="1:14" ht="12.75" customHeight="1" x14ac:dyDescent="0.3">
      <c r="A191" s="24">
        <v>24.09</v>
      </c>
      <c r="B191" s="160" t="s">
        <v>204</v>
      </c>
      <c r="C191" s="161" t="s">
        <v>196</v>
      </c>
      <c r="D191" s="31">
        <v>17</v>
      </c>
      <c r="E191" s="189">
        <v>347657</v>
      </c>
      <c r="F191" s="189">
        <f t="shared" si="14"/>
        <v>5910169</v>
      </c>
      <c r="G191" s="194"/>
      <c r="H191" s="245"/>
      <c r="I191" s="250">
        <v>0.6</v>
      </c>
      <c r="J191" s="250">
        <v>0.05</v>
      </c>
      <c r="K191" s="251">
        <f t="shared" si="15"/>
        <v>0.65</v>
      </c>
      <c r="L191" s="50">
        <f t="shared" si="16"/>
        <v>3546101.4</v>
      </c>
      <c r="M191" s="50">
        <f t="shared" si="17"/>
        <v>295508.45</v>
      </c>
      <c r="N191" s="50">
        <f t="shared" si="18"/>
        <v>3841609.85</v>
      </c>
    </row>
    <row r="192" spans="1:14" ht="12.75" customHeight="1" x14ac:dyDescent="0.3">
      <c r="A192" s="13">
        <v>25</v>
      </c>
      <c r="B192" s="40" t="s">
        <v>205</v>
      </c>
      <c r="C192" s="18"/>
      <c r="D192" s="19"/>
      <c r="E192" s="19"/>
      <c r="F192" s="19"/>
      <c r="G192" s="192">
        <f>+SUM(F193:F194)</f>
        <v>110386593</v>
      </c>
      <c r="H192" s="245">
        <f t="shared" si="19"/>
        <v>0.13065894998086086</v>
      </c>
      <c r="I192" s="246"/>
      <c r="J192" s="247"/>
      <c r="K192" s="247"/>
      <c r="L192" s="178"/>
      <c r="M192" s="178"/>
      <c r="N192" s="179"/>
    </row>
    <row r="193" spans="1:16" ht="12.75" customHeight="1" x14ac:dyDescent="0.3">
      <c r="A193" s="20">
        <v>25.01</v>
      </c>
      <c r="B193" s="21" t="s">
        <v>206</v>
      </c>
      <c r="C193" s="93" t="s">
        <v>196</v>
      </c>
      <c r="D193" s="94">
        <v>17</v>
      </c>
      <c r="E193" s="184">
        <v>5826965</v>
      </c>
      <c r="F193" s="183">
        <f t="shared" si="14"/>
        <v>99058405</v>
      </c>
      <c r="G193" s="195"/>
      <c r="H193" s="245"/>
      <c r="I193" s="250">
        <v>0.70000000000000007</v>
      </c>
      <c r="J193" s="250">
        <v>0.05</v>
      </c>
      <c r="K193" s="251">
        <f t="shared" si="15"/>
        <v>0.75000000000000011</v>
      </c>
      <c r="L193" s="50">
        <f t="shared" si="16"/>
        <v>69340883.5</v>
      </c>
      <c r="M193" s="50">
        <f t="shared" si="17"/>
        <v>4952920.25</v>
      </c>
      <c r="N193" s="50">
        <f t="shared" si="18"/>
        <v>74293803.750000015</v>
      </c>
    </row>
    <row r="194" spans="1:16" ht="12.75" customHeight="1" x14ac:dyDescent="0.3">
      <c r="A194" s="33">
        <v>25.02</v>
      </c>
      <c r="B194" s="38" t="s">
        <v>207</v>
      </c>
      <c r="C194" s="34" t="s">
        <v>196</v>
      </c>
      <c r="D194" s="35">
        <v>17</v>
      </c>
      <c r="E194" s="184">
        <v>666364</v>
      </c>
      <c r="F194" s="181">
        <f t="shared" si="14"/>
        <v>11328188</v>
      </c>
      <c r="G194" s="196"/>
      <c r="H194" s="245"/>
      <c r="I194" s="255">
        <v>0.70000000000000007</v>
      </c>
      <c r="J194" s="255">
        <v>0.05</v>
      </c>
      <c r="K194" s="256">
        <f t="shared" si="15"/>
        <v>0.75000000000000011</v>
      </c>
      <c r="L194" s="257">
        <f t="shared" si="16"/>
        <v>7929731.6000000006</v>
      </c>
      <c r="M194" s="257">
        <f t="shared" si="17"/>
        <v>566409.4</v>
      </c>
      <c r="N194" s="257">
        <f t="shared" si="18"/>
        <v>8496141.0000000019</v>
      </c>
    </row>
    <row r="195" spans="1:16" ht="12.75" customHeight="1" x14ac:dyDescent="0.3">
      <c r="A195" s="13"/>
      <c r="B195" s="40" t="s">
        <v>208</v>
      </c>
      <c r="C195" s="18"/>
      <c r="D195" s="19"/>
      <c r="E195" s="19"/>
      <c r="F195" s="197">
        <f>SUM(F9:F194)</f>
        <v>844845248</v>
      </c>
      <c r="G195" s="192">
        <f>SUM(G9:G194)</f>
        <v>844845248</v>
      </c>
      <c r="H195" s="245">
        <f>+SUM(H9:H194)</f>
        <v>0.99999999999999978</v>
      </c>
      <c r="I195" s="258"/>
      <c r="J195" s="259"/>
      <c r="K195" s="259"/>
      <c r="L195" s="260">
        <f>+SUM(L10:L194)</f>
        <v>331863255.86200011</v>
      </c>
      <c r="M195" s="260">
        <f>+SUM(M10:M194)</f>
        <v>76106939.900000006</v>
      </c>
      <c r="N195" s="261">
        <f>+SUM(N10:N194)</f>
        <v>407970195.76199996</v>
      </c>
      <c r="P195" s="92"/>
    </row>
    <row r="196" spans="1:16" s="41" customFormat="1" ht="13" x14ac:dyDescent="0.3">
      <c r="A196" s="43"/>
      <c r="B196" s="44"/>
      <c r="C196" s="45"/>
      <c r="D196" s="46"/>
      <c r="E196" s="198"/>
      <c r="F196" s="198"/>
      <c r="G196" s="199"/>
      <c r="H196" s="177"/>
      <c r="I196" s="200"/>
      <c r="J196" s="200"/>
      <c r="K196" s="326"/>
      <c r="L196" s="200"/>
      <c r="M196" s="287">
        <f>+M195/G195</f>
        <v>9.0083882320659045E-2</v>
      </c>
      <c r="N196" s="254">
        <f>+N195/G195</f>
        <v>0.48289340175350076</v>
      </c>
    </row>
    <row r="197" spans="1:16" s="41" customFormat="1" ht="13" x14ac:dyDescent="0.3">
      <c r="A197" s="42"/>
      <c r="B197" s="88"/>
      <c r="C197" s="89"/>
      <c r="D197" s="9"/>
      <c r="E197" s="201"/>
      <c r="F197" s="201"/>
      <c r="G197" s="166"/>
      <c r="H197" s="177"/>
      <c r="I197" s="200"/>
      <c r="J197" s="200"/>
      <c r="K197" s="326"/>
      <c r="L197" s="200"/>
      <c r="M197" s="287"/>
      <c r="N197" s="254"/>
    </row>
    <row r="198" spans="1:16" s="41" customFormat="1" ht="13" x14ac:dyDescent="0.3">
      <c r="A198" s="42"/>
      <c r="B198" s="90" t="s">
        <v>234</v>
      </c>
      <c r="C198" s="305"/>
      <c r="D198" s="166"/>
      <c r="E198" s="201"/>
      <c r="F198" s="201"/>
      <c r="G198" s="166"/>
      <c r="H198" s="177"/>
      <c r="I198" s="200"/>
      <c r="J198" s="200"/>
      <c r="K198" s="326"/>
      <c r="L198" s="200"/>
      <c r="M198" s="287"/>
      <c r="N198" s="254"/>
    </row>
    <row r="199" spans="1:16" s="41" customFormat="1" ht="13" x14ac:dyDescent="0.3">
      <c r="A199" s="13">
        <v>4</v>
      </c>
      <c r="B199" s="17" t="s">
        <v>17</v>
      </c>
      <c r="C199" s="310"/>
      <c r="D199" s="197"/>
      <c r="E199" s="190"/>
      <c r="F199" s="190"/>
      <c r="G199" s="192">
        <f>+SUM(F200)</f>
        <v>-713352</v>
      </c>
      <c r="H199" s="177"/>
      <c r="I199" s="246"/>
      <c r="J199" s="247"/>
      <c r="K199" s="247"/>
      <c r="L199" s="178"/>
      <c r="M199" s="178"/>
      <c r="N199" s="179"/>
    </row>
    <row r="200" spans="1:16" s="41" customFormat="1" ht="13" x14ac:dyDescent="0.3">
      <c r="A200" s="39">
        <v>4.12</v>
      </c>
      <c r="B200" s="107" t="s">
        <v>32</v>
      </c>
      <c r="C200" s="108" t="s">
        <v>33</v>
      </c>
      <c r="D200" s="309">
        <v>-3</v>
      </c>
      <c r="E200" s="201">
        <f>+E21</f>
        <v>237784</v>
      </c>
      <c r="F200" s="183">
        <f t="shared" ref="F200:F212" si="20">+E200*D200</f>
        <v>-713352</v>
      </c>
      <c r="G200" s="166"/>
      <c r="H200" s="177"/>
      <c r="I200" s="248">
        <v>1</v>
      </c>
      <c r="J200" s="248"/>
      <c r="K200" s="249">
        <f t="shared" ref="K200" si="21">+I200+J200</f>
        <v>1</v>
      </c>
      <c r="L200" s="50">
        <f t="shared" ref="L200" si="22">+F200*I200</f>
        <v>-713352</v>
      </c>
      <c r="M200" s="50">
        <f t="shared" ref="M200" si="23">+F200*J200</f>
        <v>0</v>
      </c>
      <c r="N200" s="50">
        <f t="shared" ref="N200" si="24">+F200*K200</f>
        <v>-713352</v>
      </c>
    </row>
    <row r="201" spans="1:16" s="41" customFormat="1" ht="13" x14ac:dyDescent="0.3">
      <c r="A201" s="13">
        <v>5</v>
      </c>
      <c r="B201" s="17" t="s">
        <v>36</v>
      </c>
      <c r="C201" s="310"/>
      <c r="D201" s="197"/>
      <c r="E201" s="190"/>
      <c r="F201" s="190"/>
      <c r="G201" s="192">
        <f>+SUM(F202)</f>
        <v>-2438774</v>
      </c>
      <c r="H201" s="177"/>
      <c r="I201" s="246"/>
      <c r="J201" s="247"/>
      <c r="K201" s="247"/>
      <c r="L201" s="178"/>
      <c r="M201" s="178"/>
      <c r="N201" s="179"/>
    </row>
    <row r="202" spans="1:16" s="41" customFormat="1" ht="13" x14ac:dyDescent="0.3">
      <c r="A202" s="39">
        <v>5.07</v>
      </c>
      <c r="B202" s="107" t="s">
        <v>43</v>
      </c>
      <c r="C202" s="108" t="s">
        <v>29</v>
      </c>
      <c r="D202" s="309">
        <v>-1</v>
      </c>
      <c r="E202" s="201">
        <f>+E31</f>
        <v>2438774</v>
      </c>
      <c r="F202" s="183">
        <f t="shared" si="20"/>
        <v>-2438774</v>
      </c>
      <c r="G202" s="166"/>
      <c r="H202" s="177"/>
      <c r="I202" s="248">
        <v>1</v>
      </c>
      <c r="J202" s="248"/>
      <c r="K202" s="249">
        <f t="shared" ref="K202" si="25">+I202+J202</f>
        <v>1</v>
      </c>
      <c r="L202" s="50">
        <f t="shared" ref="L202" si="26">+F202*I202</f>
        <v>-2438774</v>
      </c>
      <c r="M202" s="50">
        <f t="shared" ref="M202" si="27">+F202*J202</f>
        <v>0</v>
      </c>
      <c r="N202" s="50">
        <f t="shared" ref="N202" si="28">+F202*K202</f>
        <v>-2438774</v>
      </c>
    </row>
    <row r="203" spans="1:16" s="41" customFormat="1" ht="13" x14ac:dyDescent="0.3">
      <c r="A203" s="13">
        <v>14</v>
      </c>
      <c r="B203" s="17" t="s">
        <v>93</v>
      </c>
      <c r="C203" s="310"/>
      <c r="D203" s="197"/>
      <c r="E203" s="190"/>
      <c r="F203" s="190"/>
      <c r="G203" s="192">
        <f>+SUM(F204:F205)</f>
        <v>-18097046</v>
      </c>
      <c r="H203" s="177"/>
      <c r="I203" s="246"/>
      <c r="J203" s="247"/>
      <c r="K203" s="247"/>
      <c r="L203" s="178"/>
      <c r="M203" s="178"/>
      <c r="N203" s="179"/>
    </row>
    <row r="204" spans="1:16" s="41" customFormat="1" ht="13" x14ac:dyDescent="0.3">
      <c r="A204" s="115">
        <v>14.01</v>
      </c>
      <c r="B204" s="312" t="s">
        <v>94</v>
      </c>
      <c r="C204" s="313" t="s">
        <v>19</v>
      </c>
      <c r="D204" s="123">
        <v>-460</v>
      </c>
      <c r="E204" s="180">
        <f>+E81</f>
        <v>23624</v>
      </c>
      <c r="F204" s="180">
        <f t="shared" si="20"/>
        <v>-10867040</v>
      </c>
      <c r="G204" s="166"/>
      <c r="H204" s="177"/>
      <c r="I204" s="248"/>
      <c r="J204" s="248"/>
      <c r="K204" s="249">
        <f t="shared" ref="K204:K205" si="29">+I204+J204</f>
        <v>0</v>
      </c>
      <c r="L204" s="50">
        <f t="shared" ref="L204:L205" si="30">+F204*I204</f>
        <v>0</v>
      </c>
      <c r="M204" s="50">
        <f t="shared" ref="M204:M205" si="31">+F204*J204</f>
        <v>0</v>
      </c>
      <c r="N204" s="50">
        <f t="shared" ref="N204:N205" si="32">+F204*K204</f>
        <v>0</v>
      </c>
    </row>
    <row r="205" spans="1:16" s="41" customFormat="1" ht="13" x14ac:dyDescent="0.3">
      <c r="A205" s="130">
        <v>14.02</v>
      </c>
      <c r="B205" s="314" t="s">
        <v>95</v>
      </c>
      <c r="C205" s="315" t="s">
        <v>27</v>
      </c>
      <c r="D205" s="139">
        <v>-434</v>
      </c>
      <c r="E205" s="189">
        <f>+E82</f>
        <v>16659</v>
      </c>
      <c r="F205" s="189">
        <f t="shared" si="20"/>
        <v>-7230006</v>
      </c>
      <c r="G205" s="166"/>
      <c r="H205" s="177"/>
      <c r="I205" s="248"/>
      <c r="J205" s="248"/>
      <c r="K205" s="249">
        <f t="shared" si="29"/>
        <v>0</v>
      </c>
      <c r="L205" s="50">
        <f t="shared" si="30"/>
        <v>0</v>
      </c>
      <c r="M205" s="50">
        <f t="shared" si="31"/>
        <v>0</v>
      </c>
      <c r="N205" s="50">
        <f t="shared" si="32"/>
        <v>0</v>
      </c>
    </row>
    <row r="206" spans="1:16" s="41" customFormat="1" ht="13" x14ac:dyDescent="0.3">
      <c r="A206" s="13">
        <v>15</v>
      </c>
      <c r="B206" s="17" t="s">
        <v>101</v>
      </c>
      <c r="C206" s="310"/>
      <c r="D206" s="197"/>
      <c r="E206" s="190"/>
      <c r="F206" s="190"/>
      <c r="G206" s="192">
        <f>+SUM(F207)</f>
        <v>-4086180</v>
      </c>
      <c r="H206" s="177"/>
      <c r="I206" s="246"/>
      <c r="J206" s="247"/>
      <c r="K206" s="247"/>
      <c r="L206" s="178"/>
      <c r="M206" s="178"/>
      <c r="N206" s="179"/>
    </row>
    <row r="207" spans="1:16" s="41" customFormat="1" ht="13" x14ac:dyDescent="0.3">
      <c r="A207" s="39">
        <v>15.05</v>
      </c>
      <c r="B207" s="107" t="s">
        <v>106</v>
      </c>
      <c r="C207" s="108" t="s">
        <v>19</v>
      </c>
      <c r="D207" s="309">
        <v>-460</v>
      </c>
      <c r="E207" s="201">
        <f>+E93</f>
        <v>8883</v>
      </c>
      <c r="F207" s="183">
        <f t="shared" si="20"/>
        <v>-4086180</v>
      </c>
      <c r="G207" s="166"/>
      <c r="H207" s="177"/>
      <c r="I207" s="248"/>
      <c r="J207" s="248"/>
      <c r="K207" s="249">
        <f t="shared" ref="K207" si="33">+I207+J207</f>
        <v>0</v>
      </c>
      <c r="L207" s="50">
        <f t="shared" ref="L207" si="34">+F207*I207</f>
        <v>0</v>
      </c>
      <c r="M207" s="50">
        <f t="shared" ref="M207" si="35">+F207*J207</f>
        <v>0</v>
      </c>
      <c r="N207" s="50">
        <f t="shared" ref="N207" si="36">+F207*K207</f>
        <v>0</v>
      </c>
    </row>
    <row r="208" spans="1:16" s="41" customFormat="1" ht="13" x14ac:dyDescent="0.3">
      <c r="A208" s="13">
        <v>18</v>
      </c>
      <c r="B208" s="40" t="s">
        <v>120</v>
      </c>
      <c r="C208" s="310"/>
      <c r="D208" s="197"/>
      <c r="E208" s="190"/>
      <c r="F208" s="190"/>
      <c r="G208" s="192">
        <f>+SUM(F209:F212)</f>
        <v>-2527808</v>
      </c>
      <c r="H208" s="177"/>
      <c r="I208" s="246"/>
      <c r="J208" s="247"/>
      <c r="K208" s="247"/>
      <c r="L208" s="178"/>
      <c r="M208" s="178"/>
      <c r="N208" s="179"/>
    </row>
    <row r="209" spans="1:14" s="41" customFormat="1" ht="13" x14ac:dyDescent="0.3">
      <c r="A209" s="115">
        <v>18.09</v>
      </c>
      <c r="B209" s="131" t="s">
        <v>129</v>
      </c>
      <c r="C209" s="132" t="s">
        <v>33</v>
      </c>
      <c r="D209" s="94">
        <v>-8</v>
      </c>
      <c r="E209" s="180">
        <f>+E117</f>
        <v>69154</v>
      </c>
      <c r="F209" s="180">
        <f t="shared" si="20"/>
        <v>-553232</v>
      </c>
      <c r="G209" s="166"/>
      <c r="H209" s="177"/>
      <c r="I209" s="248"/>
      <c r="J209" s="248"/>
      <c r="K209" s="249">
        <f t="shared" ref="K209:K212" si="37">+I209+J209</f>
        <v>0</v>
      </c>
      <c r="L209" s="50">
        <f t="shared" ref="L209:L212" si="38">+F209*I209</f>
        <v>0</v>
      </c>
      <c r="M209" s="50">
        <f t="shared" ref="M209:M212" si="39">+F209*J209</f>
        <v>0</v>
      </c>
      <c r="N209" s="50">
        <f t="shared" ref="N209:N212" si="40">+F209*K209</f>
        <v>0</v>
      </c>
    </row>
    <row r="210" spans="1:14" s="41" customFormat="1" ht="13" x14ac:dyDescent="0.3">
      <c r="A210" s="100">
        <v>18.11</v>
      </c>
      <c r="B210" s="98" t="s">
        <v>131</v>
      </c>
      <c r="C210" s="133" t="s">
        <v>33</v>
      </c>
      <c r="D210" s="31">
        <v>-26</v>
      </c>
      <c r="E210" s="181">
        <f>+E119</f>
        <v>50616</v>
      </c>
      <c r="F210" s="181">
        <f t="shared" si="20"/>
        <v>-1316016</v>
      </c>
      <c r="G210" s="166"/>
      <c r="H210" s="177"/>
      <c r="I210" s="248"/>
      <c r="J210" s="248"/>
      <c r="K210" s="249">
        <f t="shared" si="37"/>
        <v>0</v>
      </c>
      <c r="L210" s="50">
        <f t="shared" si="38"/>
        <v>0</v>
      </c>
      <c r="M210" s="50">
        <f t="shared" si="39"/>
        <v>0</v>
      </c>
      <c r="N210" s="50">
        <f t="shared" si="40"/>
        <v>0</v>
      </c>
    </row>
    <row r="211" spans="1:14" s="41" customFormat="1" ht="13" x14ac:dyDescent="0.3">
      <c r="A211" s="100">
        <v>18.13</v>
      </c>
      <c r="B211" s="98" t="s">
        <v>133</v>
      </c>
      <c r="C211" s="133" t="s">
        <v>33</v>
      </c>
      <c r="D211" s="31">
        <v>-9</v>
      </c>
      <c r="E211" s="181">
        <f>+E121</f>
        <v>50616</v>
      </c>
      <c r="F211" s="181">
        <f t="shared" si="20"/>
        <v>-455544</v>
      </c>
      <c r="G211" s="166"/>
      <c r="H211" s="177"/>
      <c r="I211" s="248"/>
      <c r="J211" s="248"/>
      <c r="K211" s="249">
        <f t="shared" si="37"/>
        <v>0</v>
      </c>
      <c r="L211" s="50">
        <f t="shared" si="38"/>
        <v>0</v>
      </c>
      <c r="M211" s="50">
        <f t="shared" si="39"/>
        <v>0</v>
      </c>
      <c r="N211" s="50">
        <f t="shared" si="40"/>
        <v>0</v>
      </c>
    </row>
    <row r="212" spans="1:14" s="41" customFormat="1" ht="13" x14ac:dyDescent="0.3">
      <c r="A212" s="130">
        <v>18.260000000000002</v>
      </c>
      <c r="B212" s="311" t="s">
        <v>146</v>
      </c>
      <c r="C212" s="135" t="s">
        <v>33</v>
      </c>
      <c r="D212" s="35">
        <v>-8</v>
      </c>
      <c r="E212" s="189">
        <f>+E134</f>
        <v>25377</v>
      </c>
      <c r="F212" s="189">
        <f t="shared" si="20"/>
        <v>-203016</v>
      </c>
      <c r="G212" s="166"/>
      <c r="H212" s="177"/>
      <c r="I212" s="248"/>
      <c r="J212" s="248"/>
      <c r="K212" s="249">
        <f t="shared" si="37"/>
        <v>0</v>
      </c>
      <c r="L212" s="50">
        <f t="shared" si="38"/>
        <v>0</v>
      </c>
      <c r="M212" s="50">
        <f t="shared" si="39"/>
        <v>0</v>
      </c>
      <c r="N212" s="50">
        <f t="shared" si="40"/>
        <v>0</v>
      </c>
    </row>
    <row r="213" spans="1:14" s="41" customFormat="1" ht="13" x14ac:dyDescent="0.3">
      <c r="A213" s="13"/>
      <c r="B213" s="40" t="s">
        <v>235</v>
      </c>
      <c r="C213" s="18"/>
      <c r="D213" s="19"/>
      <c r="E213" s="19"/>
      <c r="F213" s="197"/>
      <c r="G213" s="192">
        <f>+SUM(G199:G212)</f>
        <v>-27863160</v>
      </c>
      <c r="H213" s="177"/>
      <c r="I213" s="258"/>
      <c r="J213" s="259"/>
      <c r="K213" s="259"/>
      <c r="L213" s="260">
        <f>+SUM(L200:L212)</f>
        <v>-3152126</v>
      </c>
      <c r="M213" s="260">
        <f>+SUM(M200:M212)</f>
        <v>0</v>
      </c>
      <c r="N213" s="261">
        <f>+SUM(N200:N212)</f>
        <v>-3152126</v>
      </c>
    </row>
    <row r="214" spans="1:14" s="41" customFormat="1" ht="13" x14ac:dyDescent="0.3">
      <c r="A214" s="39"/>
      <c r="B214" s="306"/>
      <c r="C214" s="307"/>
      <c r="D214" s="308"/>
      <c r="E214" s="201"/>
      <c r="F214" s="201"/>
      <c r="G214" s="166"/>
      <c r="H214" s="177"/>
      <c r="I214" s="200"/>
      <c r="J214" s="200"/>
      <c r="K214" s="326"/>
      <c r="L214" s="200"/>
      <c r="M214" s="51"/>
      <c r="N214" s="51"/>
    </row>
    <row r="215" spans="1:14" ht="12.75" customHeight="1" x14ac:dyDescent="0.3">
      <c r="A215" s="39"/>
      <c r="B215" s="47"/>
      <c r="D215" s="48"/>
      <c r="E215" s="9"/>
      <c r="F215" s="9"/>
      <c r="G215" s="202"/>
      <c r="I215" s="200"/>
      <c r="J215" s="200"/>
      <c r="K215" s="326"/>
      <c r="L215" s="200"/>
      <c r="M215" s="51"/>
      <c r="N215" s="51"/>
    </row>
    <row r="216" spans="1:14" ht="12.75" customHeight="1" x14ac:dyDescent="0.3">
      <c r="A216" s="52"/>
      <c r="B216" s="53" t="s">
        <v>209</v>
      </c>
      <c r="C216" s="54"/>
      <c r="D216" s="55"/>
      <c r="E216" s="203"/>
      <c r="F216" s="204"/>
      <c r="G216" s="205"/>
      <c r="H216" s="205"/>
      <c r="I216" s="204"/>
      <c r="J216" s="206"/>
      <c r="K216" s="327" t="s">
        <v>210</v>
      </c>
      <c r="L216" s="208">
        <f>+J5</f>
        <v>15</v>
      </c>
      <c r="M216" s="209"/>
      <c r="N216" s="57">
        <f>+N5</f>
        <v>46172</v>
      </c>
    </row>
    <row r="217" spans="1:14" ht="12.75" customHeight="1" x14ac:dyDescent="0.3">
      <c r="A217" s="58"/>
      <c r="B217" s="53" t="s">
        <v>9</v>
      </c>
      <c r="C217" s="56"/>
      <c r="D217" s="59"/>
      <c r="E217" s="211"/>
      <c r="F217" s="205"/>
      <c r="G217" s="205"/>
      <c r="H217" s="205"/>
      <c r="I217" s="205"/>
      <c r="J217" s="209"/>
      <c r="K217" s="259"/>
      <c r="L217" s="205"/>
      <c r="M217" s="209" t="s">
        <v>211</v>
      </c>
      <c r="N217" s="210" t="s">
        <v>212</v>
      </c>
    </row>
    <row r="218" spans="1:14" ht="12.75" customHeight="1" x14ac:dyDescent="0.3">
      <c r="A218" s="275" t="s">
        <v>213</v>
      </c>
      <c r="B218" s="61" t="s">
        <v>214</v>
      </c>
      <c r="C218" s="60"/>
      <c r="D218" s="62"/>
      <c r="E218" s="212"/>
      <c r="F218" s="213"/>
      <c r="G218" s="214"/>
      <c r="H218" s="214"/>
      <c r="I218" s="213"/>
      <c r="J218" s="215"/>
      <c r="K218" s="328"/>
      <c r="L218" s="213"/>
      <c r="M218" s="213"/>
      <c r="N218" s="63">
        <f>+G195</f>
        <v>844845248</v>
      </c>
    </row>
    <row r="219" spans="1:14" ht="12.75" customHeight="1" x14ac:dyDescent="0.3">
      <c r="A219" s="64" t="s">
        <v>215</v>
      </c>
      <c r="B219" s="65" t="s">
        <v>216</v>
      </c>
      <c r="C219" s="66"/>
      <c r="D219" s="67"/>
      <c r="E219" s="216"/>
      <c r="F219" s="217"/>
      <c r="G219" s="218"/>
      <c r="H219" s="218"/>
      <c r="I219" s="217"/>
      <c r="J219" s="219"/>
      <c r="K219" s="238"/>
      <c r="L219" s="217"/>
      <c r="M219" s="236">
        <v>0.1</v>
      </c>
      <c r="N219" s="220">
        <f>+M219*N218</f>
        <v>84484524.800000012</v>
      </c>
    </row>
    <row r="220" spans="1:14" ht="12.75" customHeight="1" x14ac:dyDescent="0.3">
      <c r="A220" s="276" t="s">
        <v>217</v>
      </c>
      <c r="B220" s="69" t="s">
        <v>218</v>
      </c>
      <c r="C220" s="70"/>
      <c r="D220" s="71"/>
      <c r="E220" s="221"/>
      <c r="F220" s="222"/>
      <c r="G220" s="223"/>
      <c r="H220" s="223"/>
      <c r="I220" s="222"/>
      <c r="J220" s="224"/>
      <c r="K220" s="237"/>
      <c r="L220" s="222"/>
      <c r="M220" s="237"/>
      <c r="N220" s="225">
        <f>+M195</f>
        <v>76106939.900000006</v>
      </c>
    </row>
    <row r="221" spans="1:14" ht="12.75" customHeight="1" x14ac:dyDescent="0.3">
      <c r="A221" s="264" t="s">
        <v>219</v>
      </c>
      <c r="B221" s="265" t="s">
        <v>220</v>
      </c>
      <c r="C221" s="266"/>
      <c r="D221" s="267"/>
      <c r="E221" s="268"/>
      <c r="F221" s="269"/>
      <c r="G221" s="270"/>
      <c r="H221" s="270"/>
      <c r="I221" s="269"/>
      <c r="J221" s="271"/>
      <c r="K221" s="272"/>
      <c r="L221" s="269"/>
      <c r="M221" s="272">
        <f>-M219</f>
        <v>-0.1</v>
      </c>
      <c r="N221" s="273">
        <f>+M221*N220</f>
        <v>-7610693.9900000012</v>
      </c>
    </row>
    <row r="222" spans="1:14" ht="12.75" customHeight="1" x14ac:dyDescent="0.3">
      <c r="A222" s="276" t="s">
        <v>221</v>
      </c>
      <c r="B222" s="69" t="s">
        <v>233</v>
      </c>
      <c r="C222" s="70"/>
      <c r="D222" s="71"/>
      <c r="E222" s="221"/>
      <c r="F222" s="222"/>
      <c r="G222" s="223"/>
      <c r="H222" s="223"/>
      <c r="I222" s="222"/>
      <c r="J222" s="224"/>
      <c r="K222" s="237"/>
      <c r="L222" s="222"/>
      <c r="M222" s="237"/>
      <c r="N222" s="225">
        <f>+M213</f>
        <v>0</v>
      </c>
    </row>
    <row r="223" spans="1:14" ht="12.75" customHeight="1" x14ac:dyDescent="0.3">
      <c r="A223" s="295" t="s">
        <v>225</v>
      </c>
      <c r="B223" s="296" t="s">
        <v>222</v>
      </c>
      <c r="C223" s="297"/>
      <c r="D223" s="298"/>
      <c r="E223" s="299"/>
      <c r="F223" s="300"/>
      <c r="G223" s="300"/>
      <c r="H223" s="300"/>
      <c r="I223" s="300"/>
      <c r="J223" s="301"/>
      <c r="K223" s="302"/>
      <c r="L223" s="300"/>
      <c r="M223" s="302"/>
      <c r="N223" s="329">
        <f>+N220+N221+N222</f>
        <v>68496245.910000011</v>
      </c>
    </row>
    <row r="224" spans="1:14" ht="12.75" customHeight="1" x14ac:dyDescent="0.3">
      <c r="H224" s="245"/>
    </row>
    <row r="225" spans="2:8" ht="12.75" customHeight="1" x14ac:dyDescent="0.3">
      <c r="B225" s="2" t="s">
        <v>236</v>
      </c>
      <c r="H225" s="245"/>
    </row>
  </sheetData>
  <mergeCells count="2">
    <mergeCell ref="I7:K7"/>
    <mergeCell ref="L7:N7"/>
  </mergeCells>
  <conditionalFormatting sqref="C3:C214">
    <cfRule type="cellIs" dxfId="6" priority="6" operator="equal">
      <formula>"x"</formula>
    </cfRule>
  </conditionalFormatting>
  <conditionalFormatting sqref="K10:K23 K25:K31 K33 K35:K40 K42:K49 K51:K53 K55:K58 K60:K70 K72:K74 K76:K79 K81:K87 K89:K100 K102 K104:K107 K144:K146 K148:K150 K152:K156 K158 K160:K161 K163 K165:K168 K170:K171 K173 K175:K176 K178:K181 K183:K191 K193:K194">
    <cfRule type="cellIs" dxfId="5" priority="7" operator="lessThan">
      <formula>1</formula>
    </cfRule>
  </conditionalFormatting>
  <conditionalFormatting sqref="K109:K141">
    <cfRule type="cellIs" dxfId="4" priority="5" operator="lessThan">
      <formula>1</formula>
    </cfRule>
  </conditionalFormatting>
  <conditionalFormatting sqref="K200 K202">
    <cfRule type="cellIs" dxfId="3" priority="4" operator="lessThan">
      <formula>1</formula>
    </cfRule>
  </conditionalFormatting>
  <conditionalFormatting sqref="K204:K205">
    <cfRule type="cellIs" dxfId="2" priority="3" operator="lessThan">
      <formula>1</formula>
    </cfRule>
  </conditionalFormatting>
  <conditionalFormatting sqref="K207">
    <cfRule type="cellIs" dxfId="1" priority="2" operator="lessThan">
      <formula>1</formula>
    </cfRule>
  </conditionalFormatting>
  <conditionalFormatting sqref="K209:K212">
    <cfRule type="cellIs" dxfId="0" priority="1" operator="lessThan">
      <formula>1</formula>
    </cfRule>
  </conditionalFormatting>
  <pageMargins left="0.45" right="0.25" top="0.63" bottom="0.55118110236220474" header="0.31496062992125984" footer="0.31496062992125984"/>
  <pageSetup paperSize="9" scale="54" fitToHeight="8" orientation="landscape" r:id="rId1"/>
  <headerFooter>
    <oddFooter>&amp;C&amp;P de &amp;N</oddFooter>
  </headerFooter>
  <rowBreaks count="1" manualBreakCount="1">
    <brk id="139" max="13" man="1"/>
  </rowBreak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3534C56C9DB8474EB652E9ADB5B7A784" ma:contentTypeVersion="12" ma:contentTypeDescription="Crear nuevo documento." ma:contentTypeScope="" ma:versionID="61a71a3d95d7a853bd689e1010fefd3e">
  <xsd:schema xmlns:xsd="http://www.w3.org/2001/XMLSchema" xmlns:xs="http://www.w3.org/2001/XMLSchema" xmlns:p="http://schemas.microsoft.com/office/2006/metadata/properties" xmlns:ns2="ec0867ba-afc9-41d7-832d-70b193b46750" xmlns:ns3="861eec1e-dfcf-41d4-8b29-b5dd7f9f56d3" targetNamespace="http://schemas.microsoft.com/office/2006/metadata/properties" ma:root="true" ma:fieldsID="b1a638ef3bf32d927ff5f3c419465762" ns2:_="" ns3:_="">
    <xsd:import namespace="ec0867ba-afc9-41d7-832d-70b193b46750"/>
    <xsd:import namespace="861eec1e-dfcf-41d4-8b29-b5dd7f9f56d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0867ba-afc9-41d7-832d-70b193b4675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6b6bd9f4-03c0-4cd6-9b4e-028e8076b36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eec1e-dfcf-41d4-8b29-b5dd7f9f56d3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4a27e8e7-8070-4f55-ac82-ef9a73aa74fb}" ma:internalName="TaxCatchAll" ma:showField="CatchAllData" ma:web="861eec1e-dfcf-41d4-8b29-b5dd7f9f56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c0867ba-afc9-41d7-832d-70b193b46750">
      <Terms xmlns="http://schemas.microsoft.com/office/infopath/2007/PartnerControls"/>
    </lcf76f155ced4ddcb4097134ff3c332f>
    <TaxCatchAll xmlns="861eec1e-dfcf-41d4-8b29-b5dd7f9f56d3" xsi:nil="true"/>
  </documentManagement>
</p:properties>
</file>

<file path=customXml/itemProps1.xml><?xml version="1.0" encoding="utf-8"?>
<ds:datastoreItem xmlns:ds="http://schemas.openxmlformats.org/officeDocument/2006/customXml" ds:itemID="{B09234FE-67FB-47E9-86C1-9C5975AF73E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c0867ba-afc9-41d7-832d-70b193b46750"/>
    <ds:schemaRef ds:uri="861eec1e-dfcf-41d4-8b29-b5dd7f9f56d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6F7FC01-5097-455D-8B6C-33BB6A8A7D3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8089E9D-A89A-4EDB-8201-459D2BB40C9E}">
  <ds:schemaRefs>
    <ds:schemaRef ds:uri="http://schemas.microsoft.com/office/2006/metadata/properties"/>
    <ds:schemaRef ds:uri="http://schemas.microsoft.com/office/infopath/2007/PartnerControls"/>
    <ds:schemaRef ds:uri="2bb8146b-4687-4c21-8073-28304239b282"/>
    <ds:schemaRef ds:uri="ab6a9574-441b-4d3f-8a90-150a156684ce"/>
    <ds:schemaRef ds:uri="ec0867ba-afc9-41d7-832d-70b193b46750"/>
    <ds:schemaRef ds:uri="861eec1e-dfcf-41d4-8b29-b5dd7f9f56d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30</vt:i4>
      </vt:variant>
    </vt:vector>
  </HeadingPairs>
  <TitlesOfParts>
    <vt:vector size="45" baseType="lpstr">
      <vt:lpstr>GDR 3760_Pto. 02_Cert. 01</vt:lpstr>
      <vt:lpstr>GDR 3760_Pto. 02_Cert. 02</vt:lpstr>
      <vt:lpstr>GDR 3760_Pto. 02_Cert. 03</vt:lpstr>
      <vt:lpstr>GDR 3760_Pto. 02_Cert. 04</vt:lpstr>
      <vt:lpstr>GDR 3760_Pto. 02_Cert. 05</vt:lpstr>
      <vt:lpstr>GDR 3760_Pto. 02_Cert. 06</vt:lpstr>
      <vt:lpstr>GDR 3760_Pto. 02_Cert. 07</vt:lpstr>
      <vt:lpstr>GDR 3760_Pto. 02_Cert. 08</vt:lpstr>
      <vt:lpstr>GDR 3760_Pto. 02_Cert. 09)</vt:lpstr>
      <vt:lpstr>GDR 3760_Pto. 02_Cert. 10</vt:lpstr>
      <vt:lpstr>GDR 3760_Pto. 02_Cert. 11</vt:lpstr>
      <vt:lpstr>GDR 3760_Pto. 02_Cert. 12</vt:lpstr>
      <vt:lpstr>GDR 3760_Pto. 02_Cert. 13</vt:lpstr>
      <vt:lpstr>GDR 3760_Pto. 02_Cert. 14</vt:lpstr>
      <vt:lpstr>GDR 3760_Pto. 02_Cert. 15</vt:lpstr>
      <vt:lpstr>'GDR 3760_Pto. 02_Cert. 01'!Print_Area</vt:lpstr>
      <vt:lpstr>'GDR 3760_Pto. 02_Cert. 02'!Print_Area</vt:lpstr>
      <vt:lpstr>'GDR 3760_Pto. 02_Cert. 03'!Print_Area</vt:lpstr>
      <vt:lpstr>'GDR 3760_Pto. 02_Cert. 04'!Print_Area</vt:lpstr>
      <vt:lpstr>'GDR 3760_Pto. 02_Cert. 05'!Print_Area</vt:lpstr>
      <vt:lpstr>'GDR 3760_Pto. 02_Cert. 06'!Print_Area</vt:lpstr>
      <vt:lpstr>'GDR 3760_Pto. 02_Cert. 07'!Print_Area</vt:lpstr>
      <vt:lpstr>'GDR 3760_Pto. 02_Cert. 08'!Print_Area</vt:lpstr>
      <vt:lpstr>'GDR 3760_Pto. 02_Cert. 09)'!Print_Area</vt:lpstr>
      <vt:lpstr>'GDR 3760_Pto. 02_Cert. 10'!Print_Area</vt:lpstr>
      <vt:lpstr>'GDR 3760_Pto. 02_Cert. 11'!Print_Area</vt:lpstr>
      <vt:lpstr>'GDR 3760_Pto. 02_Cert. 12'!Print_Area</vt:lpstr>
      <vt:lpstr>'GDR 3760_Pto. 02_Cert. 13'!Print_Area</vt:lpstr>
      <vt:lpstr>'GDR 3760_Pto. 02_Cert. 14'!Print_Area</vt:lpstr>
      <vt:lpstr>'GDR 3760_Pto. 02_Cert. 15'!Print_Area</vt:lpstr>
      <vt:lpstr>'GDR 3760_Pto. 02_Cert. 01'!Print_Titles</vt:lpstr>
      <vt:lpstr>'GDR 3760_Pto. 02_Cert. 02'!Print_Titles</vt:lpstr>
      <vt:lpstr>'GDR 3760_Pto. 02_Cert. 03'!Print_Titles</vt:lpstr>
      <vt:lpstr>'GDR 3760_Pto. 02_Cert. 04'!Print_Titles</vt:lpstr>
      <vt:lpstr>'GDR 3760_Pto. 02_Cert. 05'!Print_Titles</vt:lpstr>
      <vt:lpstr>'GDR 3760_Pto. 02_Cert. 06'!Print_Titles</vt:lpstr>
      <vt:lpstr>'GDR 3760_Pto. 02_Cert. 07'!Print_Titles</vt:lpstr>
      <vt:lpstr>'GDR 3760_Pto. 02_Cert. 08'!Print_Titles</vt:lpstr>
      <vt:lpstr>'GDR 3760_Pto. 02_Cert. 09)'!Print_Titles</vt:lpstr>
      <vt:lpstr>'GDR 3760_Pto. 02_Cert. 10'!Print_Titles</vt:lpstr>
      <vt:lpstr>'GDR 3760_Pto. 02_Cert. 11'!Print_Titles</vt:lpstr>
      <vt:lpstr>'GDR 3760_Pto. 02_Cert. 12'!Print_Titles</vt:lpstr>
      <vt:lpstr>'GDR 3760_Pto. 02_Cert. 13'!Print_Titles</vt:lpstr>
      <vt:lpstr>'GDR 3760_Pto. 02_Cert. 14'!Print_Titles</vt:lpstr>
      <vt:lpstr>'GDR 3760_Pto. 02_Cert. 15'!Print_Titles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Juan Pagliaricci</dc:creator>
  <cp:keywords/>
  <dc:description/>
  <cp:lastModifiedBy>Pedro Pagliaricci</cp:lastModifiedBy>
  <cp:revision/>
  <cp:lastPrinted>2026-01-19T19:01:00Z</cp:lastPrinted>
  <dcterms:created xsi:type="dcterms:W3CDTF">2025-03-06T17:23:19Z</dcterms:created>
  <dcterms:modified xsi:type="dcterms:W3CDTF">2026-06-22T12:32:09Z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0x0101003534C56C9DB8474EB652E9ADB5B7A784</vt:lpwstr>
  </property>
  <property fmtid="{D5CDD505-2E9C-101B-9397-08002B2CF9AE}" pid="3" name="MediaServiceImageTags">
    <vt:lpwstr/>
  </property>
</Properties>
</file>